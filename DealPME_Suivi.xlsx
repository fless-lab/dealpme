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46292</v>
      </c>
      <c r="Q67" s="40" t="n">
        <v>46297</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46292</v>
      </c>
      <c r="Q68" s="40" t="n">
        <v>46295</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46293</v>
      </c>
      <c r="Q69" s="40" t="n">
        <v>46300</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46293</v>
      </c>
      <c r="Q70" s="40" t="n">
        <v>46298</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46298</v>
      </c>
      <c r="Q79" s="40" t="n">
        <v>46304</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En cours</t>
        </is>
      </c>
      <c r="K81" s="39" t="n">
        <v>0.45</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En cours</t>
        </is>
      </c>
      <c r="K84" s="39" t="n">
        <v>0.6</v>
      </c>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En cours</t>
        </is>
      </c>
      <c r="K86" s="39" t="n">
        <v>0.6</v>
      </c>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Acheminement des alertes d'exploitation : seuils, canal d'astreinte, accusé de prise en charge</t>
        </is>
      </c>
      <c r="G130" s="37" t="inlineStr">
        <is>
          <t>Une erreur serveur répétée réveille quelqu'un, sans dépendre d'une console consultée à la main</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OPS</t>
        </is>
      </c>
      <c r="E131" s="37" t="inlineStr">
        <is>
          <t>Exploitation</t>
        </is>
      </c>
      <c r="F131" s="37" t="inlineStr">
        <is>
          <t>Chiffrement au repos du stockage objet par un KMS géré et rotation documentée des clés</t>
        </is>
      </c>
      <c r="G131" s="37" t="inlineStr">
        <is>
          <t>La clé de développement de MinIO n'existe plus en production ; la rotation est éprouvée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c r="T131" s="36" t="inlineStr">
        <is>
          <t>Non</t>
        </is>
      </c>
      <c r="U131" s="13">
        <f>IF($B131="","",IF(AND(J131&lt;&gt;"Complétée",J131&lt;&gt;"Abandonnée",Q131&lt;&gt;"",TODAY()&gt;Q131),"En retard",""))</f>
        <v/>
      </c>
      <c r="V131" s="37" t="n"/>
    </row>
    <row r="132">
      <c r="B132" s="36" t="inlineStr">
        <is>
          <t>V3-006</t>
        </is>
      </c>
      <c r="C132" s="36" t="inlineStr">
        <is>
          <t>V3</t>
        </is>
      </c>
      <c r="D132" s="36" t="inlineStr">
        <is>
          <t>SUP</t>
        </is>
      </c>
      <c r="E132" s="37" t="inlineStr">
        <is>
          <t>Support</t>
        </is>
      </c>
      <c r="F132" s="37" t="inlineStr">
        <is>
          <t>Procédure de purge et de rétention des pièces et des valeurs déclarées (effacement encadré par le DPO)</t>
        </is>
      </c>
      <c r="G132" s="37" t="inlineStr">
        <is>
          <t>Durées de conservation écrites, effacement tracé et irréversible</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is>
          <t>DPO désigné</t>
        </is>
      </c>
      <c r="T132" s="36" t="inlineStr">
        <is>
          <t>Non</t>
        </is>
      </c>
      <c r="U132" s="13">
        <f>IF($B132="","",IF(AND(J132&lt;&gt;"Complétée",J132&lt;&gt;"Abandonnée",Q132&lt;&gt;"",TODAY()&gt;Q132),"En retard",""))</f>
        <v/>
      </c>
      <c r="V132" s="37" t="n"/>
    </row>
    <row r="133">
      <c r="B133" s="36" t="inlineStr">
        <is>
          <t>V3-007</t>
        </is>
      </c>
      <c r="C133" s="36" t="inlineStr">
        <is>
          <t>V3</t>
        </is>
      </c>
      <c r="D133" s="36" t="inlineStr">
        <is>
          <t>OPS</t>
        </is>
      </c>
      <c r="E133" s="37" t="inlineStr">
        <is>
          <t>Conception</t>
        </is>
      </c>
      <c r="F133" s="37" t="inlineStr">
        <is>
          <t>Conception de l'exploitation et du support : SLA 99,5 %, supervision, sauvegardes et restauration, procédure d'incident, accès privilégiés et mode break-glass journalisé</t>
        </is>
      </c>
      <c r="G133" s="37" t="inlineStr">
        <is>
          <t>Plan d'exploitation relu ; chaque accès privilégié est tracé et limité dans le temps</t>
        </is>
      </c>
      <c r="H133" s="38" t="n">
        <v>3</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46360</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Modèles versionnés : NDA, LOI, pacte simplifié, SPA, cession d'actifs, contrat de travail (Code du travail togolais)</t>
        </is>
      </c>
      <c r="G134" s="37" t="inlineStr">
        <is>
          <t>Chaque modèle porte version et référence du conseil</t>
        </is>
      </c>
      <c r="H134" s="38" t="n">
        <v>8</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46355</v>
      </c>
      <c r="Q134" s="40" t="n">
        <v>46367</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Moteur de génération PDF avec variables et mention 'aide à la rédaction, pas un conseil juridique'</t>
        </is>
      </c>
      <c r="G135" s="37" t="inlineStr">
        <is>
          <t>Mention présente sur chaque document généré</t>
        </is>
      </c>
      <c r="H135" s="38" t="n">
        <v>7</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46356</v>
      </c>
      <c r="Q135" s="40" t="n">
        <v>46366</v>
      </c>
      <c r="R135" s="40" t="n"/>
      <c r="S135" s="37" t="inlineStr"/>
      <c r="T135" s="36" t="inlineStr">
        <is>
          <t>Non</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Revue des modèles par le conseil juridique (coordination)</t>
        </is>
      </c>
      <c r="G136" s="37" t="inlineStr">
        <is>
          <t>Avis écrit archivé par modèle</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46357</v>
      </c>
      <c r="Q136" s="40" t="n">
        <v>46363</v>
      </c>
      <c r="R136" s="40" t="n"/>
      <c r="S136" s="37" t="inlineStr"/>
      <c r="T136" s="36" t="inlineStr">
        <is>
          <t>Oui</t>
        </is>
      </c>
      <c r="U136" s="13">
        <f>IF($B136="","",IF(AND(J136&lt;&gt;"Complétée",J136&lt;&gt;"Abandonnée",Q136&lt;&gt;"",TODAY()&gt;Q136),"En retard",""))</f>
        <v/>
      </c>
      <c r="V136" s="37" t="n"/>
    </row>
    <row r="137">
      <c r="B137" s="36" t="inlineStr">
        <is>
          <t>V3-011</t>
        </is>
      </c>
      <c r="C137" s="36" t="inlineStr">
        <is>
          <t>V3</t>
        </is>
      </c>
      <c r="D137" s="36" t="inlineStr">
        <is>
          <t>LEG</t>
        </is>
      </c>
      <c r="E137" s="37" t="inlineStr">
        <is>
          <t>LegalTech OHADA</t>
        </is>
      </c>
      <c r="F137" s="37" t="inlineStr">
        <is>
          <t>Liaison avec transferRestrictions : alertes clauses d'agrément et de préemption</t>
        </is>
      </c>
      <c r="G137" s="37" t="inlineStr">
        <is>
          <t>Alerte affichée dès qu'une restriction existe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46363</v>
      </c>
      <c r="R137" s="40" t="n"/>
      <c r="S137" s="37" t="inlineStr"/>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Conformité fiscale</t>
        </is>
      </c>
      <c r="F138" s="37" t="inlineStr">
        <is>
          <t>Intégration du module fiscal partenaire (simulation, attestation) derrière drapeau</t>
        </is>
      </c>
      <c r="G138" s="37" t="inlineStr">
        <is>
          <t>Panne partenaire ne produit jamais une fausse attestation</t>
        </is>
      </c>
      <c r="H138" s="38" t="n">
        <v>6</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46368</v>
      </c>
      <c r="R138" s="40" t="n"/>
      <c r="S138" s="37" t="inlineStr">
        <is>
          <t>Partenaire fiscal confirmé</t>
        </is>
      </c>
      <c r="T138" s="36" t="inlineStr">
        <is>
          <t>Non</t>
        </is>
      </c>
      <c r="U138" s="13">
        <f>IF($B138="","",IF(AND(J138&lt;&gt;"Complétée",J138&lt;&gt;"Abandonnée",Q138&lt;&gt;"",TODAY()&gt;Q138),"En retard",""))</f>
        <v/>
      </c>
      <c r="V138" s="37" t="n"/>
    </row>
    <row r="139">
      <c r="B139" s="36" t="inlineStr">
        <is>
          <t>V3-013</t>
        </is>
      </c>
      <c r="C139" s="36" t="inlineStr">
        <is>
          <t>V3</t>
        </is>
      </c>
      <c r="D139" s="36" t="inlineStr">
        <is>
          <t>LEG</t>
        </is>
      </c>
      <c r="E139" s="37" t="inlineStr">
        <is>
          <t>LegalTech OHADA</t>
        </is>
      </c>
      <c r="F139" s="37" t="inlineStr">
        <is>
          <t>Écrans LegalTech</t>
        </is>
      </c>
      <c r="G139" s="37" t="inlineStr">
        <is>
          <t>Quota de documents par palier respecté</t>
        </is>
      </c>
      <c r="H139" s="38" t="n">
        <v>2</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46363</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Offre et contre-offre structurées et versionnées</t>
        </is>
      </c>
      <c r="G140" s="37" t="inlineStr">
        <is>
          <t>Toutes les versions conservées</t>
        </is>
      </c>
      <c r="H140" s="38" t="n">
        <v>6</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46360</v>
      </c>
      <c r="Q140" s="40" t="n">
        <v>46369</v>
      </c>
      <c r="R140" s="40" t="n"/>
      <c r="S140" s="37" t="inlineStr"/>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Négociation</t>
        </is>
      </c>
      <c r="F141" s="37" t="inlineStr">
        <is>
          <t>Générateur de LOI branché sur LegalTech</t>
        </is>
      </c>
      <c r="G141" s="37" t="inlineStr">
        <is>
          <t>LOI générée depuis l'offre acceptée</t>
        </is>
      </c>
      <c r="H141" s="38" t="n">
        <v>4</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46367</v>
      </c>
      <c r="R141" s="40" t="n"/>
      <c r="S141" s="37" t="inlineStr">
        <is>
          <t>Moteur de génération</t>
        </is>
      </c>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Registre des points ouverts d'audit d'acquisition (P15)</t>
        </is>
      </c>
      <c r="G142" s="37" t="inlineStr">
        <is>
          <t>Chaque point porte propriétaire, échéance, statut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46371</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Audit d'acquisition</t>
        </is>
      </c>
      <c r="F143" s="37" t="inlineStr">
        <is>
          <t>Décision poursuivre / renégocier / abandonner avec motifs structurés</t>
        </is>
      </c>
      <c r="G143" s="37" t="inlineStr">
        <is>
          <t>Motif obligatoire à l'abandon</t>
        </is>
      </c>
      <c r="H143" s="38" t="n">
        <v>3</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46362</v>
      </c>
      <c r="Q143" s="40" t="n">
        <v>46367</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NEG</t>
        </is>
      </c>
      <c r="E144" s="37" t="inlineStr">
        <is>
          <t>Négociation</t>
        </is>
      </c>
      <c r="F144" s="37" t="inlineStr">
        <is>
          <t>Écrans négociation et audit</t>
        </is>
      </c>
      <c r="G144" s="37" t="inlineStr">
        <is>
          <t>Conditions sensibles visibles uniquement en T2</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46363</v>
      </c>
      <c r="Q144" s="40" t="n">
        <v>46372</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Statut de réalisation (réalisé, différé, abandonné) et dossier de preuves</t>
        </is>
      </c>
      <c r="G145" s="37" t="inlineStr">
        <is>
          <t>Résultat présenté avec son niveau de preuve</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46371</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Références de formalités externes (RCCM) et confirmations des parties</t>
        </is>
      </c>
      <c r="G146" s="37" t="inlineStr">
        <is>
          <t>Référence RCCM stockée avec horodatage</t>
        </is>
      </c>
      <c r="H146" s="38" t="n">
        <v>3</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46370</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Création automatique du FeeEvent (PENDING ou SUSPENDED) à l'entrée en CLOSED_REPORTED</t>
        </is>
      </c>
      <c r="G147" s="37" t="inlineStr">
        <is>
          <t>Aucune réalisation sans FeeEvent (test)</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46365</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REA</t>
        </is>
      </c>
      <c r="E148" s="37" t="inlineStr">
        <is>
          <t>Réalisation</t>
        </is>
      </c>
      <c r="F148" s="37" t="inlineStr">
        <is>
          <t>Écrans réalisation</t>
        </is>
      </c>
      <c r="G148" s="37" t="inlineStr">
        <is>
          <t>Statut lisible par les deux parties</t>
        </is>
      </c>
      <c r="H148" s="38" t="n">
        <v>3</v>
      </c>
      <c r="I148" s="36" t="inlineStr">
        <is>
          <t>Moyenne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46371</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Enregistrement des revenus, catégories contractuelles et attribution</t>
        </is>
      </c>
      <c r="G149" s="37" t="inlineStr">
        <is>
          <t>Chaque revenu rattaché à une catégorie et un canal</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46366</v>
      </c>
      <c r="Q149" s="40" t="n">
        <v>46373</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Calcul du revenu net (déductions contractuelles) avec décomposition stockée</t>
        </is>
      </c>
      <c r="G150" s="37" t="inlineStr">
        <is>
          <t>Décomposition auditable ligne par ligne</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46367</v>
      </c>
      <c r="Q150" s="40" t="n">
        <v>46374</v>
      </c>
      <c r="R150" s="40" t="n"/>
      <c r="S150" s="37" t="inlineStr"/>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Barème de frais par tranche et minimum garanti, sous drapeau juridique DP-RPS-021</t>
        </is>
      </c>
      <c r="G151" s="37" t="inlineStr">
        <is>
          <t>Barème inactif tant que le drapeau est fermé</t>
        </is>
      </c>
      <c r="H151" s="38" t="n">
        <v>5</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46368</v>
      </c>
      <c r="Q151" s="40" t="n">
        <v>46375</v>
      </c>
      <c r="R151" s="40" t="n"/>
      <c r="S151" s="37" t="inlineStr">
        <is>
          <t>Avis juridique écrit</t>
        </is>
      </c>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Rétrocession par catégorie (90/10, 50/50, 70/30) et test d'éligibilité</t>
        </is>
      </c>
      <c r="G152" s="37" t="inlineStr">
        <is>
          <t>Transaction non attribuée exclue automatiquement</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46369</v>
      </c>
      <c r="Q152" s="40" t="n">
        <v>46378</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Journal de calcul recalculable sans accès au code source</t>
        </is>
      </c>
      <c r="G153" s="37" t="inlineStr">
        <is>
          <t>Recalcul indépendant identique au centime</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46377</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Reporting continu, rapport trimestriel archivé, fenêtre de contestation 30 jours</t>
        </is>
      </c>
      <c r="G154" s="37" t="inlineStr">
        <is>
          <t>Rapport immuable après archivage</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46380</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FIN</t>
        </is>
      </c>
      <c r="E155" s="37" t="inlineStr">
        <is>
          <t>Finance</t>
        </is>
      </c>
      <c r="F155" s="37" t="inlineStr">
        <is>
          <t>Export d'audit scopé (jamais le code ni les données d'autres clients)</t>
        </is>
      </c>
      <c r="G155" s="37" t="inlineStr">
        <is>
          <t>Export vérifié par le contrôle CCI-Togo</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46377</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Système de tickets et sévérités P1 à P4 avec délais contractuels</t>
        </is>
      </c>
      <c r="G156" s="37" t="inlineStr">
        <is>
          <t>Délai d'accusé mesuré par sévérité</t>
        </is>
      </c>
      <c r="H156" s="38" t="n">
        <v>4</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46372</v>
      </c>
      <c r="Q156" s="40" t="n">
        <v>46378</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Accès privilégié motivé, scopé, expirant, avec notification du propriétaire du dossier</t>
        </is>
      </c>
      <c r="G157" s="37" t="inlineStr">
        <is>
          <t>Propriétaire notifié à chaque accès</t>
        </is>
      </c>
      <c r="H157" s="38" t="n">
        <v>4</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46379</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SUP</t>
        </is>
      </c>
      <c r="E158" s="37" t="inlineStr">
        <is>
          <t>Support</t>
        </is>
      </c>
      <c r="F158" s="37" t="inlineStr">
        <is>
          <t>Mode 'break-glass' journalisé pour l'administration</t>
        </is>
      </c>
      <c r="G158" s="37" t="inlineStr">
        <is>
          <t>Chaque usage journalisé avec motif et approbateur</t>
        </is>
      </c>
      <c r="H158" s="38" t="n">
        <v>2</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46373</v>
      </c>
      <c r="Q158" s="40" t="n">
        <v>46376</v>
      </c>
      <c r="R158" s="40" t="n"/>
      <c r="S158" s="37" t="inlineStr"/>
      <c r="T158" s="36" t="inlineStr">
        <is>
          <t>Non</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Déclaration IPDCP et autorisation de transfert transfrontalier (G1, G2)</t>
        </is>
      </c>
      <c r="G159" s="37" t="inlineStr">
        <is>
          <t>Récépissés archivés</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46381</v>
      </c>
      <c r="R159" s="40" t="n"/>
      <c r="S159" s="37" t="inlineStr"/>
      <c r="T159" s="36" t="inlineStr">
        <is>
          <t>Oui</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Revue juridique NDA, CGU, politique de confidentialité (G4)</t>
        </is>
      </c>
      <c r="G160" s="37" t="inlineStr">
        <is>
          <t>Avis écrit archivé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46374</v>
      </c>
      <c r="Q160" s="40" t="n">
        <v>46379</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Avis juridique écrit sur le RPS (G5) et vérification des tests de plafond (G6)</t>
        </is>
      </c>
      <c r="G161" s="37" t="inlineStr">
        <is>
          <t>Avis et rapport de tests archivés</t>
        </is>
      </c>
      <c r="H161" s="38" t="n">
        <v>4</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46381</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Audit du texte d'interface : aucune allégation non prouvée (G7)</t>
        </is>
      </c>
      <c r="G162" s="37" t="inlineStr">
        <is>
          <t>Zéro occurrence de 'sécurisé', 'certifié' non justifiée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Recalcul indépendant de la rétrocession (G8)</t>
        </is>
      </c>
      <c r="G163" s="37" t="inlineStr">
        <is>
          <t>Rapprochement signé par la Finance</t>
        </is>
      </c>
      <c r="H163" s="38" t="n">
        <v>3</v>
      </c>
      <c r="I163" s="36" t="inlineStr">
        <is>
          <t>Moyenne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46381</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Nomination du DPO et processus d'effacement (G9)</t>
        </is>
      </c>
      <c r="G164" s="37" t="inlineStr">
        <is>
          <t>DPO nommé, procédure publiée</t>
        </is>
      </c>
      <c r="H164" s="38" t="n">
        <v>2</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46380</v>
      </c>
      <c r="R164" s="40" t="n"/>
      <c r="S164" s="37" t="inlineStr"/>
      <c r="T164" s="36" t="inlineStr">
        <is>
          <t>Non</t>
        </is>
      </c>
      <c r="U164" s="13">
        <f>IF($B164="","",IF(AND(J164&lt;&gt;"Complétée",J164&lt;&gt;"Abandonnée",Q164&lt;&gt;"",TODAY()&gt;Q164),"En retard",""))</f>
        <v/>
      </c>
      <c r="V164" s="37" t="n"/>
    </row>
    <row r="165">
      <c r="B165" s="36" t="inlineStr">
        <is>
          <t>V3-039</t>
        </is>
      </c>
      <c r="C165" s="36" t="inlineStr">
        <is>
          <t>V3</t>
        </is>
      </c>
      <c r="D165" s="36" t="inlineStr">
        <is>
          <t>OPS</t>
        </is>
      </c>
      <c r="E165" s="37" t="inlineStr">
        <is>
          <t>Portes de conformité</t>
        </is>
      </c>
      <c r="F165" s="37" t="inlineStr">
        <is>
          <t>Pentest indépendant et remédiation des constats critiques et élevés (G10)</t>
        </is>
      </c>
      <c r="G165" s="37" t="inlineStr">
        <is>
          <t>Rapport de pentest sans constat critique ouvert</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46377</v>
      </c>
      <c r="Q165" s="40" t="n">
        <v>46384</v>
      </c>
      <c r="R165" s="40" t="n"/>
      <c r="S165" s="37" t="inlineStr"/>
      <c r="T165" s="36" t="inlineStr">
        <is>
          <t>Oui</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Supervision, alertes, mesure de disponibilité mensuelle (SLA 99,5 %)</t>
        </is>
      </c>
      <c r="G166" s="37" t="inlineStr">
        <is>
          <t>Tableau de disponibilité mensuel généré</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46378</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Sauvegardes chiffrées et test de restauration (RPO 1 h, RTO 4 h)</t>
        </is>
      </c>
      <c r="G167" s="37" t="inlineStr">
        <is>
          <t>Restauration complète en moins de 4 h documentée</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46386</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Procédure d'incident, analyse de cause racine, rollback</t>
        </is>
      </c>
      <c r="G168" s="37" t="inlineStr">
        <is>
          <t>Procédure testée sur un incident simulé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46379</v>
      </c>
      <c r="Q168" s="40" t="n">
        <v>46385</v>
      </c>
      <c r="R168" s="40" t="n"/>
      <c r="S168" s="37" t="inlineStr"/>
      <c r="T168" s="36" t="inlineStr">
        <is>
          <t>Non</t>
        </is>
      </c>
      <c r="U168" s="13">
        <f>IF($B168="","",IF(AND(J168&lt;&gt;"Complétée",J168&lt;&gt;"Abandonnée",Q168&lt;&gt;"",TODAY()&gt;Q168),"En retard",""))</f>
        <v/>
      </c>
      <c r="V168" s="37" t="n"/>
    </row>
    <row r="169">
      <c r="B169" s="36" t="inlineStr">
        <is>
          <t>V3-043</t>
        </is>
      </c>
      <c r="C169" s="36" t="inlineStr">
        <is>
          <t>V3</t>
        </is>
      </c>
      <c r="D169" s="36" t="inlineStr">
        <is>
          <t>OPS</t>
        </is>
      </c>
      <c r="E169" s="37" t="inlineStr">
        <is>
          <t>Exploitation</t>
        </is>
      </c>
      <c r="F169" s="37" t="inlineStr">
        <is>
          <t>Rotation des clés, gestion des secrets, scan de dépendances en CI</t>
        </is>
      </c>
      <c r="G169" s="37" t="inlineStr">
        <is>
          <t>Build échoue sur vulnérabilité critique</t>
        </is>
      </c>
      <c r="H169" s="38" t="n">
        <v>5</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46380</v>
      </c>
      <c r="Q169" s="40" t="n">
        <v>46386</v>
      </c>
      <c r="R169" s="40" t="n"/>
      <c r="S169" s="37" t="inlineStr"/>
      <c r="T169" s="36" t="inlineStr">
        <is>
          <t>Non</t>
        </is>
      </c>
      <c r="U169" s="13">
        <f>IF($B169="","",IF(AND(J169&lt;&gt;"Complétée",J169&lt;&gt;"Abandonnée",Q169&lt;&gt;"",TODAY()&gt;Q169),"En retard",""))</f>
        <v/>
      </c>
      <c r="V169" s="37" t="n"/>
    </row>
    <row r="170">
      <c r="B170" s="36" t="inlineStr">
        <is>
          <t>V4-001</t>
        </is>
      </c>
      <c r="C170" s="36" t="inlineStr">
        <is>
          <t>V4</t>
        </is>
      </c>
      <c r="D170" s="36" t="inlineStr">
        <is>
          <t>REB</t>
        </is>
      </c>
      <c r="E170" s="37" t="inlineStr">
        <is>
          <t>Conception</t>
        </is>
      </c>
      <c r="F170" s="37" t="inlineStr">
        <is>
          <t>Conception Alerte &amp; Rebond : confidentialité renforcée, signalement, actifs en difficulté et lien avec le périmètre RPS</t>
        </is>
      </c>
      <c r="G170" s="37" t="inlineStr">
        <is>
          <t>Modèle de données et parcours validés ; aucune fuite d'identité d'une entreprise en difficulté</t>
        </is>
      </c>
      <c r="H170" s="38" t="n">
        <v>3</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46387</v>
      </c>
      <c r="Q170" s="40" t="n">
        <v>46392</v>
      </c>
      <c r="R170" s="40" t="n"/>
      <c r="S170" s="37" t="inlineStr"/>
      <c r="T170" s="36" t="inlineStr">
        <is>
          <t>Oui</t>
        </is>
      </c>
      <c r="U170" s="13">
        <f>IF($B170="","",IF(AND(J170&lt;&gt;"Complétée",J170&lt;&gt;"Abandonnée",Q170&lt;&gt;"",TODAY()&gt;Q170),"En retard",""))</f>
        <v/>
      </c>
      <c r="V170" s="37" t="n"/>
    </row>
    <row r="171">
      <c r="B171" s="36" t="inlineStr">
        <is>
          <t>V4-002</t>
        </is>
      </c>
      <c r="C171" s="36" t="inlineStr">
        <is>
          <t>V4</t>
        </is>
      </c>
      <c r="D171" s="36" t="inlineStr">
        <is>
          <t>CNX</t>
        </is>
      </c>
      <c r="E171" s="37" t="inlineStr">
        <is>
          <t>Conception</t>
        </is>
      </c>
      <c r="F171" s="37" t="inlineStr">
        <is>
          <t>Conception Deal-Connect et Guichet Diaspora complets : billetterie et sponsoring via Remo.co, rendez-vous mutuels, profil diaspora, rapport post-événement</t>
        </is>
      </c>
      <c r="G171" s="37" t="inlineStr">
        <is>
          <t>Séquences et contrats d'échange avec Remo.co validés sur la documentation à jour</t>
        </is>
      </c>
      <c r="H171" s="38" t="n">
        <v>2</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46388</v>
      </c>
      <c r="Q171" s="40" t="n">
        <v>46391</v>
      </c>
      <c r="R171" s="40" t="n"/>
      <c r="S171" s="37" t="inlineStr"/>
      <c r="T171" s="36" t="inlineStr">
        <is>
          <t>Non</t>
        </is>
      </c>
      <c r="U171" s="13">
        <f>IF($B171="","",IF(AND(J171&lt;&gt;"Complétée",J171&lt;&gt;"Abandonnée",Q171&lt;&gt;"",TODAY()&gt;Q171),"En retard",""))</f>
        <v/>
      </c>
      <c r="V171" s="37" t="n"/>
    </row>
    <row r="172">
      <c r="B172" s="36" t="inlineStr">
        <is>
          <t>V4-003</t>
        </is>
      </c>
      <c r="C172" s="36" t="inlineStr">
        <is>
          <t>V4</t>
        </is>
      </c>
      <c r="D172" s="36" t="inlineStr">
        <is>
          <t>EXP</t>
        </is>
      </c>
      <c r="E172" s="37" t="inlineStr">
        <is>
          <t>Conception</t>
        </is>
      </c>
      <c r="F172" s="37" t="inlineStr">
        <is>
          <t>Conception Deal-Experts : mobilisation d'expert indépendant, conflit d'intérêts, périmètre de mission, traçabilité</t>
        </is>
      </c>
      <c r="G172" s="37" t="inlineStr">
        <is>
          <t>Décision d'arbitrage (P13) prise et modèle de mission spécifié</t>
        </is>
      </c>
      <c r="H172" s="38" t="n">
        <v>2</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46392</v>
      </c>
      <c r="R172" s="40" t="n"/>
      <c r="S172" s="37" t="inlineStr">
        <is>
          <t>Arbitrage Deal-Experts</t>
        </is>
      </c>
      <c r="T172" s="36" t="inlineStr">
        <is>
          <t>Non</t>
        </is>
      </c>
      <c r="U172" s="13">
        <f>IF($B172="","",IF(AND(J172&lt;&gt;"Complétée",J172&lt;&gt;"Abandonnée",Q172&lt;&gt;"",TODAY()&gt;Q172),"En retard",""))</f>
        <v/>
      </c>
      <c r="V172" s="37" t="n"/>
    </row>
    <row r="173">
      <c r="B173" s="36" t="inlineStr">
        <is>
          <t>V4-004</t>
        </is>
      </c>
      <c r="C173" s="36" t="inlineStr">
        <is>
          <t>V4</t>
        </is>
      </c>
      <c r="D173" s="36" t="inlineStr">
        <is>
          <t>REB</t>
        </is>
      </c>
      <c r="E173" s="37" t="inlineStr">
        <is>
          <t>Alerte &amp; Rebond</t>
        </is>
      </c>
      <c r="F173" s="37" t="inlineStr">
        <is>
          <t>Auto-diagnostic : arbre logique et score de santé financière</t>
        </is>
      </c>
      <c r="G173" s="37" t="inlineStr">
        <is>
          <t>Score expliqué, jamais un conseil personnalisé</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46389</v>
      </c>
      <c r="Q173" s="40" t="n">
        <v>46398</v>
      </c>
      <c r="R173" s="40" t="n"/>
      <c r="S173" s="37" t="inlineStr"/>
      <c r="T173" s="36" t="inlineStr">
        <is>
          <t>Non</t>
        </is>
      </c>
      <c r="U173" s="13">
        <f>IF($B173="","",IF(AND(J173&lt;&gt;"Complétée",J173&lt;&gt;"Abandonnée",Q173&lt;&gt;"",TODAY()&gt;Q173),"En retard",""))</f>
        <v/>
      </c>
      <c r="V173" s="37" t="n"/>
    </row>
    <row r="174">
      <c r="B174" s="36" t="inlineStr">
        <is>
          <t>V4-005</t>
        </is>
      </c>
      <c r="C174" s="36" t="inlineStr">
        <is>
          <t>V4</t>
        </is>
      </c>
      <c r="D174" s="36" t="inlineStr">
        <is>
          <t>REB</t>
        </is>
      </c>
      <c r="E174" s="37" t="inlineStr">
        <is>
          <t>Alerte &amp; Rebond</t>
        </is>
      </c>
      <c r="F174" s="37" t="inlineStr">
        <is>
          <t>Dossier de crise confidentiel, INVITE_ONLY, registre d'investisseurs de retournement</t>
        </is>
      </c>
      <c r="G174" s="37" t="inlineStr">
        <is>
          <t>Dossier absent de toute recherche ouverte (test négatif)</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46391</v>
      </c>
      <c r="Q174" s="40" t="n">
        <v>46400</v>
      </c>
      <c r="R174" s="40" t="n"/>
      <c r="S174" s="37" t="inlineStr"/>
      <c r="T174" s="36" t="inlineStr">
        <is>
          <t>Non</t>
        </is>
      </c>
      <c r="U174" s="13">
        <f>IF($B174="","",IF(AND(J174&lt;&gt;"Complétée",J174&lt;&gt;"Abandonnée",Q174&lt;&gt;"",TODAY()&gt;Q174),"En retard",""))</f>
        <v/>
      </c>
      <c r="V174" s="37" t="n"/>
    </row>
    <row r="175">
      <c r="B175" s="36" t="inlineStr">
        <is>
          <t>V4-006</t>
        </is>
      </c>
      <c r="C175" s="36" t="inlineStr">
        <is>
          <t>V4</t>
        </is>
      </c>
      <c r="D175" s="36" t="inlineStr">
        <is>
          <t>REB</t>
        </is>
      </c>
      <c r="E175" s="37" t="inlineStr">
        <is>
          <t>Alerte &amp; Rebond</t>
        </is>
      </c>
      <c r="F175" s="37" t="inlineStr">
        <is>
          <t>Signalement statutaire (mandataire de justice) et avertissement sur les clauses bancaires</t>
        </is>
      </c>
      <c r="G175" s="37" t="inlineStr">
        <is>
          <t>Avertissement affiché avant tout changement de visibilité</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46393</v>
      </c>
      <c r="Q175" s="40" t="n">
        <v>46398</v>
      </c>
      <c r="R175" s="40" t="n"/>
      <c r="S175" s="37" t="inlineStr"/>
      <c r="T175" s="36" t="inlineStr">
        <is>
          <t>Non</t>
        </is>
      </c>
      <c r="U175" s="13">
        <f>IF($B175="","",IF(AND(J175&lt;&gt;"Complétée",J175&lt;&gt;"Abandonnée",Q175&lt;&gt;"",TODAY()&gt;Q175),"En retard",""))</f>
        <v/>
      </c>
      <c r="V175" s="37" t="n"/>
    </row>
    <row r="176">
      <c r="B176" s="36" t="inlineStr">
        <is>
          <t>V4-007</t>
        </is>
      </c>
      <c r="C176" s="36" t="inlineStr">
        <is>
          <t>V4</t>
        </is>
      </c>
      <c r="D176" s="36" t="inlineStr">
        <is>
          <t>REB</t>
        </is>
      </c>
      <c r="E176" s="37" t="inlineStr">
        <is>
          <t>Actifs en difficulté</t>
        </is>
      </c>
      <c r="F176" s="37" t="inlineStr">
        <is>
          <t>Listings d'actifs par catégorie : créances, immobilier, équipement, flotte</t>
        </is>
      </c>
      <c r="G176" s="37" t="inlineStr">
        <is>
          <t>Jeu de champs distinct par catégorie</t>
        </is>
      </c>
      <c r="H176" s="38" t="n">
        <v>7</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46394</v>
      </c>
      <c r="Q176" s="40" t="n">
        <v>46404</v>
      </c>
      <c r="R176" s="40" t="n"/>
      <c r="S176" s="37" t="inlineStr"/>
      <c r="T176" s="36" t="inlineStr">
        <is>
          <t>Non</t>
        </is>
      </c>
      <c r="U176" s="13">
        <f>IF($B176="","",IF(AND(J176&lt;&gt;"Complétée",J176&lt;&gt;"Abandonnée",Q176&lt;&gt;"",TODAY()&gt;Q176),"En retard",""))</f>
        <v/>
      </c>
      <c r="V176" s="37" t="n"/>
    </row>
    <row r="177">
      <c r="B177" s="36" t="inlineStr">
        <is>
          <t>V4-008</t>
        </is>
      </c>
      <c r="C177" s="36" t="inlineStr">
        <is>
          <t>V4</t>
        </is>
      </c>
      <c r="D177" s="36" t="inlineStr">
        <is>
          <t>REB</t>
        </is>
      </c>
      <c r="E177" s="37" t="inlineStr">
        <is>
          <t>Actifs en difficulté</t>
        </is>
      </c>
      <c r="F177" s="37" t="inlineStr">
        <is>
          <t>Coupe-circuit opérateur : retrait immédiat de toutes les surfaces et caches</t>
        </is>
      </c>
      <c r="G177" s="37" t="inlineStr">
        <is>
          <t>Retrait effectif en moins de 60 s</t>
        </is>
      </c>
      <c r="H177" s="38" t="n">
        <v>3</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46396</v>
      </c>
      <c r="Q177" s="40" t="n">
        <v>46401</v>
      </c>
      <c r="R177" s="40" t="n"/>
      <c r="S177" s="37" t="inlineStr"/>
      <c r="T177" s="36" t="inlineStr">
        <is>
          <t>Non</t>
        </is>
      </c>
      <c r="U177" s="13">
        <f>IF($B177="","",IF(AND(J177&lt;&gt;"Complétée",J177&lt;&gt;"Abandonnée",Q177&lt;&gt;"",TODAY()&gt;Q177),"En retard",""))</f>
        <v/>
      </c>
      <c r="V177" s="37" t="n"/>
    </row>
    <row r="178">
      <c r="B178" s="36" t="inlineStr">
        <is>
          <t>V4-009</t>
        </is>
      </c>
      <c r="C178" s="36" t="inlineStr">
        <is>
          <t>V4</t>
        </is>
      </c>
      <c r="D178" s="36" t="inlineStr">
        <is>
          <t>REB</t>
        </is>
      </c>
      <c r="E178" s="37" t="inlineStr">
        <is>
          <t>Alerte &amp; Rebond</t>
        </is>
      </c>
      <c r="F178" s="37" t="inlineStr">
        <is>
          <t>Ingestion des annonces de dissolution / liquidation (flux CFE)</t>
        </is>
      </c>
      <c r="G178" s="37" t="inlineStr">
        <is>
          <t>Flux importé quotidiennement</t>
        </is>
      </c>
      <c r="H178" s="38" t="n">
        <v>5</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46397</v>
      </c>
      <c r="Q178" s="40" t="n">
        <v>46404</v>
      </c>
      <c r="R178" s="40" t="n"/>
      <c r="S178" s="37" t="inlineStr"/>
      <c r="T178" s="36" t="inlineStr">
        <is>
          <t>Non</t>
        </is>
      </c>
      <c r="U178" s="13">
        <f>IF($B178="","",IF(AND(J178&lt;&gt;"Complétée",J178&lt;&gt;"Abandonnée",Q178&lt;&gt;"",TODAY()&gt;Q178),"En retard",""))</f>
        <v/>
      </c>
      <c r="V178" s="37" t="n"/>
    </row>
    <row r="179">
      <c r="B179" s="36" t="inlineStr">
        <is>
          <t>V4-010</t>
        </is>
      </c>
      <c r="C179" s="36" t="inlineStr">
        <is>
          <t>V4</t>
        </is>
      </c>
      <c r="D179" s="36" t="inlineStr">
        <is>
          <t>REB</t>
        </is>
      </c>
      <c r="E179" s="37" t="inlineStr">
        <is>
          <t>Alerte &amp; Rebond</t>
        </is>
      </c>
      <c r="F179" s="37" t="inlineStr">
        <is>
          <t>Écrans Alerte &amp; Rebond</t>
        </is>
      </c>
      <c r="G179" s="37" t="inlineStr">
        <is>
          <t>Confidentialité par défaut sur chaque écran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46398</v>
      </c>
      <c r="Q179" s="40" t="n">
        <v>46405</v>
      </c>
      <c r="R179" s="40" t="n"/>
      <c r="S179" s="37" t="inlineStr"/>
      <c r="T179" s="36" t="inlineStr">
        <is>
          <t>Non</t>
        </is>
      </c>
      <c r="U179" s="13">
        <f>IF($B179="","",IF(AND(J179&lt;&gt;"Complétée",J179&lt;&gt;"Abandonnée",Q179&lt;&gt;"",TODAY()&gt;Q179),"En retard",""))</f>
        <v/>
      </c>
      <c r="V179" s="37" t="n"/>
    </row>
    <row r="180">
      <c r="B180" s="36" t="inlineStr">
        <is>
          <t>V4-011</t>
        </is>
      </c>
      <c r="C180" s="36" t="inlineStr">
        <is>
          <t>V4</t>
        </is>
      </c>
      <c r="D180" s="36" t="inlineStr">
        <is>
          <t>CNX</t>
        </is>
      </c>
      <c r="E180" s="37" t="inlineStr">
        <is>
          <t>Deal-Connect</t>
        </is>
      </c>
      <c r="F180" s="37" t="inlineStr">
        <is>
          <t>Stands, billetterie et sponsoring avec catégorisation des revenus</t>
        </is>
      </c>
      <c r="G180" s="37" t="inlineStr">
        <is>
          <t>Revenus catégorisés pour la rétrocession</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46400</v>
      </c>
      <c r="Q180" s="40" t="n">
        <v>46409</v>
      </c>
      <c r="R180" s="40" t="n"/>
      <c r="S180" s="37" t="inlineStr"/>
      <c r="T180" s="36" t="inlineStr">
        <is>
          <t>Non</t>
        </is>
      </c>
      <c r="U180" s="13">
        <f>IF($B180="","",IF(AND(J180&lt;&gt;"Complétée",J180&lt;&gt;"Abandonnée",Q180&lt;&gt;"",TODAY()&gt;Q180),"En retard",""))</f>
        <v/>
      </c>
      <c r="V180" s="37" t="n"/>
    </row>
    <row r="181">
      <c r="B181" s="36" t="inlineStr">
        <is>
          <t>V4-012</t>
        </is>
      </c>
      <c r="C181" s="36" t="inlineStr">
        <is>
          <t>V4</t>
        </is>
      </c>
      <c r="D181" s="36" t="inlineStr">
        <is>
          <t>CNX</t>
        </is>
      </c>
      <c r="E181" s="37" t="inlineStr">
        <is>
          <t>Deal-Connect</t>
        </is>
      </c>
      <c r="F181" s="37" t="inlineStr">
        <is>
          <t>Rendez-vous mutuels opt-in et suggestions par règles</t>
        </is>
      </c>
      <c r="G181" s="37" t="inlineStr">
        <is>
          <t>Aucun rendez-vous sans double accord</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46401</v>
      </c>
      <c r="Q181" s="40" t="n">
        <v>46407</v>
      </c>
      <c r="R181" s="40" t="n"/>
      <c r="S181" s="37" t="inlineStr"/>
      <c r="T181" s="36" t="inlineStr">
        <is>
          <t>Non</t>
        </is>
      </c>
      <c r="U181" s="13">
        <f>IF($B181="","",IF(AND(J181&lt;&gt;"Complétée",J181&lt;&gt;"Abandonnée",Q181&lt;&gt;"",TODAY()&gt;Q181),"En retard",""))</f>
        <v/>
      </c>
      <c r="V181" s="37" t="n"/>
    </row>
    <row r="182">
      <c r="B182" s="36" t="inlineStr">
        <is>
          <t>V4-013</t>
        </is>
      </c>
      <c r="C182" s="36" t="inlineStr">
        <is>
          <t>V4</t>
        </is>
      </c>
      <c r="D182" s="36" t="inlineStr">
        <is>
          <t>CNX</t>
        </is>
      </c>
      <c r="E182" s="37" t="inlineStr">
        <is>
          <t>Deal-Connect</t>
        </is>
      </c>
      <c r="F182" s="37" t="inlineStr">
        <is>
          <t>Rapport post-événement : participation, rendez-vous, satisfaction</t>
        </is>
      </c>
      <c r="G182" s="37" t="inlineStr">
        <is>
          <t>Rapport agrégé sans donnée nominative</t>
        </is>
      </c>
      <c r="H182" s="38" t="n">
        <v>4</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46403</v>
      </c>
      <c r="Q182" s="40" t="n">
        <v>46409</v>
      </c>
      <c r="R182" s="40" t="n"/>
      <c r="S182" s="37" t="inlineStr"/>
      <c r="T182" s="36" t="inlineStr">
        <is>
          <t>Non</t>
        </is>
      </c>
      <c r="U182" s="13">
        <f>IF($B182="","",IF(AND(J182&lt;&gt;"Complétée",J182&lt;&gt;"Abandonnée",Q182&lt;&gt;"",TODAY()&gt;Q182),"En retard",""))</f>
        <v/>
      </c>
      <c r="V182" s="37" t="n"/>
    </row>
    <row r="183">
      <c r="B183" s="36" t="inlineStr">
        <is>
          <t>V4-014</t>
        </is>
      </c>
      <c r="C183" s="36" t="inlineStr">
        <is>
          <t>V4</t>
        </is>
      </c>
      <c r="D183" s="36" t="inlineStr">
        <is>
          <t>CNX</t>
        </is>
      </c>
      <c r="E183" s="37" t="inlineStr">
        <is>
          <t>Deal-Connect</t>
        </is>
      </c>
      <c r="F183" s="37" t="inlineStr">
        <is>
          <t>Écrans Deal-Connect</t>
        </is>
      </c>
      <c r="G183" s="37" t="inlineStr">
        <is>
          <t>Aucun contenu à caractère de titre financier sur les stands</t>
        </is>
      </c>
      <c r="H183" s="38" t="n">
        <v>5</v>
      </c>
      <c r="I183" s="36" t="inlineStr">
        <is>
          <t>Moyenne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46404</v>
      </c>
      <c r="Q183" s="40" t="n">
        <v>46411</v>
      </c>
      <c r="R183" s="40" t="n"/>
      <c r="S183" s="37" t="inlineStr"/>
      <c r="T183" s="36" t="inlineStr">
        <is>
          <t>Non</t>
        </is>
      </c>
      <c r="U183" s="13">
        <f>IF($B183="","",IF(AND(J183&lt;&gt;"Complétée",J183&lt;&gt;"Abandonnée",Q183&lt;&gt;"",TODAY()&gt;Q183),"En retard",""))</f>
        <v/>
      </c>
      <c r="V183" s="37" t="n"/>
    </row>
    <row r="184">
      <c r="B184" s="36" t="inlineStr">
        <is>
          <t>V4-015</t>
        </is>
      </c>
      <c r="C184" s="36" t="inlineStr">
        <is>
          <t>V4</t>
        </is>
      </c>
      <c r="D184" s="36" t="inlineStr">
        <is>
          <t>DIA</t>
        </is>
      </c>
      <c r="E184" s="37" t="inlineStr">
        <is>
          <t>Guichet Diaspora</t>
        </is>
      </c>
      <c r="F184" s="37" t="inlineStr">
        <is>
          <t>Profil investisseur diaspora, préférences, liste de suivi</t>
        </is>
      </c>
      <c r="G184" s="37" t="inlineStr">
        <is>
          <t>Preuve de capacité avec date d'expiration</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46405</v>
      </c>
      <c r="Q184" s="40" t="n">
        <v>46412</v>
      </c>
      <c r="R184" s="40" t="n"/>
      <c r="S184" s="37" t="inlineStr"/>
      <c r="T184" s="36" t="inlineStr">
        <is>
          <t>Non</t>
        </is>
      </c>
      <c r="U184" s="13">
        <f>IF($B184="","",IF(AND(J184&lt;&gt;"Complétée",J184&lt;&gt;"Abandonnée",Q184&lt;&gt;"",TODAY()&gt;Q184),"En retard",""))</f>
        <v/>
      </c>
      <c r="V184" s="37" t="n"/>
    </row>
    <row r="185">
      <c r="B185" s="36" t="inlineStr">
        <is>
          <t>V4-016</t>
        </is>
      </c>
      <c r="C185" s="36" t="inlineStr">
        <is>
          <t>V4</t>
        </is>
      </c>
      <c r="D185" s="36" t="inlineStr">
        <is>
          <t>DIA</t>
        </is>
      </c>
      <c r="E185" s="37" t="inlineStr">
        <is>
          <t>Guichet Diaspora</t>
        </is>
      </c>
      <c r="F185" s="37" t="inlineStr">
        <is>
          <t>Présentation des contraintes transfrontalières et taux de change indicatif daté</t>
        </is>
      </c>
      <c r="G185" s="37" t="inlineStr">
        <is>
          <t>Taux affiché avec source et date</t>
        </is>
      </c>
      <c r="H185" s="38" t="n">
        <v>5</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46407</v>
      </c>
      <c r="Q185" s="40" t="n">
        <v>46414</v>
      </c>
      <c r="R185" s="40" t="n"/>
      <c r="S185" s="37" t="inlineStr"/>
      <c r="T185" s="36" t="inlineStr">
        <is>
          <t>Non</t>
        </is>
      </c>
      <c r="U185" s="13">
        <f>IF($B185="","",IF(AND(J185&lt;&gt;"Complétée",J185&lt;&gt;"Abandonnée",Q185&lt;&gt;"",TODAY()&gt;Q185),"En retard",""))</f>
        <v/>
      </c>
      <c r="V185" s="37" t="n"/>
    </row>
    <row r="186">
      <c r="B186" s="36" t="inlineStr">
        <is>
          <t>V4-017</t>
        </is>
      </c>
      <c r="C186" s="36" t="inlineStr">
        <is>
          <t>V4</t>
        </is>
      </c>
      <c r="D186" s="36" t="inlineStr">
        <is>
          <t>DIA</t>
        </is>
      </c>
      <c r="E186" s="37" t="inlineStr">
        <is>
          <t>Guichet Diaspora</t>
        </is>
      </c>
      <c r="F186" s="37" t="inlineStr">
        <is>
          <t>Renvoi vers banque / conseil pour les aspects réglementés</t>
        </is>
      </c>
      <c r="G186" s="37" t="inlineStr">
        <is>
          <t>Aucun conseil de change fourni par la plateforme</t>
        </is>
      </c>
      <c r="H186" s="38" t="n">
        <v>3</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46408</v>
      </c>
      <c r="Q186" s="40" t="n">
        <v>46413</v>
      </c>
      <c r="R186" s="40" t="n"/>
      <c r="S186" s="37" t="inlineStr"/>
      <c r="T186" s="36" t="inlineStr">
        <is>
          <t>Non</t>
        </is>
      </c>
      <c r="U186" s="13">
        <f>IF($B186="","",IF(AND(J186&lt;&gt;"Complétée",J186&lt;&gt;"Abandonnée",Q186&lt;&gt;"",TODAY()&gt;Q186),"En retard",""))</f>
        <v/>
      </c>
      <c r="V186" s="37" t="n"/>
    </row>
    <row r="187">
      <c r="B187" s="36" t="inlineStr">
        <is>
          <t>V4-018</t>
        </is>
      </c>
      <c r="C187" s="36" t="inlineStr">
        <is>
          <t>V4</t>
        </is>
      </c>
      <c r="D187" s="36" t="inlineStr">
        <is>
          <t>DIA</t>
        </is>
      </c>
      <c r="E187" s="37" t="inlineStr">
        <is>
          <t>Guichet Diaspora</t>
        </is>
      </c>
      <c r="F187" s="37" t="inlineStr">
        <is>
          <t>Signal de demande diaspora (agrégé, anonymisé)</t>
        </is>
      </c>
      <c r="G187" s="37" t="inlineStr">
        <is>
          <t>Aucune donnée nominative dans le signal</t>
        </is>
      </c>
      <c r="H187" s="38" t="n">
        <v>3</v>
      </c>
      <c r="I187" s="36" t="inlineStr">
        <is>
          <t>Basse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46409</v>
      </c>
      <c r="Q187" s="40" t="n">
        <v>46414</v>
      </c>
      <c r="R187" s="40" t="n"/>
      <c r="S187" s="37" t="inlineStr"/>
      <c r="T187" s="36" t="inlineStr">
        <is>
          <t>Non</t>
        </is>
      </c>
      <c r="U187" s="13">
        <f>IF($B187="","",IF(AND(J187&lt;&gt;"Complétée",J187&lt;&gt;"Abandonnée",Q187&lt;&gt;"",TODAY()&gt;Q187),"En retard",""))</f>
        <v/>
      </c>
      <c r="V187" s="37" t="n"/>
    </row>
    <row r="188">
      <c r="B188" s="36" t="inlineStr">
        <is>
          <t>V4-019</t>
        </is>
      </c>
      <c r="C188" s="36" t="inlineStr">
        <is>
          <t>V4</t>
        </is>
      </c>
      <c r="D188" s="36" t="inlineStr">
        <is>
          <t>DIA</t>
        </is>
      </c>
      <c r="E188" s="37" t="inlineStr">
        <is>
          <t>Guichet Diaspora</t>
        </is>
      </c>
      <c r="F188" s="37" t="inlineStr">
        <is>
          <t>Écrans Guichet Diaspora</t>
        </is>
      </c>
      <c r="G188" s="37" t="inlineStr">
        <is>
          <t>Contraintes affichées avant la phase finale</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46410</v>
      </c>
      <c r="Q188" s="40" t="n">
        <v>46417</v>
      </c>
      <c r="R188" s="40" t="n"/>
      <c r="S188" s="37" t="inlineStr"/>
      <c r="T188" s="36" t="inlineStr">
        <is>
          <t>Non</t>
        </is>
      </c>
      <c r="U188" s="13">
        <f>IF($B188="","",IF(AND(J188&lt;&gt;"Complétée",J188&lt;&gt;"Abandonnée",Q188&lt;&gt;"",TODAY()&gt;Q188),"En retard",""))</f>
        <v/>
      </c>
      <c r="V188" s="37" t="n"/>
    </row>
    <row r="189">
      <c r="B189" s="36" t="inlineStr">
        <is>
          <t>V4-020</t>
        </is>
      </c>
      <c r="C189" s="36" t="inlineStr">
        <is>
          <t>V4</t>
        </is>
      </c>
      <c r="D189" s="36" t="inlineStr">
        <is>
          <t>EXP</t>
        </is>
      </c>
      <c r="E189" s="37" t="inlineStr">
        <is>
          <t>Deal-Experts</t>
        </is>
      </c>
      <c r="F189" s="37" t="inlineStr">
        <is>
          <t>Registre d'experts qualifiés et déclaration de conflit d'intérêts</t>
        </is>
      </c>
      <c r="G189" s="37" t="inlineStr">
        <is>
          <t>Conflit déclaré avant toute proposition</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46412</v>
      </c>
      <c r="Q189" s="40" t="n">
        <v>46419</v>
      </c>
      <c r="R189" s="40" t="n"/>
      <c r="S189" s="37" t="inlineStr">
        <is>
          <t>Arbitrage statut P13</t>
        </is>
      </c>
      <c r="T189" s="36" t="inlineStr">
        <is>
          <t>Non</t>
        </is>
      </c>
      <c r="U189" s="13">
        <f>IF($B189="","",IF(AND(J189&lt;&gt;"Complétée",J189&lt;&gt;"Abandonnée",Q189&lt;&gt;"",TODAY()&gt;Q189),"En retard",""))</f>
        <v/>
      </c>
      <c r="V189" s="37" t="n"/>
    </row>
    <row r="190">
      <c r="B190" s="36" t="inlineStr">
        <is>
          <t>V4-021</t>
        </is>
      </c>
      <c r="C190" s="36" t="inlineStr">
        <is>
          <t>V4</t>
        </is>
      </c>
      <c r="D190" s="36" t="inlineStr">
        <is>
          <t>EXP</t>
        </is>
      </c>
      <c r="E190" s="37" t="inlineStr">
        <is>
          <t>Deal-Experts</t>
        </is>
      </c>
      <c r="F190" s="37" t="inlineStr">
        <is>
          <t>Routage du besoin, propositions, sélection par le client</t>
        </is>
      </c>
      <c r="G190" s="37" t="inlineStr">
        <is>
          <t>Client choisit seul, DealPME n'oriente pas le fond</t>
        </is>
      </c>
      <c r="H190" s="38" t="n">
        <v>5</v>
      </c>
      <c r="I190" s="36" t="inlineStr">
        <is>
          <t>Moyenne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46413</v>
      </c>
      <c r="Q190" s="40" t="n">
        <v>46420</v>
      </c>
      <c r="R190" s="40" t="n"/>
      <c r="S190" s="37" t="inlineStr"/>
      <c r="T190" s="36" t="inlineStr">
        <is>
          <t>Non</t>
        </is>
      </c>
      <c r="U190" s="13">
        <f>IF($B190="","",IF(AND(J190&lt;&gt;"Complétée",J190&lt;&gt;"Abandonnée",Q190&lt;&gt;"",TODAY()&gt;Q190),"En retard",""))</f>
        <v/>
      </c>
      <c r="V190" s="37" t="n"/>
    </row>
    <row r="191">
      <c r="B191" s="36" t="inlineStr">
        <is>
          <t>V4-022</t>
        </is>
      </c>
      <c r="C191" s="36" t="inlineStr">
        <is>
          <t>V4</t>
        </is>
      </c>
      <c r="D191" s="36" t="inlineStr">
        <is>
          <t>EXP</t>
        </is>
      </c>
      <c r="E191" s="37" t="inlineStr">
        <is>
          <t>Deal-Experts</t>
        </is>
      </c>
      <c r="F191" s="37" t="inlineStr">
        <is>
          <t>Accès temporaire scopé en lecture, expiration à la remise du livrable</t>
        </is>
      </c>
      <c r="G191" s="37" t="inlineStr">
        <is>
          <t>Accès fermé automatiquement à la livraison</t>
        </is>
      </c>
      <c r="H191" s="38" t="n">
        <v>5</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46415</v>
      </c>
      <c r="Q191" s="40" t="n">
        <v>46422</v>
      </c>
      <c r="R191" s="40" t="n"/>
      <c r="S191" s="37" t="inlineStr"/>
      <c r="T191" s="36" t="inlineStr">
        <is>
          <t>Non</t>
        </is>
      </c>
      <c r="U191" s="13">
        <f>IF($B191="","",IF(AND(J191&lt;&gt;"Complétée",J191&lt;&gt;"Abandonnée",Q191&lt;&gt;"",TODAY()&gt;Q191),"En retard",""))</f>
        <v/>
      </c>
      <c r="V191" s="37" t="n"/>
    </row>
    <row r="192">
      <c r="B192" s="36" t="inlineStr">
        <is>
          <t>V4-023</t>
        </is>
      </c>
      <c r="C192" s="36" t="inlineStr">
        <is>
          <t>V4</t>
        </is>
      </c>
      <c r="D192" s="36" t="inlineStr">
        <is>
          <t>EXP</t>
        </is>
      </c>
      <c r="E192" s="37" t="inlineStr">
        <is>
          <t>Deal-Experts</t>
        </is>
      </c>
      <c r="F192" s="37" t="inlineStr">
        <is>
          <t>Contrat direct client-expert (hors facturation DealPME) et journal</t>
        </is>
      </c>
      <c r="G192" s="37" t="inlineStr">
        <is>
          <t>Aucune facturation de prestation par DealPME</t>
        </is>
      </c>
      <c r="H192" s="38" t="n">
        <v>3</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46416</v>
      </c>
      <c r="Q192" s="40" t="n">
        <v>46421</v>
      </c>
      <c r="R192" s="40" t="n"/>
      <c r="S192" s="37" t="inlineStr"/>
      <c r="T192" s="36" t="inlineStr">
        <is>
          <t>Non</t>
        </is>
      </c>
      <c r="U192" s="13">
        <f>IF($B192="","",IF(AND(J192&lt;&gt;"Complétée",J192&lt;&gt;"Abandonnée",Q192&lt;&gt;"",TODAY()&gt;Q192),"En retard",""))</f>
        <v/>
      </c>
      <c r="V192" s="37" t="n"/>
    </row>
    <row r="193">
      <c r="B193" s="36" t="inlineStr">
        <is>
          <t>V4-024</t>
        </is>
      </c>
      <c r="C193" s="36" t="inlineStr">
        <is>
          <t>V4</t>
        </is>
      </c>
      <c r="D193" s="36" t="inlineStr">
        <is>
          <t>EXP</t>
        </is>
      </c>
      <c r="E193" s="37" t="inlineStr">
        <is>
          <t>Deal-Experts</t>
        </is>
      </c>
      <c r="F193" s="37" t="inlineStr">
        <is>
          <t>Écrans Deal-Experts</t>
        </is>
      </c>
      <c r="G193" s="37" t="inlineStr">
        <is>
          <t>Aucun contenu d'expert imputé à DealPME</t>
        </is>
      </c>
      <c r="H193" s="38" t="n">
        <v>2</v>
      </c>
      <c r="I193" s="36" t="inlineStr">
        <is>
          <t>Basse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46417</v>
      </c>
      <c r="Q193" s="40" t="n">
        <v>46420</v>
      </c>
      <c r="R193" s="40" t="n"/>
      <c r="S193" s="37" t="inlineStr"/>
      <c r="T193" s="36" t="inlineStr">
        <is>
          <t>Non</t>
        </is>
      </c>
      <c r="U193" s="13">
        <f>IF($B193="","",IF(AND(J193&lt;&gt;"Complétée",J193&lt;&gt;"Abandonnée",Q193&lt;&gt;"",TODAY()&gt;Q193),"En retard",""))</f>
        <v/>
      </c>
      <c r="V193" s="37" t="n"/>
    </row>
    <row r="194">
      <c r="B194" s="36" t="inlineStr">
        <is>
          <t>V5-001</t>
        </is>
      </c>
      <c r="C194" s="36" t="inlineStr">
        <is>
          <t>V5</t>
        </is>
      </c>
      <c r="D194" s="36" t="inlineStr">
        <is>
          <t>VDR-IA</t>
        </is>
      </c>
      <c r="E194" s="37" t="inlineStr">
        <is>
          <t>Conception</t>
        </is>
      </c>
      <c r="F194" s="37" t="inlineStr">
        <is>
          <t>Conception VDR Intelligence : pare-feu de divulgation avant récupération, pipeline d'ingestion, indexation filtrée par permission, contrat de réponse avec citations et insuffisance</t>
        </is>
      </c>
      <c r="G194" s="37" t="inlineStr">
        <is>
          <t>Spécification relue sur les 12 cas de référence ; aucune étape 'récupérer puis masquer'</t>
        </is>
      </c>
      <c r="H194" s="38" t="n">
        <v>5</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46424</v>
      </c>
      <c r="Q194" s="40" t="n">
        <v>46431</v>
      </c>
      <c r="R194" s="40" t="n"/>
      <c r="S194" s="37" t="inlineStr"/>
      <c r="T194" s="36" t="inlineStr">
        <is>
          <t>Oui</t>
        </is>
      </c>
      <c r="U194" s="13">
        <f>IF($B194="","",IF(AND(J194&lt;&gt;"Complétée",J194&lt;&gt;"Abandonnée",Q194&lt;&gt;"",TODAY()&gt;Q194),"En retard",""))</f>
        <v/>
      </c>
      <c r="V194" s="37" t="n"/>
    </row>
    <row r="195">
      <c r="B195" s="36" t="inlineStr">
        <is>
          <t>V5-002</t>
        </is>
      </c>
      <c r="C195" s="36" t="inlineStr">
        <is>
          <t>V5</t>
        </is>
      </c>
      <c r="D195" s="36" t="inlineStr">
        <is>
          <t>OPS</t>
        </is>
      </c>
      <c r="E195" s="37" t="inlineStr">
        <is>
          <t>Conception</t>
        </is>
      </c>
      <c r="F195" s="37" t="inlineStr">
        <is>
          <t>Revue de sécurité de conception IA : modèle de menaces (injection par document, fuite inter-dossiers, réutilisation des données par le fournisseur)</t>
        </is>
      </c>
      <c r="G195" s="37" t="inlineStr">
        <is>
          <t>Chaque menace reliée à un test QA IA ou à une clause du contrat fournisseur</t>
        </is>
      </c>
      <c r="H195" s="38" t="n">
        <v>3</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46430</v>
      </c>
      <c r="R195" s="40" t="n"/>
      <c r="S195" s="37" t="inlineStr"/>
      <c r="T195" s="36" t="inlineStr">
        <is>
          <t>Non</t>
        </is>
      </c>
      <c r="U195" s="13">
        <f>IF($B195="","",IF(AND(J195&lt;&gt;"Complétée",J195&lt;&gt;"Abandonnée",Q195&lt;&gt;"",TODAY()&gt;Q195),"En retard",""))</f>
        <v/>
      </c>
      <c r="V195" s="37" t="n"/>
    </row>
    <row r="196">
      <c r="B196" s="36" t="inlineStr">
        <is>
          <t>V5-003</t>
        </is>
      </c>
      <c r="C196" s="36" t="inlineStr">
        <is>
          <t>V5</t>
        </is>
      </c>
      <c r="D196" s="36" t="inlineStr">
        <is>
          <t>VDR-IA</t>
        </is>
      </c>
      <c r="E196" s="37" t="inlineStr">
        <is>
          <t>Fournisseur IA</t>
        </is>
      </c>
      <c r="F196" s="37" t="inlineStr">
        <is>
          <t>Qualification et contrat du fournisseur IA (confidentialité, hébergement, aucune réutilisation des données)</t>
        </is>
      </c>
      <c r="G196" s="37" t="inlineStr">
        <is>
          <t>Contrat signé avec clauses de confidentialité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46425</v>
      </c>
      <c r="Q196" s="40" t="n">
        <v>46432</v>
      </c>
      <c r="R196" s="40" t="n"/>
      <c r="S196" s="37" t="inlineStr"/>
      <c r="T196" s="36" t="inlineStr">
        <is>
          <t>Oui</t>
        </is>
      </c>
      <c r="U196" s="13">
        <f>IF($B196="","",IF(AND(J196&lt;&gt;"Complétée",J196&lt;&gt;"Abandonnée",Q196&lt;&gt;"",TODAY()&gt;Q196),"En retard",""))</f>
        <v/>
      </c>
      <c r="V196" s="37" t="n"/>
    </row>
    <row r="197">
      <c r="B197" s="36" t="inlineStr">
        <is>
          <t>V5-004</t>
        </is>
      </c>
      <c r="C197" s="36" t="inlineStr">
        <is>
          <t>V5</t>
        </is>
      </c>
      <c r="D197" s="36" t="inlineStr">
        <is>
          <t>VDR-IA</t>
        </is>
      </c>
      <c r="E197" s="37" t="inlineStr">
        <is>
          <t>Fournisseur IA</t>
        </is>
      </c>
      <c r="F197" s="37" t="inlineStr">
        <is>
          <t>Dossier de conformité IA : politique, drapeaux fonctionnels, journal des politiques</t>
        </is>
      </c>
      <c r="G197" s="37" t="inlineStr">
        <is>
          <t>Chaque changement de politique audité</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46433</v>
      </c>
      <c r="R197" s="40" t="n"/>
      <c r="S197" s="37" t="inlineStr"/>
      <c r="T197" s="36" t="inlineStr">
        <is>
          <t>Non</t>
        </is>
      </c>
      <c r="U197" s="13">
        <f>IF($B197="","",IF(AND(J197&lt;&gt;"Complétée",J197&lt;&gt;"Abandonnée",Q197&lt;&gt;"",TODAY()&gt;Q197),"En retard",""))</f>
        <v/>
      </c>
      <c r="V197" s="37" t="n"/>
    </row>
    <row r="198">
      <c r="B198" s="36" t="inlineStr">
        <is>
          <t>V5-005</t>
        </is>
      </c>
      <c r="C198" s="36" t="inlineStr">
        <is>
          <t>V5</t>
        </is>
      </c>
      <c r="D198" s="36" t="inlineStr">
        <is>
          <t>VDR-IA</t>
        </is>
      </c>
      <c r="E198" s="37" t="inlineStr">
        <is>
          <t>Ingestion</t>
        </is>
      </c>
      <c r="F198" s="37" t="inlineStr">
        <is>
          <t>Pipeline d'ingestion : classification, OCR, ancres de page, empreinte de version</t>
        </is>
      </c>
      <c r="G198" s="37" t="inlineStr">
        <is>
          <t>États UPLOADED à PUBLISHED implémentés</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46426</v>
      </c>
      <c r="Q198" s="40" t="n">
        <v>46438</v>
      </c>
      <c r="R198" s="40" t="n"/>
      <c r="S198" s="37" t="inlineStr"/>
      <c r="T198" s="36" t="inlineStr">
        <is>
          <t>Non</t>
        </is>
      </c>
      <c r="U198" s="13">
        <f>IF($B198="","",IF(AND(J198&lt;&gt;"Complétée",J198&lt;&gt;"Abandonnée",Q198&lt;&gt;"",TODAY()&gt;Q198),"En retard",""))</f>
        <v/>
      </c>
      <c r="V198" s="37" t="n"/>
    </row>
    <row r="199">
      <c r="B199" s="36" t="inlineStr">
        <is>
          <t>V5-006</t>
        </is>
      </c>
      <c r="C199" s="36" t="inlineStr">
        <is>
          <t>V5</t>
        </is>
      </c>
      <c r="D199" s="36" t="inlineStr">
        <is>
          <t>VDR-IA</t>
        </is>
      </c>
      <c r="E199" s="37" t="inlineStr">
        <is>
          <t>Ingestion</t>
        </is>
      </c>
      <c r="F199" s="37" t="inlineStr">
        <is>
          <t>Indexation filtrée par permission (permission_scope_hash)</t>
        </is>
      </c>
      <c r="G199" s="37" t="inlineStr">
        <is>
          <t>Aucun chunk indexé hors périmètre autorisé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46427</v>
      </c>
      <c r="Q199" s="40" t="n">
        <v>46439</v>
      </c>
      <c r="R199" s="40" t="n"/>
      <c r="S199" s="37" t="inlineStr"/>
      <c r="T199" s="36" t="inlineStr">
        <is>
          <t>Non</t>
        </is>
      </c>
      <c r="U199" s="13">
        <f>IF($B199="","",IF(AND(J199&lt;&gt;"Complétée",J199&lt;&gt;"Abandonnée",Q199&lt;&gt;"",TODAY()&gt;Q199),"En retard",""))</f>
        <v/>
      </c>
      <c r="V199" s="37" t="n"/>
    </row>
    <row r="200">
      <c r="B200" s="36" t="inlineStr">
        <is>
          <t>V5-007</t>
        </is>
      </c>
      <c r="C200" s="36" t="inlineStr">
        <is>
          <t>V5</t>
        </is>
      </c>
      <c r="D200" s="36" t="inlineStr">
        <is>
          <t>VDR-IA</t>
        </is>
      </c>
      <c r="E200" s="37" t="inlineStr">
        <is>
          <t>DealLens</t>
        </is>
      </c>
      <c r="F200" s="37" t="inlineStr">
        <is>
          <t>Pare-feu de divulgation avant récupération (10 étapes, jamais 'récupérer puis masquer')</t>
        </is>
      </c>
      <c r="G200" s="37" t="inlineStr">
        <is>
          <t>Test AI-01 : aucun document inaccessible cité</t>
        </is>
      </c>
      <c r="H200" s="38" t="n">
        <v>8</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46428</v>
      </c>
      <c r="Q200" s="40" t="n">
        <v>46440</v>
      </c>
      <c r="R200" s="40" t="n"/>
      <c r="S200" s="37" t="inlineStr"/>
      <c r="T200" s="36" t="inlineStr">
        <is>
          <t>Non</t>
        </is>
      </c>
      <c r="U200" s="13">
        <f>IF($B200="","",IF(AND(J200&lt;&gt;"Complétée",J200&lt;&gt;"Abandonnée",Q200&lt;&gt;"",TODAY()&gt;Q200),"En retard",""))</f>
        <v/>
      </c>
      <c r="V200" s="37" t="n"/>
    </row>
    <row r="201">
      <c r="B201" s="36" t="inlineStr">
        <is>
          <t>V5-008</t>
        </is>
      </c>
      <c r="C201" s="36" t="inlineStr">
        <is>
          <t>V5</t>
        </is>
      </c>
      <c r="D201" s="36" t="inlineStr">
        <is>
          <t>VDR-IA</t>
        </is>
      </c>
      <c r="E201" s="37" t="inlineStr">
        <is>
          <t>DealLens</t>
        </is>
      </c>
      <c r="F201" s="37" t="inlineStr">
        <is>
          <t>Contrat de réponse DealLens : citations, niveau de confiance, réponse d'insuffisance</t>
        </is>
      </c>
      <c r="G201" s="37" t="inlineStr">
        <is>
          <t>Test AI-04 : INSUFFISANT sans spéculation</t>
        </is>
      </c>
      <c r="H201" s="38" t="n">
        <v>6</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46429</v>
      </c>
      <c r="Q201" s="40" t="n">
        <v>46438</v>
      </c>
      <c r="R201" s="40" t="n"/>
      <c r="S201" s="37" t="inlineStr"/>
      <c r="T201" s="36" t="inlineStr">
        <is>
          <t>Non</t>
        </is>
      </c>
      <c r="U201" s="13">
        <f>IF($B201="","",IF(AND(J201&lt;&gt;"Complétée",J201&lt;&gt;"Abandonnée",Q201&lt;&gt;"",TODAY()&gt;Q201),"En retard",""))</f>
        <v/>
      </c>
      <c r="V201" s="37" t="n"/>
    </row>
    <row r="202">
      <c r="B202" s="36" t="inlineStr">
        <is>
          <t>V5-009</t>
        </is>
      </c>
      <c r="C202" s="36" t="inlineStr">
        <is>
          <t>V5</t>
        </is>
      </c>
      <c r="D202" s="36" t="inlineStr">
        <is>
          <t>VDR-IA</t>
        </is>
      </c>
      <c r="E202" s="37" t="inlineStr">
        <is>
          <t>DealLens</t>
        </is>
      </c>
      <c r="F202" s="37" t="inlineStr">
        <is>
          <t>DealLens mode document et mode salle entière</t>
        </is>
      </c>
      <c r="G202" s="37" t="inlineStr">
        <is>
          <t>Les deux modes journalisent AI_QUERY_COMPLETED</t>
        </is>
      </c>
      <c r="H202" s="38" t="n">
        <v>8</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46430</v>
      </c>
      <c r="Q202" s="40" t="n">
        <v>46442</v>
      </c>
      <c r="R202" s="40" t="n"/>
      <c r="S202" s="37" t="inlineStr"/>
      <c r="T202" s="36" t="inlineStr">
        <is>
          <t>Non</t>
        </is>
      </c>
      <c r="U202" s="13">
        <f>IF($B202="","",IF(AND(J202&lt;&gt;"Complétée",J202&lt;&gt;"Abandonnée",Q202&lt;&gt;"",TODAY()&gt;Q202),"En retard",""))</f>
        <v/>
      </c>
      <c r="V202" s="37" t="n"/>
    </row>
    <row r="203">
      <c r="B203" s="36" t="inlineStr">
        <is>
          <t>V5-010</t>
        </is>
      </c>
      <c r="C203" s="36" t="inlineStr">
        <is>
          <t>V5</t>
        </is>
      </c>
      <c r="D203" s="36" t="inlineStr">
        <is>
          <t>VDR-IA</t>
        </is>
      </c>
      <c r="E203" s="37" t="inlineStr">
        <is>
          <t>DealLens</t>
        </is>
      </c>
      <c r="F203" s="37" t="inlineStr">
        <is>
          <t>Vérification de chaque citation contre l'ensemble autorisé</t>
        </is>
      </c>
      <c r="G203" s="37" t="inlineStr">
        <is>
          <t>Test AI-03 : chaque citation ouvre la bonne page</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46438</v>
      </c>
      <c r="R203" s="40" t="n"/>
      <c r="S203" s="37" t="inlineStr"/>
      <c r="T203" s="36" t="inlineStr">
        <is>
          <t>Non</t>
        </is>
      </c>
      <c r="U203" s="13">
        <f>IF($B203="","",IF(AND(J203&lt;&gt;"Complétée",J203&lt;&gt;"Abandonnée",Q203&lt;&gt;"",TODAY()&gt;Q203),"En retard",""))</f>
        <v/>
      </c>
      <c r="V203" s="37" t="n"/>
    </row>
    <row r="204">
      <c r="B204" s="36" t="inlineStr">
        <is>
          <t>V5-011</t>
        </is>
      </c>
      <c r="C204" s="36" t="inlineStr">
        <is>
          <t>V5</t>
        </is>
      </c>
      <c r="D204" s="36" t="inlineStr">
        <is>
          <t>VDR-IA</t>
        </is>
      </c>
      <c r="E204" s="37" t="inlineStr">
        <is>
          <t>Surfaces</t>
        </is>
      </c>
      <c r="F204" s="37" t="inlineStr">
        <is>
          <t>Cockpit : couverture par domaine, priorités de revue</t>
        </is>
      </c>
      <c r="G204" s="37" t="inlineStr">
        <is>
          <t>Couverture jamais présentée comme un avis d'audit</t>
        </is>
      </c>
      <c r="H204" s="38" t="n">
        <v>6</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46431</v>
      </c>
      <c r="Q204" s="40" t="n">
        <v>46440</v>
      </c>
      <c r="R204" s="40" t="n"/>
      <c r="S204" s="37" t="inlineStr"/>
      <c r="T204" s="36" t="inlineStr">
        <is>
          <t>Non</t>
        </is>
      </c>
      <c r="U204" s="13">
        <f>IF($B204="","",IF(AND(J204&lt;&gt;"Complétée",J204&lt;&gt;"Abandonnée",Q204&lt;&gt;"",TODAY()&gt;Q204),"En retard",""))</f>
        <v/>
      </c>
      <c r="V204" s="37" t="n"/>
    </row>
    <row r="205">
      <c r="B205" s="36" t="inlineStr">
        <is>
          <t>V5-012</t>
        </is>
      </c>
      <c r="C205" s="36" t="inlineStr">
        <is>
          <t>V5</t>
        </is>
      </c>
      <c r="D205" s="36" t="inlineStr">
        <is>
          <t>VDR-IA</t>
        </is>
      </c>
      <c r="E205" s="37" t="inlineStr">
        <is>
          <t>Surfaces</t>
        </is>
      </c>
      <c r="F205" s="37" t="inlineStr">
        <is>
          <t>Issue Radar : registre structuré de risques</t>
        </is>
      </c>
      <c r="G205" s="37" t="inlineStr">
        <is>
          <t>Chaque risque porte preuve, propriétaire, impact</t>
        </is>
      </c>
      <c r="H205" s="38" t="n">
        <v>7</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46432</v>
      </c>
      <c r="Q205" s="40" t="n">
        <v>46442</v>
      </c>
      <c r="R205" s="40" t="n"/>
      <c r="S205" s="37" t="inlineStr"/>
      <c r="T205" s="36" t="inlineStr">
        <is>
          <t>Non</t>
        </is>
      </c>
      <c r="U205" s="13">
        <f>IF($B205="","",IF(AND(J205&lt;&gt;"Complétée",J205&lt;&gt;"Abandonnée",Q205&lt;&gt;"",TODAY()&gt;Q205),"En retard",""))</f>
        <v/>
      </c>
      <c r="V205" s="37" t="n"/>
    </row>
    <row r="206">
      <c r="B206" s="36" t="inlineStr">
        <is>
          <t>V5-013</t>
        </is>
      </c>
      <c r="C206" s="36" t="inlineStr">
        <is>
          <t>V5</t>
        </is>
      </c>
      <c r="D206" s="36" t="inlineStr">
        <is>
          <t>VDR-IA</t>
        </is>
      </c>
      <c r="E206" s="37" t="inlineStr">
        <is>
          <t>Surfaces</t>
        </is>
      </c>
      <c r="F206" s="37" t="inlineStr">
        <is>
          <t>Evidence Map : graphe typé (SUPPORTS, CONTRADICTS, RAISES, RESOLVES, EVIDENCES)</t>
        </is>
      </c>
      <c r="G206" s="37" t="inlineStr">
        <is>
          <t>Graphe navigable depuis un document</t>
        </is>
      </c>
      <c r="H206" s="38" t="n">
        <v>8</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46433</v>
      </c>
      <c r="Q206" s="40" t="n">
        <v>46445</v>
      </c>
      <c r="R206" s="40" t="n"/>
      <c r="S206" s="37" t="inlineStr"/>
      <c r="T206" s="36" t="inlineStr">
        <is>
          <t>Non</t>
        </is>
      </c>
      <c r="U206" s="13">
        <f>IF($B206="","",IF(AND(J206&lt;&gt;"Complétée",J206&lt;&gt;"Abandonnée",Q206&lt;&gt;"",TODAY()&gt;Q206),"En retard",""))</f>
        <v/>
      </c>
      <c r="V206" s="37" t="n"/>
    </row>
    <row r="207">
      <c r="B207" s="36" t="inlineStr">
        <is>
          <t>V5-014</t>
        </is>
      </c>
      <c r="C207" s="36" t="inlineStr">
        <is>
          <t>V5</t>
        </is>
      </c>
      <c r="D207" s="36" t="inlineStr">
        <is>
          <t>VDR-IA</t>
        </is>
      </c>
      <c r="E207" s="37" t="inlineStr">
        <is>
          <t>Surfaces</t>
        </is>
      </c>
      <c r="F207" s="37" t="inlineStr">
        <is>
          <t>Atelier Q&amp;R avec rôles et brouillons IA jamais soumis automatiquement</t>
        </is>
      </c>
      <c r="G207" s="37" t="inlineStr">
        <is>
          <t>Test AI-06 : brouillon reste DRAFT</t>
        </is>
      </c>
      <c r="H207" s="38" t="n">
        <v>7</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46434</v>
      </c>
      <c r="Q207" s="40" t="n">
        <v>46444</v>
      </c>
      <c r="R207" s="40" t="n"/>
      <c r="S207" s="37" t="inlineStr"/>
      <c r="T207" s="36" t="inlineStr">
        <is>
          <t>Non</t>
        </is>
      </c>
      <c r="U207" s="13">
        <f>IF($B207="","",IF(AND(J207&lt;&gt;"Complétée",J207&lt;&gt;"Abandonnée",Q207&lt;&gt;"",TODAY()&gt;Q207),"En retard",""))</f>
        <v/>
      </c>
      <c r="V207" s="37" t="n"/>
    </row>
    <row r="208">
      <c r="B208" s="36" t="inlineStr">
        <is>
          <t>V5-015</t>
        </is>
      </c>
      <c r="C208" s="36" t="inlineStr">
        <is>
          <t>V5</t>
        </is>
      </c>
      <c r="D208" s="36" t="inlineStr">
        <is>
          <t>VDR-IA</t>
        </is>
      </c>
      <c r="E208" s="37" t="inlineStr">
        <is>
          <t>Surfaces</t>
        </is>
      </c>
      <c r="F208" s="37" t="inlineStr">
        <is>
          <t>Engagement Pulse (descriptif, jamais 'probabilité de closing')</t>
        </is>
      </c>
      <c r="G208" s="37" t="inlineStr">
        <is>
          <t>Libellé vérifié par l'audit de texte</t>
        </is>
      </c>
      <c r="H208" s="38" t="n">
        <v>4</v>
      </c>
      <c r="I208" s="36" t="inlineStr">
        <is>
          <t>Basse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46441</v>
      </c>
      <c r="R208" s="40" t="n"/>
      <c r="S208" s="37" t="inlineStr"/>
      <c r="T208" s="36" t="inlineStr">
        <is>
          <t>Non</t>
        </is>
      </c>
      <c r="U208" s="13">
        <f>IF($B208="","",IF(AND(J208&lt;&gt;"Complétée",J208&lt;&gt;"Abandonnée",Q208&lt;&gt;"",TODAY()&gt;Q208),"En retard",""))</f>
        <v/>
      </c>
      <c r="V208" s="37" t="n"/>
    </row>
    <row r="209">
      <c r="B209" s="36" t="inlineStr">
        <is>
          <t>V5-016</t>
        </is>
      </c>
      <c r="C209" s="36" t="inlineStr">
        <is>
          <t>V5</t>
        </is>
      </c>
      <c r="D209" s="36" t="inlineStr">
        <is>
          <t>VDR-IA</t>
        </is>
      </c>
      <c r="E209" s="37" t="inlineStr">
        <is>
          <t>Surfaces</t>
        </is>
      </c>
      <c r="F209" s="37" t="inlineStr">
        <is>
          <t>Rapprochement financier (Financial Tie-Out) avec matérialité configurable</t>
        </is>
      </c>
      <c r="G209" s="37" t="inlineStr">
        <is>
          <t>Écart présenté comme point de rapprochement</t>
        </is>
      </c>
      <c r="H209" s="38" t="n">
        <v>7</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46435</v>
      </c>
      <c r="Q209" s="40" t="n">
        <v>46445</v>
      </c>
      <c r="R209" s="40" t="n"/>
      <c r="S209" s="37" t="inlineStr"/>
      <c r="T209" s="36" t="inlineStr">
        <is>
          <t>Non</t>
        </is>
      </c>
      <c r="U209" s="13">
        <f>IF($B209="","",IF(AND(J209&lt;&gt;"Complétée",J209&lt;&gt;"Abandonnée",Q209&lt;&gt;"",TODAY()&gt;Q209),"En retard",""))</f>
        <v/>
      </c>
      <c r="V209" s="37" t="n"/>
    </row>
    <row r="210">
      <c r="B210" s="36" t="inlineStr">
        <is>
          <t>V5-017</t>
        </is>
      </c>
      <c r="C210" s="36" t="inlineStr">
        <is>
          <t>V5</t>
        </is>
      </c>
      <c r="D210" s="36" t="inlineStr">
        <is>
          <t>VDR-IA</t>
        </is>
      </c>
      <c r="E210" s="37" t="inlineStr">
        <is>
          <t>Surfaces</t>
        </is>
      </c>
      <c r="F210" s="37" t="inlineStr">
        <is>
          <t>Intelligence de version : diff textuel et sémantique, matérialité proposée</t>
        </is>
      </c>
      <c r="G210" s="37" t="inlineStr">
        <is>
          <t>Test DOC-03 : nouvelle version n'hérite pas de l'analyse</t>
        </is>
      </c>
      <c r="H210" s="38" t="n">
        <v>6</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46436</v>
      </c>
      <c r="Q210" s="40" t="n">
        <v>46445</v>
      </c>
      <c r="R210" s="40" t="n"/>
      <c r="S210" s="37" t="inlineStr"/>
      <c r="T210" s="36" t="inlineStr">
        <is>
          <t>Non</t>
        </is>
      </c>
      <c r="U210" s="13">
        <f>IF($B210="","",IF(AND(J210&lt;&gt;"Complétée",J210&lt;&gt;"Abandonnée",Q210&lt;&gt;"",TODAY()&gt;Q210),"En retard",""))</f>
        <v/>
      </c>
      <c r="V210" s="37" t="n"/>
    </row>
    <row r="211">
      <c r="B211" s="36" t="inlineStr">
        <is>
          <t>V5-018</t>
        </is>
      </c>
      <c r="C211" s="36" t="inlineStr">
        <is>
          <t>V5</t>
        </is>
      </c>
      <c r="D211" s="36" t="inlineStr">
        <is>
          <t>VDR-IA</t>
        </is>
      </c>
      <c r="E211" s="37" t="inlineStr">
        <is>
          <t>Surfaces</t>
        </is>
      </c>
      <c r="F211" s="37" t="inlineStr">
        <is>
          <t>Caviardage assisté avec revue humaine élément par élément</t>
        </is>
      </c>
      <c r="G211" s="37" t="inlineStr">
        <is>
          <t>Original jamais écrasé</t>
        </is>
      </c>
      <c r="H211" s="38" t="n">
        <v>7</v>
      </c>
      <c r="I211" s="36" t="inlineStr">
        <is>
          <t>Moyenne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46437</v>
      </c>
      <c r="Q211" s="40" t="n">
        <v>46446</v>
      </c>
      <c r="R211" s="40" t="n"/>
      <c r="S211" s="37" t="inlineStr"/>
      <c r="T211" s="36" t="inlineStr">
        <is>
          <t>Non</t>
        </is>
      </c>
      <c r="U211" s="13">
        <f>IF($B211="","",IF(AND(J211&lt;&gt;"Complétée",J211&lt;&gt;"Abandonnée",Q211&lt;&gt;"",TODAY()&gt;Q211),"En retard",""))</f>
        <v/>
      </c>
      <c r="V211" s="37" t="n"/>
    </row>
    <row r="212">
      <c r="B212" s="36" t="inlineStr">
        <is>
          <t>V5-019</t>
        </is>
      </c>
      <c r="C212" s="36" t="inlineStr">
        <is>
          <t>V5</t>
        </is>
      </c>
      <c r="D212" s="36" t="inlineStr">
        <is>
          <t>VDR-IA</t>
        </is>
      </c>
      <c r="E212" s="37" t="inlineStr">
        <is>
          <t>Accès</t>
        </is>
      </c>
      <c r="F212" s="37" t="inlineStr">
        <is>
          <t>Accès et Clean Team, MFA step-up sur changements de permission</t>
        </is>
      </c>
      <c r="G212" s="37" t="inlineStr">
        <is>
          <t>Test AI-02 : Clean Team exclue de la recherche standard</t>
        </is>
      </c>
      <c r="H212" s="38" t="n">
        <v>6</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46438</v>
      </c>
      <c r="Q212" s="40" t="n">
        <v>46446</v>
      </c>
      <c r="R212" s="40" t="n"/>
      <c r="S212" s="37" t="inlineStr"/>
      <c r="T212" s="36" t="inlineStr">
        <is>
          <t>Non</t>
        </is>
      </c>
      <c r="U212" s="13">
        <f>IF($B212="","",IF(AND(J212&lt;&gt;"Complétée",J212&lt;&gt;"Abandonnée",Q212&lt;&gt;"",TODAY()&gt;Q212),"En retard",""))</f>
        <v/>
      </c>
      <c r="V212" s="37" t="n"/>
    </row>
    <row r="213">
      <c r="B213" s="36" t="inlineStr">
        <is>
          <t>V5-020</t>
        </is>
      </c>
      <c r="C213" s="36" t="inlineStr">
        <is>
          <t>V5</t>
        </is>
      </c>
      <c r="D213" s="36" t="inlineStr">
        <is>
          <t>VDR-IA</t>
        </is>
      </c>
      <c r="E213" s="37" t="inlineStr">
        <is>
          <t>Accès</t>
        </is>
      </c>
      <c r="F213" s="37" t="inlineStr">
        <is>
          <t>Audit append-only sans contenu sensible ni texte de réponse IA</t>
        </is>
      </c>
      <c r="G213" s="37" t="inlineStr">
        <is>
          <t>Journal ne contient que identifiants, action, résultat</t>
        </is>
      </c>
      <c r="H213" s="38" t="n">
        <v>4</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46445</v>
      </c>
      <c r="R213" s="40" t="n"/>
      <c r="S213" s="37" t="inlineStr"/>
      <c r="T213" s="36" t="inlineStr">
        <is>
          <t>Non</t>
        </is>
      </c>
      <c r="U213" s="13">
        <f>IF($B213="","",IF(AND(J213&lt;&gt;"Complétée",J213&lt;&gt;"Abandonnée",Q213&lt;&gt;"",TODAY()&gt;Q213),"En retard",""))</f>
        <v/>
      </c>
      <c r="V213" s="37" t="n"/>
    </row>
    <row r="214">
      <c r="B214" s="36" t="inlineStr">
        <is>
          <t>V5-021</t>
        </is>
      </c>
      <c r="C214" s="36" t="inlineStr">
        <is>
          <t>V5</t>
        </is>
      </c>
      <c r="D214" s="36" t="inlineStr">
        <is>
          <t>VDR-IA</t>
        </is>
      </c>
      <c r="E214" s="37" t="inlineStr">
        <is>
          <t>Surfaces</t>
        </is>
      </c>
      <c r="F214" s="37" t="inlineStr">
        <is>
          <t>Écrans VDR Intelligence (9 surfaces, responsive)</t>
        </is>
      </c>
      <c r="G214" s="37" t="inlineStr">
        <is>
          <t>Mobile : document, DealLens, Q&amp;R prioritaires</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46439</v>
      </c>
      <c r="Q214" s="40" t="n">
        <v>46446</v>
      </c>
      <c r="R214" s="40" t="n"/>
      <c r="S214" s="37" t="inlineStr"/>
      <c r="T214" s="36" t="inlineStr">
        <is>
          <t>Non</t>
        </is>
      </c>
      <c r="U214" s="13">
        <f>IF($B214="","",IF(AND(J214&lt;&gt;"Complétée",J214&lt;&gt;"Abandonnée",Q214&lt;&gt;"",TODAY()&gt;Q214),"En retard",""))</f>
        <v/>
      </c>
      <c r="V214" s="37" t="n"/>
    </row>
    <row r="215">
      <c r="B215" s="36" t="inlineStr">
        <is>
          <t>V5-022</t>
        </is>
      </c>
      <c r="C215" s="36" t="inlineStr">
        <is>
          <t>V5</t>
        </is>
      </c>
      <c r="D215" s="36" t="inlineStr">
        <is>
          <t>VDR-IA</t>
        </is>
      </c>
      <c r="E215" s="37" t="inlineStr">
        <is>
          <t>QA IA</t>
        </is>
      </c>
      <c r="F215" s="37" t="inlineStr">
        <is>
          <t>Tests AI-01 à AI-06, DOC-01 à DOC-03, Q&amp;A-01, UI-01</t>
        </is>
      </c>
      <c r="G215" s="37" t="inlineStr">
        <is>
          <t>Tous les tests P0 passent</t>
        </is>
      </c>
      <c r="H215" s="38" t="n">
        <v>10</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46440</v>
      </c>
      <c r="Q215" s="40" t="n">
        <v>46446</v>
      </c>
      <c r="R215" s="40" t="n"/>
      <c r="S215" s="37" t="inlineStr"/>
      <c r="T215" s="36" t="inlineStr">
        <is>
          <t>Non</t>
        </is>
      </c>
      <c r="U215" s="13">
        <f>IF($B215="","",IF(AND(J215&lt;&gt;"Complétée",J215&lt;&gt;"Abandonnée",Q215&lt;&gt;"",TODAY()&gt;Q215),"En retard",""))</f>
        <v/>
      </c>
      <c r="V215" s="37" t="n"/>
    </row>
    <row r="216">
      <c r="B216" s="36" t="inlineStr">
        <is>
          <t>V5-023</t>
        </is>
      </c>
      <c r="C216" s="36" t="inlineStr">
        <is>
          <t>V5</t>
        </is>
      </c>
      <c r="D216" s="36" t="inlineStr">
        <is>
          <t>VDR-IA</t>
        </is>
      </c>
      <c r="E216" s="37" t="inlineStr">
        <is>
          <t>QA IA</t>
        </is>
      </c>
      <c r="F216" s="37" t="inlineStr">
        <is>
          <t>Performance : viewer progressif, streaming des réponses, recherche &lt; 1,5 s</t>
        </is>
      </c>
      <c r="G216" s="37" t="inlineStr">
        <is>
          <t>Mesures sur réseau de référence</t>
        </is>
      </c>
      <c r="H216" s="38" t="n">
        <v>5</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46441</v>
      </c>
      <c r="Q216" s="40" t="n">
        <v>46446</v>
      </c>
      <c r="R216" s="40" t="n"/>
      <c r="S216" s="37" t="inlineStr"/>
      <c r="T216" s="36" t="inlineStr">
        <is>
          <t>Non</t>
        </is>
      </c>
      <c r="U216" s="13">
        <f>IF($B216="","",IF(AND(J216&lt;&gt;"Complétée",J216&lt;&gt;"Abandonnée",Q216&lt;&gt;"",TODAY()&gt;Q216),"En retard",""))</f>
        <v/>
      </c>
      <c r="V216" s="37" t="n"/>
    </row>
    <row r="217">
      <c r="B217" s="36" t="inlineStr">
        <is>
          <t>V5-024</t>
        </is>
      </c>
      <c r="C217" s="36" t="inlineStr">
        <is>
          <t>V5</t>
        </is>
      </c>
      <c r="D217" s="36" t="inlineStr">
        <is>
          <t>VDR-IA</t>
        </is>
      </c>
      <c r="E217" s="37" t="inlineStr">
        <is>
          <t>QA IA</t>
        </is>
      </c>
      <c r="F217" s="37" t="inlineStr">
        <is>
          <t>Recette V5 et corrections</t>
        </is>
      </c>
      <c r="G217" s="37" t="inlineStr">
        <is>
          <t>Zéro anomalie bloquante ouverte</t>
        </is>
      </c>
      <c r="H217" s="38" t="n">
        <v>5</v>
      </c>
      <c r="I217" s="36" t="inlineStr">
        <is>
          <t>Haute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46442</v>
      </c>
      <c r="Q217" s="40" t="n">
        <v>46446</v>
      </c>
      <c r="R217" s="40" t="n"/>
      <c r="S217" s="37" t="inlineStr"/>
      <c r="T217" s="36" t="inlineStr">
        <is>
          <t>Non</t>
        </is>
      </c>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2026-09-10T16:09:37Z</dcterms:created>
  <dcterms:modified xsi:type="dcterms:W3CDTF">2026-09-10T16:09:39Z</dcterms:modified>
</cp:coreProperties>
</file>