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lan_execution" sheetId="2" state="visible" r:id="rId2"/>
    <sheet name="Presentation" sheetId="3" state="visible" r:id="rId3"/>
    <sheet name="Feuille_de_route" sheetId="4" state="visible" r:id="rId4"/>
    <sheet name="Guide" sheetId="5" state="visible" r:id="rId5"/>
    <sheet name="Taches" sheetId="6" state="visible" r:id="rId6"/>
    <sheet name="Equipe" sheetId="7" state="visible" r:id="rId7"/>
    <sheet name="Modules" sheetId="8" state="visible" r:id="rId8"/>
    <sheet name="Versions" sheetId="9" state="visible" r:id="rId9"/>
    <sheet name="Gantt" sheetId="10" state="visible" r:id="rId10"/>
    <sheet name="Jalons" sheetId="11" state="visible" r:id="rId11"/>
    <sheet name="Risques" sheetId="12" state="visible" r:id="rId12"/>
    <sheet name="Securite" sheetId="13" state="visible" r:id="rId13"/>
    <sheet name="Decisions" sheetId="14" state="visible" r:id="rId14"/>
    <sheet name="Processus" sheetId="15" state="visible" r:id="rId15"/>
    <sheet name="Acteurs" sheetId="16" state="visible" r:id="rId16"/>
    <sheet name="Parametres" sheetId="17" state="visible" r:id="rId17"/>
  </sheets>
  <definedNames>
    <definedName name="_xlnm._FilterDatabase" localSheetId="1" hidden="1">'Plan_execution'!$B$5:$M$18</definedName>
    <definedName name="_xlnm._FilterDatabase" localSheetId="5"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4" fillId="0" borderId="1" applyAlignment="1" pivotButton="0" quotePrefix="0" xfId="0">
      <alignment vertical="top" wrapText="1"/>
    </xf>
    <xf numFmtId="0" fontId="9" fillId="2" borderId="0" pivotButton="0" quotePrefix="0" xfId="0"/>
    <xf numFmtId="0" fontId="4" fillId="0" borderId="0"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Avancement calculé depuis les tâches : réalisations conservées, compléments suivis séparément. Calendrier des versions maintenu. Source persistante : devX/build_suivi.py.</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COUNTIFS(Risques!$H$6:$H$74,"Critique",Risques!$L$6:$L$74,"&lt;&gt;Clos")+COUNTIFS(Risques!$H$6:$H$74,"Élevé",Risques!$L$6:$L$74,"&lt;&gt;Clos")</f>
        <v/>
      </c>
      <c r="I10" s="7" t="n"/>
      <c r="J10" s="9">
        <f>COUNTIF(Decisions!$F$6:$F$86,"Ouvert")+COUNTIF(Decisions!$F$6:$F$86,"En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COUNTIF(Risques!$L$6:$L$74,"Ouvert")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6678F1"/>
    <outlinePr summaryBelow="1" summaryRight="1"/>
    <pageSetUpPr/>
  </sheetPr>
  <dimension ref="B2:M18"/>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34" customWidth="1" min="3" max="3"/>
    <col width="9" customWidth="1" min="4" max="4"/>
    <col width="54" customWidth="1" min="5" max="5"/>
    <col width="46" customWidth="1" min="6" max="6"/>
    <col width="54" customWidth="1" min="7" max="7"/>
    <col width="12" customWidth="1" min="8" max="8"/>
    <col width="12" customWidth="1" min="9" max="9"/>
    <col width="12" customWidth="1" min="10" max="10"/>
    <col width="12" customWidth="1" min="11" max="11"/>
    <col width="14" customWidth="1" min="12" max="12"/>
    <col width="60" customWidth="1" min="13" max="13"/>
  </cols>
  <sheetData>
    <row r="2">
      <c r="B2" s="1" t="inlineStr">
        <is>
          <t>Plan d'exécution par lots</t>
        </is>
      </c>
    </row>
    <row r="3">
      <c r="B3" s="17" t="inlineStr">
        <is>
          <t>L05 : câblage/bascule V1-110/111 et compléments 117/118/119 éprouvés hors fournisseur ; activation/recettes réelles V1-112 à 115 ouvertes, clôture en V1-116. Détail : docs/PLAN_EXECUTION.md.</t>
        </is>
      </c>
    </row>
    <row r="5" ht="32" customHeight="1">
      <c r="B5" s="11" t="inlineStr">
        <is>
          <t>Lot</t>
        </is>
      </c>
      <c r="C5" s="11" t="inlineStr">
        <is>
          <t>Objet</t>
        </is>
      </c>
      <c r="D5" s="11" t="inlineStr">
        <is>
          <t>Version</t>
        </is>
      </c>
      <c r="E5" s="11" t="inlineStr">
        <is>
          <t>Tâches liées</t>
        </is>
      </c>
      <c r="F5" s="11" t="inlineStr">
        <is>
          <t>Prérequis / accès</t>
        </is>
      </c>
      <c r="G5" s="11" t="inlineStr">
        <is>
          <t>Résultat attendu</t>
        </is>
      </c>
      <c r="H5" s="11" t="inlineStr">
        <is>
          <t>Charge (j/p)</t>
        </is>
      </c>
      <c r="I5" s="11" t="inlineStr">
        <is>
          <t>Réalisé estimé</t>
        </is>
      </c>
      <c r="J5" s="11" t="inlineStr">
        <is>
          <t>Reste (j/p)</t>
        </is>
      </c>
      <c r="K5" s="11" t="inlineStr">
        <is>
          <t>Avancement</t>
        </is>
      </c>
      <c r="L5" s="11" t="inlineStr">
        <is>
          <t>État du lot</t>
        </is>
      </c>
      <c r="M5" s="11" t="inlineStr">
        <is>
          <t>Preuves attendues</t>
        </is>
      </c>
    </row>
    <row r="6" ht="80" customHeight="1">
      <c r="B6" s="18" t="inlineStr">
        <is>
          <t>L00</t>
        </is>
      </c>
      <c r="C6" s="18" t="inlineStr">
        <is>
          <t>Références, serveur et accès</t>
        </is>
      </c>
      <c r="D6" s="18" t="inlineStr">
        <is>
          <t>V1</t>
        </is>
      </c>
      <c r="E6" s="18" t="inlineStr">
        <is>
          <t>V1-067, V1-103, V1-108</t>
        </is>
      </c>
      <c r="F6" s="18" t="inlineStr">
        <is>
          <t>Coordination parallèle ; ne bloque pas L01</t>
        </is>
      </c>
      <c r="G6" s="18" t="inlineStr">
        <is>
          <t>Carte du corpus et demandes d'accès/serveur suivies</t>
        </is>
      </c>
      <c r="H6" s="15">
        <f>SUMIF(Taches!$B$6:$B$325,"V1-067",Taches!$M$6:$M$325)+SUMIF(Taches!$B$6:$B$325,"V1-103",Taches!$M$6:$M$325)+SUMIF(Taches!$B$6:$B$325,"V1-108",Taches!$M$6:$M$325)</f>
        <v/>
      </c>
      <c r="I6" s="15">
        <f>SUMIF(Taches!$B$6:$B$325,"V1-067",Taches!$N$6:$N$325)+SUMIF(Taches!$B$6:$B$325,"V1-103",Taches!$N$6:$N$325)+SUMIF(Taches!$B$6:$B$325,"V1-108",Taches!$N$6:$N$325)</f>
        <v/>
      </c>
      <c r="J6" s="15">
        <f>H6-I6</f>
        <v/>
      </c>
      <c r="K6" s="16">
        <f>IF(H6=0,0,I6/H6)</f>
        <v/>
      </c>
      <c r="L6" s="12">
        <f>IF(K6&gt;=0.999,"Terminé",IF(I6&gt;0,"Amorcé","À engager"))</f>
        <v/>
      </c>
      <c r="M6" s="18" t="inlineStr">
        <is>
          <t>docs/COMPTE_RENDU_DIRECTION_2026-09-12.md ; docs/DEMANDE_INFRA_ACCES.md</t>
        </is>
      </c>
    </row>
    <row r="7" ht="80" customHeight="1">
      <c r="B7" s="18" t="inlineStr">
        <is>
          <t>L01</t>
        </is>
      </c>
      <c r="C7" s="18" t="inlineStr">
        <is>
          <t>CI réellement bloquante</t>
        </is>
      </c>
      <c r="D7" s="18" t="inlineStr">
        <is>
          <t>V1</t>
        </is>
      </c>
      <c r="E7" s="18" t="inlineStr">
        <is>
          <t>V1-091</t>
        </is>
      </c>
      <c r="F7" s="18" t="inlineStr">
        <is>
          <t>Aucun accès fournisseur requis</t>
        </is>
      </c>
      <c r="G7" s="18" t="inlineStr">
        <is>
          <t>Lint, tests et tous les builds font échouer la CI en cas de défaut</t>
        </is>
      </c>
      <c r="H7" s="15">
        <f>SUMIF(Taches!$B$6:$B$325,"V1-091",Taches!$M$6:$M$325)</f>
        <v/>
      </c>
      <c r="I7" s="15">
        <f>SUMIF(Taches!$B$6:$B$325,"V1-091",Taches!$N$6:$N$325)</f>
        <v/>
      </c>
      <c r="J7" s="15">
        <f>H7-I7</f>
        <v/>
      </c>
      <c r="K7" s="16">
        <f>IF(H7=0,0,I7/H7)</f>
        <v/>
      </c>
      <c r="L7" s="12">
        <f>IF(K7&gt;=0.999,"Terminé",IF(I7&gt;0,"Amorcé","À engager"))</f>
        <v/>
      </c>
      <c r="M7" s="18" t="inlineStr">
        <is>
          <t>Rapport CI et échec contrôlé</t>
        </is>
      </c>
    </row>
    <row r="8" ht="80" customHeight="1">
      <c r="B8" s="18" t="inlineStr">
        <is>
          <t>L02</t>
        </is>
      </c>
      <c r="C8" s="18" t="inlineStr">
        <is>
          <t>Messagerie et audit durable</t>
        </is>
      </c>
      <c r="D8" s="18" t="inlineStr">
        <is>
          <t>V1</t>
        </is>
      </c>
      <c r="E8" s="18" t="inlineStr">
        <is>
          <t>V1-094, V1-095</t>
        </is>
      </c>
      <c r="F8" s="18" t="inlineStr">
        <is>
          <t>L01</t>
        </is>
      </c>
      <c r="G8" s="18" t="inlineStr">
        <is>
          <t>Échanges ciblés et traces persistées malgré les pannes</t>
        </is>
      </c>
      <c r="H8" s="15">
        <f>SUMIF(Taches!$B$6:$B$325,"V1-094",Taches!$M$6:$M$325)+SUMIF(Taches!$B$6:$B$325,"V1-095",Taches!$M$6:$M$325)</f>
        <v/>
      </c>
      <c r="I8" s="15">
        <f>SUMIF(Taches!$B$6:$B$325,"V1-094",Taches!$N$6:$N$325)+SUMIF(Taches!$B$6:$B$325,"V1-095",Taches!$N$6:$N$325)</f>
        <v/>
      </c>
      <c r="J8" s="15">
        <f>H8-I8</f>
        <v/>
      </c>
      <c r="K8" s="16">
        <f>IF(H8=0,0,I8/H8)</f>
        <v/>
      </c>
      <c r="L8" s="12">
        <f>IF(K8&gt;=0.999,"Terminé",IF(I8&gt;0,"Amorcé","À engager"))</f>
        <v/>
      </c>
      <c r="M8" s="18" t="inlineStr">
        <is>
          <t>Tests multi-repreneurs, transaction/outbox et panne</t>
        </is>
      </c>
    </row>
    <row r="9" ht="80" customHeight="1">
      <c r="B9" s="18" t="inlineStr">
        <is>
          <t>L03</t>
        </is>
      </c>
      <c r="C9" s="18" t="inlineStr">
        <is>
          <t>Email et SMS local/réel</t>
        </is>
      </c>
      <c r="D9" s="18" t="inlineStr">
        <is>
          <t>V1</t>
        </is>
      </c>
      <c r="E9" s="18" t="inlineStr">
        <is>
          <t>V1-093, V1-101, V1-102, V1-028</t>
        </is>
      </c>
      <c r="F9" s="18" t="inlineStr">
        <is>
          <t>L02 ; accès opérateur pour la sous-recette réelle seulement</t>
        </is>
      </c>
      <c r="G9" s="18" t="inlineStr">
        <is>
          <t>OTP reçu dans les boîtes, contrats testés puis activables chez le fournisseur</t>
        </is>
      </c>
      <c r="H9" s="15">
        <f>SUMIF(Taches!$B$6:$B$325,"V1-093",Taches!$M$6:$M$325)+SUMIF(Taches!$B$6:$B$325,"V1-101",Taches!$M$6:$M$325)+SUMIF(Taches!$B$6:$B$325,"V1-102",Taches!$M$6:$M$325)+SUMIF(Taches!$B$6:$B$325,"V1-028",Taches!$M$6:$M$325)</f>
        <v/>
      </c>
      <c r="I9" s="15">
        <f>SUMIF(Taches!$B$6:$B$325,"V1-093",Taches!$N$6:$N$325)+SUMIF(Taches!$B$6:$B$325,"V1-101",Taches!$N$6:$N$325)+SUMIF(Taches!$B$6:$B$325,"V1-102",Taches!$N$6:$N$325)+SUMIF(Taches!$B$6:$B$325,"V1-028",Taches!$N$6:$N$325)</f>
        <v/>
      </c>
      <c r="J9" s="15">
        <f>H9-I9</f>
        <v/>
      </c>
      <c r="K9" s="16">
        <f>IF(H9=0,0,I9/H9)</f>
        <v/>
      </c>
      <c r="L9" s="12">
        <f>IF(K9&gt;=0.999,"Terminé",IF(I9&gt;0,"Amorcé","À engager"))</f>
        <v/>
      </c>
      <c r="M9" s="18" t="inlineStr">
        <is>
          <t>Contrats transports, E2E sans devCode, preuve sandbox opérateur</t>
        </is>
      </c>
    </row>
    <row r="10" ht="80" customHeight="1">
      <c r="B10" s="18" t="inlineStr">
        <is>
          <t>L04</t>
        </is>
      </c>
      <c r="C10" s="18" t="inlineStr">
        <is>
          <t>CFE, alertes et exploitation</t>
        </is>
      </c>
      <c r="D10" s="18" t="inlineStr">
        <is>
          <t>V1</t>
        </is>
      </c>
      <c r="E10" s="18" t="inlineStr">
        <is>
          <t>V1-109, V1-035, V1-096, V1-097, V1-098, V1-009</t>
        </is>
      </c>
      <c r="F10" s="18" t="inlineStr">
        <is>
          <t>L03 ; A19 pour staging, A02 pour API CFE réelle</t>
        </is>
      </c>
      <c r="G10" s="18" t="inlineStr">
        <is>
          <t>CFE manuel/mock, notifications consenties et environnement reproductible</t>
        </is>
      </c>
      <c r="H10" s="15">
        <f>SUMIF(Taches!$B$6:$B$325,"V1-109",Taches!$M$6:$M$325)+SUMIF(Taches!$B$6:$B$325,"V1-035",Taches!$M$6:$M$325)+SUMIF(Taches!$B$6:$B$325,"V1-096",Taches!$M$6:$M$325)+SUMIF(Taches!$B$6:$B$325,"V1-097",Taches!$M$6:$M$325)+SUMIF(Taches!$B$6:$B$325,"V1-098",Taches!$M$6:$M$325)+SUMIF(Taches!$B$6:$B$325,"V1-009",Taches!$M$6:$M$325)</f>
        <v/>
      </c>
      <c r="I10" s="15">
        <f>SUMIF(Taches!$B$6:$B$325,"V1-109",Taches!$N$6:$N$325)+SUMIF(Taches!$B$6:$B$325,"V1-035",Taches!$N$6:$N$325)+SUMIF(Taches!$B$6:$B$325,"V1-096",Taches!$N$6:$N$325)+SUMIF(Taches!$B$6:$B$325,"V1-097",Taches!$N$6:$N$325)+SUMIF(Taches!$B$6:$B$325,"V1-098",Taches!$N$6:$N$325)+SUMIF(Taches!$B$6:$B$325,"V1-009",Taches!$N$6:$N$325)</f>
        <v/>
      </c>
      <c r="J10" s="15">
        <f>H10-I10</f>
        <v/>
      </c>
      <c r="K10" s="16">
        <f>IF(H10=0,0,I10/H10)</f>
        <v/>
      </c>
      <c r="L10" s="12">
        <f>IF(K10&gt;=0.999,"Terminé",IF(I10&gt;0,"Amorcé","À engager"))</f>
        <v/>
      </c>
      <c r="M10" s="18" t="inlineStr">
        <is>
          <t>Tests trois modes CFE, livraison, supervision et restauration</t>
        </is>
      </c>
    </row>
    <row r="11" ht="80" customHeight="1">
      <c r="B11" s="18" t="inlineStr">
        <is>
          <t>L05</t>
        </is>
      </c>
      <c r="C11" s="18" t="inlineStr">
        <is>
          <t>Événements et prototype de captation</t>
        </is>
      </c>
      <c r="D11" s="18" t="inlineStr">
        <is>
          <t>V1</t>
        </is>
      </c>
      <c r="E11" s="18" t="inlineStr">
        <is>
          <t>V1-007, V1-068, V1-071, V1-104, V1-105, V1-106, V1-107, V1-110, V1-111, V1-112, V1-113, V1-114, V1-115, V1-116, V1-117, V1-118, V1-119</t>
        </is>
      </c>
      <c r="F11" s="18" t="inlineStr">
        <is>
          <t>V1-110/111/117/118/119 sans accès ; V1-112 à 115 avec A17/A18 ; captation A21</t>
        </is>
      </c>
      <c r="G11" s="18" t="inlineStr">
        <is>
          <t>Câblage complet éprouvé, compte activé et parcours réels validés ; clôture distincte V1-116</t>
        </is>
      </c>
      <c r="H11" s="15">
        <f>SUMIF(Taches!$B$6:$B$325,"V1-007",Taches!$M$6:$M$325)+SUMIF(Taches!$B$6:$B$325,"V1-068",Taches!$M$6:$M$325)+SUMIF(Taches!$B$6:$B$325,"V1-071",Taches!$M$6:$M$325)+SUMIF(Taches!$B$6:$B$325,"V1-104",Taches!$M$6:$M$325)+SUMIF(Taches!$B$6:$B$325,"V1-105",Taches!$M$6:$M$325)+SUMIF(Taches!$B$6:$B$325,"V1-106",Taches!$M$6:$M$325)+SUMIF(Taches!$B$6:$B$325,"V1-107",Taches!$M$6:$M$325)+SUMIF(Taches!$B$6:$B$325,"V1-110",Taches!$M$6:$M$325)+SUMIF(Taches!$B$6:$B$325,"V1-111",Taches!$M$6:$M$325)+SUMIF(Taches!$B$6:$B$325,"V1-112",Taches!$M$6:$M$325)+SUMIF(Taches!$B$6:$B$325,"V1-113",Taches!$M$6:$M$325)+SUMIF(Taches!$B$6:$B$325,"V1-114",Taches!$M$6:$M$325)+SUMIF(Taches!$B$6:$B$325,"V1-115",Taches!$M$6:$M$325)+SUMIF(Taches!$B$6:$B$325,"V1-116",Taches!$M$6:$M$325)+SUMIF(Taches!$B$6:$B$325,"V1-117",Taches!$M$6:$M$325)+SUMIF(Taches!$B$6:$B$325,"V1-118",Taches!$M$6:$M$325)+SUMIF(Taches!$B$6:$B$325,"V1-119",Taches!$M$6:$M$325)</f>
        <v/>
      </c>
      <c r="I11" s="15">
        <f>SUMIF(Taches!$B$6:$B$325,"V1-007",Taches!$N$6:$N$325)+SUMIF(Taches!$B$6:$B$325,"V1-068",Taches!$N$6:$N$325)+SUMIF(Taches!$B$6:$B$325,"V1-071",Taches!$N$6:$N$325)+SUMIF(Taches!$B$6:$B$325,"V1-104",Taches!$N$6:$N$325)+SUMIF(Taches!$B$6:$B$325,"V1-105",Taches!$N$6:$N$325)+SUMIF(Taches!$B$6:$B$325,"V1-106",Taches!$N$6:$N$325)+SUMIF(Taches!$B$6:$B$325,"V1-107",Taches!$N$6:$N$325)+SUMIF(Taches!$B$6:$B$325,"V1-110",Taches!$N$6:$N$325)+SUMIF(Taches!$B$6:$B$325,"V1-111",Taches!$N$6:$N$325)+SUMIF(Taches!$B$6:$B$325,"V1-112",Taches!$N$6:$N$325)+SUMIF(Taches!$B$6:$B$325,"V1-113",Taches!$N$6:$N$325)+SUMIF(Taches!$B$6:$B$325,"V1-114",Taches!$N$6:$N$325)+SUMIF(Taches!$B$6:$B$325,"V1-115",Taches!$N$6:$N$325)+SUMIF(Taches!$B$6:$B$325,"V1-116",Taches!$N$6:$N$325)+SUMIF(Taches!$B$6:$B$325,"V1-117",Taches!$N$6:$N$325)+SUMIF(Taches!$B$6:$B$325,"V1-118",Taches!$N$6:$N$325)+SUMIF(Taches!$B$6:$B$325,"V1-119",Taches!$N$6:$N$325)</f>
        <v/>
      </c>
      <c r="J11" s="15">
        <f>H11-I11</f>
        <v/>
      </c>
      <c r="K11" s="16">
        <f>IF(H11=0,0,I11/H11)</f>
        <v/>
      </c>
      <c r="L11" s="12">
        <f>IF((COUNTIFS(Taches!$B$6:$B$325,"V1-007",Taches!$J$6:$J$325,"&lt;&gt;Complétée",Taches!$J$6:$J$325,"&lt;&gt;Abandonnée")+COUNTIFS(Taches!$B$6:$B$325,"V1-068",Taches!$J$6:$J$325,"&lt;&gt;Complétée",Taches!$J$6:$J$325,"&lt;&gt;Abandonnée")+COUNTIFS(Taches!$B$6:$B$325,"V1-071",Taches!$J$6:$J$325,"&lt;&gt;Complétée",Taches!$J$6:$J$325,"&lt;&gt;Abandonnée")+COUNTIFS(Taches!$B$6:$B$325,"V1-104",Taches!$J$6:$J$325,"&lt;&gt;Complétée",Taches!$J$6:$J$325,"&lt;&gt;Abandonnée")+COUNTIFS(Taches!$B$6:$B$325,"V1-105",Taches!$J$6:$J$325,"&lt;&gt;Complétée",Taches!$J$6:$J$325,"&lt;&gt;Abandonnée")+COUNTIFS(Taches!$B$6:$B$325,"V1-106",Taches!$J$6:$J$325,"&lt;&gt;Complétée",Taches!$J$6:$J$325,"&lt;&gt;Abandonnée")+COUNTIFS(Taches!$B$6:$B$325,"V1-107",Taches!$J$6:$J$325,"&lt;&gt;Complétée",Taches!$J$6:$J$325,"&lt;&gt;Abandonnée")+COUNTIFS(Taches!$B$6:$B$325,"V1-110",Taches!$J$6:$J$325,"&lt;&gt;Complétée",Taches!$J$6:$J$325,"&lt;&gt;Abandonnée")+COUNTIFS(Taches!$B$6:$B$325,"V1-111",Taches!$J$6:$J$325,"&lt;&gt;Complétée",Taches!$J$6:$J$325,"&lt;&gt;Abandonnée")+COUNTIFS(Taches!$B$6:$B$325,"V1-112",Taches!$J$6:$J$325,"&lt;&gt;Complétée",Taches!$J$6:$J$325,"&lt;&gt;Abandonnée")+COUNTIFS(Taches!$B$6:$B$325,"V1-113",Taches!$J$6:$J$325,"&lt;&gt;Complétée",Taches!$J$6:$J$325,"&lt;&gt;Abandonnée")+COUNTIFS(Taches!$B$6:$B$325,"V1-114",Taches!$J$6:$J$325,"&lt;&gt;Complétée",Taches!$J$6:$J$325,"&lt;&gt;Abandonnée")+COUNTIFS(Taches!$B$6:$B$325,"V1-115",Taches!$J$6:$J$325,"&lt;&gt;Complétée",Taches!$J$6:$J$325,"&lt;&gt;Abandonnée")+COUNTIFS(Taches!$B$6:$B$325,"V1-116",Taches!$J$6:$J$325,"&lt;&gt;Complétée",Taches!$J$6:$J$325,"&lt;&gt;Abandonnée")+COUNTIFS(Taches!$B$6:$B$325,"V1-117",Taches!$J$6:$J$325,"&lt;&gt;Complétée",Taches!$J$6:$J$325,"&lt;&gt;Abandonnée")+COUNTIFS(Taches!$B$6:$B$325,"V1-118",Taches!$J$6:$J$325,"&lt;&gt;Complétée",Taches!$J$6:$J$325,"&lt;&gt;Abandonnée")+COUNTIFS(Taches!$B$6:$B$325,"V1-119",Taches!$J$6:$J$325,"&lt;&gt;Complétée",Taches!$J$6:$J$325,"&lt;&gt;Abandonnée"))=0,"Terminé",IF(I11&gt;0,"Amorcé","À engager"))</f>
        <v/>
      </c>
      <c r="M11" s="18" t="inlineStr">
        <is>
          <t>Matrice API/BFF/UI/tests, précontrôle, recettes SAML/branding/API réelles, captation et corrections</t>
        </is>
      </c>
    </row>
    <row r="12" ht="80" customHeight="1">
      <c r="B12" s="18" t="inlineStr">
        <is>
          <t>L06</t>
        </is>
      </c>
      <c r="C12" s="18" t="inlineStr">
        <is>
          <t>Interface, accessibilité et fidélité</t>
        </is>
      </c>
      <c r="D12" s="18" t="inlineStr">
        <is>
          <t>V1</t>
        </is>
      </c>
      <c r="E12" s="18" t="inlineStr">
        <is>
          <t>V1-092, V1-099, V1-080, V1-081, V1-083, V1-086, V1-075</t>
        </is>
      </c>
      <c r="F12" s="18" t="inlineStr">
        <is>
          <t>Contrats dès L01 ; recette finale après L04/L05</t>
        </is>
      </c>
      <c r="G12" s="18" t="inlineStr">
        <is>
          <t>Surfaces cohérentes avec références et accessibles</t>
        </is>
      </c>
      <c r="H12" s="15">
        <f>SUMIF(Taches!$B$6:$B$325,"V1-092",Taches!$M$6:$M$325)+SUMIF(Taches!$B$6:$B$325,"V1-099",Taches!$M$6:$M$325)+SUMIF(Taches!$B$6:$B$325,"V1-080",Taches!$M$6:$M$325)+SUMIF(Taches!$B$6:$B$325,"V1-081",Taches!$M$6:$M$325)+SUMIF(Taches!$B$6:$B$325,"V1-083",Taches!$M$6:$M$325)+SUMIF(Taches!$B$6:$B$325,"V1-086",Taches!$M$6:$M$325)+SUMIF(Taches!$B$6:$B$325,"V1-075",Taches!$M$6:$M$325)</f>
        <v/>
      </c>
      <c r="I12" s="15">
        <f>SUMIF(Taches!$B$6:$B$325,"V1-092",Taches!$N$6:$N$325)+SUMIF(Taches!$B$6:$B$325,"V1-099",Taches!$N$6:$N$325)+SUMIF(Taches!$B$6:$B$325,"V1-080",Taches!$N$6:$N$325)+SUMIF(Taches!$B$6:$B$325,"V1-081",Taches!$N$6:$N$325)+SUMIF(Taches!$B$6:$B$325,"V1-083",Taches!$N$6:$N$325)+SUMIF(Taches!$B$6:$B$325,"V1-086",Taches!$N$6:$N$325)+SUMIF(Taches!$B$6:$B$325,"V1-075",Taches!$N$6:$N$325)</f>
        <v/>
      </c>
      <c r="J12" s="15">
        <f>H12-I12</f>
        <v/>
      </c>
      <c r="K12" s="16">
        <f>IF(H12=0,0,I12/H12)</f>
        <v/>
      </c>
      <c r="L12" s="12">
        <f>IF(K12&gt;=0.999,"Terminé",IF(I12&gt;0,"Amorcé","À engager"))</f>
        <v/>
      </c>
      <c r="M12" s="18" t="inlineStr">
        <is>
          <t>Registre, contrôles navigateur, captures et journal de fidélité</t>
        </is>
      </c>
    </row>
    <row r="13" ht="80" customHeight="1">
      <c r="B13" s="18" t="inlineStr">
        <is>
          <t>L07</t>
        </is>
      </c>
      <c r="C13" s="18" t="inlineStr">
        <is>
          <t>Recette et démonstration V1</t>
        </is>
      </c>
      <c r="D13" s="18" t="inlineStr">
        <is>
          <t>V1</t>
        </is>
      </c>
      <c r="E13" s="18" t="inlineStr">
        <is>
          <t>V1-100, V1-066, V1-088, V1-090</t>
        </is>
      </c>
      <c r="F13" s="18" t="inlineStr">
        <is>
          <t>L02 à L06 ; validation métier</t>
        </is>
      </c>
      <c r="G13" s="18" t="inlineStr">
        <is>
          <t>Parcours complet rejouable, validations et anomalies closes</t>
        </is>
      </c>
      <c r="H13" s="15">
        <f>SUMIF(Taches!$B$6:$B$325,"V1-100",Taches!$M$6:$M$325)+SUMIF(Taches!$B$6:$B$325,"V1-066",Taches!$M$6:$M$325)+SUMIF(Taches!$B$6:$B$325,"V1-088",Taches!$M$6:$M$325)+SUMIF(Taches!$B$6:$B$325,"V1-090",Taches!$M$6:$M$325)</f>
        <v/>
      </c>
      <c r="I13" s="15">
        <f>SUMIF(Taches!$B$6:$B$325,"V1-100",Taches!$N$6:$N$325)+SUMIF(Taches!$B$6:$B$325,"V1-066",Taches!$N$6:$N$325)+SUMIF(Taches!$B$6:$B$325,"V1-088",Taches!$N$6:$N$325)+SUMIF(Taches!$B$6:$B$325,"V1-090",Taches!$N$6:$N$325)</f>
        <v/>
      </c>
      <c r="J13" s="15">
        <f>H13-I13</f>
        <v/>
      </c>
      <c r="K13" s="16">
        <f>IF(H13=0,0,I13/H13)</f>
        <v/>
      </c>
      <c r="L13" s="12">
        <f>IF(K13&gt;=0.999,"Terminé",IF(I13&gt;0,"Amorcé","À engager"))</f>
        <v/>
      </c>
      <c r="M13" s="18" t="inlineStr">
        <is>
          <t>qa/e2e-results.json et compte rendu de recette</t>
        </is>
      </c>
    </row>
    <row r="14" ht="90" customHeight="1">
      <c r="B14" s="18" t="inlineStr">
        <is>
          <t>L08</t>
        </is>
      </c>
      <c r="C14" s="18" t="inlineStr">
        <is>
          <t>Cœur V2 : RPS, NDA et VDR</t>
        </is>
      </c>
      <c r="D14" s="18" t="inlineStr">
        <is>
          <t>V2</t>
        </is>
      </c>
      <c r="E14" s="18" t="inlineStr">
        <is>
          <t>V2-001, V2-002, V2-003, V2-004, V2-005, V2-006, V2-007, V2-008, V2-009, V2-010, V2-011, V2-012, V2-013, V2-014, V2-015, V2-016, V2-017, V2-018, V2-019, V2-020, V2-021, V2-022, V2-023, V2-024, V2-025, V2-026, V2-027, V2-028, V2-029, V2-030, V2-031, V2-032, V2-033, V2-034, V2-035, V2-036, V2-037, V2-038, V2-039, V2-040, V2-041, V2-042, V2-044, V2-045, V2-046</t>
        </is>
      </c>
      <c r="F14" s="18" t="inlineStr">
        <is>
          <t>L07 ; PSC/PSAE pour signature réelle</t>
        </is>
      </c>
      <c r="G14" s="18" t="inlineStr">
        <is>
          <t>Qualification &gt; admission &gt; NDA &gt; T2 &gt; document &gt; révocation &gt; Q&amp;R</t>
        </is>
      </c>
      <c r="H14" s="15">
        <f>SUMIF(Taches!$B$6:$B$325,"V2-001",Taches!$M$6:$M$325)+SUMIF(Taches!$B$6:$B$325,"V2-002",Taches!$M$6:$M$325)+SUMIF(Taches!$B$6:$B$325,"V2-003",Taches!$M$6:$M$325)+SUMIF(Taches!$B$6:$B$325,"V2-004",Taches!$M$6:$M$325)+SUMIF(Taches!$B$6:$B$325,"V2-005",Taches!$M$6:$M$325)+SUMIF(Taches!$B$6:$B$325,"V2-006",Taches!$M$6:$M$325)+SUMIF(Taches!$B$6:$B$325,"V2-007",Taches!$M$6:$M$325)+SUMIF(Taches!$B$6:$B$325,"V2-008",Taches!$M$6:$M$325)+SUMIF(Taches!$B$6:$B$325,"V2-009",Taches!$M$6:$M$325)+SUMIF(Taches!$B$6:$B$325,"V2-010",Taches!$M$6:$M$325)+SUMIF(Taches!$B$6:$B$325,"V2-011",Taches!$M$6:$M$325)+SUMIF(Taches!$B$6:$B$325,"V2-012",Taches!$M$6:$M$325)+SUMIF(Taches!$B$6:$B$325,"V2-013",Taches!$M$6:$M$325)+SUMIF(Taches!$B$6:$B$325,"V2-014",Taches!$M$6:$M$325)+SUMIF(Taches!$B$6:$B$325,"V2-015",Taches!$M$6:$M$325)+SUMIF(Taches!$B$6:$B$325,"V2-016",Taches!$M$6:$M$325)+SUMIF(Taches!$B$6:$B$325,"V2-017",Taches!$M$6:$M$325)+SUMIF(Taches!$B$6:$B$325,"V2-018",Taches!$M$6:$M$325)+SUMIF(Taches!$B$6:$B$325,"V2-019",Taches!$M$6:$M$325)+SUMIF(Taches!$B$6:$B$325,"V2-020",Taches!$M$6:$M$325)+SUMIF(Taches!$B$6:$B$325,"V2-021",Taches!$M$6:$M$325)+SUMIF(Taches!$B$6:$B$325,"V2-022",Taches!$M$6:$M$325)+SUMIF(Taches!$B$6:$B$325,"V2-023",Taches!$M$6:$M$325)+SUMIF(Taches!$B$6:$B$325,"V2-024",Taches!$M$6:$M$325)+SUMIF(Taches!$B$6:$B$325,"V2-025",Taches!$M$6:$M$325)+SUMIF(Taches!$B$6:$B$325,"V2-026",Taches!$M$6:$M$325)+SUMIF(Taches!$B$6:$B$325,"V2-027",Taches!$M$6:$M$325)+SUMIF(Taches!$B$6:$B$325,"V2-028",Taches!$M$6:$M$325)+SUMIF(Taches!$B$6:$B$325,"V2-029",Taches!$M$6:$M$325)+SUMIF(Taches!$B$6:$B$325,"V2-030",Taches!$M$6:$M$325)+SUMIF(Taches!$B$6:$B$325,"V2-031",Taches!$M$6:$M$325)+SUMIF(Taches!$B$6:$B$325,"V2-032",Taches!$M$6:$M$325)+SUMIF(Taches!$B$6:$B$325,"V2-033",Taches!$M$6:$M$325)+SUMIF(Taches!$B$6:$B$325,"V2-034",Taches!$M$6:$M$325)+SUMIF(Taches!$B$6:$B$325,"V2-035",Taches!$M$6:$M$325)+SUMIF(Taches!$B$6:$B$325,"V2-036",Taches!$M$6:$M$325)+SUMIF(Taches!$B$6:$B$325,"V2-037",Taches!$M$6:$M$325)+SUMIF(Taches!$B$6:$B$325,"V2-038",Taches!$M$6:$M$325)+SUMIF(Taches!$B$6:$B$325,"V2-039",Taches!$M$6:$M$325)+SUMIF(Taches!$B$6:$B$325,"V2-040",Taches!$M$6:$M$325)+SUMIF(Taches!$B$6:$B$325,"V2-041",Taches!$M$6:$M$325)+SUMIF(Taches!$B$6:$B$325,"V2-042",Taches!$M$6:$M$325)+SUMIF(Taches!$B$6:$B$325,"V2-044",Taches!$M$6:$M$325)+SUMIF(Taches!$B$6:$B$325,"V2-045",Taches!$M$6:$M$325)+SUMIF(Taches!$B$6:$B$325,"V2-046",Taches!$M$6:$M$325)</f>
        <v/>
      </c>
      <c r="I14" s="15">
        <f>SUMIF(Taches!$B$6:$B$325,"V2-001",Taches!$N$6:$N$325)+SUMIF(Taches!$B$6:$B$325,"V2-002",Taches!$N$6:$N$325)+SUMIF(Taches!$B$6:$B$325,"V2-003",Taches!$N$6:$N$325)+SUMIF(Taches!$B$6:$B$325,"V2-004",Taches!$N$6:$N$325)+SUMIF(Taches!$B$6:$B$325,"V2-005",Taches!$N$6:$N$325)+SUMIF(Taches!$B$6:$B$325,"V2-006",Taches!$N$6:$N$325)+SUMIF(Taches!$B$6:$B$325,"V2-007",Taches!$N$6:$N$325)+SUMIF(Taches!$B$6:$B$325,"V2-008",Taches!$N$6:$N$325)+SUMIF(Taches!$B$6:$B$325,"V2-009",Taches!$N$6:$N$325)+SUMIF(Taches!$B$6:$B$325,"V2-010",Taches!$N$6:$N$325)+SUMIF(Taches!$B$6:$B$325,"V2-011",Taches!$N$6:$N$325)+SUMIF(Taches!$B$6:$B$325,"V2-012",Taches!$N$6:$N$325)+SUMIF(Taches!$B$6:$B$325,"V2-013",Taches!$N$6:$N$325)+SUMIF(Taches!$B$6:$B$325,"V2-014",Taches!$N$6:$N$325)+SUMIF(Taches!$B$6:$B$325,"V2-015",Taches!$N$6:$N$325)+SUMIF(Taches!$B$6:$B$325,"V2-016",Taches!$N$6:$N$325)+SUMIF(Taches!$B$6:$B$325,"V2-017",Taches!$N$6:$N$325)+SUMIF(Taches!$B$6:$B$325,"V2-018",Taches!$N$6:$N$325)+SUMIF(Taches!$B$6:$B$325,"V2-019",Taches!$N$6:$N$325)+SUMIF(Taches!$B$6:$B$325,"V2-020",Taches!$N$6:$N$325)+SUMIF(Taches!$B$6:$B$325,"V2-021",Taches!$N$6:$N$325)+SUMIF(Taches!$B$6:$B$325,"V2-022",Taches!$N$6:$N$325)+SUMIF(Taches!$B$6:$B$325,"V2-023",Taches!$N$6:$N$325)+SUMIF(Taches!$B$6:$B$325,"V2-024",Taches!$N$6:$N$325)+SUMIF(Taches!$B$6:$B$325,"V2-025",Taches!$N$6:$N$325)+SUMIF(Taches!$B$6:$B$325,"V2-026",Taches!$N$6:$N$325)+SUMIF(Taches!$B$6:$B$325,"V2-027",Taches!$N$6:$N$325)+SUMIF(Taches!$B$6:$B$325,"V2-028",Taches!$N$6:$N$325)+SUMIF(Taches!$B$6:$B$325,"V2-029",Taches!$N$6:$N$325)+SUMIF(Taches!$B$6:$B$325,"V2-030",Taches!$N$6:$N$325)+SUMIF(Taches!$B$6:$B$325,"V2-031",Taches!$N$6:$N$325)+SUMIF(Taches!$B$6:$B$325,"V2-032",Taches!$N$6:$N$325)+SUMIF(Taches!$B$6:$B$325,"V2-033",Taches!$N$6:$N$325)+SUMIF(Taches!$B$6:$B$325,"V2-034",Taches!$N$6:$N$325)+SUMIF(Taches!$B$6:$B$325,"V2-035",Taches!$N$6:$N$325)+SUMIF(Taches!$B$6:$B$325,"V2-036",Taches!$N$6:$N$325)+SUMIF(Taches!$B$6:$B$325,"V2-037",Taches!$N$6:$N$325)+SUMIF(Taches!$B$6:$B$325,"V2-038",Taches!$N$6:$N$325)+SUMIF(Taches!$B$6:$B$325,"V2-039",Taches!$N$6:$N$325)+SUMIF(Taches!$B$6:$B$325,"V2-040",Taches!$N$6:$N$325)+SUMIF(Taches!$B$6:$B$325,"V2-041",Taches!$N$6:$N$325)+SUMIF(Taches!$B$6:$B$325,"V2-042",Taches!$N$6:$N$325)+SUMIF(Taches!$B$6:$B$325,"V2-044",Taches!$N$6:$N$325)+SUMIF(Taches!$B$6:$B$325,"V2-045",Taches!$N$6:$N$325)+SUMIF(Taches!$B$6:$B$325,"V2-046",Taches!$N$6:$N$325)</f>
        <v/>
      </c>
      <c r="J14" s="15">
        <f>H14-I14</f>
        <v/>
      </c>
      <c r="K14" s="16">
        <f>IF(H14=0,0,I14/H14)</f>
        <v/>
      </c>
      <c r="L14" s="12">
        <f>IF(K14&gt;=0.999,"Terminé",IF(I14&gt;0,"Amorcé","À engager"))</f>
        <v/>
      </c>
      <c r="M14" s="18" t="inlineStr">
        <is>
          <t>Paliers, concurrence RPS, viewer, preuves et 12 cas du corpus</t>
        </is>
      </c>
    </row>
    <row r="15" ht="80" customHeight="1">
      <c r="B15" s="18" t="inlineStr">
        <is>
          <t>L09</t>
        </is>
      </c>
      <c r="C15" s="18" t="inlineStr">
        <is>
          <t>Mini-réunions, rapports et recette V2</t>
        </is>
      </c>
      <c r="D15" s="18" t="inlineStr">
        <is>
          <t>V2</t>
        </is>
      </c>
      <c r="E15" s="18" t="inlineStr">
        <is>
          <t>V2-047, V2-048, V2-049, V2-050, V2-043</t>
        </is>
      </c>
      <c r="F15" s="18" t="inlineStr">
        <is>
          <t>L08 pour accès dossiers ; L05 et A21 pour captation</t>
        </is>
      </c>
      <c r="G15" s="18" t="inlineStr">
        <is>
          <t>Réunions privées, rapports sourcés et permissions éprouvées</t>
        </is>
      </c>
      <c r="H15" s="15">
        <f>SUMIF(Taches!$B$6:$B$325,"V2-047",Taches!$M$6:$M$325)+SUMIF(Taches!$B$6:$B$325,"V2-048",Taches!$M$6:$M$325)+SUMIF(Taches!$B$6:$B$325,"V2-049",Taches!$M$6:$M$325)+SUMIF(Taches!$B$6:$B$325,"V2-050",Taches!$M$6:$M$325)+SUMIF(Taches!$B$6:$B$325,"V2-043",Taches!$M$6:$M$325)</f>
        <v/>
      </c>
      <c r="I15" s="15">
        <f>SUMIF(Taches!$B$6:$B$325,"V2-047",Taches!$N$6:$N$325)+SUMIF(Taches!$B$6:$B$325,"V2-048",Taches!$N$6:$N$325)+SUMIF(Taches!$B$6:$B$325,"V2-049",Taches!$N$6:$N$325)+SUMIF(Taches!$B$6:$B$325,"V2-050",Taches!$N$6:$N$325)+SUMIF(Taches!$B$6:$B$325,"V2-043",Taches!$N$6:$N$325)</f>
        <v/>
      </c>
      <c r="J15" s="15">
        <f>H15-I15</f>
        <v/>
      </c>
      <c r="K15" s="16">
        <f>IF(H15=0,0,I15/H15)</f>
        <v/>
      </c>
      <c r="L15" s="12">
        <f>IF(K15&gt;=0.999,"Terminé",IF(I15&gt;0,"Amorcé","À engager"))</f>
        <v/>
      </c>
      <c r="M15" s="18" t="inlineStr">
        <is>
          <t>Tests de captation, injection, révocation et recette V2 intégrée</t>
        </is>
      </c>
    </row>
    <row r="16" ht="105" customHeight="1">
      <c r="B16" s="18" t="inlineStr">
        <is>
          <t>L10</t>
        </is>
      </c>
      <c r="C16" s="18" t="inlineStr">
        <is>
          <t>V3 : transaction, services et exploitation</t>
        </is>
      </c>
      <c r="D16" s="18" t="inlineStr">
        <is>
          <t>V3</t>
        </is>
      </c>
      <c r="E16" s="18" t="inlineStr">
        <is>
          <t>V3-001, V3-002, V3-003, V3-004, V3-005, V3-006, V3-007, V3-008, V3-009, V3-010, V3-011, V3-012, V3-013, V3-014, V3-015, V3-016, V3-017, V3-018, V3-019, V3-020, V3-021, V3-022, V3-023, V3-024, V3-025, V3-026, V3-027, V3-028, V3-029, V3-030, V3-031, V3-032, V3-033, V3-034, V3-035, V3-036, V3-037, V3-038, V3-039, V3-040, V3-041, V3-042, V3-043, V3-044, V3-045, V3-046, V3-047, V3-048, V3-049, V3-050</t>
        </is>
      </c>
      <c r="F16" s="18" t="inlineStr">
        <is>
          <t>L09 ; A20, paiement et portes de conformité</t>
        </is>
      </c>
      <c r="G16" s="18" t="inlineStr">
        <is>
          <t>TaxeFacile/prestataires, transaction, facturation et exploitation intégrés</t>
        </is>
      </c>
      <c r="H16" s="15">
        <f>SUMIF(Taches!$B$6:$B$325,"V3-001",Taches!$M$6:$M$325)+SUMIF(Taches!$B$6:$B$325,"V3-002",Taches!$M$6:$M$325)+SUMIF(Taches!$B$6:$B$325,"V3-003",Taches!$M$6:$M$325)+SUMIF(Taches!$B$6:$B$325,"V3-004",Taches!$M$6:$M$325)+SUMIF(Taches!$B$6:$B$325,"V3-005",Taches!$M$6:$M$325)+SUMIF(Taches!$B$6:$B$325,"V3-006",Taches!$M$6:$M$325)+SUMIF(Taches!$B$6:$B$325,"V3-007",Taches!$M$6:$M$325)+SUMIF(Taches!$B$6:$B$325,"V3-008",Taches!$M$6:$M$325)+SUMIF(Taches!$B$6:$B$325,"V3-009",Taches!$M$6:$M$325)+SUMIF(Taches!$B$6:$B$325,"V3-010",Taches!$M$6:$M$325)+SUMIF(Taches!$B$6:$B$325,"V3-011",Taches!$M$6:$M$325)+SUMIF(Taches!$B$6:$B$325,"V3-012",Taches!$M$6:$M$325)+SUMIF(Taches!$B$6:$B$325,"V3-013",Taches!$M$6:$M$325)+SUMIF(Taches!$B$6:$B$325,"V3-014",Taches!$M$6:$M$325)+SUMIF(Taches!$B$6:$B$325,"V3-015",Taches!$M$6:$M$325)+SUMIF(Taches!$B$6:$B$325,"V3-016",Taches!$M$6:$M$325)+SUMIF(Taches!$B$6:$B$325,"V3-017",Taches!$M$6:$M$325)+SUMIF(Taches!$B$6:$B$325,"V3-018",Taches!$M$6:$M$325)+SUMIF(Taches!$B$6:$B$325,"V3-019",Taches!$M$6:$M$325)+SUMIF(Taches!$B$6:$B$325,"V3-020",Taches!$M$6:$M$325)+SUMIF(Taches!$B$6:$B$325,"V3-021",Taches!$M$6:$M$325)+SUMIF(Taches!$B$6:$B$325,"V3-022",Taches!$M$6:$M$325)+SUMIF(Taches!$B$6:$B$325,"V3-023",Taches!$M$6:$M$325)+SUMIF(Taches!$B$6:$B$325,"V3-024",Taches!$M$6:$M$325)+SUMIF(Taches!$B$6:$B$325,"V3-025",Taches!$M$6:$M$325)+SUMIF(Taches!$B$6:$B$325,"V3-026",Taches!$M$6:$M$325)+SUMIF(Taches!$B$6:$B$325,"V3-027",Taches!$M$6:$M$325)+SUMIF(Taches!$B$6:$B$325,"V3-028",Taches!$M$6:$M$325)+SUMIF(Taches!$B$6:$B$325,"V3-029",Taches!$M$6:$M$325)+SUMIF(Taches!$B$6:$B$325,"V3-030",Taches!$M$6:$M$325)+SUMIF(Taches!$B$6:$B$325,"V3-031",Taches!$M$6:$M$325)+SUMIF(Taches!$B$6:$B$325,"V3-032",Taches!$M$6:$M$325)+SUMIF(Taches!$B$6:$B$325,"V3-033",Taches!$M$6:$M$325)+SUMIF(Taches!$B$6:$B$325,"V3-034",Taches!$M$6:$M$325)+SUMIF(Taches!$B$6:$B$325,"V3-035",Taches!$M$6:$M$325)+SUMIF(Taches!$B$6:$B$325,"V3-036",Taches!$M$6:$M$325)+SUMIF(Taches!$B$6:$B$325,"V3-037",Taches!$M$6:$M$325)+SUMIF(Taches!$B$6:$B$325,"V3-038",Taches!$M$6:$M$325)+SUMIF(Taches!$B$6:$B$325,"V3-039",Taches!$M$6:$M$325)+SUMIF(Taches!$B$6:$B$325,"V3-040",Taches!$M$6:$M$325)+SUMIF(Taches!$B$6:$B$325,"V3-041",Taches!$M$6:$M$325)+SUMIF(Taches!$B$6:$B$325,"V3-042",Taches!$M$6:$M$325)+SUMIF(Taches!$B$6:$B$325,"V3-043",Taches!$M$6:$M$325)+SUMIF(Taches!$B$6:$B$325,"V3-044",Taches!$M$6:$M$325)+SUMIF(Taches!$B$6:$B$325,"V3-045",Taches!$M$6:$M$325)+SUMIF(Taches!$B$6:$B$325,"V3-046",Taches!$M$6:$M$325)+SUMIF(Taches!$B$6:$B$325,"V3-047",Taches!$M$6:$M$325)+SUMIF(Taches!$B$6:$B$325,"V3-048",Taches!$M$6:$M$325)+SUMIF(Taches!$B$6:$B$325,"V3-049",Taches!$M$6:$M$325)+SUMIF(Taches!$B$6:$B$325,"V3-050",Taches!$M$6:$M$325)</f>
        <v/>
      </c>
      <c r="I16" s="15">
        <f>SUMIF(Taches!$B$6:$B$325,"V3-001",Taches!$N$6:$N$325)+SUMIF(Taches!$B$6:$B$325,"V3-002",Taches!$N$6:$N$325)+SUMIF(Taches!$B$6:$B$325,"V3-003",Taches!$N$6:$N$325)+SUMIF(Taches!$B$6:$B$325,"V3-004",Taches!$N$6:$N$325)+SUMIF(Taches!$B$6:$B$325,"V3-005",Taches!$N$6:$N$325)+SUMIF(Taches!$B$6:$B$325,"V3-006",Taches!$N$6:$N$325)+SUMIF(Taches!$B$6:$B$325,"V3-007",Taches!$N$6:$N$325)+SUMIF(Taches!$B$6:$B$325,"V3-008",Taches!$N$6:$N$325)+SUMIF(Taches!$B$6:$B$325,"V3-009",Taches!$N$6:$N$325)+SUMIF(Taches!$B$6:$B$325,"V3-010",Taches!$N$6:$N$325)+SUMIF(Taches!$B$6:$B$325,"V3-011",Taches!$N$6:$N$325)+SUMIF(Taches!$B$6:$B$325,"V3-012",Taches!$N$6:$N$325)+SUMIF(Taches!$B$6:$B$325,"V3-013",Taches!$N$6:$N$325)+SUMIF(Taches!$B$6:$B$325,"V3-014",Taches!$N$6:$N$325)+SUMIF(Taches!$B$6:$B$325,"V3-015",Taches!$N$6:$N$325)+SUMIF(Taches!$B$6:$B$325,"V3-016",Taches!$N$6:$N$325)+SUMIF(Taches!$B$6:$B$325,"V3-017",Taches!$N$6:$N$325)+SUMIF(Taches!$B$6:$B$325,"V3-018",Taches!$N$6:$N$325)+SUMIF(Taches!$B$6:$B$325,"V3-019",Taches!$N$6:$N$325)+SUMIF(Taches!$B$6:$B$325,"V3-020",Taches!$N$6:$N$325)+SUMIF(Taches!$B$6:$B$325,"V3-021",Taches!$N$6:$N$325)+SUMIF(Taches!$B$6:$B$325,"V3-022",Taches!$N$6:$N$325)+SUMIF(Taches!$B$6:$B$325,"V3-023",Taches!$N$6:$N$325)+SUMIF(Taches!$B$6:$B$325,"V3-024",Taches!$N$6:$N$325)+SUMIF(Taches!$B$6:$B$325,"V3-025",Taches!$N$6:$N$325)+SUMIF(Taches!$B$6:$B$325,"V3-026",Taches!$N$6:$N$325)+SUMIF(Taches!$B$6:$B$325,"V3-027",Taches!$N$6:$N$325)+SUMIF(Taches!$B$6:$B$325,"V3-028",Taches!$N$6:$N$325)+SUMIF(Taches!$B$6:$B$325,"V3-029",Taches!$N$6:$N$325)+SUMIF(Taches!$B$6:$B$325,"V3-030",Taches!$N$6:$N$325)+SUMIF(Taches!$B$6:$B$325,"V3-031",Taches!$N$6:$N$325)+SUMIF(Taches!$B$6:$B$325,"V3-032",Taches!$N$6:$N$325)+SUMIF(Taches!$B$6:$B$325,"V3-033",Taches!$N$6:$N$325)+SUMIF(Taches!$B$6:$B$325,"V3-034",Taches!$N$6:$N$325)+SUMIF(Taches!$B$6:$B$325,"V3-035",Taches!$N$6:$N$325)+SUMIF(Taches!$B$6:$B$325,"V3-036",Taches!$N$6:$N$325)+SUMIF(Taches!$B$6:$B$325,"V3-037",Taches!$N$6:$N$325)+SUMIF(Taches!$B$6:$B$325,"V3-038",Taches!$N$6:$N$325)+SUMIF(Taches!$B$6:$B$325,"V3-039",Taches!$N$6:$N$325)+SUMIF(Taches!$B$6:$B$325,"V3-040",Taches!$N$6:$N$325)+SUMIF(Taches!$B$6:$B$325,"V3-041",Taches!$N$6:$N$325)+SUMIF(Taches!$B$6:$B$325,"V3-042",Taches!$N$6:$N$325)+SUMIF(Taches!$B$6:$B$325,"V3-043",Taches!$N$6:$N$325)+SUMIF(Taches!$B$6:$B$325,"V3-044",Taches!$N$6:$N$325)+SUMIF(Taches!$B$6:$B$325,"V3-045",Taches!$N$6:$N$325)+SUMIF(Taches!$B$6:$B$325,"V3-046",Taches!$N$6:$N$325)+SUMIF(Taches!$B$6:$B$325,"V3-047",Taches!$N$6:$N$325)+SUMIF(Taches!$B$6:$B$325,"V3-048",Taches!$N$6:$N$325)+SUMIF(Taches!$B$6:$B$325,"V3-049",Taches!$N$6:$N$325)+SUMIF(Taches!$B$6:$B$325,"V3-050",Taches!$N$6:$N$325)</f>
        <v/>
      </c>
      <c r="J16" s="15">
        <f>H16-I16</f>
        <v/>
      </c>
      <c r="K16" s="16">
        <f>IF(H16=0,0,I16/H16)</f>
        <v/>
      </c>
      <c r="L16" s="12">
        <f>IF(K16&gt;=0.999,"Terminé",IF(I16&gt;0,"Amorcé","À engager"))</f>
        <v/>
      </c>
      <c r="M16" s="18" t="inlineStr">
        <is>
          <t>Recette V3, rapprochements et preuves G1–G10</t>
        </is>
      </c>
    </row>
    <row r="17" ht="80" customHeight="1">
      <c r="B17" s="18" t="inlineStr">
        <is>
          <t>L11</t>
        </is>
      </c>
      <c r="C17" s="18" t="inlineStr">
        <is>
          <t>V4 : services étendus et salons</t>
        </is>
      </c>
      <c r="D17" s="18" t="inlineStr">
        <is>
          <t>V4</t>
        </is>
      </c>
      <c r="E17" s="18" t="inlineStr">
        <is>
          <t>V4-001, V4-002, V4-003, V4-004, V4-005, V4-006, V4-007, V4-008, V4-009, V4-010, V4-011, V4-012, V4-013, V4-014, V4-015, V4-016, V4-017, V4-018, V4-019, V4-020, V4-021, V4-022, V4-023, V4-024, V4-025, V4-026</t>
        </is>
      </c>
      <c r="F17" s="18" t="inlineStr">
        <is>
          <t>L10 ; captation par session qualifiée</t>
        </is>
      </c>
      <c r="G17" s="18" t="inlineStr">
        <is>
          <t>Rebond, Diaspora, Experts et rapports multi-sessions</t>
        </is>
      </c>
      <c r="H17" s="15">
        <f>SUMIF(Taches!$B$6:$B$325,"V4-001",Taches!$M$6:$M$325)+SUMIF(Taches!$B$6:$B$325,"V4-002",Taches!$M$6:$M$325)+SUMIF(Taches!$B$6:$B$325,"V4-003",Taches!$M$6:$M$325)+SUMIF(Taches!$B$6:$B$325,"V4-004",Taches!$M$6:$M$325)+SUMIF(Taches!$B$6:$B$325,"V4-005",Taches!$M$6:$M$325)+SUMIF(Taches!$B$6:$B$325,"V4-006",Taches!$M$6:$M$325)+SUMIF(Taches!$B$6:$B$325,"V4-007",Taches!$M$6:$M$325)+SUMIF(Taches!$B$6:$B$325,"V4-008",Taches!$M$6:$M$325)+SUMIF(Taches!$B$6:$B$325,"V4-009",Taches!$M$6:$M$325)+SUMIF(Taches!$B$6:$B$325,"V4-010",Taches!$M$6:$M$325)+SUMIF(Taches!$B$6:$B$325,"V4-011",Taches!$M$6:$M$325)+SUMIF(Taches!$B$6:$B$325,"V4-012",Taches!$M$6:$M$325)+SUMIF(Taches!$B$6:$B$325,"V4-013",Taches!$M$6:$M$325)+SUMIF(Taches!$B$6:$B$325,"V4-014",Taches!$M$6:$M$325)+SUMIF(Taches!$B$6:$B$325,"V4-015",Taches!$M$6:$M$325)+SUMIF(Taches!$B$6:$B$325,"V4-016",Taches!$M$6:$M$325)+SUMIF(Taches!$B$6:$B$325,"V4-017",Taches!$M$6:$M$325)+SUMIF(Taches!$B$6:$B$325,"V4-018",Taches!$M$6:$M$325)+SUMIF(Taches!$B$6:$B$325,"V4-019",Taches!$M$6:$M$325)+SUMIF(Taches!$B$6:$B$325,"V4-020",Taches!$M$6:$M$325)+SUMIF(Taches!$B$6:$B$325,"V4-021",Taches!$M$6:$M$325)+SUMIF(Taches!$B$6:$B$325,"V4-022",Taches!$M$6:$M$325)+SUMIF(Taches!$B$6:$B$325,"V4-023",Taches!$M$6:$M$325)+SUMIF(Taches!$B$6:$B$325,"V4-024",Taches!$M$6:$M$325)+SUMIF(Taches!$B$6:$B$325,"V4-025",Taches!$M$6:$M$325)+SUMIF(Taches!$B$6:$B$325,"V4-026",Taches!$M$6:$M$325)</f>
        <v/>
      </c>
      <c r="I17" s="15">
        <f>SUMIF(Taches!$B$6:$B$325,"V4-001",Taches!$N$6:$N$325)+SUMIF(Taches!$B$6:$B$325,"V4-002",Taches!$N$6:$N$325)+SUMIF(Taches!$B$6:$B$325,"V4-003",Taches!$N$6:$N$325)+SUMIF(Taches!$B$6:$B$325,"V4-004",Taches!$N$6:$N$325)+SUMIF(Taches!$B$6:$B$325,"V4-005",Taches!$N$6:$N$325)+SUMIF(Taches!$B$6:$B$325,"V4-006",Taches!$N$6:$N$325)+SUMIF(Taches!$B$6:$B$325,"V4-007",Taches!$N$6:$N$325)+SUMIF(Taches!$B$6:$B$325,"V4-008",Taches!$N$6:$N$325)+SUMIF(Taches!$B$6:$B$325,"V4-009",Taches!$N$6:$N$325)+SUMIF(Taches!$B$6:$B$325,"V4-010",Taches!$N$6:$N$325)+SUMIF(Taches!$B$6:$B$325,"V4-011",Taches!$N$6:$N$325)+SUMIF(Taches!$B$6:$B$325,"V4-012",Taches!$N$6:$N$325)+SUMIF(Taches!$B$6:$B$325,"V4-013",Taches!$N$6:$N$325)+SUMIF(Taches!$B$6:$B$325,"V4-014",Taches!$N$6:$N$325)+SUMIF(Taches!$B$6:$B$325,"V4-015",Taches!$N$6:$N$325)+SUMIF(Taches!$B$6:$B$325,"V4-016",Taches!$N$6:$N$325)+SUMIF(Taches!$B$6:$B$325,"V4-017",Taches!$N$6:$N$325)+SUMIF(Taches!$B$6:$B$325,"V4-018",Taches!$N$6:$N$325)+SUMIF(Taches!$B$6:$B$325,"V4-019",Taches!$N$6:$N$325)+SUMIF(Taches!$B$6:$B$325,"V4-020",Taches!$N$6:$N$325)+SUMIF(Taches!$B$6:$B$325,"V4-021",Taches!$N$6:$N$325)+SUMIF(Taches!$B$6:$B$325,"V4-022",Taches!$N$6:$N$325)+SUMIF(Taches!$B$6:$B$325,"V4-023",Taches!$N$6:$N$325)+SUMIF(Taches!$B$6:$B$325,"V4-024",Taches!$N$6:$N$325)+SUMIF(Taches!$B$6:$B$325,"V4-025",Taches!$N$6:$N$325)+SUMIF(Taches!$B$6:$B$325,"V4-026",Taches!$N$6:$N$325)</f>
        <v/>
      </c>
      <c r="J17" s="15">
        <f>H17-I17</f>
        <v/>
      </c>
      <c r="K17" s="16">
        <f>IF(H17=0,0,I17/H17)</f>
        <v/>
      </c>
      <c r="L17" s="12">
        <f>IF(K17&gt;=0.999,"Terminé",IF(I17&gt;0,"Amorcé","À engager"))</f>
        <v/>
      </c>
      <c r="M17" s="18" t="inlineStr">
        <is>
          <t>Recette V4 et distribution ciblée par session</t>
        </is>
      </c>
    </row>
    <row r="18" ht="80" customHeight="1">
      <c r="B18" s="18" t="inlineStr">
        <is>
          <t>L12</t>
        </is>
      </c>
      <c r="C18" s="18" t="inlineStr">
        <is>
          <t>V5 : DealLens et intelligence VDR</t>
        </is>
      </c>
      <c r="D18" s="18" t="inlineStr">
        <is>
          <t>V5</t>
        </is>
      </c>
      <c r="E18" s="18" t="inlineStr">
        <is>
          <t>V5-001, V5-002, V5-003, V5-004, V5-005, V5-006, V5-007, V5-008, V5-009, V5-010, V5-011, V5-012, V5-013, V5-014, V5-015, V5-016, V5-017, V5-018, V5-019, V5-020, V5-021, V5-022, V5-023, V5-024</t>
        </is>
      </c>
      <c r="F18" s="18" t="inlineStr">
        <is>
          <t>L08/L11 ; contrat IA J16</t>
        </is>
      </c>
      <c r="G18" s="18" t="inlineStr">
        <is>
          <t>IA documentaire fondée sur les preuves et permissions</t>
        </is>
      </c>
      <c r="H18" s="15">
        <f>SUMIF(Taches!$B$6:$B$325,"V5-001",Taches!$M$6:$M$325)+SUMIF(Taches!$B$6:$B$325,"V5-002",Taches!$M$6:$M$325)+SUMIF(Taches!$B$6:$B$325,"V5-003",Taches!$M$6:$M$325)+SUMIF(Taches!$B$6:$B$325,"V5-004",Taches!$M$6:$M$325)+SUMIF(Taches!$B$6:$B$325,"V5-005",Taches!$M$6:$M$325)+SUMIF(Taches!$B$6:$B$325,"V5-006",Taches!$M$6:$M$325)+SUMIF(Taches!$B$6:$B$325,"V5-007",Taches!$M$6:$M$325)+SUMIF(Taches!$B$6:$B$325,"V5-008",Taches!$M$6:$M$325)+SUMIF(Taches!$B$6:$B$325,"V5-009",Taches!$M$6:$M$325)+SUMIF(Taches!$B$6:$B$325,"V5-010",Taches!$M$6:$M$325)+SUMIF(Taches!$B$6:$B$325,"V5-011",Taches!$M$6:$M$325)+SUMIF(Taches!$B$6:$B$325,"V5-012",Taches!$M$6:$M$325)+SUMIF(Taches!$B$6:$B$325,"V5-013",Taches!$M$6:$M$325)+SUMIF(Taches!$B$6:$B$325,"V5-014",Taches!$M$6:$M$325)+SUMIF(Taches!$B$6:$B$325,"V5-015",Taches!$M$6:$M$325)+SUMIF(Taches!$B$6:$B$325,"V5-016",Taches!$M$6:$M$325)+SUMIF(Taches!$B$6:$B$325,"V5-017",Taches!$M$6:$M$325)+SUMIF(Taches!$B$6:$B$325,"V5-018",Taches!$M$6:$M$325)+SUMIF(Taches!$B$6:$B$325,"V5-019",Taches!$M$6:$M$325)+SUMIF(Taches!$B$6:$B$325,"V5-020",Taches!$M$6:$M$325)+SUMIF(Taches!$B$6:$B$325,"V5-021",Taches!$M$6:$M$325)+SUMIF(Taches!$B$6:$B$325,"V5-022",Taches!$M$6:$M$325)+SUMIF(Taches!$B$6:$B$325,"V5-023",Taches!$M$6:$M$325)+SUMIF(Taches!$B$6:$B$325,"V5-024",Taches!$M$6:$M$325)</f>
        <v/>
      </c>
      <c r="I18" s="15">
        <f>SUMIF(Taches!$B$6:$B$325,"V5-001",Taches!$N$6:$N$325)+SUMIF(Taches!$B$6:$B$325,"V5-002",Taches!$N$6:$N$325)+SUMIF(Taches!$B$6:$B$325,"V5-003",Taches!$N$6:$N$325)+SUMIF(Taches!$B$6:$B$325,"V5-004",Taches!$N$6:$N$325)+SUMIF(Taches!$B$6:$B$325,"V5-005",Taches!$N$6:$N$325)+SUMIF(Taches!$B$6:$B$325,"V5-006",Taches!$N$6:$N$325)+SUMIF(Taches!$B$6:$B$325,"V5-007",Taches!$N$6:$N$325)+SUMIF(Taches!$B$6:$B$325,"V5-008",Taches!$N$6:$N$325)+SUMIF(Taches!$B$6:$B$325,"V5-009",Taches!$N$6:$N$325)+SUMIF(Taches!$B$6:$B$325,"V5-010",Taches!$N$6:$N$325)+SUMIF(Taches!$B$6:$B$325,"V5-011",Taches!$N$6:$N$325)+SUMIF(Taches!$B$6:$B$325,"V5-012",Taches!$N$6:$N$325)+SUMIF(Taches!$B$6:$B$325,"V5-013",Taches!$N$6:$N$325)+SUMIF(Taches!$B$6:$B$325,"V5-014",Taches!$N$6:$N$325)+SUMIF(Taches!$B$6:$B$325,"V5-015",Taches!$N$6:$N$325)+SUMIF(Taches!$B$6:$B$325,"V5-016",Taches!$N$6:$N$325)+SUMIF(Taches!$B$6:$B$325,"V5-017",Taches!$N$6:$N$325)+SUMIF(Taches!$B$6:$B$325,"V5-018",Taches!$N$6:$N$325)+SUMIF(Taches!$B$6:$B$325,"V5-019",Taches!$N$6:$N$325)+SUMIF(Taches!$B$6:$B$325,"V5-020",Taches!$N$6:$N$325)+SUMIF(Taches!$B$6:$B$325,"V5-021",Taches!$N$6:$N$325)+SUMIF(Taches!$B$6:$B$325,"V5-022",Taches!$N$6:$N$325)+SUMIF(Taches!$B$6:$B$325,"V5-023",Taches!$N$6:$N$325)+SUMIF(Taches!$B$6:$B$325,"V5-024",Taches!$N$6:$N$325)</f>
        <v/>
      </c>
      <c r="J18" s="15">
        <f>H18-I18</f>
        <v/>
      </c>
      <c r="K18" s="16">
        <f>IF(H18=0,0,I18/H18)</f>
        <v/>
      </c>
      <c r="L18" s="12">
        <f>IF(K18&gt;=0.999,"Terminé",IF(I18&gt;0,"Amorcé","À engager"))</f>
        <v/>
      </c>
      <c r="M18" s="18" t="inlineStr">
        <is>
          <t>AI-01 à AI-06, DOC-01 à DOC-03, Q&amp;A-01, UI-01 et recette finale</t>
        </is>
      </c>
    </row>
  </sheetData>
  <autoFilter ref="B5:M18"/>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9" t="inlineStr">
        <is>
          <t>1. Le projet en quelques lignes</t>
        </is>
      </c>
    </row>
    <row r="6" ht="70" customHeight="1">
      <c r="B6" s="20"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9" t="inlineStr">
        <is>
          <t>2. Documents de référence et autorité</t>
        </is>
      </c>
    </row>
    <row r="10" ht="24" customHeight="1">
      <c r="B10" s="11" t="inlineStr">
        <is>
          <t>Document</t>
        </is>
      </c>
      <c r="C10" s="11" t="inlineStr">
        <is>
          <t>Rôle</t>
        </is>
      </c>
      <c r="D10" s="11" t="inlineStr">
        <is>
          <t>Statut retenu</t>
        </is>
      </c>
    </row>
    <row r="11" ht="30" customHeight="1">
      <c r="B11" s="18" t="inlineStr">
        <is>
          <t>Cahier des charges v0 approuvé (54 p., 25/06/2026)</t>
        </is>
      </c>
      <c r="C11" s="18" t="inlineStr">
        <is>
          <t>Spécification technique et juridique, ancrée AUSCGIE / AUDCG / AUPCAP, vendeurs locaux réels</t>
        </is>
      </c>
      <c r="D11" s="18" t="inlineStr">
        <is>
          <t>Autorité principale</t>
        </is>
      </c>
    </row>
    <row r="12" ht="30" customHeight="1">
      <c r="B12" s="18" t="inlineStr">
        <is>
          <t>Référentiel de processus P04 à P25 (50 p., v1.0, contractuel CCI-Togo)</t>
        </is>
      </c>
      <c r="C12" s="18" t="inlineStr">
        <is>
          <t>22 processus opposables, RACI, contrôles, indicateurs ; dérive directement du v0</t>
        </is>
      </c>
      <c r="D12" s="18" t="inlineStr">
        <is>
          <t>Autorité opérationnelle</t>
        </is>
      </c>
    </row>
    <row r="13" ht="30" customHeight="1">
      <c r="B13" s="18" t="inlineStr">
        <is>
          <t>Note investisseurs et partenaires (28 p., 26/06/2026)</t>
        </is>
      </c>
      <c r="C13" s="18" t="inlineStr">
        <is>
          <t>Thèse, marché, monétisation, feuille de route</t>
        </is>
      </c>
      <c r="D13" s="18" t="inlineStr">
        <is>
          <t>Contexte stratégique</t>
        </is>
      </c>
    </row>
    <row r="14" ht="30" customHeight="1">
      <c r="B14" s="18" t="inlineStr">
        <is>
          <t>Services Blueprint v5.0</t>
        </is>
      </c>
      <c r="C14" s="18" t="inlineStr">
        <is>
          <t>Vision générique (escrow, valorisation automatique, KYC biométrique, hub courtiers) non retrouvée dans le v0 ni le référentiel</t>
        </is>
      </c>
      <c r="D14" s="18" t="inlineStr">
        <is>
          <t>Non retenu</t>
        </is>
      </c>
    </row>
    <row r="15" ht="30" customHeight="1">
      <c r="B15" s="18" t="inlineStr">
        <is>
          <t>Master Developer Handoff V3.1 (12 cas, 24 scénarios, 6 Skills)</t>
        </is>
      </c>
      <c r="C15" s="18" t="inlineStr">
        <is>
          <t>Corpus de référence exécutable : maquettes et fixtures servant d'oracle de test, pas de code de production</t>
        </is>
      </c>
      <c r="D15" s="18" t="inlineStr">
        <is>
          <t>Socle de conception à porter en production</t>
        </is>
      </c>
    </row>
    <row r="17" ht="22" customHeight="1">
      <c r="B17" s="19" t="inlineStr">
        <is>
          <t>3. Socle réglementaire qui gouverne tout le reste</t>
        </is>
      </c>
    </row>
    <row r="18" ht="44" customHeight="1">
      <c r="B18" s="20"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20"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20"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9"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9" t="inlineStr">
        <is>
          <t>5. Intégrations réelles retenues par le v0</t>
        </is>
      </c>
    </row>
    <row r="24" ht="24" customHeight="1">
      <c r="B24" s="11" t="inlineStr">
        <is>
          <t>Besoin</t>
        </is>
      </c>
      <c r="C24" s="11" t="inlineStr">
        <is>
          <t>Vendeurs retenus</t>
        </is>
      </c>
      <c r="D24" s="11" t="inlineStr">
        <is>
          <t>Note</t>
        </is>
      </c>
    </row>
    <row r="25" ht="30" customHeight="1">
      <c r="B25" s="18" t="inlineStr">
        <is>
          <t>Mobile money</t>
        </is>
      </c>
      <c r="C25" s="18" t="inlineStr">
        <is>
          <t>CinetPay, PayDunya, Hub2, PayGate Global, Gozem Pay</t>
        </is>
      </c>
      <c r="D25" s="18" t="inlineStr">
        <is>
          <t>Rails réels : T-Money, Flooz, Gozem Money ; pas de carte bancaire par défaut</t>
        </is>
      </c>
    </row>
    <row r="26" ht="30" customHeight="1">
      <c r="B26" s="18" t="inlineStr">
        <is>
          <t>Signature électronique</t>
        </is>
      </c>
      <c r="C26" s="18" t="inlineStr">
        <is>
          <t>Prestataire togolais accrédité ARCEP (PSC)</t>
        </is>
      </c>
      <c r="D26" s="18" t="inlineStr">
        <is>
          <t>Présomption légale de fiabilité, critère décisif</t>
        </is>
      </c>
    </row>
    <row r="27" ht="30" customHeight="1">
      <c r="B27" s="18" t="inlineStr">
        <is>
          <t>Vérification d'identité</t>
        </is>
      </c>
      <c r="C27" s="18" t="inlineStr">
        <is>
          <t>Capture documentaire, revue humaine, OTP</t>
        </is>
      </c>
      <c r="D27" s="18" t="inlineStr">
        <is>
          <t>Aucune biométrie en v0</t>
        </is>
      </c>
    </row>
    <row r="28" ht="30" customHeight="1">
      <c r="B28" s="18" t="inlineStr">
        <is>
          <t>Registre des entreprises</t>
        </is>
      </c>
      <c r="C28" s="18" t="inlineStr">
        <is>
          <t>CFE / RCCM</t>
        </is>
      </c>
      <c r="D28" s="18" t="inlineStr">
        <is>
          <t>Si aucune API : échange de fichier supervisé</t>
        </is>
      </c>
    </row>
    <row r="29" ht="30" customHeight="1">
      <c r="B29" s="18" t="inlineStr">
        <is>
          <t>Archivage de preuve</t>
        </is>
      </c>
      <c r="C29" s="18" t="inlineStr">
        <is>
          <t>PSAE accrédité</t>
        </is>
      </c>
      <c r="D29" s="18" t="inlineStr">
        <is>
          <t>Valeur probante du NDA</t>
        </is>
      </c>
    </row>
    <row r="30" ht="30" customHeight="1">
      <c r="B30" s="18" t="inlineStr">
        <is>
          <t>Événements et rendez-vous virtuels</t>
        </is>
      </c>
      <c r="C30" s="18" t="inlineStr">
        <is>
          <t>Remo.co</t>
        </is>
      </c>
      <c r="D30" s="18" t="inlineStr">
        <is>
          <t>Connecteur externe pour Deal-Connect et Guichet Diaspora</t>
        </is>
      </c>
    </row>
    <row r="31" ht="30" customHeight="1">
      <c r="B31" s="18" t="inlineStr">
        <is>
          <t>Fiscalité</t>
        </is>
      </c>
      <c r="C31" s="18" t="inlineStr">
        <is>
          <t>TaxeFacile, confirmé en réunion</t>
        </is>
      </c>
      <c r="D31" s="18" t="inlineStr">
        <is>
          <t>Service du catalogue ; intégration et responsabilités à préciser (A20)</t>
        </is>
      </c>
    </row>
    <row r="33" ht="22" customHeight="1">
      <c r="B33" s="19" t="inlineStr">
        <is>
          <t>6. Exigences transverses</t>
        </is>
      </c>
    </row>
    <row r="34" ht="24" customHeight="1">
      <c r="B34" s="11" t="inlineStr">
        <is>
          <t>Domaine</t>
        </is>
      </c>
      <c r="C34" s="11" t="inlineStr">
        <is>
          <t>Exigence</t>
        </is>
      </c>
    </row>
    <row r="35" ht="30" customHeight="1">
      <c r="B35" s="18" t="inlineStr">
        <is>
          <t>Disponibilité</t>
        </is>
      </c>
      <c r="C35" s="18" t="inlineStr">
        <is>
          <t>99,5 % mensuel, obligation de résultat contractuelle ; RPO 1 h, RTO 4 h ; priorités P1 à P4 avec délais</t>
        </is>
      </c>
    </row>
    <row r="36" ht="30" customHeight="1">
      <c r="B36" s="18" t="inlineStr">
        <is>
          <t>Capacité pilote</t>
        </is>
      </c>
      <c r="C36" s="18" t="inlineStr">
        <is>
          <t>2 000 comptes, 300 sessions concurrentes, 200 deals actifs, 20 000 documents ; test de charge à 2x ; ne pas sur-construire</t>
        </is>
      </c>
    </row>
    <row r="37" ht="30" customHeight="1">
      <c r="B37" s="18" t="inlineStr">
        <is>
          <t>Sécurité</t>
        </is>
      </c>
      <c r="C37" s="18" t="inlineStr">
        <is>
          <t>TLS 1.3, AES-256, chiffrement applicatif des champs CONFIDENTIAL_DEAL, séparation VDR / marketplace, idempotence des webhooks, pentest</t>
        </is>
      </c>
    </row>
    <row r="38" ht="30" customHeight="1">
      <c r="B38" s="18" t="inlineStr">
        <is>
          <t>Localisation</t>
        </is>
      </c>
      <c r="C38" s="18" t="inlineStr">
        <is>
          <t>Français langue source, formats FCFA sans décimale, termes OHADA jamais traduits, dates DD/MM/YYYY</t>
        </is>
      </c>
    </row>
    <row r="39" ht="30" customHeight="1">
      <c r="B39" s="18" t="inlineStr">
        <is>
          <t>Ingénierie</t>
        </is>
      </c>
      <c r="C39" s="18" t="inlineStr">
        <is>
          <t>Monorepo apps/ et packages/, RPS déployé séparément, REST /v1, UUIDv7, montants en entier XOF, pagination par curseur</t>
        </is>
      </c>
    </row>
    <row r="41" ht="22" customHeight="1">
      <c r="B41" s="19" t="inlineStr">
        <is>
          <t>7. Hors périmètre v0 (à ne pas construire maintenant)</t>
        </is>
      </c>
    </row>
    <row r="42" ht="24" customHeight="1">
      <c r="B42" s="11" t="inlineStr">
        <is>
          <t>Élément</t>
        </is>
      </c>
      <c r="C42" s="11" t="inlineStr">
        <is>
          <t>Statut</t>
        </is>
      </c>
      <c r="D42" s="11" t="inlineStr">
        <is>
          <t>Raison</t>
        </is>
      </c>
    </row>
    <row r="43" ht="30" customHeight="1">
      <c r="B43" s="18" t="inlineStr">
        <is>
          <t>Deal-Pay et séquestre (escrow)</t>
        </is>
      </c>
      <c r="C43" s="18" t="inlineStr">
        <is>
          <t>Hors périmètre v0</t>
        </is>
      </c>
      <c r="D43" s="18" t="inlineStr">
        <is>
          <t>Frontière d'intégration partenaire licencié désactivée ; avenant requis</t>
        </is>
      </c>
    </row>
    <row r="44" ht="30" customHeight="1">
      <c r="B44" s="18" t="inlineStr">
        <is>
          <t>Valorisation algorithmique automatique</t>
        </is>
      </c>
      <c r="C44" s="18" t="inlineStr">
        <is>
          <t>Hors périmètre v0</t>
        </is>
      </c>
      <c r="D44" s="18" t="inlineStr">
        <is>
          <t>Le v0 interdit toute fourchette présentée comme un avis DealPME</t>
        </is>
      </c>
    </row>
    <row r="45" ht="30" customHeight="1">
      <c r="B45" s="18" t="inlineStr">
        <is>
          <t>Certification automatique / score de readiness</t>
        </is>
      </c>
      <c r="C45" s="18" t="inlineStr">
        <is>
          <t>Hors périmètre v0</t>
        </is>
      </c>
      <c r="D45" s="18" t="inlineStr">
        <is>
          <t>Décision nominative CCI-Togo obligatoire</t>
        </is>
      </c>
    </row>
    <row r="46" ht="30" customHeight="1">
      <c r="B46" s="18" t="inlineStr">
        <is>
          <t>KYC biométrique</t>
        </is>
      </c>
      <c r="C46" s="18" t="inlineStr">
        <is>
          <t>Différé (P2)</t>
        </is>
      </c>
      <c r="D46" s="18" t="inlineStr">
        <is>
          <t>Activable après autorisation IPDCP, sous drapeau fonctionnel</t>
        </is>
      </c>
    </row>
    <row r="47" ht="30" customHeight="1">
      <c r="B47" s="18" t="inlineStr">
        <is>
          <t>Broker Agency Hub multi-tenant</t>
        </is>
      </c>
      <c r="C47" s="18" t="inlineStr">
        <is>
          <t>Hors périmètre v0</t>
        </is>
      </c>
      <c r="D47" s="18" t="inlineStr">
        <is>
          <t>Pas de compte maître de cabinet M&amp;A dans le v0</t>
        </is>
      </c>
    </row>
    <row r="48" ht="30" customHeight="1">
      <c r="B48" s="18" t="inlineStr">
        <is>
          <t>Marques globales génériques (Stripe, DocuSign, SumSub, Ecobank)</t>
        </is>
      </c>
      <c r="C48" s="18" t="inlineStr">
        <is>
          <t>Hors périmètre v0</t>
        </is>
      </c>
      <c r="D48" s="18" t="inlineStr">
        <is>
          <t>Remplacées par des vendeurs locaux réels</t>
        </is>
      </c>
    </row>
    <row r="50" ht="22" customHeight="1">
      <c r="B50" s="19" t="inlineStr">
        <is>
          <t>8. Décisions actées</t>
        </is>
      </c>
    </row>
    <row r="51" ht="18" customHeight="1">
      <c r="B51" s="20" t="inlineStr">
        <is>
          <t>- Le cahier des charges v0 et le Référentiel P04 à P25 sont la cible finale ; le blueprint v5 n'est pas retenu.</t>
        </is>
      </c>
    </row>
    <row r="52" ht="18" customHeight="1">
      <c r="B52" s="20" t="inlineStr">
        <is>
          <t>- Remo.co est retenu comme connecteur externe pour les salons et rendez-vous virtuels ; intégration dès V1, billetterie et sponsoring en V4.</t>
        </is>
      </c>
    </row>
    <row r="53" ht="18" customHeight="1">
      <c r="B53" s="20"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4.xml><?xml version="1.0" encoding="utf-8"?>
<worksheet xmlns="http://schemas.openxmlformats.org/spreadsheetml/2006/main">
  <sheetPr>
    <tabColor rgb="001C2751"/>
    <outlinePr summaryBelow="1" summaryRight="1"/>
    <pageSetUpPr/>
  </sheetPr>
  <dimension ref="B2:I16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20"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20" t="inlineStr">
        <is>
          <t>+ Authentification et rôles : cédant, investisseur, agent CCI-Togo, administrateur</t>
        </is>
      </c>
      <c r="F10" s="29" t="inlineStr">
        <is>
          <t>- Circuit RPS réel : admission humaine, compteur, plafond, journal réglementaire (V2)</t>
        </is>
      </c>
    </row>
    <row r="11" ht="30" customHeight="1">
      <c r="B11" s="20" t="inlineStr">
        <is>
          <t>+ Espace CCI-Togo : confirmation d'adhésion, vérification RCCM/CFE, décision de certification nominative</t>
        </is>
      </c>
      <c r="F11" s="29" t="inlineStr">
        <is>
          <t>- Data room chiffrée, filigranée, révocable et Q&amp;R (V2)</t>
        </is>
      </c>
    </row>
    <row r="12" ht="30" customHeight="1">
      <c r="B12" s="20" t="inlineStr">
        <is>
          <t>+ Pass Transmission : constitution du dossier cédant</t>
        </is>
      </c>
      <c r="F12" s="29" t="inlineStr">
        <is>
          <t>- Moteur d'honoraires et rétrocession CCI (V3)</t>
        </is>
      </c>
    </row>
    <row r="13" ht="30" customHeight="1">
      <c r="B13" s="20"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20" t="inlineStr">
        <is>
          <t>+ Évaluation financière sommaire et indicative</t>
        </is>
      </c>
    </row>
    <row r="15" ht="30" customHeight="1">
      <c r="B15" s="20" t="inlineStr">
        <is>
          <t>+ Badge Deal-Ready affiché, workflow porté par la CCI-Togo</t>
        </is>
      </c>
    </row>
    <row r="16" ht="30" customHeight="1">
      <c r="B16" s="20" t="inlineStr">
        <is>
          <t>+ Démonstration maquettée du blocage RPS (bannière de nullité, scénario scripté)</t>
        </is>
      </c>
    </row>
    <row r="17" ht="30" customHeight="1">
      <c r="B17" s="20" t="inlineStr">
        <is>
          <t>+ Deal-Connect via Remo.co : événements, inscriptions avec consentement, lien d'accès unique, présence par webhook</t>
        </is>
      </c>
    </row>
    <row r="18" ht="30" customHeight="1">
      <c r="B18" s="20" t="inlineStr">
        <is>
          <t>+ Console organisateur, branding par événement et réservation du compte partagé ; qualification des limites et prototype de captation</t>
        </is>
      </c>
    </row>
    <row r="19" ht="30" customHeight="1">
      <c r="B19" s="20" t="inlineStr">
        <is>
          <t>+ Email Mailpit, boîte SMS et mock CFE locaux ; mode CFE manuel quand l'API est désactivée</t>
        </is>
      </c>
    </row>
    <row r="20" ht="30" customHeight="1">
      <c r="B20" s="20" t="inlineStr">
        <is>
          <t>+ Guichet Diaspora léger : demande de rendez-vous avec avis transfrontalier, entretien vidéo Remo après confirmation humaine</t>
        </is>
      </c>
    </row>
    <row r="21" ht="30" customHeight="1">
      <c r="B21" s="20" t="inlineStr">
        <is>
          <t>+ Lot Sécurité : RLS effective, anti-force-brute, MFA officiers et administrateurs, chiffrement applicatif, en-têtes, idempotence et signatures de webhooks, revue interne</t>
        </is>
      </c>
    </row>
    <row r="23" ht="24" customHeight="1">
      <c r="B23" s="11" t="inlineStr">
        <is>
          <t>Lot</t>
        </is>
      </c>
      <c r="C23" s="11" t="inlineStr">
        <is>
          <t>Charge (j/p)</t>
        </is>
      </c>
      <c r="D23" s="11" t="inlineStr">
        <is>
          <t>Réalisé (j/p)</t>
        </is>
      </c>
      <c r="E23" s="11" t="inlineStr">
        <is>
          <t>Avancement</t>
        </is>
      </c>
      <c r="F23" s="11" t="inlineStr">
        <is>
          <t>Tâches</t>
        </is>
      </c>
      <c r="G23" s="11" t="inlineStr">
        <is>
          <t>Complétées</t>
        </is>
      </c>
      <c r="H23" s="11" t="inlineStr">
        <is>
          <t>Bloquées</t>
        </is>
      </c>
      <c r="I23" s="11" t="inlineStr">
        <is>
          <t>En retard</t>
        </is>
      </c>
    </row>
    <row r="24">
      <c r="B24" s="13" t="inlineStr">
        <is>
          <t>Conception</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Fondations</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Auth et rôles</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Espace CCI-Togo</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Deal-Ready</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Dossier cédant</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Marketplace actifs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Évaluation indicative</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Démonstration RPS</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Deal-Connect (Remo)</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Sécurité</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13" t="inlineStr">
        <is>
          <t>Frontend et design</t>
        </is>
      </c>
      <c r="C35" s="12">
        <f>SUMIFS(Taches!$M$6:$M$325,Taches!$C$6:$C$325,"V1",Taches!$E$6:$E$325,$B35)</f>
        <v/>
      </c>
      <c r="D35" s="15">
        <f>SUMIFS(Taches!$N$6:$N$325,Taches!$C$6:$C$325,"V1",Taches!$E$6:$E$325,$B35)</f>
        <v/>
      </c>
      <c r="E35" s="16">
        <f>IF(C35=0,0,D35/C35)</f>
        <v/>
      </c>
      <c r="F35" s="12">
        <f>COUNTIFS(Taches!$C$6:$C$325,"V1",Taches!$E$6:$E$325,$B35,Taches!$J$6:$J$325,"&lt;&gt;Abandonnée",Taches!$B$6:$B$325,"&lt;&gt;")</f>
        <v/>
      </c>
      <c r="G35" s="12">
        <f>COUNTIFS(Taches!$C$6:$C$325,"V1",Taches!$E$6:$E$325,$B35,Taches!$J$6:$J$325,"Complétée")</f>
        <v/>
      </c>
      <c r="H35" s="12">
        <f>COUNTIFS(Taches!$C$6:$C$325,"V1",Taches!$E$6:$E$325,$B35,Taches!$J$6:$J$325,"Bloquée")</f>
        <v/>
      </c>
      <c r="I35" s="12">
        <f>COUNTIFS(Taches!$C$6:$C$325,"V1",Taches!$E$6:$E$325,$B35,Taches!$U$6:$U$325,"En retard")</f>
        <v/>
      </c>
    </row>
    <row r="36">
      <c r="B36" s="13" t="inlineStr">
        <is>
          <t>Finition frontend</t>
        </is>
      </c>
      <c r="C36" s="12">
        <f>SUMIFS(Taches!$M$6:$M$325,Taches!$C$6:$C$325,"V1",Taches!$E$6:$E$325,$B36)</f>
        <v/>
      </c>
      <c r="D36" s="15">
        <f>SUMIFS(Taches!$N$6:$N$325,Taches!$C$6:$C$325,"V1",Taches!$E$6:$E$325,$B36)</f>
        <v/>
      </c>
      <c r="E36" s="16">
        <f>IF(C36=0,0,D36/C36)</f>
        <v/>
      </c>
      <c r="F36" s="12">
        <f>COUNTIFS(Taches!$C$6:$C$325,"V1",Taches!$E$6:$E$325,$B36,Taches!$J$6:$J$325,"&lt;&gt;Abandonnée",Taches!$B$6:$B$325,"&lt;&gt;")</f>
        <v/>
      </c>
      <c r="G36" s="12">
        <f>COUNTIFS(Taches!$C$6:$C$325,"V1",Taches!$E$6:$E$325,$B36,Taches!$J$6:$J$325,"Complétée")</f>
        <v/>
      </c>
      <c r="H36" s="12">
        <f>COUNTIFS(Taches!$C$6:$C$325,"V1",Taches!$E$6:$E$325,$B36,Taches!$J$6:$J$325,"Bloquée")</f>
        <v/>
      </c>
      <c r="I36" s="12">
        <f>COUNTIFS(Taches!$C$6:$C$325,"V1",Taches!$E$6:$E$325,$B36,Taches!$U$6:$U$325,"En retard")</f>
        <v/>
      </c>
    </row>
    <row r="37">
      <c r="B37" s="13" t="inlineStr">
        <is>
          <t>QA et livraison</t>
        </is>
      </c>
      <c r="C37" s="12">
        <f>SUMIFS(Taches!$M$6:$M$325,Taches!$C$6:$C$325,"V1",Taches!$E$6:$E$325,$B37)</f>
        <v/>
      </c>
      <c r="D37" s="15">
        <f>SUMIFS(Taches!$N$6:$N$325,Taches!$C$6:$C$325,"V1",Taches!$E$6:$E$325,$B37)</f>
        <v/>
      </c>
      <c r="E37" s="16">
        <f>IF(C37=0,0,D37/C37)</f>
        <v/>
      </c>
      <c r="F37" s="12">
        <f>COUNTIFS(Taches!$C$6:$C$325,"V1",Taches!$E$6:$E$325,$B37,Taches!$J$6:$J$325,"&lt;&gt;Abandonnée",Taches!$B$6:$B$325,"&lt;&gt;")</f>
        <v/>
      </c>
      <c r="G37" s="12">
        <f>COUNTIFS(Taches!$C$6:$C$325,"V1",Taches!$E$6:$E$325,$B37,Taches!$J$6:$J$325,"Complétée")</f>
        <v/>
      </c>
      <c r="H37" s="12">
        <f>COUNTIFS(Taches!$C$6:$C$325,"V1",Taches!$E$6:$E$325,$B37,Taches!$J$6:$J$325,"Bloquée")</f>
        <v/>
      </c>
      <c r="I37" s="12">
        <f>COUNTIFS(Taches!$C$6:$C$325,"V1",Taches!$E$6:$E$325,$B37,Taches!$U$6:$U$325,"En retard")</f>
        <v/>
      </c>
    </row>
    <row r="38">
      <c r="B38" s="30" t="inlineStr">
        <is>
          <t>Total V1</t>
        </is>
      </c>
      <c r="C38" s="30">
        <f>SUM(C24:C37)</f>
        <v/>
      </c>
      <c r="D38" s="31">
        <f>SUM(D24:D37)</f>
        <v/>
      </c>
      <c r="E38" s="32">
        <f>IF(C38=0,0,D38/C38)</f>
        <v/>
      </c>
      <c r="F38" s="30">
        <f>SUM(F24:F37)</f>
        <v/>
      </c>
      <c r="G38" s="30">
        <f>SUM(G24:G37)</f>
        <v/>
      </c>
      <c r="H38" s="30">
        <f>SUM(H24:H37)</f>
        <v/>
      </c>
      <c r="I38" s="30">
        <f>SUM(I24:I37)</f>
        <v/>
      </c>
    </row>
    <row r="40">
      <c r="B40" s="3" t="inlineStr">
        <is>
          <t>Prérequis</t>
        </is>
      </c>
    </row>
    <row r="41" ht="30" customHeight="1">
      <c r="B41" s="20" t="inlineStr">
        <is>
          <t>Capacité et responsables ; mocks locaux pour avancer ; accès fournisseur pour les recettes réelles ; références de design disponibles, revue ciblée du designer ; serveur à confirmer.</t>
        </is>
      </c>
    </row>
    <row r="42">
      <c r="B42" s="3" t="inlineStr">
        <is>
          <t>Décision ou règle</t>
        </is>
      </c>
    </row>
    <row r="43" ht="36" customHeight="1">
      <c r="B43" s="33" t="inlineStr">
        <is>
          <t>Conserver la démo RPS déjà implémentée. Priorité à la messagerie bidirectionnelle, l'audit durable, aux notifications, à la CI et aux preuves navigateur ; validation métier avant le 15/10.</t>
        </is>
      </c>
      <c r="C43" s="34" t="n"/>
      <c r="D43" s="34" t="n"/>
      <c r="E43" s="34" t="n"/>
      <c r="F43" s="34" t="n"/>
      <c r="G43" s="34" t="n"/>
      <c r="H43" s="34" t="n"/>
      <c r="I43" s="34" t="n"/>
    </row>
    <row r="46" ht="26" customHeight="1">
      <c r="B46" s="22" t="inlineStr">
        <is>
          <t>V2  Cession de titres en cercle restreint (RPS réel), signature électronique, data room et Q&amp;R</t>
        </is>
      </c>
    </row>
    <row r="47" ht="28" customHeight="1">
      <c r="B47" s="23" t="inlineStr">
        <is>
          <t>Début prévu</t>
        </is>
      </c>
      <c r="C47" s="23" t="inlineStr">
        <is>
          <t>Fin prévue</t>
        </is>
      </c>
      <c r="D47" s="23" t="inlineStr">
        <is>
          <t>Charge (j/p)</t>
        </is>
      </c>
      <c r="E47" s="23" t="inlineStr">
        <is>
          <t>Charge (sem.-pers.)</t>
        </is>
      </c>
      <c r="F47" s="23" t="inlineStr">
        <is>
          <t>Avancement</t>
        </is>
      </c>
      <c r="G47" s="23" t="inlineStr">
        <is>
          <t>État</t>
        </is>
      </c>
      <c r="H47" s="23" t="inlineStr">
        <is>
          <t>Semaines calendaires</t>
        </is>
      </c>
      <c r="I47" s="23" t="inlineStr">
        <is>
          <t>ETP requis à pleine cadence</t>
        </is>
      </c>
    </row>
    <row r="48">
      <c r="B48" s="24">
        <f>Versions!D7</f>
        <v/>
      </c>
      <c r="C48" s="24">
        <f>Versions!E7</f>
        <v/>
      </c>
      <c r="D48" s="25">
        <f>Versions!G7</f>
        <v/>
      </c>
      <c r="E48" s="26">
        <f>Versions!H7</f>
        <v/>
      </c>
      <c r="F48" s="27">
        <f>Versions!J7</f>
        <v/>
      </c>
      <c r="G48" s="28">
        <f>Versions!P7</f>
        <v/>
      </c>
      <c r="H48" s="26">
        <f>ROUND((Versions!E7-Versions!D7)/7,1)</f>
        <v/>
      </c>
      <c r="I48" s="26">
        <f>IFERROR(ROUND(Versions!H7/((Versions!E7-Versions!D7)/7),1),0)</f>
        <v/>
      </c>
    </row>
    <row r="49" ht="48" customHeight="1">
      <c r="B49" s="20" t="inlineStr">
        <is>
          <t>Le cœur du différenciateur produit : le moteur RPS complet pour les cessions de titres et la data room. Prérequis à toute diligence réelle.</t>
        </is>
      </c>
    </row>
    <row r="50">
      <c r="B50" s="3" t="inlineStr">
        <is>
          <t>Inclus</t>
        </is>
      </c>
      <c r="F50" s="3" t="inlineStr">
        <is>
          <t>Exclu ou reporté</t>
        </is>
      </c>
    </row>
    <row r="51" ht="30" customHeight="1">
      <c r="B51" s="20" t="inlineStr">
        <is>
          <t>+ Circuit RPS complet : admission humaine, plafond de cercle (défaut 50), journal réglementaire haché</t>
        </is>
      </c>
      <c r="F51" s="29" t="inlineStr">
        <is>
          <t>- Négociation, LOI, audit d'acquisition et réalisation (V3)</t>
        </is>
      </c>
    </row>
    <row r="52" ht="30" customHeight="1">
      <c r="B52" s="20" t="inlineStr">
        <is>
          <t>+ Signature électronique et preuve : prestataire PSC togolais, repli papier, archivage PSAE</t>
        </is>
      </c>
      <c r="F52" s="29" t="inlineStr">
        <is>
          <t>- Génération documentaire LegalTech (V3)</t>
        </is>
      </c>
    </row>
    <row r="53" ht="30" customHeight="1">
      <c r="B53" s="20" t="inlineStr">
        <is>
          <t>+ Data room : arborescence OHADA, rendu serveur, filigrane dynamique, téléchargement contrôlé, révocation en moins de 60 s</t>
        </is>
      </c>
    </row>
    <row r="54" ht="30" customHeight="1">
      <c r="B54" s="20" t="inlineStr">
        <is>
          <t>+ Fils de questions-réponses par document</t>
        </is>
      </c>
    </row>
    <row r="55" ht="30" customHeight="1">
      <c r="B55" s="20" t="inlineStr">
        <is>
          <t>+ Mini-réunions privées depuis les dossiers ; socle réutilisable captation/transcription/rapports, sous capacités vérifiées</t>
        </is>
      </c>
    </row>
    <row r="57" ht="24" customHeight="1">
      <c r="B57" s="11" t="inlineStr">
        <is>
          <t>Lot</t>
        </is>
      </c>
      <c r="C57" s="11" t="inlineStr">
        <is>
          <t>Charge (j/p)</t>
        </is>
      </c>
      <c r="D57" s="11" t="inlineStr">
        <is>
          <t>Réalisé (j/p)</t>
        </is>
      </c>
      <c r="E57" s="11" t="inlineStr">
        <is>
          <t>Avancement</t>
        </is>
      </c>
      <c r="F57" s="11" t="inlineStr">
        <is>
          <t>Tâches</t>
        </is>
      </c>
      <c r="G57" s="11" t="inlineStr">
        <is>
          <t>Complétées</t>
        </is>
      </c>
      <c r="H57" s="11" t="inlineStr">
        <is>
          <t>Bloquées</t>
        </is>
      </c>
      <c r="I57" s="11" t="inlineStr">
        <is>
          <t>En retard</t>
        </is>
      </c>
    </row>
    <row r="58">
      <c r="B58" s="13" t="inlineStr">
        <is>
          <t>Conception</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Mise en relation</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13" t="inlineStr">
        <is>
          <t>Circuit RPS réel</t>
        </is>
      </c>
      <c r="C60" s="12">
        <f>SUMIFS(Taches!$M$6:$M$325,Taches!$C$6:$C$325,"V2",Taches!$E$6:$E$325,$B60)</f>
        <v/>
      </c>
      <c r="D60" s="15">
        <f>SUMIFS(Taches!$N$6:$N$325,Taches!$C$6:$C$325,"V2",Taches!$E$6:$E$325,$B60)</f>
        <v/>
      </c>
      <c r="E60" s="16">
        <f>IF(C60=0,0,D60/C60)</f>
        <v/>
      </c>
      <c r="F60" s="12">
        <f>COUNTIFS(Taches!$C$6:$C$325,"V2",Taches!$E$6:$E$325,$B60,Taches!$J$6:$J$325,"&lt;&gt;Abandonnée",Taches!$B$6:$B$325,"&lt;&gt;")</f>
        <v/>
      </c>
      <c r="G60" s="12">
        <f>COUNTIFS(Taches!$C$6:$C$325,"V2",Taches!$E$6:$E$325,$B60,Taches!$J$6:$J$325,"Complétée")</f>
        <v/>
      </c>
      <c r="H60" s="12">
        <f>COUNTIFS(Taches!$C$6:$C$325,"V2",Taches!$E$6:$E$325,$B60,Taches!$J$6:$J$325,"Bloquée")</f>
        <v/>
      </c>
      <c r="I60" s="12">
        <f>COUNTIFS(Taches!$C$6:$C$325,"V2",Taches!$E$6:$E$325,$B60,Taches!$U$6:$U$325,"En retard")</f>
        <v/>
      </c>
    </row>
    <row r="61">
      <c r="B61" s="13" t="inlineStr">
        <is>
          <t>Signature électronique</t>
        </is>
      </c>
      <c r="C61" s="12">
        <f>SUMIFS(Taches!$M$6:$M$325,Taches!$C$6:$C$325,"V2",Taches!$E$6:$E$325,$B61)</f>
        <v/>
      </c>
      <c r="D61" s="15">
        <f>SUMIFS(Taches!$N$6:$N$325,Taches!$C$6:$C$325,"V2",Taches!$E$6:$E$325,$B61)</f>
        <v/>
      </c>
      <c r="E61" s="16">
        <f>IF(C61=0,0,D61/C61)</f>
        <v/>
      </c>
      <c r="F61" s="12">
        <f>COUNTIFS(Taches!$C$6:$C$325,"V2",Taches!$E$6:$E$325,$B61,Taches!$J$6:$J$325,"&lt;&gt;Abandonnée",Taches!$B$6:$B$325,"&lt;&gt;")</f>
        <v/>
      </c>
      <c r="G61" s="12">
        <f>COUNTIFS(Taches!$C$6:$C$325,"V2",Taches!$E$6:$E$325,$B61,Taches!$J$6:$J$325,"Complétée")</f>
        <v/>
      </c>
      <c r="H61" s="12">
        <f>COUNTIFS(Taches!$C$6:$C$325,"V2",Taches!$E$6:$E$325,$B61,Taches!$J$6:$J$325,"Bloquée")</f>
        <v/>
      </c>
      <c r="I61" s="12">
        <f>COUNTIFS(Taches!$C$6:$C$325,"V2",Taches!$E$6:$E$325,$B61,Taches!$U$6:$U$325,"En retard")</f>
        <v/>
      </c>
    </row>
    <row r="62">
      <c r="B62" s="13" t="inlineStr">
        <is>
          <t>Data room</t>
        </is>
      </c>
      <c r="C62" s="12">
        <f>SUMIFS(Taches!$M$6:$M$325,Taches!$C$6:$C$325,"V2",Taches!$E$6:$E$325,$B62)</f>
        <v/>
      </c>
      <c r="D62" s="15">
        <f>SUMIFS(Taches!$N$6:$N$325,Taches!$C$6:$C$325,"V2",Taches!$E$6:$E$325,$B62)</f>
        <v/>
      </c>
      <c r="E62" s="16">
        <f>IF(C62=0,0,D62/C62)</f>
        <v/>
      </c>
      <c r="F62" s="12">
        <f>COUNTIFS(Taches!$C$6:$C$325,"V2",Taches!$E$6:$E$325,$B62,Taches!$J$6:$J$325,"&lt;&gt;Abandonnée",Taches!$B$6:$B$325,"&lt;&gt;")</f>
        <v/>
      </c>
      <c r="G62" s="12">
        <f>COUNTIFS(Taches!$C$6:$C$325,"V2",Taches!$E$6:$E$325,$B62,Taches!$J$6:$J$325,"Complétée")</f>
        <v/>
      </c>
      <c r="H62" s="12">
        <f>COUNTIFS(Taches!$C$6:$C$325,"V2",Taches!$E$6:$E$325,$B62,Taches!$J$6:$J$325,"Bloquée")</f>
        <v/>
      </c>
      <c r="I62" s="12">
        <f>COUNTIFS(Taches!$C$6:$C$325,"V2",Taches!$E$6:$E$325,$B62,Taches!$U$6:$U$325,"En retard")</f>
        <v/>
      </c>
    </row>
    <row r="63">
      <c r="B63" s="13" t="inlineStr">
        <is>
          <t>Questions-réponses</t>
        </is>
      </c>
      <c r="C63" s="12">
        <f>SUMIFS(Taches!$M$6:$M$325,Taches!$C$6:$C$325,"V2",Taches!$E$6:$E$325,$B63)</f>
        <v/>
      </c>
      <c r="D63" s="15">
        <f>SUMIFS(Taches!$N$6:$N$325,Taches!$C$6:$C$325,"V2",Taches!$E$6:$E$325,$B63)</f>
        <v/>
      </c>
      <c r="E63" s="16">
        <f>IF(C63=0,0,D63/C63)</f>
        <v/>
      </c>
      <c r="F63" s="12">
        <f>COUNTIFS(Taches!$C$6:$C$325,"V2",Taches!$E$6:$E$325,$B63,Taches!$J$6:$J$325,"&lt;&gt;Abandonnée",Taches!$B$6:$B$325,"&lt;&gt;")</f>
        <v/>
      </c>
      <c r="G63" s="12">
        <f>COUNTIFS(Taches!$C$6:$C$325,"V2",Taches!$E$6:$E$325,$B63,Taches!$J$6:$J$325,"Complétée")</f>
        <v/>
      </c>
      <c r="H63" s="12">
        <f>COUNTIFS(Taches!$C$6:$C$325,"V2",Taches!$E$6:$E$325,$B63,Taches!$J$6:$J$325,"Bloquée")</f>
        <v/>
      </c>
      <c r="I63" s="12">
        <f>COUNTIFS(Taches!$C$6:$C$325,"V2",Taches!$E$6:$E$325,$B63,Taches!$U$6:$U$325,"En retard")</f>
        <v/>
      </c>
    </row>
    <row r="64">
      <c r="B64" s="13" t="inlineStr">
        <is>
          <t>Réunions et comptes rendus</t>
        </is>
      </c>
      <c r="C64" s="12">
        <f>SUMIFS(Taches!$M$6:$M$325,Taches!$C$6:$C$325,"V2",Taches!$E$6:$E$325,$B64)</f>
        <v/>
      </c>
      <c r="D64" s="15">
        <f>SUMIFS(Taches!$N$6:$N$325,Taches!$C$6:$C$325,"V2",Taches!$E$6:$E$325,$B64)</f>
        <v/>
      </c>
      <c r="E64" s="16">
        <f>IF(C64=0,0,D64/C64)</f>
        <v/>
      </c>
      <c r="F64" s="12">
        <f>COUNTIFS(Taches!$C$6:$C$325,"V2",Taches!$E$6:$E$325,$B64,Taches!$J$6:$J$325,"&lt;&gt;Abandonnée",Taches!$B$6:$B$325,"&lt;&gt;")</f>
        <v/>
      </c>
      <c r="G64" s="12">
        <f>COUNTIFS(Taches!$C$6:$C$325,"V2",Taches!$E$6:$E$325,$B64,Taches!$J$6:$J$325,"Complétée")</f>
        <v/>
      </c>
      <c r="H64" s="12">
        <f>COUNTIFS(Taches!$C$6:$C$325,"V2",Taches!$E$6:$E$325,$B64,Taches!$J$6:$J$325,"Bloquée")</f>
        <v/>
      </c>
      <c r="I64" s="12">
        <f>COUNTIFS(Taches!$C$6:$C$325,"V2",Taches!$E$6:$E$325,$B64,Taches!$U$6:$U$325,"En retard")</f>
        <v/>
      </c>
    </row>
    <row r="65">
      <c r="B65" s="13" t="inlineStr">
        <is>
          <t>QA et sécurité</t>
        </is>
      </c>
      <c r="C65" s="12">
        <f>SUMIFS(Taches!$M$6:$M$325,Taches!$C$6:$C$325,"V2",Taches!$E$6:$E$325,$B65)</f>
        <v/>
      </c>
      <c r="D65" s="15">
        <f>SUMIFS(Taches!$N$6:$N$325,Taches!$C$6:$C$325,"V2",Taches!$E$6:$E$325,$B65)</f>
        <v/>
      </c>
      <c r="E65" s="16">
        <f>IF(C65=0,0,D65/C65)</f>
        <v/>
      </c>
      <c r="F65" s="12">
        <f>COUNTIFS(Taches!$C$6:$C$325,"V2",Taches!$E$6:$E$325,$B65,Taches!$J$6:$J$325,"&lt;&gt;Abandonnée",Taches!$B$6:$B$325,"&lt;&gt;")</f>
        <v/>
      </c>
      <c r="G65" s="12">
        <f>COUNTIFS(Taches!$C$6:$C$325,"V2",Taches!$E$6:$E$325,$B65,Taches!$J$6:$J$325,"Complétée")</f>
        <v/>
      </c>
      <c r="H65" s="12">
        <f>COUNTIFS(Taches!$C$6:$C$325,"V2",Taches!$E$6:$E$325,$B65,Taches!$J$6:$J$325,"Bloquée")</f>
        <v/>
      </c>
      <c r="I65" s="12">
        <f>COUNTIFS(Taches!$C$6:$C$325,"V2",Taches!$E$6:$E$325,$B65,Taches!$U$6:$U$325,"En retard")</f>
        <v/>
      </c>
    </row>
    <row r="66">
      <c r="B66" s="30" t="inlineStr">
        <is>
          <t>Total V2</t>
        </is>
      </c>
      <c r="C66" s="30">
        <f>SUM(C58:C65)</f>
        <v/>
      </c>
      <c r="D66" s="31">
        <f>SUM(D58:D65)</f>
        <v/>
      </c>
      <c r="E66" s="32">
        <f>IF(C66=0,0,D66/C66)</f>
        <v/>
      </c>
      <c r="F66" s="30">
        <f>SUM(F58:F65)</f>
        <v/>
      </c>
      <c r="G66" s="30">
        <f>SUM(G58:G65)</f>
        <v/>
      </c>
      <c r="H66" s="30">
        <f>SUM(H58:H65)</f>
        <v/>
      </c>
      <c r="I66" s="30">
        <f>SUM(I58:I65)</f>
        <v/>
      </c>
    </row>
    <row r="68">
      <c r="B68" s="3" t="inlineStr">
        <is>
          <t>Prérequis</t>
        </is>
      </c>
    </row>
    <row r="69" ht="30" customHeight="1">
      <c r="B69" s="20" t="inlineStr">
        <is>
          <t>V1 stabilisée ; identité documentaire et qualification ; RPS durci puis branché ; contrat PSC/PSAE et NDA revu juridiquement en V2.</t>
        </is>
      </c>
    </row>
    <row r="70">
      <c r="B70" s="3" t="inlineStr">
        <is>
          <t>Décision ou règle</t>
        </is>
      </c>
    </row>
    <row r="71" ht="36" customHeight="1">
      <c r="B71" s="33" t="inlineStr">
        <is>
          <t>Construire une tranche complète qualification &gt; admission &gt; NDA &gt; T2 &gt; document &gt; révocation. Les tests IA exécutables restent en V5 ; leurs contrats sont préparés en V2.</t>
        </is>
      </c>
      <c r="C71" s="34" t="n"/>
      <c r="D71" s="34" t="n"/>
      <c r="E71" s="34" t="n"/>
      <c r="F71" s="34" t="n"/>
      <c r="G71" s="34" t="n"/>
      <c r="H71" s="34" t="n"/>
      <c r="I71" s="34" t="n"/>
    </row>
    <row r="74" ht="26" customHeight="1">
      <c r="B74" s="22" t="inlineStr">
        <is>
          <t>V3  Négociation et réalisation, LegalTech OHADA, Finance et rétrocession, support, fermeture des portes de conformité</t>
        </is>
      </c>
    </row>
    <row r="75" ht="28" customHeight="1">
      <c r="B75" s="23" t="inlineStr">
        <is>
          <t>Début prévu</t>
        </is>
      </c>
      <c r="C75" s="23" t="inlineStr">
        <is>
          <t>Fin prévue</t>
        </is>
      </c>
      <c r="D75" s="23" t="inlineStr">
        <is>
          <t>Charge (j/p)</t>
        </is>
      </c>
      <c r="E75" s="23" t="inlineStr">
        <is>
          <t>Charge (sem.-pers.)</t>
        </is>
      </c>
      <c r="F75" s="23" t="inlineStr">
        <is>
          <t>Avancement</t>
        </is>
      </c>
      <c r="G75" s="23" t="inlineStr">
        <is>
          <t>État</t>
        </is>
      </c>
      <c r="H75" s="23" t="inlineStr">
        <is>
          <t>Semaines calendaires</t>
        </is>
      </c>
      <c r="I75" s="23" t="inlineStr">
        <is>
          <t>ETP requis à pleine cadence</t>
        </is>
      </c>
    </row>
    <row r="76">
      <c r="B76" s="24">
        <f>Versions!D8</f>
        <v/>
      </c>
      <c r="C76" s="24">
        <f>Versions!E8</f>
        <v/>
      </c>
      <c r="D76" s="25">
        <f>Versions!G8</f>
        <v/>
      </c>
      <c r="E76" s="26">
        <f>Versions!H8</f>
        <v/>
      </c>
      <c r="F76" s="27">
        <f>Versions!J8</f>
        <v/>
      </c>
      <c r="G76" s="28">
        <f>Versions!P8</f>
        <v/>
      </c>
      <c r="H76" s="26">
        <f>ROUND((Versions!E8-Versions!D8)/7,1)</f>
        <v/>
      </c>
      <c r="I76" s="26">
        <f>IFERROR(ROUND(Versions!H8/((Versions!E8-Versions!D8)/7),1),0)</f>
        <v/>
      </c>
    </row>
    <row r="77" ht="48" customHeight="1">
      <c r="B77" s="20" t="inlineStr">
        <is>
          <t>Ce qui rend une transaction réelle facturable et légalement défendable : négociation et réalisation, LegalTech OHADA, moteur de frais et rétrocession, support, fermeture des dix portes de conformité et durcissement de l'exploitation.</t>
        </is>
      </c>
    </row>
    <row r="78">
      <c r="B78" s="3" t="inlineStr">
        <is>
          <t>Inclus</t>
        </is>
      </c>
      <c r="F78" s="3" t="inlineStr">
        <is>
          <t>Exclu ou reporté</t>
        </is>
      </c>
    </row>
    <row r="79" ht="30" customHeight="1">
      <c r="B79" s="20" t="inlineStr">
        <is>
          <t>+ Offre, contre-offre, LOI et registre des points ouverts d'audit d'acquisition</t>
        </is>
      </c>
      <c r="F79" s="29" t="inlineStr">
        <is>
          <t>- Module Deal-Experts complet (V4 ; articulation des missions antérieures en A04)</t>
        </is>
      </c>
    </row>
    <row r="80" ht="30" customHeight="1">
      <c r="B80" s="20" t="inlineStr">
        <is>
          <t>+ Réalisation documentée sans Deal-Pay natif, création automatique du FeeEvent</t>
        </is>
      </c>
      <c r="F80" s="29" t="inlineStr">
        <is>
          <t>- Modules réseau : Alerte &amp; Rebond, Deal-Connect, Guichet Diaspora (V4)</t>
        </is>
      </c>
    </row>
    <row r="81" ht="30" customHeight="1">
      <c r="B81" s="20" t="inlineStr">
        <is>
          <t>+ LegalTech OHADA : NDA, LOI, pacte simplifié, SPA, cession d'actifs, contrat de travail (droit togolais)</t>
        </is>
      </c>
    </row>
    <row r="82" ht="30" customHeight="1">
      <c r="B82" s="20" t="inlineStr">
        <is>
          <t>+ Finance : barème de frais sous drapeau juridique, rétrocession CCI, journal de calcul recalculable, rapport trimestriel</t>
        </is>
      </c>
    </row>
    <row r="83" ht="30" customHeight="1">
      <c r="B83" s="20" t="inlineStr">
        <is>
          <t>+ Abonnements prépayés, grâce, factures NIF, paiements des services et rapprochement par rail (sans séquestre de cession)</t>
        </is>
      </c>
    </row>
    <row r="84" ht="30" customHeight="1">
      <c r="B84" s="20" t="inlineStr">
        <is>
          <t>+ Catalogue de services, référentiel prestataires commun et parcours TaxeFacile</t>
        </is>
      </c>
    </row>
    <row r="85" ht="30" customHeight="1">
      <c r="B85" s="20" t="inlineStr">
        <is>
          <t>+ Support et accès privilégiés, mode break-glass journalisé</t>
        </is>
      </c>
    </row>
    <row r="86" ht="30" customHeight="1">
      <c r="B86" s="20" t="inlineStr">
        <is>
          <t>+ Portes de conformité G1 à G10 : IPDCP, revues juridiques, DPO, pentest indépendant</t>
        </is>
      </c>
    </row>
    <row r="87" ht="30" customHeight="1">
      <c r="B87" s="20" t="inlineStr">
        <is>
          <t>+ Exploitation : supervision SLA 99,5 %, sauvegardes testées, procédure d'incident</t>
        </is>
      </c>
    </row>
    <row r="89" ht="24" customHeight="1">
      <c r="B89" s="11" t="inlineStr">
        <is>
          <t>Lot</t>
        </is>
      </c>
      <c r="C89" s="11" t="inlineStr">
        <is>
          <t>Charge (j/p)</t>
        </is>
      </c>
      <c r="D89" s="11" t="inlineStr">
        <is>
          <t>Réalisé (j/p)</t>
        </is>
      </c>
      <c r="E89" s="11" t="inlineStr">
        <is>
          <t>Avancement</t>
        </is>
      </c>
      <c r="F89" s="11" t="inlineStr">
        <is>
          <t>Tâches</t>
        </is>
      </c>
      <c r="G89" s="11" t="inlineStr">
        <is>
          <t>Complétées</t>
        </is>
      </c>
      <c r="H89" s="11" t="inlineStr">
        <is>
          <t>Bloquées</t>
        </is>
      </c>
      <c r="I89" s="11" t="inlineStr">
        <is>
          <t>En retard</t>
        </is>
      </c>
    </row>
    <row r="90">
      <c r="B90" s="13" t="inlineStr">
        <is>
          <t>Conception</t>
        </is>
      </c>
      <c r="C90" s="12">
        <f>SUMIFS(Taches!$M$6:$M$325,Taches!$C$6:$C$325,"V3",Taches!$E$6:$E$325,$B90)</f>
        <v/>
      </c>
      <c r="D90" s="15">
        <f>SUMIFS(Taches!$N$6:$N$325,Taches!$C$6:$C$325,"V3",Taches!$E$6:$E$325,$B90)</f>
        <v/>
      </c>
      <c r="E90" s="16">
        <f>IF(C90=0,0,D90/C90)</f>
        <v/>
      </c>
      <c r="F90" s="12">
        <f>COUNTIFS(Taches!$C$6:$C$325,"V3",Taches!$E$6:$E$325,$B90,Taches!$J$6:$J$325,"&lt;&gt;Abandonnée",Taches!$B$6:$B$325,"&lt;&gt;")</f>
        <v/>
      </c>
      <c r="G90" s="12">
        <f>COUNTIFS(Taches!$C$6:$C$325,"V3",Taches!$E$6:$E$325,$B90,Taches!$J$6:$J$325,"Complétée")</f>
        <v/>
      </c>
      <c r="H90" s="12">
        <f>COUNTIFS(Taches!$C$6:$C$325,"V3",Taches!$E$6:$E$325,$B90,Taches!$J$6:$J$325,"Bloquée")</f>
        <v/>
      </c>
      <c r="I90" s="12">
        <f>COUNTIFS(Taches!$C$6:$C$325,"V3",Taches!$E$6:$E$325,$B90,Taches!$U$6:$U$325,"En retard")</f>
        <v/>
      </c>
    </row>
    <row r="91">
      <c r="B91" s="13" t="inlineStr">
        <is>
          <t>LegalTech OHADA</t>
        </is>
      </c>
      <c r="C91" s="12">
        <f>SUMIFS(Taches!$M$6:$M$325,Taches!$C$6:$C$325,"V3",Taches!$E$6:$E$325,$B91)</f>
        <v/>
      </c>
      <c r="D91" s="15">
        <f>SUMIFS(Taches!$N$6:$N$325,Taches!$C$6:$C$325,"V3",Taches!$E$6:$E$325,$B91)</f>
        <v/>
      </c>
      <c r="E91" s="16">
        <f>IF(C91=0,0,D91/C91)</f>
        <v/>
      </c>
      <c r="F91" s="12">
        <f>COUNTIFS(Taches!$C$6:$C$325,"V3",Taches!$E$6:$E$325,$B91,Taches!$J$6:$J$325,"&lt;&gt;Abandonnée",Taches!$B$6:$B$325,"&lt;&gt;")</f>
        <v/>
      </c>
      <c r="G91" s="12">
        <f>COUNTIFS(Taches!$C$6:$C$325,"V3",Taches!$E$6:$E$325,$B91,Taches!$J$6:$J$325,"Complétée")</f>
        <v/>
      </c>
      <c r="H91" s="12">
        <f>COUNTIFS(Taches!$C$6:$C$325,"V3",Taches!$E$6:$E$325,$B91,Taches!$J$6:$J$325,"Bloquée")</f>
        <v/>
      </c>
      <c r="I91" s="12">
        <f>COUNTIFS(Taches!$C$6:$C$325,"V3",Taches!$E$6:$E$325,$B91,Taches!$U$6:$U$325,"En retard")</f>
        <v/>
      </c>
    </row>
    <row r="92">
      <c r="B92" s="13" t="inlineStr">
        <is>
          <t>Conformité fiscale</t>
        </is>
      </c>
      <c r="C92" s="12">
        <f>SUMIFS(Taches!$M$6:$M$325,Taches!$C$6:$C$325,"V3",Taches!$E$6:$E$325,$B92)</f>
        <v/>
      </c>
      <c r="D92" s="15">
        <f>SUMIFS(Taches!$N$6:$N$325,Taches!$C$6:$C$325,"V3",Taches!$E$6:$E$325,$B92)</f>
        <v/>
      </c>
      <c r="E92" s="16">
        <f>IF(C92=0,0,D92/C92)</f>
        <v/>
      </c>
      <c r="F92" s="12">
        <f>COUNTIFS(Taches!$C$6:$C$325,"V3",Taches!$E$6:$E$325,$B92,Taches!$J$6:$J$325,"&lt;&gt;Abandonnée",Taches!$B$6:$B$325,"&lt;&gt;")</f>
        <v/>
      </c>
      <c r="G92" s="12">
        <f>COUNTIFS(Taches!$C$6:$C$325,"V3",Taches!$E$6:$E$325,$B92,Taches!$J$6:$J$325,"Complétée")</f>
        <v/>
      </c>
      <c r="H92" s="12">
        <f>COUNTIFS(Taches!$C$6:$C$325,"V3",Taches!$E$6:$E$325,$B92,Taches!$J$6:$J$325,"Bloquée")</f>
        <v/>
      </c>
      <c r="I92" s="12">
        <f>COUNTIFS(Taches!$C$6:$C$325,"V3",Taches!$E$6:$E$325,$B92,Taches!$U$6:$U$325,"En retard")</f>
        <v/>
      </c>
    </row>
    <row r="93">
      <c r="B93" s="13" t="inlineStr">
        <is>
          <t>Catalogue de services</t>
        </is>
      </c>
      <c r="C93" s="12">
        <f>SUMIFS(Taches!$M$6:$M$325,Taches!$C$6:$C$325,"V3",Taches!$E$6:$E$325,$B93)</f>
        <v/>
      </c>
      <c r="D93" s="15">
        <f>SUMIFS(Taches!$N$6:$N$325,Taches!$C$6:$C$325,"V3",Taches!$E$6:$E$325,$B93)</f>
        <v/>
      </c>
      <c r="E93" s="16">
        <f>IF(C93=0,0,D93/C93)</f>
        <v/>
      </c>
      <c r="F93" s="12">
        <f>COUNTIFS(Taches!$C$6:$C$325,"V3",Taches!$E$6:$E$325,$B93,Taches!$J$6:$J$325,"&lt;&gt;Abandonnée",Taches!$B$6:$B$325,"&lt;&gt;")</f>
        <v/>
      </c>
      <c r="G93" s="12">
        <f>COUNTIFS(Taches!$C$6:$C$325,"V3",Taches!$E$6:$E$325,$B93,Taches!$J$6:$J$325,"Complétée")</f>
        <v/>
      </c>
      <c r="H93" s="12">
        <f>COUNTIFS(Taches!$C$6:$C$325,"V3",Taches!$E$6:$E$325,$B93,Taches!$J$6:$J$325,"Bloquée")</f>
        <v/>
      </c>
      <c r="I93" s="12">
        <f>COUNTIFS(Taches!$C$6:$C$325,"V3",Taches!$E$6:$E$325,$B93,Taches!$U$6:$U$325,"En retard")</f>
        <v/>
      </c>
    </row>
    <row r="94">
      <c r="B94" s="13" t="inlineStr">
        <is>
          <t>Négociation</t>
        </is>
      </c>
      <c r="C94" s="12">
        <f>SUMIFS(Taches!$M$6:$M$325,Taches!$C$6:$C$325,"V3",Taches!$E$6:$E$325,$B94)</f>
        <v/>
      </c>
      <c r="D94" s="15">
        <f>SUMIFS(Taches!$N$6:$N$325,Taches!$C$6:$C$325,"V3",Taches!$E$6:$E$325,$B94)</f>
        <v/>
      </c>
      <c r="E94" s="16">
        <f>IF(C94=0,0,D94/C94)</f>
        <v/>
      </c>
      <c r="F94" s="12">
        <f>COUNTIFS(Taches!$C$6:$C$325,"V3",Taches!$E$6:$E$325,$B94,Taches!$J$6:$J$325,"&lt;&gt;Abandonnée",Taches!$B$6:$B$325,"&lt;&gt;")</f>
        <v/>
      </c>
      <c r="G94" s="12">
        <f>COUNTIFS(Taches!$C$6:$C$325,"V3",Taches!$E$6:$E$325,$B94,Taches!$J$6:$J$325,"Complétée")</f>
        <v/>
      </c>
      <c r="H94" s="12">
        <f>COUNTIFS(Taches!$C$6:$C$325,"V3",Taches!$E$6:$E$325,$B94,Taches!$J$6:$J$325,"Bloquée")</f>
        <v/>
      </c>
      <c r="I94" s="12">
        <f>COUNTIFS(Taches!$C$6:$C$325,"V3",Taches!$E$6:$E$325,$B94,Taches!$U$6:$U$325,"En retard")</f>
        <v/>
      </c>
    </row>
    <row r="95">
      <c r="B95" s="13" t="inlineStr">
        <is>
          <t>Audit d'acquisition</t>
        </is>
      </c>
      <c r="C95" s="12">
        <f>SUMIFS(Taches!$M$6:$M$325,Taches!$C$6:$C$325,"V3",Taches!$E$6:$E$325,$B95)</f>
        <v/>
      </c>
      <c r="D95" s="15">
        <f>SUMIFS(Taches!$N$6:$N$325,Taches!$C$6:$C$325,"V3",Taches!$E$6:$E$325,$B95)</f>
        <v/>
      </c>
      <c r="E95" s="16">
        <f>IF(C95=0,0,D95/C95)</f>
        <v/>
      </c>
      <c r="F95" s="12">
        <f>COUNTIFS(Taches!$C$6:$C$325,"V3",Taches!$E$6:$E$325,$B95,Taches!$J$6:$J$325,"&lt;&gt;Abandonnée",Taches!$B$6:$B$325,"&lt;&gt;")</f>
        <v/>
      </c>
      <c r="G95" s="12">
        <f>COUNTIFS(Taches!$C$6:$C$325,"V3",Taches!$E$6:$E$325,$B95,Taches!$J$6:$J$325,"Complétée")</f>
        <v/>
      </c>
      <c r="H95" s="12">
        <f>COUNTIFS(Taches!$C$6:$C$325,"V3",Taches!$E$6:$E$325,$B95,Taches!$J$6:$J$325,"Bloquée")</f>
        <v/>
      </c>
      <c r="I95" s="12">
        <f>COUNTIFS(Taches!$C$6:$C$325,"V3",Taches!$E$6:$E$325,$B95,Taches!$U$6:$U$325,"En retard")</f>
        <v/>
      </c>
    </row>
    <row r="96">
      <c r="B96" s="13" t="inlineStr">
        <is>
          <t>Réalisation</t>
        </is>
      </c>
      <c r="C96" s="12">
        <f>SUMIFS(Taches!$M$6:$M$325,Taches!$C$6:$C$325,"V3",Taches!$E$6:$E$325,$B96)</f>
        <v/>
      </c>
      <c r="D96" s="15">
        <f>SUMIFS(Taches!$N$6:$N$325,Taches!$C$6:$C$325,"V3",Taches!$E$6:$E$325,$B96)</f>
        <v/>
      </c>
      <c r="E96" s="16">
        <f>IF(C96=0,0,D96/C96)</f>
        <v/>
      </c>
      <c r="F96" s="12">
        <f>COUNTIFS(Taches!$C$6:$C$325,"V3",Taches!$E$6:$E$325,$B96,Taches!$J$6:$J$325,"&lt;&gt;Abandonnée",Taches!$B$6:$B$325,"&lt;&gt;")</f>
        <v/>
      </c>
      <c r="G96" s="12">
        <f>COUNTIFS(Taches!$C$6:$C$325,"V3",Taches!$E$6:$E$325,$B96,Taches!$J$6:$J$325,"Complétée")</f>
        <v/>
      </c>
      <c r="H96" s="12">
        <f>COUNTIFS(Taches!$C$6:$C$325,"V3",Taches!$E$6:$E$325,$B96,Taches!$J$6:$J$325,"Bloquée")</f>
        <v/>
      </c>
      <c r="I96" s="12">
        <f>COUNTIFS(Taches!$C$6:$C$325,"V3",Taches!$E$6:$E$325,$B96,Taches!$U$6:$U$325,"En retard")</f>
        <v/>
      </c>
    </row>
    <row r="97">
      <c r="B97" s="13" t="inlineStr">
        <is>
          <t>Finance</t>
        </is>
      </c>
      <c r="C97" s="12">
        <f>SUMIFS(Taches!$M$6:$M$325,Taches!$C$6:$C$325,"V3",Taches!$E$6:$E$325,$B97)</f>
        <v/>
      </c>
      <c r="D97" s="15">
        <f>SUMIFS(Taches!$N$6:$N$325,Taches!$C$6:$C$325,"V3",Taches!$E$6:$E$325,$B97)</f>
        <v/>
      </c>
      <c r="E97" s="16">
        <f>IF(C97=0,0,D97/C97)</f>
        <v/>
      </c>
      <c r="F97" s="12">
        <f>COUNTIFS(Taches!$C$6:$C$325,"V3",Taches!$E$6:$E$325,$B97,Taches!$J$6:$J$325,"&lt;&gt;Abandonnée",Taches!$B$6:$B$325,"&lt;&gt;")</f>
        <v/>
      </c>
      <c r="G97" s="12">
        <f>COUNTIFS(Taches!$C$6:$C$325,"V3",Taches!$E$6:$E$325,$B97,Taches!$J$6:$J$325,"Complétée")</f>
        <v/>
      </c>
      <c r="H97" s="12">
        <f>COUNTIFS(Taches!$C$6:$C$325,"V3",Taches!$E$6:$E$325,$B97,Taches!$J$6:$J$325,"Bloquée")</f>
        <v/>
      </c>
      <c r="I97" s="12">
        <f>COUNTIFS(Taches!$C$6:$C$325,"V3",Taches!$E$6:$E$325,$B97,Taches!$U$6:$U$325,"En retard")</f>
        <v/>
      </c>
    </row>
    <row r="98">
      <c r="B98" s="13" t="inlineStr">
        <is>
          <t>Facturation abonnements</t>
        </is>
      </c>
      <c r="C98" s="12">
        <f>SUMIFS(Taches!$M$6:$M$325,Taches!$C$6:$C$325,"V3",Taches!$E$6:$E$325,$B98)</f>
        <v/>
      </c>
      <c r="D98" s="15">
        <f>SUMIFS(Taches!$N$6:$N$325,Taches!$C$6:$C$325,"V3",Taches!$E$6:$E$325,$B98)</f>
        <v/>
      </c>
      <c r="E98" s="16">
        <f>IF(C98=0,0,D98/C98)</f>
        <v/>
      </c>
      <c r="F98" s="12">
        <f>COUNTIFS(Taches!$C$6:$C$325,"V3",Taches!$E$6:$E$325,$B98,Taches!$J$6:$J$325,"&lt;&gt;Abandonnée",Taches!$B$6:$B$325,"&lt;&gt;")</f>
        <v/>
      </c>
      <c r="G98" s="12">
        <f>COUNTIFS(Taches!$C$6:$C$325,"V3",Taches!$E$6:$E$325,$B98,Taches!$J$6:$J$325,"Complétée")</f>
        <v/>
      </c>
      <c r="H98" s="12">
        <f>COUNTIFS(Taches!$C$6:$C$325,"V3",Taches!$E$6:$E$325,$B98,Taches!$J$6:$J$325,"Bloquée")</f>
        <v/>
      </c>
      <c r="I98" s="12">
        <f>COUNTIFS(Taches!$C$6:$C$325,"V3",Taches!$E$6:$E$325,$B98,Taches!$U$6:$U$325,"En retard")</f>
        <v/>
      </c>
    </row>
    <row r="99">
      <c r="B99" s="13" t="inlineStr">
        <is>
          <t>Support</t>
        </is>
      </c>
      <c r="C99" s="12">
        <f>SUMIFS(Taches!$M$6:$M$325,Taches!$C$6:$C$325,"V3",Taches!$E$6:$E$325,$B99)</f>
        <v/>
      </c>
      <c r="D99" s="15">
        <f>SUMIFS(Taches!$N$6:$N$325,Taches!$C$6:$C$325,"V3",Taches!$E$6:$E$325,$B99)</f>
        <v/>
      </c>
      <c r="E99" s="16">
        <f>IF(C99=0,0,D99/C99)</f>
        <v/>
      </c>
      <c r="F99" s="12">
        <f>COUNTIFS(Taches!$C$6:$C$325,"V3",Taches!$E$6:$E$325,$B99,Taches!$J$6:$J$325,"&lt;&gt;Abandonnée",Taches!$B$6:$B$325,"&lt;&gt;")</f>
        <v/>
      </c>
      <c r="G99" s="12">
        <f>COUNTIFS(Taches!$C$6:$C$325,"V3",Taches!$E$6:$E$325,$B99,Taches!$J$6:$J$325,"Complétée")</f>
        <v/>
      </c>
      <c r="H99" s="12">
        <f>COUNTIFS(Taches!$C$6:$C$325,"V3",Taches!$E$6:$E$325,$B99,Taches!$J$6:$J$325,"Bloquée")</f>
        <v/>
      </c>
      <c r="I99" s="12">
        <f>COUNTIFS(Taches!$C$6:$C$325,"V3",Taches!$E$6:$E$325,$B99,Taches!$U$6:$U$325,"En retard")</f>
        <v/>
      </c>
    </row>
    <row r="100">
      <c r="B100" s="13" t="inlineStr">
        <is>
          <t>Portes de conformité</t>
        </is>
      </c>
      <c r="C100" s="12">
        <f>SUMIFS(Taches!$M$6:$M$325,Taches!$C$6:$C$325,"V3",Taches!$E$6:$E$325,$B100)</f>
        <v/>
      </c>
      <c r="D100" s="15">
        <f>SUMIFS(Taches!$N$6:$N$325,Taches!$C$6:$C$325,"V3",Taches!$E$6:$E$325,$B100)</f>
        <v/>
      </c>
      <c r="E100" s="16">
        <f>IF(C100=0,0,D100/C100)</f>
        <v/>
      </c>
      <c r="F100" s="12">
        <f>COUNTIFS(Taches!$C$6:$C$325,"V3",Taches!$E$6:$E$325,$B100,Taches!$J$6:$J$325,"&lt;&gt;Abandonnée",Taches!$B$6:$B$325,"&lt;&gt;")</f>
        <v/>
      </c>
      <c r="G100" s="12">
        <f>COUNTIFS(Taches!$C$6:$C$325,"V3",Taches!$E$6:$E$325,$B100,Taches!$J$6:$J$325,"Complétée")</f>
        <v/>
      </c>
      <c r="H100" s="12">
        <f>COUNTIFS(Taches!$C$6:$C$325,"V3",Taches!$E$6:$E$325,$B100,Taches!$J$6:$J$325,"Bloquée")</f>
        <v/>
      </c>
      <c r="I100" s="12">
        <f>COUNTIFS(Taches!$C$6:$C$325,"V3",Taches!$E$6:$E$325,$B100,Taches!$U$6:$U$325,"En retard")</f>
        <v/>
      </c>
    </row>
    <row r="101">
      <c r="B101" s="13" t="inlineStr">
        <is>
          <t>Exploitation</t>
        </is>
      </c>
      <c r="C101" s="12">
        <f>SUMIFS(Taches!$M$6:$M$325,Taches!$C$6:$C$325,"V3",Taches!$E$6:$E$325,$B101)</f>
        <v/>
      </c>
      <c r="D101" s="15">
        <f>SUMIFS(Taches!$N$6:$N$325,Taches!$C$6:$C$325,"V3",Taches!$E$6:$E$325,$B101)</f>
        <v/>
      </c>
      <c r="E101" s="16">
        <f>IF(C101=0,0,D101/C101)</f>
        <v/>
      </c>
      <c r="F101" s="12">
        <f>COUNTIFS(Taches!$C$6:$C$325,"V3",Taches!$E$6:$E$325,$B101,Taches!$J$6:$J$325,"&lt;&gt;Abandonnée",Taches!$B$6:$B$325,"&lt;&gt;")</f>
        <v/>
      </c>
      <c r="G101" s="12">
        <f>COUNTIFS(Taches!$C$6:$C$325,"V3",Taches!$E$6:$E$325,$B101,Taches!$J$6:$J$325,"Complétée")</f>
        <v/>
      </c>
      <c r="H101" s="12">
        <f>COUNTIFS(Taches!$C$6:$C$325,"V3",Taches!$E$6:$E$325,$B101,Taches!$J$6:$J$325,"Bloquée")</f>
        <v/>
      </c>
      <c r="I101" s="12">
        <f>COUNTIFS(Taches!$C$6:$C$325,"V3",Taches!$E$6:$E$325,$B101,Taches!$U$6:$U$325,"En retard")</f>
        <v/>
      </c>
    </row>
    <row r="102">
      <c r="B102" s="13" t="inlineStr">
        <is>
          <t>QA et livraison</t>
        </is>
      </c>
      <c r="C102" s="12">
        <f>SUMIFS(Taches!$M$6:$M$325,Taches!$C$6:$C$325,"V3",Taches!$E$6:$E$325,$B102)</f>
        <v/>
      </c>
      <c r="D102" s="15">
        <f>SUMIFS(Taches!$N$6:$N$325,Taches!$C$6:$C$325,"V3",Taches!$E$6:$E$325,$B102)</f>
        <v/>
      </c>
      <c r="E102" s="16">
        <f>IF(C102=0,0,D102/C102)</f>
        <v/>
      </c>
      <c r="F102" s="12">
        <f>COUNTIFS(Taches!$C$6:$C$325,"V3",Taches!$E$6:$E$325,$B102,Taches!$J$6:$J$325,"&lt;&gt;Abandonnée",Taches!$B$6:$B$325,"&lt;&gt;")</f>
        <v/>
      </c>
      <c r="G102" s="12">
        <f>COUNTIFS(Taches!$C$6:$C$325,"V3",Taches!$E$6:$E$325,$B102,Taches!$J$6:$J$325,"Complétée")</f>
        <v/>
      </c>
      <c r="H102" s="12">
        <f>COUNTIFS(Taches!$C$6:$C$325,"V3",Taches!$E$6:$E$325,$B102,Taches!$J$6:$J$325,"Bloquée")</f>
        <v/>
      </c>
      <c r="I102" s="12">
        <f>COUNTIFS(Taches!$C$6:$C$325,"V3",Taches!$E$6:$E$325,$B102,Taches!$U$6:$U$325,"En retard")</f>
        <v/>
      </c>
    </row>
    <row r="103">
      <c r="B103" s="30" t="inlineStr">
        <is>
          <t>Total V3</t>
        </is>
      </c>
      <c r="C103" s="30">
        <f>SUM(C90:C102)</f>
        <v/>
      </c>
      <c r="D103" s="31">
        <f>SUM(D90:D102)</f>
        <v/>
      </c>
      <c r="E103" s="32">
        <f>IF(C103=0,0,D103/C103)</f>
        <v/>
      </c>
      <c r="F103" s="30">
        <f>SUM(F90:F102)</f>
        <v/>
      </c>
      <c r="G103" s="30">
        <f>SUM(G90:G102)</f>
        <v/>
      </c>
      <c r="H103" s="30">
        <f>SUM(H90:H102)</f>
        <v/>
      </c>
      <c r="I103" s="30">
        <f>SUM(I90:I102)</f>
        <v/>
      </c>
    </row>
    <row r="105">
      <c r="B105" s="3" t="inlineStr">
        <is>
          <t>Prérequis</t>
        </is>
      </c>
    </row>
    <row r="106" ht="30" customHeight="1">
      <c r="B106" s="20" t="inlineStr">
        <is>
          <t>Qualification, NDA, T2 et data room validés en V2 ; contractualisation paiement ; avis juridique écrit sur le barème. CLOSED_REPORTED est réalisé dans V3, pas un prérequis V2.</t>
        </is>
      </c>
    </row>
    <row r="107">
      <c r="B107" s="3" t="inlineStr">
        <is>
          <t>Décision ou règle</t>
        </is>
      </c>
    </row>
    <row r="108" ht="36" customHeight="1">
      <c r="B108" s="33" t="inlineStr">
        <is>
          <t>Le barème de frais et la rétrocession ne s'activent qu'après avis juridique écrit, jamais par simple décision produit.</t>
        </is>
      </c>
      <c r="C108" s="34" t="n"/>
      <c r="D108" s="34" t="n"/>
      <c r="E108" s="34" t="n"/>
      <c r="F108" s="34" t="n"/>
      <c r="G108" s="34" t="n"/>
      <c r="H108" s="34" t="n"/>
      <c r="I108" s="34" t="n"/>
    </row>
    <row r="111" ht="26" customHeight="1">
      <c r="B111" s="22" t="inlineStr">
        <is>
          <t>V4  Alerte &amp; Rebond, Deal-Connect (Remo.co), Guichet Diaspora, Deal-Experts</t>
        </is>
      </c>
    </row>
    <row r="112" ht="28" customHeight="1">
      <c r="B112" s="23" t="inlineStr">
        <is>
          <t>Début prévu</t>
        </is>
      </c>
      <c r="C112" s="23" t="inlineStr">
        <is>
          <t>Fin prévue</t>
        </is>
      </c>
      <c r="D112" s="23" t="inlineStr">
        <is>
          <t>Charge (j/p)</t>
        </is>
      </c>
      <c r="E112" s="23" t="inlineStr">
        <is>
          <t>Charge (sem.-pers.)</t>
        </is>
      </c>
      <c r="F112" s="23" t="inlineStr">
        <is>
          <t>Avancement</t>
        </is>
      </c>
      <c r="G112" s="23" t="inlineStr">
        <is>
          <t>État</t>
        </is>
      </c>
      <c r="H112" s="23" t="inlineStr">
        <is>
          <t>Semaines calendaires</t>
        </is>
      </c>
      <c r="I112" s="23" t="inlineStr">
        <is>
          <t>ETP requis à pleine cadence</t>
        </is>
      </c>
    </row>
    <row r="113">
      <c r="B113" s="24">
        <f>Versions!D9</f>
        <v/>
      </c>
      <c r="C113" s="24">
        <f>Versions!E9</f>
        <v/>
      </c>
      <c r="D113" s="25">
        <f>Versions!G9</f>
        <v/>
      </c>
      <c r="E113" s="26">
        <f>Versions!H9</f>
        <v/>
      </c>
      <c r="F113" s="27">
        <f>Versions!J9</f>
        <v/>
      </c>
      <c r="G113" s="28">
        <f>Versions!P9</f>
        <v/>
      </c>
      <c r="H113" s="26">
        <f>ROUND((Versions!E9-Versions!D9)/7,1)</f>
        <v/>
      </c>
      <c r="I113" s="26">
        <f>IFERROR(ROUND(Versions!H9/((Versions!E9-Versions!D9)/7),1),0)</f>
        <v/>
      </c>
    </row>
    <row r="114" ht="48" customHeight="1">
      <c r="B114" s="20" t="inlineStr">
        <is>
          <t>Les modules réseau. Seul changement d'architecture notable : la brique de salons et rendez-vous virtuels est externalisée vers Remo.co plutôt que construite en propre.</t>
        </is>
      </c>
    </row>
    <row r="115">
      <c r="B115" s="3" t="inlineStr">
        <is>
          <t>Inclus</t>
        </is>
      </c>
      <c r="F115" s="3" t="inlineStr">
        <is>
          <t>Exclu ou reporté</t>
        </is>
      </c>
    </row>
    <row r="116" ht="30" customHeight="1">
      <c r="B116" s="20" t="inlineStr">
        <is>
          <t>+ Alerte &amp; Rebond : auto-diagnostic, cellule de crise confidentielle, listings d'actifs en difficulté, coupe-circuit</t>
        </is>
      </c>
      <c r="F116" s="29" t="inlineStr">
        <is>
          <t>- Mécanismes d'enchère en temps réel (non présumés contractuels)</t>
        </is>
      </c>
    </row>
    <row r="117" ht="30" customHeight="1">
      <c r="B117" s="20" t="inlineStr">
        <is>
          <t>+ Deal-Connect : événements B2B via connecteur Remo.co ; DealPME gère inscriptions, billetterie, attribution et reporting</t>
        </is>
      </c>
      <c r="F117" s="29" t="inlineStr">
        <is>
          <t>- Tout conseil de change ou d'investissement fourni par la plateforme</t>
        </is>
      </c>
    </row>
    <row r="118" ht="30" customHeight="1">
      <c r="B118" s="20" t="inlineStr">
        <is>
          <t>+ Comptes rendus du contenu des sessions, ciblés sur leurs participants autorisés, distincts des statistiques de présence</t>
        </is>
      </c>
    </row>
    <row r="119" ht="30" customHeight="1">
      <c r="B119" s="20" t="inlineStr">
        <is>
          <t>+ Guichet Diaspora : liste de suivi, rendez-vous sécurisé via Remo.co, contraintes transfrontalières, renvoi vers banque et conseil</t>
        </is>
      </c>
    </row>
    <row r="120" ht="30" customHeight="1">
      <c r="B120" s="20" t="inlineStr">
        <is>
          <t>+ Deal-Experts (P13 contractuel) : registre d'experts, routage, accès temporaire scopé</t>
        </is>
      </c>
    </row>
    <row r="122" ht="24" customHeight="1">
      <c r="B122" s="11" t="inlineStr">
        <is>
          <t>Lot</t>
        </is>
      </c>
      <c r="C122" s="11" t="inlineStr">
        <is>
          <t>Charge (j/p)</t>
        </is>
      </c>
      <c r="D122" s="11" t="inlineStr">
        <is>
          <t>Réalisé (j/p)</t>
        </is>
      </c>
      <c r="E122" s="11" t="inlineStr">
        <is>
          <t>Avancement</t>
        </is>
      </c>
      <c r="F122" s="11" t="inlineStr">
        <is>
          <t>Tâches</t>
        </is>
      </c>
      <c r="G122" s="11" t="inlineStr">
        <is>
          <t>Complétées</t>
        </is>
      </c>
      <c r="H122" s="11" t="inlineStr">
        <is>
          <t>Bloquées</t>
        </is>
      </c>
      <c r="I122" s="11" t="inlineStr">
        <is>
          <t>En retard</t>
        </is>
      </c>
    </row>
    <row r="123">
      <c r="B123" s="13" t="inlineStr">
        <is>
          <t>Conception</t>
        </is>
      </c>
      <c r="C123" s="12">
        <f>SUMIFS(Taches!$M$6:$M$325,Taches!$C$6:$C$325,"V4",Taches!$E$6:$E$325,$B123)</f>
        <v/>
      </c>
      <c r="D123" s="15">
        <f>SUMIFS(Taches!$N$6:$N$325,Taches!$C$6:$C$325,"V4",Taches!$E$6:$E$325,$B123)</f>
        <v/>
      </c>
      <c r="E123" s="16">
        <f>IF(C123=0,0,D123/C123)</f>
        <v/>
      </c>
      <c r="F123" s="12">
        <f>COUNTIFS(Taches!$C$6:$C$325,"V4",Taches!$E$6:$E$325,$B123,Taches!$J$6:$J$325,"&lt;&gt;Abandonnée",Taches!$B$6:$B$325,"&lt;&gt;")</f>
        <v/>
      </c>
      <c r="G123" s="12">
        <f>COUNTIFS(Taches!$C$6:$C$325,"V4",Taches!$E$6:$E$325,$B123,Taches!$J$6:$J$325,"Complétée")</f>
        <v/>
      </c>
      <c r="H123" s="12">
        <f>COUNTIFS(Taches!$C$6:$C$325,"V4",Taches!$E$6:$E$325,$B123,Taches!$J$6:$J$325,"Bloquée")</f>
        <v/>
      </c>
      <c r="I123" s="12">
        <f>COUNTIFS(Taches!$C$6:$C$325,"V4",Taches!$E$6:$E$325,$B123,Taches!$U$6:$U$325,"En retard")</f>
        <v/>
      </c>
    </row>
    <row r="124">
      <c r="B124" s="13" t="inlineStr">
        <is>
          <t>Alerte &amp; Rebond</t>
        </is>
      </c>
      <c r="C124" s="12">
        <f>SUMIFS(Taches!$M$6:$M$325,Taches!$C$6:$C$325,"V4",Taches!$E$6:$E$325,$B124)</f>
        <v/>
      </c>
      <c r="D124" s="15">
        <f>SUMIFS(Taches!$N$6:$N$325,Taches!$C$6:$C$325,"V4",Taches!$E$6:$E$325,$B124)</f>
        <v/>
      </c>
      <c r="E124" s="16">
        <f>IF(C124=0,0,D124/C124)</f>
        <v/>
      </c>
      <c r="F124" s="12">
        <f>COUNTIFS(Taches!$C$6:$C$325,"V4",Taches!$E$6:$E$325,$B124,Taches!$J$6:$J$325,"&lt;&gt;Abandonnée",Taches!$B$6:$B$325,"&lt;&gt;")</f>
        <v/>
      </c>
      <c r="G124" s="12">
        <f>COUNTIFS(Taches!$C$6:$C$325,"V4",Taches!$E$6:$E$325,$B124,Taches!$J$6:$J$325,"Complétée")</f>
        <v/>
      </c>
      <c r="H124" s="12">
        <f>COUNTIFS(Taches!$C$6:$C$325,"V4",Taches!$E$6:$E$325,$B124,Taches!$J$6:$J$325,"Bloquée")</f>
        <v/>
      </c>
      <c r="I124" s="12">
        <f>COUNTIFS(Taches!$C$6:$C$325,"V4",Taches!$E$6:$E$325,$B124,Taches!$U$6:$U$325,"En retard")</f>
        <v/>
      </c>
    </row>
    <row r="125">
      <c r="B125" s="13" t="inlineStr">
        <is>
          <t>Actifs en difficulté</t>
        </is>
      </c>
      <c r="C125" s="12">
        <f>SUMIFS(Taches!$M$6:$M$325,Taches!$C$6:$C$325,"V4",Taches!$E$6:$E$325,$B125)</f>
        <v/>
      </c>
      <c r="D125" s="15">
        <f>SUMIFS(Taches!$N$6:$N$325,Taches!$C$6:$C$325,"V4",Taches!$E$6:$E$325,$B125)</f>
        <v/>
      </c>
      <c r="E125" s="16">
        <f>IF(C125=0,0,D125/C125)</f>
        <v/>
      </c>
      <c r="F125" s="12">
        <f>COUNTIFS(Taches!$C$6:$C$325,"V4",Taches!$E$6:$E$325,$B125,Taches!$J$6:$J$325,"&lt;&gt;Abandonnée",Taches!$B$6:$B$325,"&lt;&gt;")</f>
        <v/>
      </c>
      <c r="G125" s="12">
        <f>COUNTIFS(Taches!$C$6:$C$325,"V4",Taches!$E$6:$E$325,$B125,Taches!$J$6:$J$325,"Complétée")</f>
        <v/>
      </c>
      <c r="H125" s="12">
        <f>COUNTIFS(Taches!$C$6:$C$325,"V4",Taches!$E$6:$E$325,$B125,Taches!$J$6:$J$325,"Bloquée")</f>
        <v/>
      </c>
      <c r="I125" s="12">
        <f>COUNTIFS(Taches!$C$6:$C$325,"V4",Taches!$E$6:$E$325,$B125,Taches!$U$6:$U$325,"En retard")</f>
        <v/>
      </c>
    </row>
    <row r="126">
      <c r="B126" s="13" t="inlineStr">
        <is>
          <t>Deal-Connect</t>
        </is>
      </c>
      <c r="C126" s="12">
        <f>SUMIFS(Taches!$M$6:$M$325,Taches!$C$6:$C$325,"V4",Taches!$E$6:$E$325,$B126)</f>
        <v/>
      </c>
      <c r="D126" s="15">
        <f>SUMIFS(Taches!$N$6:$N$325,Taches!$C$6:$C$325,"V4",Taches!$E$6:$E$325,$B126)</f>
        <v/>
      </c>
      <c r="E126" s="16">
        <f>IF(C126=0,0,D126/C126)</f>
        <v/>
      </c>
      <c r="F126" s="12">
        <f>COUNTIFS(Taches!$C$6:$C$325,"V4",Taches!$E$6:$E$325,$B126,Taches!$J$6:$J$325,"&lt;&gt;Abandonnée",Taches!$B$6:$B$325,"&lt;&gt;")</f>
        <v/>
      </c>
      <c r="G126" s="12">
        <f>COUNTIFS(Taches!$C$6:$C$325,"V4",Taches!$E$6:$E$325,$B126,Taches!$J$6:$J$325,"Complétée")</f>
        <v/>
      </c>
      <c r="H126" s="12">
        <f>COUNTIFS(Taches!$C$6:$C$325,"V4",Taches!$E$6:$E$325,$B126,Taches!$J$6:$J$325,"Bloquée")</f>
        <v/>
      </c>
      <c r="I126" s="12">
        <f>COUNTIFS(Taches!$C$6:$C$325,"V4",Taches!$E$6:$E$325,$B126,Taches!$U$6:$U$325,"En retard")</f>
        <v/>
      </c>
    </row>
    <row r="127">
      <c r="B127" s="13" t="inlineStr">
        <is>
          <t>Guichet Diaspora</t>
        </is>
      </c>
      <c r="C127" s="12">
        <f>SUMIFS(Taches!$M$6:$M$325,Taches!$C$6:$C$325,"V4",Taches!$E$6:$E$325,$B127)</f>
        <v/>
      </c>
      <c r="D127" s="15">
        <f>SUMIFS(Taches!$N$6:$N$325,Taches!$C$6:$C$325,"V4",Taches!$E$6:$E$325,$B127)</f>
        <v/>
      </c>
      <c r="E127" s="16">
        <f>IF(C127=0,0,D127/C127)</f>
        <v/>
      </c>
      <c r="F127" s="12">
        <f>COUNTIFS(Taches!$C$6:$C$325,"V4",Taches!$E$6:$E$325,$B127,Taches!$J$6:$J$325,"&lt;&gt;Abandonnée",Taches!$B$6:$B$325,"&lt;&gt;")</f>
        <v/>
      </c>
      <c r="G127" s="12">
        <f>COUNTIFS(Taches!$C$6:$C$325,"V4",Taches!$E$6:$E$325,$B127,Taches!$J$6:$J$325,"Complétée")</f>
        <v/>
      </c>
      <c r="H127" s="12">
        <f>COUNTIFS(Taches!$C$6:$C$325,"V4",Taches!$E$6:$E$325,$B127,Taches!$J$6:$J$325,"Bloquée")</f>
        <v/>
      </c>
      <c r="I127" s="12">
        <f>COUNTIFS(Taches!$C$6:$C$325,"V4",Taches!$E$6:$E$325,$B127,Taches!$U$6:$U$325,"En retard")</f>
        <v/>
      </c>
    </row>
    <row r="128">
      <c r="B128" s="13" t="inlineStr">
        <is>
          <t>Deal-Experts</t>
        </is>
      </c>
      <c r="C128" s="12">
        <f>SUMIFS(Taches!$M$6:$M$325,Taches!$C$6:$C$325,"V4",Taches!$E$6:$E$325,$B128)</f>
        <v/>
      </c>
      <c r="D128" s="15">
        <f>SUMIFS(Taches!$N$6:$N$325,Taches!$C$6:$C$325,"V4",Taches!$E$6:$E$325,$B128)</f>
        <v/>
      </c>
      <c r="E128" s="16">
        <f>IF(C128=0,0,D128/C128)</f>
        <v/>
      </c>
      <c r="F128" s="12">
        <f>COUNTIFS(Taches!$C$6:$C$325,"V4",Taches!$E$6:$E$325,$B128,Taches!$J$6:$J$325,"&lt;&gt;Abandonnée",Taches!$B$6:$B$325,"&lt;&gt;")</f>
        <v/>
      </c>
      <c r="G128" s="12">
        <f>COUNTIFS(Taches!$C$6:$C$325,"V4",Taches!$E$6:$E$325,$B128,Taches!$J$6:$J$325,"Complétée")</f>
        <v/>
      </c>
      <c r="H128" s="12">
        <f>COUNTIFS(Taches!$C$6:$C$325,"V4",Taches!$E$6:$E$325,$B128,Taches!$J$6:$J$325,"Bloquée")</f>
        <v/>
      </c>
      <c r="I128" s="12">
        <f>COUNTIFS(Taches!$C$6:$C$325,"V4",Taches!$E$6:$E$325,$B128,Taches!$U$6:$U$325,"En retard")</f>
        <v/>
      </c>
    </row>
    <row r="129">
      <c r="B129" s="13" t="inlineStr">
        <is>
          <t>QA et livraison</t>
        </is>
      </c>
      <c r="C129" s="12">
        <f>SUMIFS(Taches!$M$6:$M$325,Taches!$C$6:$C$325,"V4",Taches!$E$6:$E$325,$B129)</f>
        <v/>
      </c>
      <c r="D129" s="15">
        <f>SUMIFS(Taches!$N$6:$N$325,Taches!$C$6:$C$325,"V4",Taches!$E$6:$E$325,$B129)</f>
        <v/>
      </c>
      <c r="E129" s="16">
        <f>IF(C129=0,0,D129/C129)</f>
        <v/>
      </c>
      <c r="F129" s="12">
        <f>COUNTIFS(Taches!$C$6:$C$325,"V4",Taches!$E$6:$E$325,$B129,Taches!$J$6:$J$325,"&lt;&gt;Abandonnée",Taches!$B$6:$B$325,"&lt;&gt;")</f>
        <v/>
      </c>
      <c r="G129" s="12">
        <f>COUNTIFS(Taches!$C$6:$C$325,"V4",Taches!$E$6:$E$325,$B129,Taches!$J$6:$J$325,"Complétée")</f>
        <v/>
      </c>
      <c r="H129" s="12">
        <f>COUNTIFS(Taches!$C$6:$C$325,"V4",Taches!$E$6:$E$325,$B129,Taches!$J$6:$J$325,"Bloquée")</f>
        <v/>
      </c>
      <c r="I129" s="12">
        <f>COUNTIFS(Taches!$C$6:$C$325,"V4",Taches!$E$6:$E$325,$B129,Taches!$U$6:$U$325,"En retard")</f>
        <v/>
      </c>
    </row>
    <row r="130">
      <c r="B130" s="30" t="inlineStr">
        <is>
          <t>Total V4</t>
        </is>
      </c>
      <c r="C130" s="30">
        <f>SUM(C123:C129)</f>
        <v/>
      </c>
      <c r="D130" s="31">
        <f>SUM(D123:D129)</f>
        <v/>
      </c>
      <c r="E130" s="32">
        <f>IF(C130=0,0,D130/C130)</f>
        <v/>
      </c>
      <c r="F130" s="30">
        <f>SUM(F123:F129)</f>
        <v/>
      </c>
      <c r="G130" s="30">
        <f>SUM(G123:G129)</f>
        <v/>
      </c>
      <c r="H130" s="30">
        <f>SUM(H123:H129)</f>
        <v/>
      </c>
      <c r="I130" s="30">
        <f>SUM(I123:I129)</f>
        <v/>
      </c>
    </row>
    <row r="132">
      <c r="B132" s="3" t="inlineStr">
        <is>
          <t>Prérequis</t>
        </is>
      </c>
    </row>
    <row r="133" ht="30" customHeight="1">
      <c r="B133" s="20" t="inlineStr">
        <is>
          <t>Portes de conformité fermées (V3) ; cadrage écrit de l'intégration Remo.co.</t>
        </is>
      </c>
    </row>
    <row r="134">
      <c r="B134" s="3" t="inlineStr">
        <is>
          <t>Décision ou règle</t>
        </is>
      </c>
    </row>
    <row r="135" ht="36" customHeight="1">
      <c r="B135" s="33" t="inlineStr">
        <is>
          <t>Remo.co est retenu. Le périmètre exact (SSO natif, webhooks de présence, marque blanche) dépend du plan Remo.co choisi.</t>
        </is>
      </c>
      <c r="C135" s="34" t="n"/>
      <c r="D135" s="34" t="n"/>
      <c r="E135" s="34" t="n"/>
      <c r="F135" s="34" t="n"/>
      <c r="G135" s="34" t="n"/>
      <c r="H135" s="34" t="n"/>
      <c r="I135" s="34" t="n"/>
    </row>
    <row r="138" ht="26" customHeight="1">
      <c r="B138" s="22" t="inlineStr">
        <is>
          <t>V5  VDR Intelligence : DealLens, Evidence Map, Issue Radar, Clean Team</t>
        </is>
      </c>
    </row>
    <row r="139" ht="28" customHeight="1">
      <c r="B139" s="23" t="inlineStr">
        <is>
          <t>Début prévu</t>
        </is>
      </c>
      <c r="C139" s="23" t="inlineStr">
        <is>
          <t>Fin prévue</t>
        </is>
      </c>
      <c r="D139" s="23" t="inlineStr">
        <is>
          <t>Charge (j/p)</t>
        </is>
      </c>
      <c r="E139" s="23" t="inlineStr">
        <is>
          <t>Charge (sem.-pers.)</t>
        </is>
      </c>
      <c r="F139" s="23" t="inlineStr">
        <is>
          <t>Avancement</t>
        </is>
      </c>
      <c r="G139" s="23" t="inlineStr">
        <is>
          <t>État</t>
        </is>
      </c>
      <c r="H139" s="23" t="inlineStr">
        <is>
          <t>Semaines calendaires</t>
        </is>
      </c>
      <c r="I139" s="23" t="inlineStr">
        <is>
          <t>ETP requis à pleine cadence</t>
        </is>
      </c>
    </row>
    <row r="140">
      <c r="B140" s="24">
        <f>Versions!D10</f>
        <v/>
      </c>
      <c r="C140" s="24">
        <f>Versions!E10</f>
        <v/>
      </c>
      <c r="D140" s="25">
        <f>Versions!G10</f>
        <v/>
      </c>
      <c r="E140" s="26">
        <f>Versions!H10</f>
        <v/>
      </c>
      <c r="F140" s="27">
        <f>Versions!J10</f>
        <v/>
      </c>
      <c r="G140" s="28">
        <f>Versions!P10</f>
        <v/>
      </c>
      <c r="H140" s="26">
        <f>ROUND((Versions!E10-Versions!D10)/7,1)</f>
        <v/>
      </c>
      <c r="I140" s="26">
        <f>IFERROR(ROUND(Versions!H10/((Versions!E10-Versions!D10)/7),1),0)</f>
        <v/>
      </c>
    </row>
    <row r="141" ht="48" customHeight="1">
      <c r="B141" s="20" t="inlineStr">
        <is>
          <t>Le module le plus spécifié du corpus existant et pourtant le plus éloigné de la production : aucun fournisseur IA n'est engagé. Placé en dernier car le moins urgent contractuellement et le plus risqué techniquement.</t>
        </is>
      </c>
    </row>
    <row r="142">
      <c r="B142" s="3" t="inlineStr">
        <is>
          <t>Inclus</t>
        </is>
      </c>
      <c r="F142" s="3" t="inlineStr">
        <is>
          <t>Exclu ou reporté</t>
        </is>
      </c>
    </row>
    <row r="143" ht="30" customHeight="1">
      <c r="B143" s="20" t="inlineStr">
        <is>
          <t>+ Contrat fournisseur IA et pare-feu de permission : filtrage avant récupération, jamais après</t>
        </is>
      </c>
      <c r="F143" s="29" t="inlineStr">
        <is>
          <t>- Toute action autonome de l'IA : publication, changement de permission, certification, réponse au cédant</t>
        </is>
      </c>
    </row>
    <row r="144" ht="30" customHeight="1">
      <c r="B144" s="20" t="inlineStr">
        <is>
          <t>+ Neuf surfaces : Cockpit, DealLens document et salle, Issue Radar, Evidence Map, Atelier Q&amp;R, Engagement Pulse, Audit, Accès et Clean Team</t>
        </is>
      </c>
    </row>
    <row r="145" ht="30" customHeight="1">
      <c r="B145" s="20" t="inlineStr">
        <is>
          <t>+ Rapprochement financier, intelligence de version, caviardage assisté avec revue humaine</t>
        </is>
      </c>
    </row>
    <row r="146" ht="30" customHeight="1">
      <c r="B146" s="20" t="inlineStr">
        <is>
          <t>+ Tests AI-01 à AI-06, DOC-01 à DOC-03, Q&amp;A-01, UI-01</t>
        </is>
      </c>
    </row>
    <row r="148" ht="24" customHeight="1">
      <c r="B148" s="11" t="inlineStr">
        <is>
          <t>Lot</t>
        </is>
      </c>
      <c r="C148" s="11" t="inlineStr">
        <is>
          <t>Charge (j/p)</t>
        </is>
      </c>
      <c r="D148" s="11" t="inlineStr">
        <is>
          <t>Réalisé (j/p)</t>
        </is>
      </c>
      <c r="E148" s="11" t="inlineStr">
        <is>
          <t>Avancement</t>
        </is>
      </c>
      <c r="F148" s="11" t="inlineStr">
        <is>
          <t>Tâches</t>
        </is>
      </c>
      <c r="G148" s="11" t="inlineStr">
        <is>
          <t>Complétées</t>
        </is>
      </c>
      <c r="H148" s="11" t="inlineStr">
        <is>
          <t>Bloquées</t>
        </is>
      </c>
      <c r="I148" s="11" t="inlineStr">
        <is>
          <t>En retard</t>
        </is>
      </c>
    </row>
    <row r="149">
      <c r="B149" s="13" t="inlineStr">
        <is>
          <t>Conception</t>
        </is>
      </c>
      <c r="C149" s="12">
        <f>SUMIFS(Taches!$M$6:$M$325,Taches!$C$6:$C$325,"V5",Taches!$E$6:$E$325,$B149)</f>
        <v/>
      </c>
      <c r="D149" s="15">
        <f>SUMIFS(Taches!$N$6:$N$325,Taches!$C$6:$C$325,"V5",Taches!$E$6:$E$325,$B149)</f>
        <v/>
      </c>
      <c r="E149" s="16">
        <f>IF(C149=0,0,D149/C149)</f>
        <v/>
      </c>
      <c r="F149" s="12">
        <f>COUNTIFS(Taches!$C$6:$C$325,"V5",Taches!$E$6:$E$325,$B149,Taches!$J$6:$J$325,"&lt;&gt;Abandonnée",Taches!$B$6:$B$325,"&lt;&gt;")</f>
        <v/>
      </c>
      <c r="G149" s="12">
        <f>COUNTIFS(Taches!$C$6:$C$325,"V5",Taches!$E$6:$E$325,$B149,Taches!$J$6:$J$325,"Complétée")</f>
        <v/>
      </c>
      <c r="H149" s="12">
        <f>COUNTIFS(Taches!$C$6:$C$325,"V5",Taches!$E$6:$E$325,$B149,Taches!$J$6:$J$325,"Bloquée")</f>
        <v/>
      </c>
      <c r="I149" s="12">
        <f>COUNTIFS(Taches!$C$6:$C$325,"V5",Taches!$E$6:$E$325,$B149,Taches!$U$6:$U$325,"En retard")</f>
        <v/>
      </c>
    </row>
    <row r="150">
      <c r="B150" s="13" t="inlineStr">
        <is>
          <t>Fournisseur IA</t>
        </is>
      </c>
      <c r="C150" s="12">
        <f>SUMIFS(Taches!$M$6:$M$325,Taches!$C$6:$C$325,"V5",Taches!$E$6:$E$325,$B150)</f>
        <v/>
      </c>
      <c r="D150" s="15">
        <f>SUMIFS(Taches!$N$6:$N$325,Taches!$C$6:$C$325,"V5",Taches!$E$6:$E$325,$B150)</f>
        <v/>
      </c>
      <c r="E150" s="16">
        <f>IF(C150=0,0,D150/C150)</f>
        <v/>
      </c>
      <c r="F150" s="12">
        <f>COUNTIFS(Taches!$C$6:$C$325,"V5",Taches!$E$6:$E$325,$B150,Taches!$J$6:$J$325,"&lt;&gt;Abandonnée",Taches!$B$6:$B$325,"&lt;&gt;")</f>
        <v/>
      </c>
      <c r="G150" s="12">
        <f>COUNTIFS(Taches!$C$6:$C$325,"V5",Taches!$E$6:$E$325,$B150,Taches!$J$6:$J$325,"Complétée")</f>
        <v/>
      </c>
      <c r="H150" s="12">
        <f>COUNTIFS(Taches!$C$6:$C$325,"V5",Taches!$E$6:$E$325,$B150,Taches!$J$6:$J$325,"Bloquée")</f>
        <v/>
      </c>
      <c r="I150" s="12">
        <f>COUNTIFS(Taches!$C$6:$C$325,"V5",Taches!$E$6:$E$325,$B150,Taches!$U$6:$U$325,"En retard")</f>
        <v/>
      </c>
    </row>
    <row r="151">
      <c r="B151" s="13" t="inlineStr">
        <is>
          <t>Ingestion</t>
        </is>
      </c>
      <c r="C151" s="12">
        <f>SUMIFS(Taches!$M$6:$M$325,Taches!$C$6:$C$325,"V5",Taches!$E$6:$E$325,$B151)</f>
        <v/>
      </c>
      <c r="D151" s="15">
        <f>SUMIFS(Taches!$N$6:$N$325,Taches!$C$6:$C$325,"V5",Taches!$E$6:$E$325,$B151)</f>
        <v/>
      </c>
      <c r="E151" s="16">
        <f>IF(C151=0,0,D151/C151)</f>
        <v/>
      </c>
      <c r="F151" s="12">
        <f>COUNTIFS(Taches!$C$6:$C$325,"V5",Taches!$E$6:$E$325,$B151,Taches!$J$6:$J$325,"&lt;&gt;Abandonnée",Taches!$B$6:$B$325,"&lt;&gt;")</f>
        <v/>
      </c>
      <c r="G151" s="12">
        <f>COUNTIFS(Taches!$C$6:$C$325,"V5",Taches!$E$6:$E$325,$B151,Taches!$J$6:$J$325,"Complétée")</f>
        <v/>
      </c>
      <c r="H151" s="12">
        <f>COUNTIFS(Taches!$C$6:$C$325,"V5",Taches!$E$6:$E$325,$B151,Taches!$J$6:$J$325,"Bloquée")</f>
        <v/>
      </c>
      <c r="I151" s="12">
        <f>COUNTIFS(Taches!$C$6:$C$325,"V5",Taches!$E$6:$E$325,$B151,Taches!$U$6:$U$325,"En retard")</f>
        <v/>
      </c>
    </row>
    <row r="152">
      <c r="B152" s="13" t="inlineStr">
        <is>
          <t>DealLens</t>
        </is>
      </c>
      <c r="C152" s="12">
        <f>SUMIFS(Taches!$M$6:$M$325,Taches!$C$6:$C$325,"V5",Taches!$E$6:$E$325,$B152)</f>
        <v/>
      </c>
      <c r="D152" s="15">
        <f>SUMIFS(Taches!$N$6:$N$325,Taches!$C$6:$C$325,"V5",Taches!$E$6:$E$325,$B152)</f>
        <v/>
      </c>
      <c r="E152" s="16">
        <f>IF(C152=0,0,D152/C152)</f>
        <v/>
      </c>
      <c r="F152" s="12">
        <f>COUNTIFS(Taches!$C$6:$C$325,"V5",Taches!$E$6:$E$325,$B152,Taches!$J$6:$J$325,"&lt;&gt;Abandonnée",Taches!$B$6:$B$325,"&lt;&gt;")</f>
        <v/>
      </c>
      <c r="G152" s="12">
        <f>COUNTIFS(Taches!$C$6:$C$325,"V5",Taches!$E$6:$E$325,$B152,Taches!$J$6:$J$325,"Complétée")</f>
        <v/>
      </c>
      <c r="H152" s="12">
        <f>COUNTIFS(Taches!$C$6:$C$325,"V5",Taches!$E$6:$E$325,$B152,Taches!$J$6:$J$325,"Bloquée")</f>
        <v/>
      </c>
      <c r="I152" s="12">
        <f>COUNTIFS(Taches!$C$6:$C$325,"V5",Taches!$E$6:$E$325,$B152,Taches!$U$6:$U$325,"En retard")</f>
        <v/>
      </c>
    </row>
    <row r="153">
      <c r="B153" s="13" t="inlineStr">
        <is>
          <t>Surfaces</t>
        </is>
      </c>
      <c r="C153" s="12">
        <f>SUMIFS(Taches!$M$6:$M$325,Taches!$C$6:$C$325,"V5",Taches!$E$6:$E$325,$B153)</f>
        <v/>
      </c>
      <c r="D153" s="15">
        <f>SUMIFS(Taches!$N$6:$N$325,Taches!$C$6:$C$325,"V5",Taches!$E$6:$E$325,$B153)</f>
        <v/>
      </c>
      <c r="E153" s="16">
        <f>IF(C153=0,0,D153/C153)</f>
        <v/>
      </c>
      <c r="F153" s="12">
        <f>COUNTIFS(Taches!$C$6:$C$325,"V5",Taches!$E$6:$E$325,$B153,Taches!$J$6:$J$325,"&lt;&gt;Abandonnée",Taches!$B$6:$B$325,"&lt;&gt;")</f>
        <v/>
      </c>
      <c r="G153" s="12">
        <f>COUNTIFS(Taches!$C$6:$C$325,"V5",Taches!$E$6:$E$325,$B153,Taches!$J$6:$J$325,"Complétée")</f>
        <v/>
      </c>
      <c r="H153" s="12">
        <f>COUNTIFS(Taches!$C$6:$C$325,"V5",Taches!$E$6:$E$325,$B153,Taches!$J$6:$J$325,"Bloquée")</f>
        <v/>
      </c>
      <c r="I153" s="12">
        <f>COUNTIFS(Taches!$C$6:$C$325,"V5",Taches!$E$6:$E$325,$B153,Taches!$U$6:$U$325,"En retard")</f>
        <v/>
      </c>
    </row>
    <row r="154">
      <c r="B154" s="13" t="inlineStr">
        <is>
          <t>Accès</t>
        </is>
      </c>
      <c r="C154" s="12">
        <f>SUMIFS(Taches!$M$6:$M$325,Taches!$C$6:$C$325,"V5",Taches!$E$6:$E$325,$B154)</f>
        <v/>
      </c>
      <c r="D154" s="15">
        <f>SUMIFS(Taches!$N$6:$N$325,Taches!$C$6:$C$325,"V5",Taches!$E$6:$E$325,$B154)</f>
        <v/>
      </c>
      <c r="E154" s="16">
        <f>IF(C154=0,0,D154/C154)</f>
        <v/>
      </c>
      <c r="F154" s="12">
        <f>COUNTIFS(Taches!$C$6:$C$325,"V5",Taches!$E$6:$E$325,$B154,Taches!$J$6:$J$325,"&lt;&gt;Abandonnée",Taches!$B$6:$B$325,"&lt;&gt;")</f>
        <v/>
      </c>
      <c r="G154" s="12">
        <f>COUNTIFS(Taches!$C$6:$C$325,"V5",Taches!$E$6:$E$325,$B154,Taches!$J$6:$J$325,"Complétée")</f>
        <v/>
      </c>
      <c r="H154" s="12">
        <f>COUNTIFS(Taches!$C$6:$C$325,"V5",Taches!$E$6:$E$325,$B154,Taches!$J$6:$J$325,"Bloquée")</f>
        <v/>
      </c>
      <c r="I154" s="12">
        <f>COUNTIFS(Taches!$C$6:$C$325,"V5",Taches!$E$6:$E$325,$B154,Taches!$U$6:$U$325,"En retard")</f>
        <v/>
      </c>
    </row>
    <row r="155">
      <c r="B155" s="13" t="inlineStr">
        <is>
          <t>QA IA</t>
        </is>
      </c>
      <c r="C155" s="12">
        <f>SUMIFS(Taches!$M$6:$M$325,Taches!$C$6:$C$325,"V5",Taches!$E$6:$E$325,$B155)</f>
        <v/>
      </c>
      <c r="D155" s="15">
        <f>SUMIFS(Taches!$N$6:$N$325,Taches!$C$6:$C$325,"V5",Taches!$E$6:$E$325,$B155)</f>
        <v/>
      </c>
      <c r="E155" s="16">
        <f>IF(C155=0,0,D155/C155)</f>
        <v/>
      </c>
      <c r="F155" s="12">
        <f>COUNTIFS(Taches!$C$6:$C$325,"V5",Taches!$E$6:$E$325,$B155,Taches!$J$6:$J$325,"&lt;&gt;Abandonnée",Taches!$B$6:$B$325,"&lt;&gt;")</f>
        <v/>
      </c>
      <c r="G155" s="12">
        <f>COUNTIFS(Taches!$C$6:$C$325,"V5",Taches!$E$6:$E$325,$B155,Taches!$J$6:$J$325,"Complétée")</f>
        <v/>
      </c>
      <c r="H155" s="12">
        <f>COUNTIFS(Taches!$C$6:$C$325,"V5",Taches!$E$6:$E$325,$B155,Taches!$J$6:$J$325,"Bloquée")</f>
        <v/>
      </c>
      <c r="I155" s="12">
        <f>COUNTIFS(Taches!$C$6:$C$325,"V5",Taches!$E$6:$E$325,$B155,Taches!$U$6:$U$325,"En retard")</f>
        <v/>
      </c>
    </row>
    <row r="156">
      <c r="B156" s="30" t="inlineStr">
        <is>
          <t>Total V5</t>
        </is>
      </c>
      <c r="C156" s="30">
        <f>SUM(C149:C155)</f>
        <v/>
      </c>
      <c r="D156" s="31">
        <f>SUM(D149:D155)</f>
        <v/>
      </c>
      <c r="E156" s="32">
        <f>IF(C156=0,0,D156/C156)</f>
        <v/>
      </c>
      <c r="F156" s="30">
        <f>SUM(F149:F155)</f>
        <v/>
      </c>
      <c r="G156" s="30">
        <f>SUM(G149:G155)</f>
        <v/>
      </c>
      <c r="H156" s="30">
        <f>SUM(H149:H155)</f>
        <v/>
      </c>
      <c r="I156" s="30">
        <f>SUM(I149:I155)</f>
        <v/>
      </c>
    </row>
    <row r="158">
      <c r="B158" s="3" t="inlineStr">
        <is>
          <t>Prérequis</t>
        </is>
      </c>
    </row>
    <row r="159" ht="30" customHeight="1">
      <c r="B159" s="20" t="inlineStr">
        <is>
          <t>Data room de production stable (V2) ; contrat fournisseur IA avec clauses de confidentialité.</t>
        </is>
      </c>
    </row>
    <row r="160">
      <c r="B160" s="3" t="inlineStr">
        <is>
          <t>Décision ou règle</t>
        </is>
      </c>
    </row>
    <row r="161" ht="36" customHeight="1">
      <c r="B161" s="33" t="inlineStr">
        <is>
          <t>DealLens reste assistif et lecture seule : il explique, résume, extrait et propose, il ne décide jamais.</t>
        </is>
      </c>
      <c r="C161" s="34" t="n"/>
      <c r="D161" s="34" t="n"/>
      <c r="E161" s="34" t="n"/>
      <c r="F161" s="34" t="n"/>
      <c r="G161" s="34" t="n"/>
      <c r="H161" s="34" t="n"/>
      <c r="I161" s="34" t="n"/>
    </row>
  </sheetData>
  <mergeCells count="66">
    <mergeCell ref="B146:E146"/>
    <mergeCell ref="B135:I135"/>
    <mergeCell ref="F13:I13"/>
    <mergeCell ref="B118:E118"/>
    <mergeCell ref="B106:I106"/>
    <mergeCell ref="B138:I138"/>
    <mergeCell ref="B83:E83"/>
    <mergeCell ref="B143:E143"/>
    <mergeCell ref="F52:I52"/>
    <mergeCell ref="B141:I141"/>
    <mergeCell ref="B15:E15"/>
    <mergeCell ref="B159:I159"/>
    <mergeCell ref="B55:E55"/>
    <mergeCell ref="B51:E51"/>
    <mergeCell ref="B20:E20"/>
    <mergeCell ref="B46:I46"/>
    <mergeCell ref="B80:E80"/>
    <mergeCell ref="B71:I71"/>
    <mergeCell ref="F117:I117"/>
    <mergeCell ref="B85:E85"/>
    <mergeCell ref="B10:E10"/>
    <mergeCell ref="B43:I43"/>
    <mergeCell ref="B79:E79"/>
    <mergeCell ref="B161:I161"/>
    <mergeCell ref="B77:I77"/>
    <mergeCell ref="B144:E144"/>
    <mergeCell ref="F11:I11"/>
    <mergeCell ref="B16:E16"/>
    <mergeCell ref="B54:E54"/>
    <mergeCell ref="B111:I111"/>
    <mergeCell ref="F116:I116"/>
    <mergeCell ref="B81:E81"/>
    <mergeCell ref="F10:I10"/>
    <mergeCell ref="B8:I8"/>
    <mergeCell ref="B18:E18"/>
    <mergeCell ref="B69:I69"/>
    <mergeCell ref="B12:E12"/>
    <mergeCell ref="F143:I143"/>
    <mergeCell ref="B52:E52"/>
    <mergeCell ref="B21:E21"/>
    <mergeCell ref="F12:I12"/>
    <mergeCell ref="B86:E86"/>
    <mergeCell ref="B11:E11"/>
    <mergeCell ref="B120:E120"/>
    <mergeCell ref="B108:I108"/>
    <mergeCell ref="B117:E117"/>
    <mergeCell ref="F51:I51"/>
    <mergeCell ref="F80:I80"/>
    <mergeCell ref="B145:E145"/>
    <mergeCell ref="B49:I49"/>
    <mergeCell ref="B14:E14"/>
    <mergeCell ref="B74:I74"/>
    <mergeCell ref="B17:E17"/>
    <mergeCell ref="F79:I79"/>
    <mergeCell ref="B53:E53"/>
    <mergeCell ref="B119:E119"/>
    <mergeCell ref="B13:E13"/>
    <mergeCell ref="B133:I133"/>
    <mergeCell ref="B82:E82"/>
    <mergeCell ref="B116:E116"/>
    <mergeCell ref="B5:I5"/>
    <mergeCell ref="B87:E87"/>
    <mergeCell ref="B114:I114"/>
    <mergeCell ref="B19:E19"/>
    <mergeCell ref="B41:I41"/>
    <mergeCell ref="B84:E84"/>
  </mergeCells>
  <conditionalFormatting sqref="E24:E37">
    <cfRule type="dataBar" priority="1">
      <dataBar>
        <cfvo type="num" val="0"/>
        <cfvo type="num" val="1"/>
        <color rgb="006678F1"/>
      </dataBar>
    </cfRule>
  </conditionalFormatting>
  <conditionalFormatting sqref="H24:I37">
    <cfRule type="expression" priority="2" dxfId="4">
      <formula>H24&gt;0</formula>
    </cfRule>
  </conditionalFormatting>
  <conditionalFormatting sqref="E58:E65">
    <cfRule type="dataBar" priority="3">
      <dataBar>
        <cfvo type="num" val="0"/>
        <cfvo type="num" val="1"/>
        <color rgb="006678F1"/>
      </dataBar>
    </cfRule>
  </conditionalFormatting>
  <conditionalFormatting sqref="H58:I65">
    <cfRule type="expression" priority="4" dxfId="4">
      <formula>H58&gt;0</formula>
    </cfRule>
  </conditionalFormatting>
  <conditionalFormatting sqref="E90:E102">
    <cfRule type="dataBar" priority="5">
      <dataBar>
        <cfvo type="num" val="0"/>
        <cfvo type="num" val="1"/>
        <color rgb="006678F1"/>
      </dataBar>
    </cfRule>
  </conditionalFormatting>
  <conditionalFormatting sqref="H90:I102">
    <cfRule type="expression" priority="6" dxfId="4">
      <formula>H90&gt;0</formula>
    </cfRule>
  </conditionalFormatting>
  <conditionalFormatting sqref="E123:E129">
    <cfRule type="dataBar" priority="7">
      <dataBar>
        <cfvo type="num" val="0"/>
        <cfvo type="num" val="1"/>
        <color rgb="006678F1"/>
      </dataBar>
    </cfRule>
  </conditionalFormatting>
  <conditionalFormatting sqref="H123:I129">
    <cfRule type="expression" priority="8" dxfId="4">
      <formula>H123&gt;0</formula>
    </cfRule>
  </conditionalFormatting>
  <conditionalFormatting sqref="E149:E155">
    <cfRule type="dataBar" priority="9">
      <dataBar>
        <cfvo type="num" val="0"/>
        <cfvo type="num" val="1"/>
        <color rgb="006678F1"/>
      </dataBar>
    </cfRule>
  </conditionalFormatting>
  <conditionalFormatting sqref="H149:I155">
    <cfRule type="expression" priority="10" dxfId="4">
      <formula>H149&gt;0</formula>
    </cfRule>
  </conditionalFormatting>
  <pageMargins left="0.75" right="0.75" top="1" bottom="1" header="0.5" footer="0.5"/>
</worksheet>
</file>

<file path=xl/worksheets/sheet5.xml><?xml version="1.0" encoding="utf-8"?>
<worksheet xmlns="http://schemas.openxmlformats.org/spreadsheetml/2006/main">
  <sheetPr>
    <tabColor rgb="005980A6"/>
    <outlinePr summaryBelow="1" summaryRight="1"/>
    <pageSetUpPr/>
  </sheetPr>
  <dimension ref="B2:C24"/>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18" t="inlineStr">
        <is>
          <t>L'onglet Taches est la source des calculs. La source persistante du classeur est devX/build_suivi.py : y reporter toute saisie avant régénération. DealPME_Suivi.ods est une archive obsolète avec un autre calendrier, pas un suivi actif.</t>
        </is>
      </c>
    </row>
    <row r="6" ht="44" customHeight="1">
      <c r="B6" s="35" t="inlineStr">
        <is>
          <t>Conservation des acquis</t>
        </is>
      </c>
      <c r="C6" s="18" t="inlineStr">
        <is>
          <t>Les tâches déjà réalisées conservent leur statut et leur avancement. Tout correctif, renforcement ou travail supplémentaire est suivi séparément et relié à la tâche initiale. Aucun travail réalisé ne disparaît du suivi.</t>
        </is>
      </c>
    </row>
    <row r="7" ht="44" customHeight="1">
      <c r="B7" s="35" t="inlineStr">
        <is>
          <t>Complément découvert</t>
        </is>
      </c>
      <c r="C7" s="18" t="inlineStr">
        <is>
          <t>Créer immédiatement une nouvelle tâche persistante pour toute exigence, intégration, correction hors portée ou sous-recette distincte découverte pendant l'exécution. Renseigner ID, lot, dépendances, critère, responsable, charge et dates dans devX/build_suivi.py avant de poursuivre. Une note de conversation ou un titre général ne suffit pas ; voir AGENTS.md.</t>
        </is>
      </c>
    </row>
    <row r="8" ht="44" customHeight="1">
      <c r="B8" s="35" t="inlineStr">
        <is>
          <t>L05 : deux fins distinctes</t>
        </is>
      </c>
      <c r="C8" s="18" t="inlineStr">
        <is>
          <t>V1-110/111 vérifient le câblage et la bascule sans accès. V1-112 à 115 portent activation et recettes réelles. V1-116 clôt le lot après corrections et qualification V1-107. La console V1-105 reste acquise ; ni sa clôture ni un mock PASS ne clôturent L05.</t>
        </is>
      </c>
    </row>
    <row r="9" ht="44" customHeight="1">
      <c r="B9" s="35" t="inlineStr">
        <is>
          <t>Plan d'exécution</t>
        </is>
      </c>
      <c r="C9" s="18" t="inlineStr">
        <is>
          <t>Plan_execution regroupe les tâches restantes par lots L00 à L12. Il calcule leurs charges et avancements depuis Taches. Suivre docs/PLAN_EXECUTION.md pour l'ordre technique, les sous-étapes, les dépendances externes et les preuves de sortie.</t>
        </is>
      </c>
    </row>
    <row r="10" ht="44" customHeight="1">
      <c r="B10" s="35" t="inlineStr">
        <is>
          <t>Fin réelle</t>
        </is>
      </c>
      <c r="C10" s="18" t="inlineStr">
        <is>
          <t>Convention du classeur : date de clôture rattachée au calendrier de livraison. La date est située entre début et fin prévus, ou après la fin, jamais avant le début. Une date antérieure au début est repositionnée à la fin prévue ; une date postérieure reste inchangée.</t>
        </is>
      </c>
    </row>
    <row r="11" ht="44" customHeight="1">
      <c r="B11" s="35" t="inlineStr">
        <is>
          <t>Mettre à jour une tâche</t>
        </is>
      </c>
      <c r="C11" s="18"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12" ht="44" customHeight="1">
      <c r="B12" s="35" t="inlineStr">
        <is>
          <t>Ajouter une tâche</t>
        </is>
      </c>
      <c r="C12" s="18" t="inlineStr">
        <is>
          <t>Ajouter d'abord le complément dans devX/build_suivi.py, en append avec un nouvel ID stable, puis régénérer le classeur et mettre à jour son lot dans Plan_execution. Les lignes réservées de Taches permettent la saisie de travail, mais toute saisie doit être reportée dans le générateur pour survivre à la régénération.</t>
        </is>
      </c>
    </row>
    <row r="13" ht="44" customHeight="1">
      <c r="B13" s="35" t="inlineStr">
        <is>
          <t>Abandonner une tâche</t>
        </is>
      </c>
      <c r="C13" s="18" t="inlineStr">
        <is>
          <t>Mettre le statut 'Abandonnée' : la tâche sort des totaux de charge sans être supprimée (traçabilité).</t>
        </is>
      </c>
    </row>
    <row r="14" ht="44" customHeight="1">
      <c r="B14" s="35" t="inlineStr">
        <is>
          <t>Codes couleur</t>
        </is>
      </c>
      <c r="C14" s="18" t="inlineStr">
        <is>
          <t>Cellules jaune pâle : à saisir. Cellules grises : calculées, ne pas modifier. Statuts colorés automatiquement (vert complétée, ambre en cours, rouge bloquée).</t>
        </is>
      </c>
    </row>
    <row r="15" ht="44" customHeight="1">
      <c r="B15" s="35" t="inlineStr">
        <is>
          <t>Modules</t>
        </is>
      </c>
      <c r="C15" s="18" t="inlineStr">
        <is>
          <t>Avancement pondéré par la charge des tâches du module. Colonnes Responsable et Commentaire à saisir. Les éléments hors périmètre v0 sont listés pour mémoire, sans tâche.</t>
        </is>
      </c>
    </row>
    <row r="16" ht="44" customHeight="1">
      <c r="B16" s="35" t="inlineStr">
        <is>
          <t>Versions</t>
        </is>
      </c>
      <c r="C16" s="18" t="inlineStr">
        <is>
          <t>Les dates de début et de fin se saisissent ici. L'état passe automatiquement à 'En dépassement' si la date de fin est passée sans 100 %.</t>
        </is>
      </c>
    </row>
    <row r="17" ht="44" customHeight="1">
      <c r="B17" s="35" t="inlineStr">
        <is>
          <t>Jalons</t>
        </is>
      </c>
      <c r="C17" s="18" t="inlineStr">
        <is>
          <t>Saisir la date cible et le statut. La colonne Alerte signale 'Dépassé' ou 'Cette semaine'. Le tableau de bord affiche le prochain jalon non atteint.</t>
        </is>
      </c>
    </row>
    <row r="18" ht="44" customHeight="1">
      <c r="B18" s="35" t="inlineStr">
        <is>
          <t>Risques</t>
        </is>
      </c>
      <c r="C18" s="18" t="inlineStr">
        <is>
          <t>Saisir probabilité et impact de 1 à 5. Le score et le niveau se calculent. Passer le statut à 'Clos' quand le risque est levé.</t>
        </is>
      </c>
    </row>
    <row r="19" ht="44" customHeight="1">
      <c r="B19" s="35" t="inlineStr">
        <is>
          <t>Securite</t>
        </is>
      </c>
      <c r="C19" s="18" t="inlineStr">
        <is>
          <t>Registre des constats de sécurité : chaque ligne renvoie à la tâche qui la traite ; le statut et l'avancement se lisent automatiquement. Un report vers une version ultérieure doit être justifié et accompagné d'une mitigation.</t>
        </is>
      </c>
    </row>
    <row r="20" ht="44" customHeight="1">
      <c r="B20" s="35" t="inlineStr">
        <is>
          <t>Decisions</t>
        </is>
      </c>
      <c r="C20" s="18" t="inlineStr">
        <is>
          <t>Toute demande de changement de périmètre s'inscrit ici avant d'être traduite en tâches. Statut : Ouvert, En discussion, Tranché.</t>
        </is>
      </c>
    </row>
    <row r="21" ht="44" customHeight="1">
      <c r="B21" s="35" t="inlineStr">
        <is>
          <t>Gantt</t>
        </is>
      </c>
      <c r="C21" s="18" t="inlineStr">
        <is>
          <t>Barres hebdomadaires calculées depuis 'Début prévu' et 'Fin prévue' de chaque tâche. Modifier les dates dans Taches, pas dans le Gantt. La colonne de la semaine courante est surlignée.</t>
        </is>
      </c>
    </row>
    <row r="22" ht="44" customHeight="1">
      <c r="B22" s="35" t="inlineStr">
        <is>
          <t>Unités</t>
        </is>
      </c>
      <c r="C22" s="18" t="inlineStr">
        <is>
          <t>Charges en jours-personne (j/p). 5 j/p = 1 semaine-personne. Le calendrier réel dépend du nombre de personnes réellement affectées.</t>
        </is>
      </c>
    </row>
    <row r="23" ht="44" customHeight="1">
      <c r="B23" s="35" t="inlineStr">
        <is>
          <t>Paramètres</t>
        </is>
      </c>
      <c r="C23" s="18" t="inlineStr">
        <is>
          <t>Les listes déroulantes et l'avancement par défaut de chaque statut se modifient dans l'onglet Parametres.</t>
        </is>
      </c>
    </row>
    <row r="24" ht="44" customHeight="1">
      <c r="B24" s="35" t="inlineStr">
        <is>
          <t>Partage</t>
        </is>
      </c>
      <c r="C24" s="18"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Contrats d'intégration Remo préparés : API et admission/SSO si disponible, branding global du compte et par événement, profils versionnés, identités et erreurs ; raccordement réel sans refonte UI/métier après confirmation du protocole</t>
        </is>
      </c>
      <c r="H12" s="38" t="n">
        <v>2</v>
      </c>
      <c r="I12" s="36" t="inlineStr">
        <is>
          <t>Haute</t>
        </is>
      </c>
      <c r="J12" s="36" t="inlineStr">
        <is>
          <t>En revue</t>
        </is>
      </c>
      <c r="K12" s="39" t="n">
        <v>0.95</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inlineStr">
        <is>
          <t>Architecture et SAML implémentés ; revue V1-110 et bascule V1-111 closes hors fournisseur : qa/l05-wiring-verification.json. Recette SAML réelle V1-113 toujours ouverte.</t>
        </is>
      </c>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inlineStr">
        <is>
          <t>Socle monorepo réalisé. Renforcement de la CI suivi en V1-091.</t>
        </is>
      </c>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0.8</v>
      </c>
      <c r="L14" s="16">
        <f>IF($B14="","",IF(J14="Complétée",1,IF(J14="Abandonnée",0,IF(K14&lt;&gt;"",K14,IFERROR(VLOOKUP(J14,Parametres!$B$6:$C$12,2,FALSE),0)))))</f>
        <v/>
      </c>
      <c r="M14" s="15">
        <f>IF($B14="","",IF(J14="Abandonnée",0,H14))</f>
        <v/>
      </c>
      <c r="N14" s="15">
        <f>IF($B14="","",M14*L14)</f>
        <v/>
      </c>
      <c r="O14" s="37" t="inlineStr">
        <is>
          <t>Abdou-Raouf</t>
        </is>
      </c>
      <c r="P14" s="40" t="n">
        <v>46270</v>
      </c>
      <c r="Q14" s="40" t="n">
        <v>46276</v>
      </c>
      <c r="R14" s="40" t="n"/>
      <c r="S14" s="37" t="inlineStr"/>
      <c r="T14" s="36" t="inlineStr">
        <is>
          <t>Non</t>
        </is>
      </c>
      <c r="U14" s="13">
        <f>IF($B14="","",IF(AND(J14&lt;&gt;"Complétée",J14&lt;&gt;"Abandonnée",Q14&lt;&gt;"",TODAY()&gt;Q14),"En retard",""))</f>
        <v/>
      </c>
      <c r="V14" s="37" t="inlineStr">
        <is>
          <t>Audit 12/09 : Artefact CI avec empreinte et référence, unités système et procédure de bascule/retour arrière préparés. Aucun déploiement distant attesté : serveur, DNS et accès A19 attendus.</t>
        </is>
      </c>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46271</v>
      </c>
      <c r="Q16" s="40" t="n">
        <v>46277</v>
      </c>
      <c r="R16" s="40" t="n">
        <v>46277</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v>46303</v>
      </c>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46272</v>
      </c>
      <c r="Q19" s="40" t="n">
        <v>46278</v>
      </c>
      <c r="R19" s="40" t="n">
        <v>46278</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v>46303</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46273</v>
      </c>
      <c r="Q21" s="40" t="n">
        <v>46278</v>
      </c>
      <c r="R21" s="40" t="n">
        <v>46302</v>
      </c>
      <c r="S21" s="37" t="inlineStr"/>
      <c r="T21" s="36" t="inlineStr">
        <is>
          <t>Non</t>
        </is>
      </c>
      <c r="U21" s="13">
        <f>IF($B21="","",IF(AND(J21&lt;&gt;"Complétée",J21&lt;&gt;"Abandonnée",Q21&lt;&gt;"",TODAY()&gt;Q21),"En retard",""))</f>
        <v/>
      </c>
      <c r="V21" s="37" t="inlineStr">
        <is>
          <t>Sondes et journaux de base réalisés. Centralisation et alertes suivies en V1-097.</t>
        </is>
      </c>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46277</v>
      </c>
      <c r="R22" s="40" t="n">
        <v>46303</v>
      </c>
      <c r="S22" s="37" t="inlineStr"/>
      <c r="T22" s="36" t="inlineStr">
        <is>
          <t>Non</t>
        </is>
      </c>
      <c r="U22" s="13">
        <f>IF($B22="","",IF(AND(J22&lt;&gt;"Complétée",J22&lt;&gt;"Abandonnée",Q22&lt;&gt;"",TODAY()&gt;Q22),"En retard",""))</f>
        <v/>
      </c>
      <c r="V22" s="37" t="inlineStr">
        <is>
          <t>Scripts de sauvegarde réalisés. Automatisation et durcissement de restauration suivis en V1-098.</t>
        </is>
      </c>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46274</v>
      </c>
      <c r="Q24" s="40" t="n">
        <v>46277</v>
      </c>
      <c r="R24" s="40" t="n">
        <v>46274</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46275</v>
      </c>
      <c r="Q27" s="40" t="n">
        <v>46277</v>
      </c>
      <c r="R27" s="40" t="n">
        <v>46277</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46275</v>
      </c>
      <c r="Q28" s="40" t="n">
        <v>46278</v>
      </c>
      <c r="R28" s="40" t="n">
        <v>46278</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46276</v>
      </c>
      <c r="Q30" s="40" t="n">
        <v>46279</v>
      </c>
      <c r="R30" s="40" t="n">
        <v>46296</v>
      </c>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46276</v>
      </c>
      <c r="Q31" s="40" t="n">
        <v>46278</v>
      </c>
      <c r="R31" s="40" t="n">
        <v>46278</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Complétée</t>
        </is>
      </c>
      <c r="K32" s="39" t="n"/>
      <c r="L32" s="16">
        <f>IF($B32="","",IF(J32="Complétée",1,IF(J32="Abandonnée",0,IF(K32&lt;&gt;"",K32,IFERROR(VLOOKUP(J32,Parametres!$B$6:$C$12,2,FALSE),0)))))</f>
        <v/>
      </c>
      <c r="M32" s="15">
        <f>IF($B32="","",IF(J32="Abandonnée",0,H32))</f>
        <v/>
      </c>
      <c r="N32" s="15">
        <f>IF($B32="","",M32*L32)</f>
        <v/>
      </c>
      <c r="O32" s="37" t="inlineStr">
        <is>
          <t>Abdou-Raouf</t>
        </is>
      </c>
      <c r="P32" s="40" t="n">
        <v>46276</v>
      </c>
      <c r="Q32" s="40" t="n">
        <v>46281</v>
      </c>
      <c r="R32" s="40" t="n">
        <v>46276</v>
      </c>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sandbox opérateur ; mêmes contrats que le local V1-101/102 ; configuration réelle sans modification des parcours métier</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46278</v>
      </c>
      <c r="Q37" s="40" t="n">
        <v>46284</v>
      </c>
      <c r="R37" s="40" t="n">
        <v>46301</v>
      </c>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46279</v>
      </c>
      <c r="Q39" s="40" t="n">
        <v>46285</v>
      </c>
      <c r="R39" s="40" t="n">
        <v>46279</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stockés ; API désactivée = cycle manuel complet ; API activée = mock local puis adaptateur réel ; absence, divergence et panne distinctes (complément V1-109)</t>
        </is>
      </c>
      <c r="H40" s="38" t="n">
        <v>5</v>
      </c>
      <c r="I40" s="36" t="inlineStr">
        <is>
          <t>Haute</t>
        </is>
      </c>
      <c r="J40" s="36" t="inlineStr">
        <is>
          <t>En revue</t>
        </is>
      </c>
      <c r="K40" s="39" t="n">
        <v>0.95</v>
      </c>
      <c r="L40" s="16">
        <f>IF($B40="","",IF(J40="Complétée",1,IF(J40="Abandonnée",0,IF(K40&lt;&gt;"",K40,IFERROR(VLOOKUP(J40,Parametres!$B$6:$C$12,2,FALSE),0)))))</f>
        <v/>
      </c>
      <c r="M40" s="15">
        <f>IF($B40="","",IF(J40="Abandonnée",0,H40))</f>
        <v/>
      </c>
      <c r="N40" s="15">
        <f>IF($B40="","",M40*L40)</f>
        <v/>
      </c>
      <c r="O40" s="37" t="inlineStr">
        <is>
          <t>Abdou-Raouf</t>
        </is>
      </c>
      <c r="P40" s="40" t="n">
        <v>46279</v>
      </c>
      <c r="Q40" s="40" t="n">
        <v>46286</v>
      </c>
      <c r="R40" s="40" t="n"/>
      <c r="S40" s="37" t="inlineStr">
        <is>
          <t>Réponse sur l'API CFE/RCCM</t>
        </is>
      </c>
      <c r="T40" s="36" t="inlineStr">
        <is>
          <t>Oui</t>
        </is>
      </c>
      <c r="U40" s="13">
        <f>IF($B40="","",IF(AND(J40&lt;&gt;"Complétée",J40&lt;&gt;"Abandonnée",Q40&lt;&gt;"",TODAY()&gt;Q40),"En retard",""))</f>
        <v/>
      </c>
      <c r="V40" s="37" t="inlineStr">
        <is>
          <t>Audit 12/09 : Parcours manuel/mock éprouvés ; identité modifiée invalide preuve et badge sans effacer la décision historique. Contrat CFE réel A02 toujours attendu ; fournisseur réel refusé tant qu'il n'est pas qualifié.</t>
        </is>
      </c>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46280</v>
      </c>
      <c r="Q41" s="40" t="n">
        <v>46283</v>
      </c>
      <c r="R41" s="40" t="n">
        <v>46283</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46280</v>
      </c>
      <c r="Q42" s="40" t="n">
        <v>46285</v>
      </c>
      <c r="R42" s="40" t="n">
        <v>46280</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46281</v>
      </c>
      <c r="Q44" s="40" t="n">
        <v>46284</v>
      </c>
      <c r="R44" s="40" t="n">
        <v>46284</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46282</v>
      </c>
      <c r="Q46" s="40" t="n">
        <v>46287</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46282</v>
      </c>
      <c r="Q47" s="40" t="n">
        <v>46288</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46283</v>
      </c>
      <c r="Q48" s="40" t="n">
        <v>46286</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46283</v>
      </c>
      <c r="Q49" s="40" t="n">
        <v>46288</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46283</v>
      </c>
      <c r="Q50" s="40" t="n">
        <v>46286</v>
      </c>
      <c r="R50" s="40" t="n">
        <v>46286</v>
      </c>
      <c r="S50" s="37" t="inlineStr"/>
      <c r="T50" s="36" t="inlineStr">
        <is>
          <t>Non</t>
        </is>
      </c>
      <c r="U50" s="13">
        <f>IF($B50="","",IF(AND(J50&lt;&gt;"Complétée",J50&lt;&gt;"Abandonnée",Q50&lt;&gt;"",TODAY()&gt;Q50),"En retard",""))</f>
        <v/>
      </c>
      <c r="V50" s="37" t="inlineStr">
        <is>
          <t>Journal des certifications réalisé. Garantie de persistance renforcée en V1-094.</t>
        </is>
      </c>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46284</v>
      </c>
      <c r="Q52" s="40" t="n">
        <v>46290</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46285</v>
      </c>
      <c r="Q53" s="40" t="n">
        <v>46290</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46285</v>
      </c>
      <c r="Q54" s="40" t="n">
        <v>46290</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46286</v>
      </c>
      <c r="Q55" s="40" t="n">
        <v>46289</v>
      </c>
      <c r="R55" s="40" t="n">
        <v>46297</v>
      </c>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46286</v>
      </c>
      <c r="Q56" s="40" t="n">
        <v>46293</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46287</v>
      </c>
      <c r="Q58" s="40" t="n">
        <v>46293</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46287</v>
      </c>
      <c r="Q59" s="40" t="n">
        <v>46294</v>
      </c>
      <c r="R59" s="40" t="n">
        <v>46295</v>
      </c>
      <c r="S59" s="37" t="inlineStr"/>
      <c r="T59" s="36" t="inlineStr">
        <is>
          <t>Non</t>
        </is>
      </c>
      <c r="U59" s="13">
        <f>IF($B59="","",IF(AND(J59&lt;&gt;"Complétée",J59&lt;&gt;"Abandonnée",Q59&lt;&gt;"",TODAY()&gt;Q59),"En retard",""))</f>
        <v/>
      </c>
      <c r="V59" s="37" t="inlineStr">
        <is>
          <t>Socle de mise en relation réalisé. Correctif de réponse ciblée et tests multi-repreneurs suivis en V1-095.</t>
        </is>
      </c>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46288</v>
      </c>
      <c r="Q60" s="40" t="n">
        <v>46293</v>
      </c>
      <c r="R60" s="40" t="n">
        <v>46296</v>
      </c>
      <c r="S60" s="37" t="inlineStr"/>
      <c r="T60" s="36" t="inlineStr">
        <is>
          <t>Non</t>
        </is>
      </c>
      <c r="U60" s="13">
        <f>IF($B60="","",IF(AND(J60&lt;&gt;"Complétée",J60&lt;&gt;"Abandonnée",Q60&lt;&gt;"",TODAY()&gt;Q60),"En retard",""))</f>
        <v/>
      </c>
      <c r="V60" s="37" t="inlineStr">
        <is>
          <t>Alertes sauvegardées et consentement réalisés. Traitement et envoi automatisés suivis en V1-096.</t>
        </is>
      </c>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46288</v>
      </c>
      <c r="Q61" s="40" t="n">
        <v>46293</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46289</v>
      </c>
      <c r="Q62" s="40" t="n">
        <v>46296</v>
      </c>
      <c r="R62" s="40" t="n">
        <v>46297</v>
      </c>
      <c r="S62" s="37" t="inlineStr"/>
      <c r="T62" s="36" t="inlineStr">
        <is>
          <t>Non</t>
        </is>
      </c>
      <c r="U62" s="13">
        <f>IF($B62="","",IF(AND(J62&lt;&gt;"Complétée",J62&lt;&gt;"Abandonnée",Q62&lt;&gt;"",TODAY()&gt;Q62),"En retard",""))</f>
        <v/>
      </c>
      <c r="V62" s="37" t="inlineStr">
        <is>
          <t>Liste et fiche T0 réalisées. Extension de la fiche aux six onglets suivie en V1-099.</t>
        </is>
      </c>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Complétée</t>
        </is>
      </c>
      <c r="K63" s="39" t="n"/>
      <c r="L63" s="16">
        <f>IF($B63="","",IF(J63="Complétée",1,IF(J63="Abandonnée",0,IF(K63&lt;&gt;"",K63,IFERROR(VLOOKUP(J63,Parametres!$B$6:$C$12,2,FALSE),0)))))</f>
        <v/>
      </c>
      <c r="M63" s="15">
        <f>IF($B63="","",IF(J63="Abandonnée",0,H63))</f>
        <v/>
      </c>
      <c r="N63" s="15">
        <f>IF($B63="","",M63*L63)</f>
        <v/>
      </c>
      <c r="O63" s="37" t="inlineStr">
        <is>
          <t>Abdou-Raouf</t>
        </is>
      </c>
      <c r="P63" s="40" t="n">
        <v>46289</v>
      </c>
      <c r="Q63" s="40" t="n">
        <v>46294</v>
      </c>
      <c r="R63" s="40" t="n">
        <v>46301</v>
      </c>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46290</v>
      </c>
      <c r="Q64" s="40" t="n">
        <v>46295</v>
      </c>
      <c r="R64" s="40" t="n">
        <v>46295</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46290</v>
      </c>
      <c r="Q65" s="40" t="n">
        <v>46293</v>
      </c>
      <c r="R65" s="40" t="n">
        <v>46293</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46290</v>
      </c>
      <c r="Q66" s="40" t="n">
        <v>46296</v>
      </c>
      <c r="R66" s="40" t="n">
        <v>46297</v>
      </c>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Complétée</t>
        </is>
      </c>
      <c r="K67" s="39" t="n"/>
      <c r="L67" s="16">
        <f>IF($B67="","",IF(J67="Complétée",1,IF(J67="Abandonnée",0,IF(K67&lt;&gt;"",K67,IFERROR(VLOOKUP(J67,Parametres!$B$6:$C$12,2,FALSE),0)))))</f>
        <v/>
      </c>
      <c r="M67" s="15">
        <f>IF($B67="","",IF(J67="Abandonnée",0,H67))</f>
        <v/>
      </c>
      <c r="N67" s="15">
        <f>IF($B67="","",M67*L67)</f>
        <v/>
      </c>
      <c r="O67" s="37" t="inlineStr">
        <is>
          <t>Abdou-Raouf</t>
        </is>
      </c>
      <c r="P67" s="40" t="n">
        <v>46291</v>
      </c>
      <c r="Q67" s="40" t="n">
        <v>46296</v>
      </c>
      <c r="R67" s="40" t="n">
        <v>46297</v>
      </c>
      <c r="S67" s="37" t="inlineStr"/>
      <c r="T67" s="36" t="inlineStr">
        <is>
          <t>Non</t>
        </is>
      </c>
      <c r="U67" s="13">
        <f>IF($B67="","",IF(AND(J67&lt;&gt;"Complétée",J67&lt;&gt;"Abandonnée",Q67&lt;&gt;"",TODAY()&gt;Q67),"En retard",""))</f>
        <v/>
      </c>
      <c r="V67" s="37" t="inlineStr">
        <is>
          <t>Bannière et texte réalisés. Validation du scénario suivie en V1-066.</t>
        </is>
      </c>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46291</v>
      </c>
      <c r="Q68" s="40" t="n">
        <v>46294</v>
      </c>
      <c r="R68" s="40" t="n">
        <v>46295</v>
      </c>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46291</v>
      </c>
      <c r="Q69" s="40" t="n">
        <v>46298</v>
      </c>
      <c r="R69" s="40" t="n">
        <v>46300</v>
      </c>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46292</v>
      </c>
      <c r="Q70" s="40" t="n">
        <v>46297</v>
      </c>
      <c r="R70" s="40" t="n">
        <v>46300</v>
      </c>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46292</v>
      </c>
      <c r="Q71" s="40" t="n">
        <v>46294</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Accès organisateur/API reçus, plan et capacités consignés ; API, SSO, branding et limites à confronter aux essais V1-104 ; un accès participant ne suffit pas</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46293</v>
      </c>
      <c r="Q72" s="40" t="n">
        <v>46298</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revue</t>
        </is>
      </c>
      <c r="K73" s="39" t="n">
        <v>0.95</v>
      </c>
      <c r="L73" s="16">
        <f>IF($B73="","",IF(J73="Complétée",1,IF(J73="Abandonnée",0,IF(K73&lt;&gt;"",K73,IFERROR(VLOOKUP(J73,Parametres!$B$6:$C$12,2,FALSE),0)))))</f>
        <v/>
      </c>
      <c r="M73" s="15">
        <f>IF($B73="","",IF(J73="Abandonnée",0,H73))</f>
        <v/>
      </c>
      <c r="N73" s="15">
        <f>IF($B73="","",M73*L73)</f>
        <v/>
      </c>
      <c r="O73" s="37" t="inlineStr">
        <is>
          <t>Abdou-Raouf</t>
        </is>
      </c>
      <c r="P73" s="40" t="n">
        <v>46293</v>
      </c>
      <c r="Q73" s="40" t="n">
        <v>46305</v>
      </c>
      <c r="R73" s="40" t="n"/>
      <c r="S73" s="37" t="inlineStr">
        <is>
          <t>Cadrage Remo.co</t>
        </is>
      </c>
      <c r="T73" s="36" t="inlineStr">
        <is>
          <t>Non</t>
        </is>
      </c>
      <c r="U73" s="13">
        <f>IF($B73="","",IF(AND(J73&lt;&gt;"Complétée",J73&lt;&gt;"Abandonnée",Q73&lt;&gt;"",TODAY()&gt;Q73),"En retard",""))</f>
        <v/>
      </c>
      <c r="V73" s="37" t="inlineStr">
        <is>
          <t>Adaptateur du Swagger public éprouvé sur fixture HTTPS. Activation V1-112, recette API réelle V1-115 et corrections/clôture V1-116 ne sont pas réalisées par ces tests locaux.</t>
        </is>
      </c>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Complétée</t>
        </is>
      </c>
      <c r="K74" s="39" t="n"/>
      <c r="L74" s="16">
        <f>IF($B74="","",IF(J74="Complétée",1,IF(J74="Abandonnée",0,IF(K74&lt;&gt;"",K74,IFERROR(VLOOKUP(J74,Parametres!$B$6:$C$12,2,FALSE),0)))))</f>
        <v/>
      </c>
      <c r="M74" s="15">
        <f>IF($B74="","",IF(J74="Abandonnée",0,H74))</f>
        <v/>
      </c>
      <c r="N74" s="15">
        <f>IF($B74="","",M74*L74)</f>
        <v/>
      </c>
      <c r="O74" s="37" t="inlineStr">
        <is>
          <t>Abdou-Raouf</t>
        </is>
      </c>
      <c r="P74" s="40" t="n">
        <v>46294</v>
      </c>
      <c r="Q74" s="40" t="n">
        <v>46299</v>
      </c>
      <c r="R74" s="40" t="n">
        <v>46300</v>
      </c>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Complétée</t>
        </is>
      </c>
      <c r="K75" s="39" t="n"/>
      <c r="L75" s="16">
        <f>IF($B75="","",IF(J75="Complétée",1,IF(J75="Abandonnée",0,IF(K75&lt;&gt;"",K75,IFERROR(VLOOKUP(J75,Parametres!$B$6:$C$12,2,FALSE),0)))))</f>
        <v/>
      </c>
      <c r="M75" s="15">
        <f>IF($B75="","",IF(J75="Abandonnée",0,H75))</f>
        <v/>
      </c>
      <c r="N75" s="15">
        <f>IF($B75="","",M75*L75)</f>
        <v/>
      </c>
      <c r="O75" s="37" t="inlineStr">
        <is>
          <t>Abdou-Raouf</t>
        </is>
      </c>
      <c r="P75" s="40" t="n">
        <v>46294</v>
      </c>
      <c r="Q75" s="40" t="n">
        <v>46300</v>
      </c>
      <c r="R75" s="40" t="n">
        <v>46301</v>
      </c>
      <c r="S75" s="37" t="inlineStr"/>
      <c r="T75" s="36" t="inlineStr">
        <is>
          <t>Non</t>
        </is>
      </c>
      <c r="U75" s="13">
        <f>IF($B75="","",IF(AND(J75&lt;&gt;"Complétée",J75&lt;&gt;"Abandonnée",Q75&lt;&gt;"",TODAY()&gt;Q75),"En retard",""))</f>
        <v/>
      </c>
      <c r="V75" s="37" t="inlineStr">
        <is>
          <t>Écrans Deal-Connect réalisés. Intégration prestataire et accès réel suivis en V1-068.</t>
        </is>
      </c>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revue</t>
        </is>
      </c>
      <c r="K76" s="39" t="n">
        <v>0.95</v>
      </c>
      <c r="L76" s="16">
        <f>IF($B76="","",IF(J76="Complétée",1,IF(J76="Abandonnée",0,IF(K76&lt;&gt;"",K76,IFERROR(VLOOKUP(J76,Parametres!$B$6:$C$12,2,FALSE),0)))))</f>
        <v/>
      </c>
      <c r="M76" s="15">
        <f>IF($B76="","",IF(J76="Abandonnée",0,H76))</f>
        <v/>
      </c>
      <c r="N76" s="15">
        <f>IF($B76="","",M76*L76)</f>
        <v/>
      </c>
      <c r="O76" s="37" t="inlineStr">
        <is>
          <t>Abdou-Raouf</t>
        </is>
      </c>
      <c r="P76" s="40" t="n">
        <v>46295</v>
      </c>
      <c r="Q76" s="40" t="n">
        <v>46301</v>
      </c>
      <c r="R76" s="40" t="n"/>
      <c r="S76" s="37" t="inlineStr">
        <is>
          <t>Connecteur Remo.co</t>
        </is>
      </c>
      <c r="T76" s="36" t="inlineStr">
        <is>
          <t>Non</t>
        </is>
      </c>
      <c r="U76" s="13">
        <f>IF($B76="","",IF(AND(J76&lt;&gt;"Complétée",J76&lt;&gt;"Abandonnée",Q76&lt;&gt;"",TODAY()&gt;Q76),"En retard",""))</f>
        <v/>
      </c>
      <c r="V76" s="37" t="inlineStr">
        <is>
          <t>Parcours diaspora local acquis. Admission privée et véritable entretien à vérifier dans V1-113/115 ; pas de validation fournisseur par la seule présence d'un lien.</t>
        </is>
      </c>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46295</v>
      </c>
      <c r="Q77" s="40" t="n">
        <v>46302</v>
      </c>
      <c r="R77" s="40" t="n">
        <v>46302</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Complétée</t>
        </is>
      </c>
      <c r="K78" s="39" t="n"/>
      <c r="L78" s="16">
        <f>IF($B78="","",IF(J78="Complétée",1,IF(J78="Abandonnée",0,IF(K78&lt;&gt;"",K78,IFERROR(VLOOKUP(J78,Parametres!$B$6:$C$12,2,FALSE),0)))))</f>
        <v/>
      </c>
      <c r="M78" s="15">
        <f>IF($B78="","",IF(J78="Abandonnée",0,H78))</f>
        <v/>
      </c>
      <c r="N78" s="15">
        <f>IF($B78="","",M78*L78)</f>
        <v/>
      </c>
      <c r="O78" s="37" t="inlineStr">
        <is>
          <t>Abdou-Raouf</t>
        </is>
      </c>
      <c r="P78" s="40" t="n">
        <v>46296</v>
      </c>
      <c r="Q78" s="40" t="n">
        <v>46302</v>
      </c>
      <c r="R78" s="40" t="n">
        <v>46302</v>
      </c>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Complétée</t>
        </is>
      </c>
      <c r="K79" s="39" t="n"/>
      <c r="L79" s="16">
        <f>IF($B79="","",IF(J79="Complétée",1,IF(J79="Abandonnée",0,IF(K79&lt;&gt;"",K79,IFERROR(VLOOKUP(J79,Parametres!$B$6:$C$12,2,FALSE),0)))))</f>
        <v/>
      </c>
      <c r="M79" s="15">
        <f>IF($B79="","",IF(J79="Abandonnée",0,H79))</f>
        <v/>
      </c>
      <c r="N79" s="15">
        <f>IF($B79="","",M79*L79)</f>
        <v/>
      </c>
      <c r="O79" s="37" t="inlineStr">
        <is>
          <t>Abdou-Raouf</t>
        </is>
      </c>
      <c r="P79" s="40" t="n">
        <v>46296</v>
      </c>
      <c r="Q79" s="40" t="n">
        <v>46302</v>
      </c>
      <c r="R79" s="40" t="n">
        <v>46302</v>
      </c>
      <c r="S79" s="37" t="inlineStr"/>
      <c r="T79" s="36" t="inlineStr">
        <is>
          <t>Non</t>
        </is>
      </c>
      <c r="U79" s="13">
        <f>IF($B79="","",IF(AND(J79&lt;&gt;"Complétée",J79&lt;&gt;"Abandonnée",Q79&lt;&gt;"",TODAY()&gt;Q79),"En retard",""))</f>
        <v/>
      </c>
      <c r="V79" s="37" t="inlineStr">
        <is>
          <t>Responsive implémenté. Captures et validation visuelle suivies en V1-083/086.</t>
        </is>
      </c>
    </row>
    <row r="80">
      <c r="B80" s="36" t="inlineStr">
        <is>
          <t>V1-075</t>
        </is>
      </c>
      <c r="C80" s="36" t="inlineStr">
        <is>
          <t>V1</t>
        </is>
      </c>
      <c r="D80" s="36" t="inlineStr">
        <is>
          <t>TRV</t>
        </is>
      </c>
      <c r="E80" s="37" t="inlineStr">
        <is>
          <t>Frontend et design</t>
        </is>
      </c>
      <c r="F80" s="37" t="inlineStr">
        <is>
          <t>Revue visuelle avec le designer UI/UX</t>
        </is>
      </c>
      <c r="G80" s="37" t="inlineStr">
        <is>
          <t>Revue contre les références fournies, notamment VDR ; contributions du designer évaluées et validées avant intégration ; aucune refonte imposée sans valeur démontrée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46297</v>
      </c>
      <c r="Q80" s="40" t="n">
        <v>46300</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Finition frontend</t>
        </is>
      </c>
      <c r="F81" s="37" t="inlineStr">
        <is>
          <t>État actif de la navigation : élément courant mis en évidence dans la barre et dans les navigations de service</t>
        </is>
      </c>
      <c r="G81" s="37" t="inlineStr">
        <is>
          <t>Chaque écran signale où l'on se trouve, au clavier comme à l'œil</t>
        </is>
      </c>
      <c r="H81" s="38" t="n">
        <v>1</v>
      </c>
      <c r="I81" s="36" t="inlineStr">
        <is>
          <t>Haute</t>
        </is>
      </c>
      <c r="J81" s="36" t="inlineStr">
        <is>
          <t>Complétée</t>
        </is>
      </c>
      <c r="K81" s="39" t="n"/>
      <c r="L81" s="16">
        <f>IF($B81="","",IF(J81="Complétée",1,IF(J81="Abandonnée",0,IF(K81&lt;&gt;"",K81,IFERROR(VLOOKUP(J81,Parametres!$B$6:$C$12,2,FALSE),0)))))</f>
        <v/>
      </c>
      <c r="M81" s="15">
        <f>IF($B81="","",IF(J81="Abandonnée",0,H81))</f>
        <v/>
      </c>
      <c r="N81" s="15">
        <f>IF($B81="","",M81*L81)</f>
        <v/>
      </c>
      <c r="O81" s="37" t="inlineStr">
        <is>
          <t>Abdou-Raouf</t>
        </is>
      </c>
      <c r="P81" s="40" t="n">
        <v>46297</v>
      </c>
      <c r="Q81" s="40" t="n">
        <v>46299</v>
      </c>
      <c r="R81" s="40" t="n">
        <v>46298</v>
      </c>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Finition frontend</t>
        </is>
      </c>
      <c r="F82" s="37" t="inlineStr">
        <is>
          <t>Champs de formulaire : aide et message d'erreur reliés au champ, focus porté sur le premier champ fautif</t>
        </is>
      </c>
      <c r="G82" s="37" t="inlineStr">
        <is>
          <t>Un lecteur d'écran annonce l'aide et l'erreur ; la correction commence au bon endroit</t>
        </is>
      </c>
      <c r="H82" s="38" t="n">
        <v>2</v>
      </c>
      <c r="I82" s="36" t="inlineStr">
        <is>
          <t>Haute</t>
        </is>
      </c>
      <c r="J82" s="36" t="inlineStr">
        <is>
          <t>Complétée</t>
        </is>
      </c>
      <c r="K82" s="39" t="n"/>
      <c r="L82" s="16">
        <f>IF($B82="","",IF(J82="Complétée",1,IF(J82="Abandonnée",0,IF(K82&lt;&gt;"",K82,IFERROR(VLOOKUP(J82,Parametres!$B$6:$C$12,2,FALSE),0)))))</f>
        <v/>
      </c>
      <c r="M82" s="15">
        <f>IF($B82="","",IF(J82="Abandonnée",0,H82))</f>
        <v/>
      </c>
      <c r="N82" s="15">
        <f>IF($B82="","",M82*L82)</f>
        <v/>
      </c>
      <c r="O82" s="37" t="inlineStr">
        <is>
          <t>Abdou-Raouf</t>
        </is>
      </c>
      <c r="P82" s="40" t="n">
        <v>46297</v>
      </c>
      <c r="Q82" s="40" t="n">
        <v>46300</v>
      </c>
      <c r="R82" s="40" t="n">
        <v>46299</v>
      </c>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Finition frontend</t>
        </is>
      </c>
      <c r="F83" s="37" t="inlineStr">
        <is>
          <t>Titre et description propres à chaque écran</t>
        </is>
      </c>
      <c r="G83" s="37" t="inlineStr">
        <is>
          <t>L'onglet du navigateur et l'historique nomment l'écran, pas seulement le produit</t>
        </is>
      </c>
      <c r="H83" s="38" t="n">
        <v>1</v>
      </c>
      <c r="I83" s="36" t="inlineStr">
        <is>
          <t>Moyenne</t>
        </is>
      </c>
      <c r="J83" s="36" t="inlineStr">
        <is>
          <t>Complétée</t>
        </is>
      </c>
      <c r="K83" s="39" t="n"/>
      <c r="L83" s="16">
        <f>IF($B83="","",IF(J83="Complétée",1,IF(J83="Abandonnée",0,IF(K83&lt;&gt;"",K83,IFERROR(VLOOKUP(J83,Parametres!$B$6:$C$12,2,FALSE),0)))))</f>
        <v/>
      </c>
      <c r="M83" s="15">
        <f>IF($B83="","",IF(J83="Abandonnée",0,H83))</f>
        <v/>
      </c>
      <c r="N83" s="15">
        <f>IF($B83="","",M83*L83)</f>
        <v/>
      </c>
      <c r="O83" s="37" t="inlineStr">
        <is>
          <t>Abdou-Raouf</t>
        </is>
      </c>
      <c r="P83" s="40" t="n">
        <v>46297</v>
      </c>
      <c r="Q83" s="40" t="n">
        <v>46299</v>
      </c>
      <c r="R83" s="40" t="n">
        <v>46298</v>
      </c>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Finition frontend</t>
        </is>
      </c>
      <c r="F84" s="37" t="inlineStr">
        <is>
          <t>États de chargement, d'erreur et page introuvable, en français</t>
        </is>
      </c>
      <c r="G84" s="37" t="inlineStr">
        <is>
          <t>Aucune page blanche ni message par défaut du cadre technique</t>
        </is>
      </c>
      <c r="H84" s="38" t="n">
        <v>2</v>
      </c>
      <c r="I84" s="36" t="inlineStr">
        <is>
          <t>Haute</t>
        </is>
      </c>
      <c r="J84" s="36" t="inlineStr">
        <is>
          <t>Complétée</t>
        </is>
      </c>
      <c r="K84" s="39" t="n"/>
      <c r="L84" s="16">
        <f>IF($B84="","",IF(J84="Complétée",1,IF(J84="Abandonnée",0,IF(K84&lt;&gt;"",K84,IFERROR(VLOOKUP(J84,Parametres!$B$6:$C$12,2,FALSE),0)))))</f>
        <v/>
      </c>
      <c r="M84" s="15">
        <f>IF($B84="","",IF(J84="Abandonnée",0,H84))</f>
        <v/>
      </c>
      <c r="N84" s="15">
        <f>IF($B84="","",M84*L84)</f>
        <v/>
      </c>
      <c r="O84" s="37" t="inlineStr">
        <is>
          <t>Abdou-Raouf</t>
        </is>
      </c>
      <c r="P84" s="40" t="n">
        <v>46298</v>
      </c>
      <c r="Q84" s="40" t="n">
        <v>46301</v>
      </c>
      <c r="R84" s="40" t="n">
        <v>46300</v>
      </c>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Finition frontend</t>
        </is>
      </c>
      <c r="F85" s="37" t="inlineStr">
        <is>
          <t>Navigation au clavier : lien d'évitement, repères de page, ordre de tabulation après une action</t>
        </is>
      </c>
      <c r="G85" s="37" t="inlineStr">
        <is>
          <t>Le parcours complet est praticable sans souris</t>
        </is>
      </c>
      <c r="H85" s="38" t="n">
        <v>1</v>
      </c>
      <c r="I85" s="36" t="inlineStr">
        <is>
          <t>Moyenne</t>
        </is>
      </c>
      <c r="J85" s="36" t="inlineStr">
        <is>
          <t>En cours</t>
        </is>
      </c>
      <c r="K85" s="39" t="n">
        <v>0.6</v>
      </c>
      <c r="L85" s="16">
        <f>IF($B85="","",IF(J85="Complétée",1,IF(J85="Abandonnée",0,IF(K85&lt;&gt;"",K85,IFERROR(VLOOKUP(J85,Parametres!$B$6:$C$12,2,FALSE),0)))))</f>
        <v/>
      </c>
      <c r="M85" s="15">
        <f>IF($B85="","",IF(J85="Abandonnée",0,H85))</f>
        <v/>
      </c>
      <c r="N85" s="15">
        <f>IF($B85="","",M85*L85)</f>
        <v/>
      </c>
      <c r="O85" s="37" t="inlineStr">
        <is>
          <t>Abdou-Raouf</t>
        </is>
      </c>
      <c r="P85" s="40" t="n">
        <v>46298</v>
      </c>
      <c r="Q85" s="40" t="n">
        <v>46300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Finition frontend</t>
        </is>
      </c>
      <c r="F86" s="37" t="inlineStr">
        <is>
          <t>Tableaux accessibles : intitulé, portée des colonnes, en-têtes de ligne</t>
        </is>
      </c>
      <c r="G86" s="37" t="inlineStr">
        <is>
          <t>Chaque tableau se lit hors contexte visuel</t>
        </is>
      </c>
      <c r="H86" s="38" t="n">
        <v>1</v>
      </c>
      <c r="I86" s="36" t="inlineStr">
        <is>
          <t>Moyenne</t>
        </is>
      </c>
      <c r="J86" s="36" t="inlineStr">
        <is>
          <t>En cours</t>
        </is>
      </c>
      <c r="K86" s="39" t="n">
        <v>0.7</v>
      </c>
      <c r="L86" s="16">
        <f>IF($B86="","",IF(J86="Complétée",1,IF(J86="Abandonnée",0,IF(K86&lt;&gt;"",K86,IFERROR(VLOOKUP(J86,Parametres!$B$6:$C$12,2,FALSE),0)))))</f>
        <v/>
      </c>
      <c r="M86" s="15">
        <f>IF($B86="","",IF(J86="Abandonnée",0,H86))</f>
        <v/>
      </c>
      <c r="N86" s="15">
        <f>IF($B86="","",M86*L86)</f>
        <v/>
      </c>
      <c r="O86" s="37" t="inlineStr">
        <is>
          <t>Abdou-Raouf</t>
        </is>
      </c>
      <c r="P86" s="40" t="n">
        <v>46298</v>
      </c>
      <c r="Q86" s="40" t="n">
        <v>46300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Finition frontend</t>
        </is>
      </c>
      <c r="F87" s="37" t="inlineStr">
        <is>
          <t>Revue des contrôles désactivés et des liens ouvrant un nouvel onglet</t>
        </is>
      </c>
      <c r="G87" s="37" t="inlineStr">
        <is>
          <t>Un contrôle désactivé dit pourquoi ; un nouvel onglet est annoncé</t>
        </is>
      </c>
      <c r="H87" s="38" t="n">
        <v>1</v>
      </c>
      <c r="I87" s="36" t="inlineStr">
        <is>
          <t>Moyenne</t>
        </is>
      </c>
      <c r="J87" s="36" t="inlineStr">
        <is>
          <t>Complétée</t>
        </is>
      </c>
      <c r="K87" s="39" t="n"/>
      <c r="L87" s="16">
        <f>IF($B87="","",IF(J87="Complétée",1,IF(J87="Abandonnée",0,IF(K87&lt;&gt;"",K87,IFERROR(VLOOKUP(J87,Parametres!$B$6:$C$12,2,FALSE),0)))))</f>
        <v/>
      </c>
      <c r="M87" s="15">
        <f>IF($B87="","",IF(J87="Abandonnée",0,H87))</f>
        <v/>
      </c>
      <c r="N87" s="15">
        <f>IF($B87="","",M87*L87)</f>
        <v/>
      </c>
      <c r="O87" s="37" t="inlineStr">
        <is>
          <t>Abdou-Raouf</t>
        </is>
      </c>
      <c r="P87" s="40" t="n">
        <v>46298</v>
      </c>
      <c r="Q87" s="40" t="n">
        <v>46300</v>
      </c>
      <c r="R87" s="40" t="n">
        <v>46300</v>
      </c>
      <c r="S87" s="37" t="inlineStr"/>
      <c r="T87" s="36" t="inlineStr">
        <is>
          <t>Non</t>
        </is>
      </c>
      <c r="U87" s="13">
        <f>IF($B87="","",IF(AND(J87&lt;&gt;"Complétée",J87&lt;&gt;"Abandonnée",Q87&lt;&gt;"",TODAY()&gt;Q87),"En retard",""))</f>
        <v/>
      </c>
      <c r="V87" s="37" t="n"/>
    </row>
    <row r="88">
      <c r="B88" s="36" t="inlineStr">
        <is>
          <t>V1-083</t>
        </is>
      </c>
      <c r="C88" s="36" t="inlineStr">
        <is>
          <t>V1</t>
        </is>
      </c>
      <c r="D88" s="36" t="inlineStr">
        <is>
          <t>TRV</t>
        </is>
      </c>
      <c r="E88" s="37" t="inlineStr">
        <is>
          <t>Finition frontend</t>
        </is>
      </c>
      <c r="F88" s="37" t="inlineStr">
        <is>
          <t>Passe de finition visuelle sur les six parcours (espacements, alignements, états au survol et au focus)</t>
        </is>
      </c>
      <c r="G88" s="37" t="inlineStr">
        <is>
          <t>Écarts relevés lors de la revue traités ou inscrits</t>
        </is>
      </c>
      <c r="H88" s="38" t="n">
        <v>3</v>
      </c>
      <c r="I88" s="36" t="inlineStr">
        <is>
          <t>Moyenne</t>
        </is>
      </c>
      <c r="J88" s="36" t="inlineStr">
        <is>
          <t>À faire</t>
        </is>
      </c>
      <c r="K88" s="39" t="n"/>
      <c r="L88" s="16">
        <f>IF($B88="","",IF(J88="Complétée",1,IF(J88="Abandonnée",0,IF(K88&lt;&gt;"",K88,IFERROR(VLOOKUP(J88,Parametres!$B$6:$C$12,2,FALSE),0)))))</f>
        <v/>
      </c>
      <c r="M88" s="15">
        <f>IF($B88="","",IF(J88="Abandonnée",0,H88))</f>
        <v/>
      </c>
      <c r="N88" s="15">
        <f>IF($B88="","",M88*L88)</f>
        <v/>
      </c>
      <c r="O88" s="37" t="n"/>
      <c r="P88" s="40" t="n">
        <v>46298</v>
      </c>
      <c r="Q88" s="40" t="n">
        <v>46303</v>
      </c>
      <c r="R88" s="40" t="n"/>
      <c r="S88" s="37" t="inlineStr"/>
      <c r="T88" s="36" t="inlineStr">
        <is>
          <t>Non</t>
        </is>
      </c>
      <c r="U88" s="13">
        <f>IF($B88="","",IF(AND(J88&lt;&gt;"Complétée",J88&lt;&gt;"Abandonnée",Q88&lt;&gt;"",TODAY()&gt;Q88),"En retard",""))</f>
        <v/>
      </c>
      <c r="V88" s="37" t="n"/>
    </row>
    <row r="89">
      <c r="B89" s="36" t="inlineStr">
        <is>
          <t>V1-084</t>
        </is>
      </c>
      <c r="C89" s="36" t="inlineStr">
        <is>
          <t>V1</t>
        </is>
      </c>
      <c r="D89" s="36" t="inlineStr">
        <is>
          <t>TRV</t>
        </is>
      </c>
      <c r="E89" s="37" t="inlineStr">
        <is>
          <t>QA et livraison</t>
        </is>
      </c>
      <c r="F89" s="37" t="inlineStr">
        <is>
          <t>Tests automatisés : unitaires et bout en bout sur les parcours critiques</t>
        </is>
      </c>
      <c r="G89" s="37" t="inlineStr">
        <is>
          <t>Couverture des parcours inscription, dossier, publication, certification</t>
        </is>
      </c>
      <c r="H89" s="38" t="n">
        <v>5</v>
      </c>
      <c r="I89" s="36" t="inlineStr">
        <is>
          <t>Haute</t>
        </is>
      </c>
      <c r="J89" s="36" t="inlineStr">
        <is>
          <t>Complétée</t>
        </is>
      </c>
      <c r="K89" s="39" t="n"/>
      <c r="L89" s="16">
        <f>IF($B89="","",IF(J89="Complétée",1,IF(J89="Abandonnée",0,IF(K89&lt;&gt;"",K89,IFERROR(VLOOKUP(J89,Parametres!$B$6:$C$12,2,FALSE),0)))))</f>
        <v/>
      </c>
      <c r="M89" s="15">
        <f>IF($B89="","",IF(J89="Abandonnée",0,H89))</f>
        <v/>
      </c>
      <c r="N89" s="15">
        <f>IF($B89="","",M89*L89)</f>
        <v/>
      </c>
      <c r="O89" s="37" t="inlineStr">
        <is>
          <t>Abdou-Raouf</t>
        </is>
      </c>
      <c r="P89" s="40" t="n">
        <v>46308</v>
      </c>
      <c r="Q89" s="40" t="n">
        <v>46310</v>
      </c>
      <c r="R89" s="40" t="n">
        <v>46310</v>
      </c>
      <c r="S89" s="37" t="inlineStr"/>
      <c r="T89" s="36" t="inlineStr">
        <is>
          <t>Non</t>
        </is>
      </c>
      <c r="U89" s="13">
        <f>IF($B89="","",IF(AND(J89&lt;&gt;"Complétée",J89&lt;&gt;"Abandonnée",Q89&lt;&gt;"",TODAY()&gt;Q89),"En retard",""))</f>
        <v/>
      </c>
      <c r="V89" s="37" t="inlineStr">
        <is>
          <t>Suite de tests existante réalisée. Extension navigateur et preuves de recette suivies en V1-100.</t>
        </is>
      </c>
    </row>
    <row r="90">
      <c r="B90" s="36" t="inlineStr">
        <is>
          <t>V1-085</t>
        </is>
      </c>
      <c r="C90" s="36" t="inlineStr">
        <is>
          <t>V1</t>
        </is>
      </c>
      <c r="D90" s="36" t="inlineStr">
        <is>
          <t>TRV</t>
        </is>
      </c>
      <c r="E90" s="37" t="inlineStr">
        <is>
          <t>QA et livraison</t>
        </is>
      </c>
      <c r="F90" s="37" t="inlineStr">
        <is>
          <t>Tests négatifs : permissions serveur, accès non autorisés, contrôles morts</t>
        </is>
      </c>
      <c r="G90" s="37" t="inlineStr">
        <is>
          <t>Aucun contrôle visible sans réaction définie</t>
        </is>
      </c>
      <c r="H90" s="38" t="n">
        <v>3</v>
      </c>
      <c r="I90" s="36" t="inlineStr">
        <is>
          <t>Haute</t>
        </is>
      </c>
      <c r="J90" s="36" t="inlineStr">
        <is>
          <t>Complétée</t>
        </is>
      </c>
      <c r="K90" s="39" t="n"/>
      <c r="L90" s="16">
        <f>IF($B90="","",IF(J90="Complétée",1,IF(J90="Abandonnée",0,IF(K90&lt;&gt;"",K90,IFERROR(VLOOKUP(J90,Parametres!$B$6:$C$12,2,FALSE),0)))))</f>
        <v/>
      </c>
      <c r="M90" s="15">
        <f>IF($B90="","",IF(J90="Abandonnée",0,H90))</f>
        <v/>
      </c>
      <c r="N90" s="15">
        <f>IF($B90="","",M90*L90)</f>
        <v/>
      </c>
      <c r="O90" s="37" t="inlineStr">
        <is>
          <t>Abdou-Raouf</t>
        </is>
      </c>
      <c r="P90" s="40" t="n">
        <v>46308</v>
      </c>
      <c r="Q90" s="40" t="n">
        <v>46310</v>
      </c>
      <c r="R90" s="40" t="n">
        <v>46308</v>
      </c>
      <c r="S90" s="37" t="inlineStr"/>
      <c r="T90" s="36" t="inlineStr">
        <is>
          <t>Non</t>
        </is>
      </c>
      <c r="U90" s="13">
        <f>IF($B90="","",IF(AND(J90&lt;&gt;"Complétée",J90&lt;&gt;"Abandonnée",Q90&lt;&gt;"",TODAY()&gt;Q90),"En retard",""))</f>
        <v/>
      </c>
      <c r="V90" s="37" t="inlineStr">
        <is>
          <t>Tests négatifs et registre réalisés. Contrats et comportements navigateur suivis en V1-092/100.</t>
        </is>
      </c>
    </row>
    <row r="91">
      <c r="B91" s="36" t="inlineStr">
        <is>
          <t>V1-086</t>
        </is>
      </c>
      <c r="C91" s="36" t="inlineStr">
        <is>
          <t>V1</t>
        </is>
      </c>
      <c r="D91" s="36" t="inlineStr">
        <is>
          <t>TRV</t>
        </is>
      </c>
      <c r="E91" s="37" t="inlineStr">
        <is>
          <t>QA et livraison</t>
        </is>
      </c>
      <c r="F91" s="37" t="inlineStr">
        <is>
          <t>Captures de régression visuelle sur le laboratoire de composants (1440 x 960 et 390 x 844)</t>
        </is>
      </c>
      <c r="G91" s="37" t="inlineStr">
        <is>
          <t>Captures 1440 x 960 et 390 x 844 archivées, écarts intentionnels dans qa/fidelity-ledger.md ; régression non approuvée bloque la CI</t>
        </is>
      </c>
      <c r="H91" s="38" t="n">
        <v>2</v>
      </c>
      <c r="I91" s="36" t="inlineStr">
        <is>
          <t>Moyenne</t>
        </is>
      </c>
      <c r="J91" s="36" t="inlineStr">
        <is>
          <t>À faire</t>
        </is>
      </c>
      <c r="K91" s="39" t="n"/>
      <c r="L91" s="16">
        <f>IF($B91="","",IF(J91="Complétée",1,IF(J91="Abandonnée",0,IF(K91&lt;&gt;"",K91,IFERROR(VLOOKUP(J91,Parametres!$B$6:$C$12,2,FALSE),0)))))</f>
        <v/>
      </c>
      <c r="M91" s="15">
        <f>IF($B91="","",IF(J91="Abandonnée",0,H91))</f>
        <v/>
      </c>
      <c r="N91" s="15">
        <f>IF($B91="","",M91*L91)</f>
        <v/>
      </c>
      <c r="O91" s="37" t="n"/>
      <c r="P91" s="40" t="n">
        <v>46308</v>
      </c>
      <c r="Q91" s="40" t="n">
        <v>46310</v>
      </c>
      <c r="R91" s="40" t="n"/>
      <c r="S91" s="37" t="inlineStr"/>
      <c r="T91" s="36" t="inlineStr">
        <is>
          <t>Non</t>
        </is>
      </c>
      <c r="U91" s="13">
        <f>IF($B91="","",IF(AND(J91&lt;&gt;"Complétée",J91&lt;&gt;"Abandonnée",Q91&lt;&gt;"",TODAY()&gt;Q91),"En retard",""))</f>
        <v/>
      </c>
      <c r="V91" s="37" t="n"/>
    </row>
    <row r="92">
      <c r="B92" s="36" t="inlineStr">
        <is>
          <t>V1-087</t>
        </is>
      </c>
      <c r="C92" s="36" t="inlineStr">
        <is>
          <t>V1</t>
        </is>
      </c>
      <c r="D92" s="36" t="inlineStr">
        <is>
          <t>TRV</t>
        </is>
      </c>
      <c r="E92" s="37" t="inlineStr">
        <is>
          <t>QA et livraison</t>
        </is>
      </c>
      <c r="F92" s="37" t="inlineStr">
        <is>
          <t>Jeu de données de démonstration complet (synthétique, étiqueté)</t>
        </is>
      </c>
      <c r="G92" s="37" t="inlineStr">
        <is>
          <t>Aucune donnée réelle, étiquette visible</t>
        </is>
      </c>
      <c r="H92" s="38" t="n">
        <v>3</v>
      </c>
      <c r="I92" s="36" t="inlineStr">
        <is>
          <t>Haute</t>
        </is>
      </c>
      <c r="J92" s="36" t="inlineStr">
        <is>
          <t>Complétée</t>
        </is>
      </c>
      <c r="K92" s="39" t="n"/>
      <c r="L92" s="16">
        <f>IF($B92="","",IF(J92="Complétée",1,IF(J92="Abandonnée",0,IF(K92&lt;&gt;"",K92,IFERROR(VLOOKUP(J92,Parametres!$B$6:$C$12,2,FALSE),0)))))</f>
        <v/>
      </c>
      <c r="M92" s="15">
        <f>IF($B92="","",IF(J92="Abandonnée",0,H92))</f>
        <v/>
      </c>
      <c r="N92" s="15">
        <f>IF($B92="","",M92*L92)</f>
        <v/>
      </c>
      <c r="O92" s="37" t="inlineStr">
        <is>
          <t>Abdou-Raouf</t>
        </is>
      </c>
      <c r="P92" s="40" t="n">
        <v>46308</v>
      </c>
      <c r="Q92" s="40" t="n">
        <v>46310</v>
      </c>
      <c r="R92" s="40" t="n">
        <v>46310</v>
      </c>
      <c r="S92" s="37" t="inlineStr"/>
      <c r="T92" s="36" t="inlineStr">
        <is>
          <t>Non</t>
        </is>
      </c>
      <c r="U92" s="13">
        <f>IF($B92="","",IF(AND(J92&lt;&gt;"Complétée",J92&lt;&gt;"Abandonnée",Q92&lt;&gt;"",TODAY()&gt;Q92),"En retard",""))</f>
        <v/>
      </c>
      <c r="V92" s="37" t="n"/>
    </row>
    <row r="93">
      <c r="B93" s="36" t="inlineStr">
        <is>
          <t>V1-088</t>
        </is>
      </c>
      <c r="C93" s="36" t="inlineStr">
        <is>
          <t>V1</t>
        </is>
      </c>
      <c r="D93" s="36" t="inlineStr">
        <is>
          <t>TRV</t>
        </is>
      </c>
      <c r="E93" s="37" t="inlineStr">
        <is>
          <t>QA et livraison</t>
        </is>
      </c>
      <c r="F93" s="37" t="inlineStr">
        <is>
          <t>Recette interne et corrections</t>
        </is>
      </c>
      <c r="G93" s="37" t="inlineStr">
        <is>
          <t>Zéro anomalie bloquante ouverte</t>
        </is>
      </c>
      <c r="H93" s="38" t="n">
        <v>4</v>
      </c>
      <c r="I93" s="36" t="inlineStr">
        <is>
          <t>Haute</t>
        </is>
      </c>
      <c r="J93" s="36" t="inlineStr">
        <is>
          <t>À faire</t>
        </is>
      </c>
      <c r="K93" s="39" t="n"/>
      <c r="L93" s="16">
        <f>IF($B93="","",IF(J93="Complétée",1,IF(J93="Abandonnée",0,IF(K93&lt;&gt;"",K93,IFERROR(VLOOKUP(J93,Parametres!$B$6:$C$12,2,FALSE),0)))))</f>
        <v/>
      </c>
      <c r="M93" s="15">
        <f>IF($B93="","",IF(J93="Abandonnée",0,H93))</f>
        <v/>
      </c>
      <c r="N93" s="15">
        <f>IF($B93="","",M93*L93)</f>
        <v/>
      </c>
      <c r="O93" s="37" t="n"/>
      <c r="P93" s="40" t="n">
        <v>46308</v>
      </c>
      <c r="Q93" s="40" t="n">
        <v>46310</v>
      </c>
      <c r="R93" s="40" t="n"/>
      <c r="S93" s="37" t="inlineStr"/>
      <c r="T93" s="36" t="inlineStr">
        <is>
          <t>Non</t>
        </is>
      </c>
      <c r="U93" s="13">
        <f>IF($B93="","",IF(AND(J93&lt;&gt;"Complétée",J93&lt;&gt;"Abandonnée",Q93&lt;&gt;"",TODAY()&gt;Q93),"En retard",""))</f>
        <v/>
      </c>
      <c r="V93" s="37" t="n"/>
    </row>
    <row r="94">
      <c r="B94" s="36" t="inlineStr">
        <is>
          <t>V1-089</t>
        </is>
      </c>
      <c r="C94" s="36" t="inlineStr">
        <is>
          <t>V1</t>
        </is>
      </c>
      <c r="D94" s="36" t="inlineStr">
        <is>
          <t>TRV</t>
        </is>
      </c>
      <c r="E94" s="37" t="inlineStr">
        <is>
          <t>QA et livraison</t>
        </is>
      </c>
      <c r="F94" s="37" t="inlineStr">
        <is>
          <t>Documentation développeur et guide de démonstration</t>
        </is>
      </c>
      <c r="G94" s="37" t="inlineStr">
        <is>
          <t>Nouvel arrivant opérationnel en une journée</t>
        </is>
      </c>
      <c r="H94" s="38" t="n">
        <v>3</v>
      </c>
      <c r="I94" s="36" t="inlineStr">
        <is>
          <t>Moyenne</t>
        </is>
      </c>
      <c r="J94" s="36" t="inlineStr">
        <is>
          <t>Complétée</t>
        </is>
      </c>
      <c r="K94" s="39" t="n"/>
      <c r="L94" s="16">
        <f>IF($B94="","",IF(J94="Complétée",1,IF(J94="Abandonnée",0,IF(K94&lt;&gt;"",K94,IFERROR(VLOOKUP(J94,Parametres!$B$6:$C$12,2,FALSE),0)))))</f>
        <v/>
      </c>
      <c r="M94" s="15">
        <f>IF($B94="","",IF(J94="Abandonnée",0,H94))</f>
        <v/>
      </c>
      <c r="N94" s="15">
        <f>IF($B94="","",M94*L94)</f>
        <v/>
      </c>
      <c r="O94" s="37" t="inlineStr">
        <is>
          <t>Abdou-Raouf</t>
        </is>
      </c>
      <c r="P94" s="40" t="n">
        <v>46308</v>
      </c>
      <c r="Q94" s="40" t="n">
        <v>46310</v>
      </c>
      <c r="R94" s="40" t="n">
        <v>46310</v>
      </c>
      <c r="S94" s="37" t="inlineStr"/>
      <c r="T94" s="36" t="inlineStr">
        <is>
          <t>Non</t>
        </is>
      </c>
      <c r="U94" s="13">
        <f>IF($B94="","",IF(AND(J94&lt;&gt;"Complétée",J94&lt;&gt;"Abandonnée",Q94&lt;&gt;"",TODAY()&gt;Q94),"En retard",""))</f>
        <v/>
      </c>
      <c r="V94" s="37" t="n"/>
    </row>
    <row r="95">
      <c r="B95" s="36" t="inlineStr">
        <is>
          <t>V1-090</t>
        </is>
      </c>
      <c r="C95" s="36" t="inlineStr">
        <is>
          <t>V1</t>
        </is>
      </c>
      <c r="D95" s="36" t="inlineStr">
        <is>
          <t>TRV</t>
        </is>
      </c>
      <c r="E95" s="37" t="inlineStr">
        <is>
          <t>QA et livraison</t>
        </is>
      </c>
      <c r="F95" s="37" t="inlineStr">
        <is>
          <t>Préparation de la démonstration du 15/10 (script, environnement, données)</t>
        </is>
      </c>
      <c r="G95" s="37" t="inlineStr">
        <is>
          <t>Répétition générale réalisée</t>
        </is>
      </c>
      <c r="H95" s="38" t="n">
        <v>2</v>
      </c>
      <c r="I95" s="36" t="inlineStr">
        <is>
          <t>Haute</t>
        </is>
      </c>
      <c r="J95" s="36" t="inlineStr">
        <is>
          <t>À faire</t>
        </is>
      </c>
      <c r="K95" s="39" t="n"/>
      <c r="L95" s="16">
        <f>IF($B95="","",IF(J95="Complétée",1,IF(J95="Abandonnée",0,IF(K95&lt;&gt;"",K95,IFERROR(VLOOKUP(J95,Parametres!$B$6:$C$12,2,FALSE),0)))))</f>
        <v/>
      </c>
      <c r="M95" s="15">
        <f>IF($B95="","",IF(J95="Abandonnée",0,H95))</f>
        <v/>
      </c>
      <c r="N95" s="15">
        <f>IF($B95="","",M95*L95)</f>
        <v/>
      </c>
      <c r="O95" s="37" t="n"/>
      <c r="P95" s="40" t="n">
        <v>46308</v>
      </c>
      <c r="Q95" s="40" t="n">
        <v>46310</v>
      </c>
      <c r="R95" s="40" t="n"/>
      <c r="S95" s="37" t="inlineStr"/>
      <c r="T95" s="36" t="inlineStr">
        <is>
          <t>Non</t>
        </is>
      </c>
      <c r="U95" s="13">
        <f>IF($B95="","",IF(AND(J95&lt;&gt;"Complétée",J95&lt;&gt;"Abandonnée",Q95&lt;&gt;"",TODAY()&gt;Q95),"En retard",""))</f>
        <v/>
      </c>
      <c r="V95" s="37" t="n"/>
    </row>
    <row r="96">
      <c r="B96" s="36" t="inlineStr">
        <is>
          <t>V2-001</t>
        </is>
      </c>
      <c r="C96" s="36" t="inlineStr">
        <is>
          <t>V2</t>
        </is>
      </c>
      <c r="D96" s="36" t="inlineStr">
        <is>
          <t>MKT</t>
        </is>
      </c>
      <c r="E96" s="37" t="inlineStr">
        <is>
          <t>Mise en relation</t>
        </is>
      </c>
      <c r="F96" s="37" t="inlineStr">
        <is>
          <t>Qualification d'un repreneur par le cédant : décision tracée qui ouvre le palier suivant</t>
        </is>
      </c>
      <c r="G96" s="37" t="inlineStr">
        <is>
          <t>Aucune ouverture de palier sans décision nommée du cédant</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46311</v>
      </c>
      <c r="Q96" s="40" t="n">
        <v>46317</v>
      </c>
      <c r="R96" s="40" t="n"/>
      <c r="S96" s="37" t="inlineStr"/>
      <c r="T96" s="36" t="inlineStr">
        <is>
          <t>Non</t>
        </is>
      </c>
      <c r="U96" s="13">
        <f>IF($B96="","",IF(AND(J96&lt;&gt;"Complétée",J96&lt;&gt;"Abandonnée",Q96&lt;&gt;"",TODAY()&gt;Q96),"En retard",""))</f>
        <v/>
      </c>
      <c r="V96" s="37" t="n"/>
    </row>
    <row r="97">
      <c r="B97" s="36" t="inlineStr">
        <is>
          <t>V2-002</t>
        </is>
      </c>
      <c r="C97" s="36" t="inlineStr">
        <is>
          <t>V2</t>
        </is>
      </c>
      <c r="D97" s="36" t="inlineStr">
        <is>
          <t>MKT</t>
        </is>
      </c>
      <c r="E97" s="37" t="inlineStr">
        <is>
          <t>Mise en relation</t>
        </is>
      </c>
      <c r="F97" s="37" t="inlineStr">
        <is>
          <t>Suspension réversible d'une publication (amendement de la machine à états du v0)</t>
        </is>
      </c>
      <c r="G97" s="37" t="inlineStr">
        <is>
          <t>Un dossier suspendu redevient invisible sans être abandonné ; la transition est journalisée</t>
        </is>
      </c>
      <c r="H97" s="38" t="n">
        <v>3</v>
      </c>
      <c r="I97" s="36" t="inlineStr">
        <is>
          <t>Moyenne</t>
        </is>
      </c>
      <c r="J97" s="36" t="inlineStr">
        <is>
          <t>Backlog</t>
        </is>
      </c>
      <c r="K97" s="39" t="n"/>
      <c r="L97" s="16">
        <f>IF($B97="","",IF(J97="Complétée",1,IF(J97="Abandonnée",0,IF(K97&lt;&gt;"",K97,IFERROR(VLOOKUP(J97,Parametres!$B$6:$C$12,2,FALSE),0)))))</f>
        <v/>
      </c>
      <c r="M97" s="15">
        <f>IF($B97="","",IF(J97="Abandonnée",0,H97))</f>
        <v/>
      </c>
      <c r="N97" s="15">
        <f>IF($B97="","",M97*L97)</f>
        <v/>
      </c>
      <c r="O97" s="37" t="n"/>
      <c r="P97" s="40" t="n">
        <v>46312</v>
      </c>
      <c r="Q97" s="40" t="n">
        <v>46317</v>
      </c>
      <c r="R97" s="40" t="n"/>
      <c r="S97" s="37" t="inlineStr">
        <is>
          <t>Accord de M. Bruno sur l'amendement</t>
        </is>
      </c>
      <c r="T97" s="36" t="inlineStr">
        <is>
          <t>Oui</t>
        </is>
      </c>
      <c r="U97" s="13">
        <f>IF($B97="","",IF(AND(J97&lt;&gt;"Complétée",J97&lt;&gt;"Abandonnée",Q97&lt;&gt;"",TODAY()&gt;Q97),"En retard",""))</f>
        <v/>
      </c>
      <c r="V97" s="37" t="n"/>
    </row>
    <row r="98">
      <c r="B98" s="36" t="inlineStr">
        <is>
          <t>V2-003</t>
        </is>
      </c>
      <c r="C98" s="36" t="inlineStr">
        <is>
          <t>V2</t>
        </is>
      </c>
      <c r="D98" s="36" t="inlineStr">
        <is>
          <t>TRV</t>
        </is>
      </c>
      <c r="E98" s="37" t="inlineStr">
        <is>
          <t>Conception</t>
        </is>
      </c>
      <c r="F98" s="37" t="inlineStr">
        <is>
          <t>Contrats d'interaction : terminer les contrats du dépôt (déclencheur, autorisation, source, succès, blocage, audit) et reprendre les identifiants officiels sur les surfaces couvertes par le corpus</t>
        </is>
      </c>
      <c r="G98" s="37" t="inlineStr">
        <is>
          <t>Aucun contrat marqué à documenter ; nouveaux contrôles documentés dès leur ajout ; surfaces V1 traitées en priorité en V1-092</t>
        </is>
      </c>
      <c r="H98" s="38" t="n">
        <v>5</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46312</v>
      </c>
      <c r="Q98" s="40" t="n">
        <v>46319</v>
      </c>
      <c r="R98" s="40" t="n"/>
      <c r="S98" s="37" t="inlineStr">
        <is>
          <t>V1-092</t>
        </is>
      </c>
      <c r="T98" s="36" t="inlineStr">
        <is>
          <t>Non</t>
        </is>
      </c>
      <c r="U98" s="13">
        <f>IF($B98="","",IF(AND(J98&lt;&gt;"Complétée",J98&lt;&gt;"Abandonnée",Q98&lt;&gt;"",TODAY()&gt;Q98),"En retard",""))</f>
        <v/>
      </c>
      <c r="V98" s="37" t="n"/>
    </row>
    <row r="99">
      <c r="B99" s="36" t="inlineStr">
        <is>
          <t>V2-004</t>
        </is>
      </c>
      <c r="C99" s="36" t="inlineStr">
        <is>
          <t>V2</t>
        </is>
      </c>
      <c r="D99" s="36" t="inlineStr">
        <is>
          <t>TRV</t>
        </is>
      </c>
      <c r="E99" s="37" t="inlineStr">
        <is>
          <t>QA et sécurité</t>
        </is>
      </c>
      <c r="F99" s="37" t="inlineStr">
        <is>
          <t>Transposition des tests d'acceptation P0 du corpus (AI-01 à AI-06, DOC-01 à DOC-03, Q&amp;A-01, UI-01) en contrôles automatisés</t>
        </is>
      </c>
      <c r="G99" s="37" t="inlineStr">
        <is>
          <t>DOC-01 à DOC-03, Q&amp;A-01 et UI-01 exécutables pour V2 ; matrice AI-01 à AI-06 préparée, exécution IA portée par V5</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46313</v>
      </c>
      <c r="Q99" s="40" t="n">
        <v>46319</v>
      </c>
      <c r="R99" s="40" t="n"/>
      <c r="S99" s="37" t="inlineStr"/>
      <c r="T99" s="36" t="inlineStr">
        <is>
          <t>Non</t>
        </is>
      </c>
      <c r="U99" s="13">
        <f>IF($B99="","",IF(AND(J99&lt;&gt;"Complétée",J99&lt;&gt;"Abandonnée",Q99&lt;&gt;"",TODAY()&gt;Q99),"En retard",""))</f>
        <v/>
      </c>
      <c r="V99" s="37" t="n"/>
    </row>
    <row r="100">
      <c r="B100" s="36" t="inlineStr">
        <is>
          <t>V2-005</t>
        </is>
      </c>
      <c r="C100" s="36" t="inlineStr">
        <is>
          <t>V2</t>
        </is>
      </c>
      <c r="D100" s="36" t="inlineStr">
        <is>
          <t>TRV</t>
        </is>
      </c>
      <c r="E100" s="37" t="inlineStr">
        <is>
          <t>QA et sécurité</t>
        </is>
      </c>
      <c r="F100" s="37" t="inlineStr">
        <is>
          <t>Preuves de recette du Release Gate : résultats de bout en bout, couverture des contrôles, captures desktop et mobile, journal de fidélité</t>
        </is>
      </c>
      <c r="G100" s="37" t="inlineStr">
        <is>
          <t>La livraison produit les quatre artefacts attendus par le Release Gate</t>
        </is>
      </c>
      <c r="H100" s="38" t="n">
        <v>3</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46314</v>
      </c>
      <c r="Q100" s="40" t="n">
        <v>46319</v>
      </c>
      <c r="R100" s="40" t="n"/>
      <c r="S100" s="37" t="inlineStr"/>
      <c r="T100" s="36" t="inlineStr">
        <is>
          <t>Non</t>
        </is>
      </c>
      <c r="U100" s="13">
        <f>IF($B100="","",IF(AND(J100&lt;&gt;"Complétée",J100&lt;&gt;"Abandonnée",Q100&lt;&gt;"",TODAY()&gt;Q100),"En retard",""))</f>
        <v/>
      </c>
      <c r="V100" s="37" t="n"/>
    </row>
    <row r="101">
      <c r="B101" s="36" t="inlineStr">
        <is>
          <t>V2-006</t>
        </is>
      </c>
      <c r="C101" s="36" t="inlineStr">
        <is>
          <t>V2</t>
        </is>
      </c>
      <c r="D101" s="36" t="inlineStr">
        <is>
          <t>MKT</t>
        </is>
      </c>
      <c r="E101" s="37" t="inlineStr">
        <is>
          <t>Mise en relation</t>
        </is>
      </c>
      <c r="F101" s="37" t="inlineStr">
        <is>
          <t>Vérité financière canonique : compte de résultat 5 ans, bilan et flux 3 ans, besoin en fonds de roulement, délais clients et fournisseurs, dette brute et nette, avec provenance et unité</t>
        </is>
      </c>
      <c r="G101" s="37" t="inlineStr">
        <is>
          <t>Le poste de travail de transaction dispose des données exigées par le standard d'implémentation</t>
        </is>
      </c>
      <c r="H101" s="38" t="n">
        <v>6</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46314</v>
      </c>
      <c r="Q101" s="40" t="n">
        <v>46323</v>
      </c>
      <c r="R101" s="40" t="n"/>
      <c r="S101" s="37" t="inlineStr"/>
      <c r="T101" s="36" t="inlineStr">
        <is>
          <t>Non</t>
        </is>
      </c>
      <c r="U101" s="13">
        <f>IF($B101="","",IF(AND(J101&lt;&gt;"Complétée",J101&lt;&gt;"Abandonnée",Q101&lt;&gt;"",TODAY()&gt;Q101),"En retard",""))</f>
        <v/>
      </c>
      <c r="V101" s="37" t="n"/>
    </row>
    <row r="102">
      <c r="B102" s="36" t="inlineStr">
        <is>
          <t>V2-007</t>
        </is>
      </c>
      <c r="C102" s="36" t="inlineStr">
        <is>
          <t>V2</t>
        </is>
      </c>
      <c r="D102" s="36" t="inlineStr">
        <is>
          <t>RPS</t>
        </is>
      </c>
      <c r="E102" s="37" t="inlineStr">
        <is>
          <t>Conception</t>
        </is>
      </c>
      <c r="F102" s="37" t="inlineStr">
        <is>
          <t>Conception du circuit RPS réel : modèle de cercle et de personne unique, plafond et seuils, admission humaine, journal réglementaire à chaîne de hachage, contrat d'API du service</t>
        </is>
      </c>
      <c r="G102" s="37" t="inlineStr">
        <is>
          <t>Spécification relue par le conseil juridique ; chaque règle du v0 (P07, P10) a sa contrepartie technique</t>
        </is>
      </c>
      <c r="H102" s="38" t="n">
        <v>4</v>
      </c>
      <c r="I102" s="36" t="inlineStr">
        <is>
          <t>Haute</t>
        </is>
      </c>
      <c r="J102" s="36" t="inlineStr">
        <is>
          <t>En cours</t>
        </is>
      </c>
      <c r="K102" s="39" t="n">
        <v>0.4</v>
      </c>
      <c r="L102" s="16">
        <f>IF($B102="","",IF(J102="Complétée",1,IF(J102="Abandonnée",0,IF(K102&lt;&gt;"",K102,IFERROR(VLOOKUP(J102,Parametres!$B$6:$C$12,2,FALSE),0)))))</f>
        <v/>
      </c>
      <c r="M102" s="15">
        <f>IF($B102="","",IF(J102="Abandonnée",0,H102))</f>
        <v/>
      </c>
      <c r="N102" s="15">
        <f>IF($B102="","",M102*L102)</f>
        <v/>
      </c>
      <c r="O102" s="37" t="inlineStr">
        <is>
          <t>Abdou-Raouf</t>
        </is>
      </c>
      <c r="P102" s="40" t="n">
        <v>46315</v>
      </c>
      <c r="Q102" s="40" t="n">
        <v>46321</v>
      </c>
      <c r="R102" s="40" t="n"/>
      <c r="S102" s="37" t="inlineStr"/>
      <c r="T102" s="36" t="inlineStr">
        <is>
          <t>Oui</t>
        </is>
      </c>
      <c r="U102" s="13">
        <f>IF($B102="","",IF(AND(J102&lt;&gt;"Complétée",J102&lt;&gt;"Abandonnée",Q102&lt;&gt;"",TODAY()&gt;Q102),"En retard",""))</f>
        <v/>
      </c>
      <c r="V102" s="37" t="inlineStr">
        <is>
          <t>Audit 12/09 : ADR, schéma et règles RPS présents ; concurrence, immutabilité et revue juridique à fermer.</t>
        </is>
      </c>
    </row>
    <row r="103">
      <c r="B103" s="36" t="inlineStr">
        <is>
          <t>V2-008</t>
        </is>
      </c>
      <c r="C103" s="36" t="inlineStr">
        <is>
          <t>V2</t>
        </is>
      </c>
      <c r="D103" s="36" t="inlineStr">
        <is>
          <t>VDR</t>
        </is>
      </c>
      <c r="E103" s="37" t="inlineStr">
        <is>
          <t>Conception</t>
        </is>
      </c>
      <c r="F103" s="37" t="inlineStr">
        <is>
          <t>Conception de la data room : stockage chiffré isolé, rendu serveur, filigrane dynamique, révocation en moins de 60 s, journal d'accès, modèle de permissions par dossier</t>
        </is>
      </c>
      <c r="G103" s="37" t="inlineStr">
        <is>
          <t>Aucun chemin d'accès direct aux fichiers ; schéma de permissions validé sur les 12 cas de référence</t>
        </is>
      </c>
      <c r="H103" s="38" t="n">
        <v>4</v>
      </c>
      <c r="I103" s="36" t="inlineStr">
        <is>
          <t>Haute</t>
        </is>
      </c>
      <c r="J103" s="36" t="inlineStr">
        <is>
          <t>En cours</t>
        </is>
      </c>
      <c r="K103" s="39" t="n">
        <v>0.25</v>
      </c>
      <c r="L103" s="16">
        <f>IF($B103="","",IF(J103="Complétée",1,IF(J103="Abandonnée",0,IF(K103&lt;&gt;"",K103,IFERROR(VLOOKUP(J103,Parametres!$B$6:$C$12,2,FALSE),0)))))</f>
        <v/>
      </c>
      <c r="M103" s="15">
        <f>IF($B103="","",IF(J103="Abandonnée",0,H103))</f>
        <v/>
      </c>
      <c r="N103" s="15">
        <f>IF($B103="","",M103*L103)</f>
        <v/>
      </c>
      <c r="O103" s="37" t="inlineStr">
        <is>
          <t>Abdou-Raouf</t>
        </is>
      </c>
      <c r="P103" s="40" t="n">
        <v>46316</v>
      </c>
      <c r="Q103" s="40" t="n">
        <v>46322</v>
      </c>
      <c r="R103" s="40" t="n"/>
      <c r="S103" s="37" t="inlineStr"/>
      <c r="T103" s="36" t="inlineStr">
        <is>
          <t>Oui</t>
        </is>
      </c>
      <c r="U103" s="13">
        <f>IF($B103="","",IF(AND(J103&lt;&gt;"Complétée",J103&lt;&gt;"Abandonnée",Q103&lt;&gt;"",TODAY()&gt;Q103),"En retard",""))</f>
        <v/>
      </c>
      <c r="V103" s="37" t="inlineStr">
        <is>
          <t>Audit 12/09 : ADR 0003 et schéma VDR présents, dont les huit états documentaires ; permissions et viewer exécutables absents.</t>
        </is>
      </c>
    </row>
    <row r="104">
      <c r="B104" s="36" t="inlineStr">
        <is>
          <t>V2-009</t>
        </is>
      </c>
      <c r="C104" s="36" t="inlineStr">
        <is>
          <t>V2</t>
        </is>
      </c>
      <c r="D104" s="36" t="inlineStr">
        <is>
          <t>SIG</t>
        </is>
      </c>
      <c r="E104" s="37" t="inlineStr">
        <is>
          <t>Conception</t>
        </is>
      </c>
      <c r="F104" s="37" t="inlineStr">
        <is>
          <t>Conception de la signature électronique : intégration du prestataire PSC, preuve et archivage, repli papier, statuts de signature dans la machine à états</t>
        </is>
      </c>
      <c r="G104" s="37" t="inlineStr">
        <is>
          <t>Contrat de preuve et repli papier définis ; gabarit NDA versionné et revu juridiquement disponible en V2 sans attendre le moteur LegalTech V3</t>
        </is>
      </c>
      <c r="H104" s="38" t="n">
        <v>2</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46317</v>
      </c>
      <c r="Q104" s="40" t="n">
        <v>46320</v>
      </c>
      <c r="R104" s="40" t="n"/>
      <c r="S104" s="37" t="inlineStr">
        <is>
          <t>Contrat PSC</t>
        </is>
      </c>
      <c r="T104" s="36" t="inlineStr">
        <is>
          <t>Non</t>
        </is>
      </c>
      <c r="U104" s="13">
        <f>IF($B104="","",IF(AND(J104&lt;&gt;"Complétée",J104&lt;&gt;"Abandonnée",Q104&lt;&gt;"",TODAY()&gt;Q104),"En retard",""))</f>
        <v/>
      </c>
      <c r="V104" s="37" t="n"/>
    </row>
    <row r="105">
      <c r="B105" s="36" t="inlineStr">
        <is>
          <t>V2-010</t>
        </is>
      </c>
      <c r="C105" s="36" t="inlineStr">
        <is>
          <t>V2</t>
        </is>
      </c>
      <c r="D105" s="36" t="inlineStr">
        <is>
          <t>TRV</t>
        </is>
      </c>
      <c r="E105" s="37" t="inlineStr">
        <is>
          <t>Conception</t>
        </is>
      </c>
      <c r="F105" s="37" t="inlineStr">
        <is>
          <t>Revue d'architecture V2 et mise à jour du modèle de menaces (paliers T1/T2, data room, signature)</t>
        </is>
      </c>
      <c r="G105" s="37" t="inlineStr">
        <is>
          <t>ADR mis à jour ; menaces nouvelles reliées aux tests de QA et sécurité</t>
        </is>
      </c>
      <c r="H105" s="38" t="n">
        <v>2</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46317</v>
      </c>
      <c r="Q105" s="40" t="n">
        <v>46320</v>
      </c>
      <c r="R105" s="40" t="n"/>
      <c r="S105" s="37" t="inlineStr"/>
      <c r="T105" s="36" t="inlineStr">
        <is>
          <t>Non</t>
        </is>
      </c>
      <c r="U105" s="13">
        <f>IF($B105="","",IF(AND(J105&lt;&gt;"Complétée",J105&lt;&gt;"Abandonnée",Q105&lt;&gt;"",TODAY()&gt;Q105),"En retard",""))</f>
        <v/>
      </c>
      <c r="V105" s="37" t="n"/>
    </row>
    <row r="106">
      <c r="B106" s="36" t="inlineStr">
        <is>
          <t>V2-011</t>
        </is>
      </c>
      <c r="C106" s="36" t="inlineStr">
        <is>
          <t>V2</t>
        </is>
      </c>
      <c r="D106" s="36" t="inlineStr">
        <is>
          <t>RPS</t>
        </is>
      </c>
      <c r="E106" s="37" t="inlineStr">
        <is>
          <t>Circuit RPS réel</t>
        </is>
      </c>
      <c r="F106" s="37" t="inlineStr">
        <is>
          <t>Micro-service RPS indépendant : datastore, API, déploiement séparé</t>
        </is>
      </c>
      <c r="G106" s="37" t="inlineStr">
        <is>
          <t>Déployable indépendamment du reste de la plateforme</t>
        </is>
      </c>
      <c r="H106" s="38" t="n">
        <v>6</v>
      </c>
      <c r="I106" s="36" t="inlineStr">
        <is>
          <t>Haute</t>
        </is>
      </c>
      <c r="J106" s="36" t="inlineStr">
        <is>
          <t>En cours</t>
        </is>
      </c>
      <c r="K106" s="39" t="n">
        <v>0.6</v>
      </c>
      <c r="L106" s="16">
        <f>IF($B106="","",IF(J106="Complétée",1,IF(J106="Abandonnée",0,IF(K106&lt;&gt;"",K106,IFERROR(VLOOKUP(J106,Parametres!$B$6:$C$12,2,FALSE),0)))))</f>
        <v/>
      </c>
      <c r="M106" s="15">
        <f>IF($B106="","",IF(J106="Abandonnée",0,H106))</f>
        <v/>
      </c>
      <c r="N106" s="15">
        <f>IF($B106="","",M106*L106)</f>
        <v/>
      </c>
      <c r="O106" s="37" t="inlineStr">
        <is>
          <t>Abdou-Raouf</t>
        </is>
      </c>
      <c r="P106" s="40" t="n">
        <v>46318</v>
      </c>
      <c r="Q106" s="40" t="n">
        <v>46327</v>
      </c>
      <c r="R106" s="40" t="n"/>
      <c r="S106" s="37" t="inlineStr"/>
      <c r="T106" s="36" t="inlineStr">
        <is>
          <t>Non</t>
        </is>
      </c>
      <c r="U106" s="13">
        <f>IF($B106="","",IF(AND(J106&lt;&gt;"Complétée",J106&lt;&gt;"Abandonnée",Q106&lt;&gt;"",TODAY()&gt;Q106),"En retard",""))</f>
        <v/>
      </c>
      <c r="V106" s="37" t="inlineStr">
        <is>
          <t>Audit 12/09 : Service NestJS et base séparée présents ; déploiement indépendant et authentification interservices à prouver.</t>
        </is>
      </c>
    </row>
    <row r="107">
      <c r="B107" s="36" t="inlineStr">
        <is>
          <t>V2-012</t>
        </is>
      </c>
      <c r="C107" s="36" t="inlineStr">
        <is>
          <t>V2</t>
        </is>
      </c>
      <c r="D107" s="36" t="inlineStr">
        <is>
          <t>RPS</t>
        </is>
      </c>
      <c r="E107" s="37" t="inlineStr">
        <is>
          <t>Circuit RPS réel</t>
        </is>
      </c>
      <c r="F107" s="37" t="inlineStr">
        <is>
          <t>Table Disclosure append-only et compteur par personne (pas par session)</t>
        </is>
      </c>
      <c r="G107" s="37" t="inlineStr">
        <is>
          <t>Révocation crée une ligne, ne supprime jamais</t>
        </is>
      </c>
      <c r="H107" s="38" t="n">
        <v>5</v>
      </c>
      <c r="I107" s="36" t="inlineStr">
        <is>
          <t>Haute</t>
        </is>
      </c>
      <c r="J107" s="36" t="inlineStr">
        <is>
          <t>En cours</t>
        </is>
      </c>
      <c r="K107" s="39" t="n">
        <v>0.4</v>
      </c>
      <c r="L107" s="16">
        <f>IF($B107="","",IF(J107="Complétée",1,IF(J107="Abandonnée",0,IF(K107&lt;&gt;"",K107,IFERROR(VLOOKUP(J107,Parametres!$B$6:$C$12,2,FALSE),0)))))</f>
        <v/>
      </c>
      <c r="M107" s="15">
        <f>IF($B107="","",IF(J107="Abandonnée",0,H107))</f>
        <v/>
      </c>
      <c r="N107" s="15">
        <f>IF($B107="","",M107*L107)</f>
        <v/>
      </c>
      <c r="O107" s="37" t="inlineStr">
        <is>
          <t>Abdou-Raouf</t>
        </is>
      </c>
      <c r="P107" s="40" t="n">
        <v>46319</v>
      </c>
      <c r="Q107" s="40" t="n">
        <v>46326</v>
      </c>
      <c r="R107" s="40" t="n"/>
      <c r="S107" s="37" t="inlineStr"/>
      <c r="T107" s="36" t="inlineStr">
        <is>
          <t>Non</t>
        </is>
      </c>
      <c r="U107" s="13">
        <f>IF($B107="","",IF(AND(J107&lt;&gt;"Complétée",J107&lt;&gt;"Abandonnée",Q107&lt;&gt;"",TODAY()&gt;Q107),"En retard",""))</f>
        <v/>
      </c>
      <c r="V107" s="37" t="inlineStr">
        <is>
          <t>Audit 12/09 : Compteur par personne présent ; revoke fait UPDATE et aucune protection append-only RPS trouvée dans les migrations.</t>
        </is>
      </c>
    </row>
    <row r="108">
      <c r="B108" s="36" t="inlineStr">
        <is>
          <t>V2-013</t>
        </is>
      </c>
      <c r="C108" s="36" t="inlineStr">
        <is>
          <t>V2</t>
        </is>
      </c>
      <c r="D108" s="36" t="inlineStr">
        <is>
          <t>RPS</t>
        </is>
      </c>
      <c r="E108" s="37" t="inlineStr">
        <is>
          <t>Circuit RPS réel</t>
        </is>
      </c>
      <c r="F108" s="37" t="inlineStr">
        <is>
          <t>Graphe de personnes liées (comptées une seule fois)</t>
        </is>
      </c>
      <c r="G108" s="37" t="inlineStr">
        <is>
          <t>Deux comptes liés comptent pour une personne</t>
        </is>
      </c>
      <c r="H108" s="38" t="n">
        <v>4</v>
      </c>
      <c r="I108" s="36" t="inlineStr">
        <is>
          <t>Haute</t>
        </is>
      </c>
      <c r="J108" s="36" t="inlineStr">
        <is>
          <t>En cours</t>
        </is>
      </c>
      <c r="K108" s="39" t="n">
        <v>0.25</v>
      </c>
      <c r="L108" s="16">
        <f>IF($B108="","",IF(J108="Complétée",1,IF(J108="Abandonnée",0,IF(K108&lt;&gt;"",K108,IFERROR(VLOOKUP(J108,Parametres!$B$6:$C$12,2,FALSE),0)))))</f>
        <v/>
      </c>
      <c r="M108" s="15">
        <f>IF($B108="","",IF(J108="Abandonnée",0,H108))</f>
        <v/>
      </c>
      <c r="N108" s="15">
        <f>IF($B108="","",M108*L108)</f>
        <v/>
      </c>
      <c r="O108" s="37" t="inlineStr">
        <is>
          <t>Abdou-Raouf</t>
        </is>
      </c>
      <c r="P108" s="40" t="n">
        <v>46320</v>
      </c>
      <c r="Q108" s="40" t="n">
        <v>46326</v>
      </c>
      <c r="R108" s="40" t="n"/>
      <c r="S108" s="37" t="inlineStr"/>
      <c r="T108" s="36" t="inlineStr">
        <is>
          <t>Non</t>
        </is>
      </c>
      <c r="U108" s="13">
        <f>IF($B108="","",IF(AND(J108&lt;&gt;"Complétée",J108&lt;&gt;"Abandonnée",Q108&lt;&gt;"",TODAY()&gt;Q108),"En retard",""))</f>
        <v/>
      </c>
      <c r="V108" s="37" t="inlineStr">
        <is>
          <t>Audit 12/09 : Table et dédoublonnage par groupe présents ; déclaration, validation et administration des liens absentes.</t>
        </is>
      </c>
    </row>
    <row r="109">
      <c r="B109" s="36" t="inlineStr">
        <is>
          <t>V2-014</t>
        </is>
      </c>
      <c r="C109" s="36" t="inlineStr">
        <is>
          <t>V2</t>
        </is>
      </c>
      <c r="D109" s="36" t="inlineStr">
        <is>
          <t>RPS</t>
        </is>
      </c>
      <c r="E109" s="37" t="inlineStr">
        <is>
          <t>Circuit RPS réel</t>
        </is>
      </c>
      <c r="F109" s="37" t="inlineStr">
        <is>
          <t>Plafond de cercle (défaut 50), seuils 80 % et 100 %, bascule en admission manuelle</t>
        </is>
      </c>
      <c r="G109" s="37" t="inlineStr">
        <is>
          <t>Blocage effectif à 100 % (test négatif)</t>
        </is>
      </c>
      <c r="H109" s="38" t="n">
        <v>4</v>
      </c>
      <c r="I109" s="36" t="inlineStr">
        <is>
          <t>Haute</t>
        </is>
      </c>
      <c r="J109" s="36" t="inlineStr">
        <is>
          <t>En cours</t>
        </is>
      </c>
      <c r="K109" s="39" t="n">
        <v>0.5</v>
      </c>
      <c r="L109" s="16">
        <f>IF($B109="","",IF(J109="Complétée",1,IF(J109="Abandonnée",0,IF(K109&lt;&gt;"",K109,IFERROR(VLOOKUP(J109,Parametres!$B$6:$C$12,2,FALSE),0)))))</f>
        <v/>
      </c>
      <c r="M109" s="15">
        <f>IF($B109="","",IF(J109="Abandonnée",0,H109))</f>
        <v/>
      </c>
      <c r="N109" s="15">
        <f>IF($B109="","",M109*L109)</f>
        <v/>
      </c>
      <c r="O109" s="37" t="inlineStr">
        <is>
          <t>Abdou-Raouf</t>
        </is>
      </c>
      <c r="P109" s="40" t="n">
        <v>46320</v>
      </c>
      <c r="Q109" s="40" t="n">
        <v>46326</v>
      </c>
      <c r="R109" s="40" t="n"/>
      <c r="S109" s="37" t="inlineStr"/>
      <c r="T109" s="36" t="inlineStr">
        <is>
          <t>Non</t>
        </is>
      </c>
      <c r="U109" s="13">
        <f>IF($B109="","",IF(AND(J109&lt;&gt;"Complétée",J109&lt;&gt;"Abandonnée",Q109&lt;&gt;"",TODAY()&gt;Q109),"En retard",""))</f>
        <v/>
      </c>
      <c r="V109" s="37" t="inlineStr">
        <is>
          <t>Audit 12/09 : Seuils testés en fonctions pures ; contrôle du plafond hors transaction d'admission, concurrence non couverte.</t>
        </is>
      </c>
    </row>
    <row r="110">
      <c r="B110" s="36" t="inlineStr">
        <is>
          <t>V2-015</t>
        </is>
      </c>
      <c r="C110" s="36" t="inlineStr">
        <is>
          <t>V2</t>
        </is>
      </c>
      <c r="D110" s="36" t="inlineStr">
        <is>
          <t>RPS</t>
        </is>
      </c>
      <c r="E110" s="37" t="inlineStr">
        <is>
          <t>Circuit RPS réel</t>
        </is>
      </c>
      <c r="F110" s="37" t="inlineStr">
        <is>
          <t>Workflow d'admission humaine : file, décision, justification enregistrée</t>
        </is>
      </c>
      <c r="G110" s="37" t="inlineStr">
        <is>
          <t>Admission automatique impossible par construction</t>
        </is>
      </c>
      <c r="H110" s="38" t="n">
        <v>6</v>
      </c>
      <c r="I110" s="36" t="inlineStr">
        <is>
          <t>Haute</t>
        </is>
      </c>
      <c r="J110" s="36" t="inlineStr">
        <is>
          <t>En cours</t>
        </is>
      </c>
      <c r="K110" s="39" t="n">
        <v>0.4</v>
      </c>
      <c r="L110" s="16">
        <f>IF($B110="","",IF(J110="Complétée",1,IF(J110="Abandonnée",0,IF(K110&lt;&gt;"",K110,IFERROR(VLOOKUP(J110,Parametres!$B$6:$C$12,2,FALSE),0)))))</f>
        <v/>
      </c>
      <c r="M110" s="15">
        <f>IF($B110="","",IF(J110="Abandonnée",0,H110))</f>
        <v/>
      </c>
      <c r="N110" s="15">
        <f>IF($B110="","",M110*L110)</f>
        <v/>
      </c>
      <c r="O110" s="37" t="inlineStr">
        <is>
          <t>Abdou-Raouf</t>
        </is>
      </c>
      <c r="P110" s="40" t="n">
        <v>46321</v>
      </c>
      <c r="Q110" s="40" t="n">
        <v>46330</v>
      </c>
      <c r="R110" s="40" t="n"/>
      <c r="S110" s="37" t="inlineStr"/>
      <c r="T110" s="36" t="inlineStr">
        <is>
          <t>Non</t>
        </is>
      </c>
      <c r="U110" s="13">
        <f>IF($B110="","",IF(AND(J110&lt;&gt;"Complétée",J110&lt;&gt;"Abandonnée",Q110&lt;&gt;"",TODAY()&gt;Q110),"En retard",""))</f>
        <v/>
      </c>
      <c r="V110" s="37" t="inlineStr">
        <is>
          <t>Audit 12/09 : Route et justification présentes ; decidedBy provient du corps, file et identité de l'opérateur authentifié à intégrer.</t>
        </is>
      </c>
    </row>
    <row r="111">
      <c r="B111" s="36" t="inlineStr">
        <is>
          <t>V2-016</t>
        </is>
      </c>
      <c r="C111" s="36" t="inlineStr">
        <is>
          <t>V2</t>
        </is>
      </c>
      <c r="D111" s="36" t="inlineStr">
        <is>
          <t>RPS</t>
        </is>
      </c>
      <c r="E111" s="37" t="inlineStr">
        <is>
          <t>Circuit RPS réel</t>
        </is>
      </c>
      <c r="F111" s="37" t="inlineStr">
        <is>
          <t>Filtre de communication sortante (permettre, caviarder, bloquer)</t>
        </is>
      </c>
      <c r="G111" s="37" t="inlineStr">
        <is>
          <t>Tout message sur un dossier titres passe par le filtre</t>
        </is>
      </c>
      <c r="H111" s="38" t="n">
        <v>5</v>
      </c>
      <c r="I111" s="36" t="inlineStr">
        <is>
          <t>Haute</t>
        </is>
      </c>
      <c r="J111" s="36" t="inlineStr">
        <is>
          <t>En cours</t>
        </is>
      </c>
      <c r="K111" s="39" t="n">
        <v>0.3</v>
      </c>
      <c r="L111" s="16">
        <f>IF($B111="","",IF(J111="Complétée",1,IF(J111="Abandonnée",0,IF(K111&lt;&gt;"",K111,IFERROR(VLOOKUP(J111,Parametres!$B$6:$C$12,2,FALSE),0)))))</f>
        <v/>
      </c>
      <c r="M111" s="15">
        <f>IF($B111="","",IF(J111="Abandonnée",0,H111))</f>
        <v/>
      </c>
      <c r="N111" s="15">
        <f>IF($B111="","",M111*L111)</f>
        <v/>
      </c>
      <c r="O111" s="37" t="inlineStr">
        <is>
          <t>Abdou-Raouf</t>
        </is>
      </c>
      <c r="P111" s="40" t="n">
        <v>46322</v>
      </c>
      <c r="Q111" s="40" t="n">
        <v>46329</v>
      </c>
      <c r="R111" s="40" t="n"/>
      <c r="S111" s="37" t="inlineStr"/>
      <c r="T111" s="36" t="inlineStr">
        <is>
          <t>Non</t>
        </is>
      </c>
      <c r="U111" s="13">
        <f>IF($B111="","",IF(AND(J111&lt;&gt;"Complétée",J111&lt;&gt;"Abandonnée",Q111&lt;&gt;"",TODAY()&gt;Q111),"En retard",""))</f>
        <v/>
      </c>
      <c r="V111" s="37" t="inlineStr">
        <is>
          <t>Audit 12/09 : Règle et route présentes ; les communications de la plateforme n'appellent pas encore le RPS.</t>
        </is>
      </c>
    </row>
    <row r="112">
      <c r="B112" s="36" t="inlineStr">
        <is>
          <t>V2-017</t>
        </is>
      </c>
      <c r="C112" s="36" t="inlineStr">
        <is>
          <t>V2</t>
        </is>
      </c>
      <c r="D112" s="36" t="inlineStr">
        <is>
          <t>RPS</t>
        </is>
      </c>
      <c r="E112" s="37" t="inlineStr">
        <is>
          <t>Circuit RPS réel</t>
        </is>
      </c>
      <c r="F112" s="37" t="inlineStr">
        <is>
          <t>Journal réglementaire haché et export du pack de preuves par dossier</t>
        </is>
      </c>
      <c r="G112" s="37" t="inlineStr">
        <is>
          <t>Chaîne de hachage vérifiable, archive signée</t>
        </is>
      </c>
      <c r="H112" s="38" t="n">
        <v>5</v>
      </c>
      <c r="I112" s="36" t="inlineStr">
        <is>
          <t>Haute</t>
        </is>
      </c>
      <c r="J112" s="36" t="inlineStr">
        <is>
          <t>En cours</t>
        </is>
      </c>
      <c r="K112" s="39" t="n">
        <v>0.3</v>
      </c>
      <c r="L112" s="16">
        <f>IF($B112="","",IF(J112="Complétée",1,IF(J112="Abandonnée",0,IF(K112&lt;&gt;"",K112,IFERROR(VLOOKUP(J112,Parametres!$B$6:$C$12,2,FALSE),0)))))</f>
        <v/>
      </c>
      <c r="M112" s="15">
        <f>IF($B112="","",IF(J112="Abandonnée",0,H112))</f>
        <v/>
      </c>
      <c r="N112" s="15">
        <f>IF($B112="","",M112*L112)</f>
        <v/>
      </c>
      <c r="O112" s="37" t="inlineStr">
        <is>
          <t>Abdou-Raouf</t>
        </is>
      </c>
      <c r="P112" s="40" t="n">
        <v>46323</v>
      </c>
      <c r="Q112" s="40" t="n">
        <v>46330</v>
      </c>
      <c r="R112" s="40" t="n"/>
      <c r="S112" s="37" t="inlineStr"/>
      <c r="T112" s="36" t="inlineStr">
        <is>
          <t>Non</t>
        </is>
      </c>
      <c r="U112" s="13">
        <f>IF($B112="","",IF(AND(J112&lt;&gt;"Complétée",J112&lt;&gt;"Abandonnée",Q112&lt;&gt;"",TODAY()&gt;Q112),"En retard",""))</f>
        <v/>
      </c>
      <c r="V112" s="37" t="inlineStr">
        <is>
          <t>Audit 12/09 : Chaînage implémenté ; séquence concurrente non sérialisée, pack signé et contraintes append-only absents.</t>
        </is>
      </c>
    </row>
    <row r="113">
      <c r="B113" s="36" t="inlineStr">
        <is>
          <t>V2-018</t>
        </is>
      </c>
      <c r="C113" s="36" t="inlineStr">
        <is>
          <t>V2</t>
        </is>
      </c>
      <c r="D113" s="36" t="inlineStr">
        <is>
          <t>RPS</t>
        </is>
      </c>
      <c r="E113" s="37" t="inlineStr">
        <is>
          <t>Circuit RPS réel</t>
        </is>
      </c>
      <c r="F113" s="37" t="inlineStr">
        <is>
          <t>Allow-list serveur des champs par palier T0 / T1 / T2</t>
        </is>
      </c>
      <c r="G113" s="37" t="inlineStr">
        <is>
          <t>Prix jamais sérialisé sous T2 (test négatif)</t>
        </is>
      </c>
      <c r="H113" s="38" t="n">
        <v>3</v>
      </c>
      <c r="I113" s="36" t="inlineStr">
        <is>
          <t>Haute</t>
        </is>
      </c>
      <c r="J113" s="36" t="inlineStr">
        <is>
          <t>En cours</t>
        </is>
      </c>
      <c r="K113" s="39" t="n">
        <v>0.7</v>
      </c>
      <c r="L113" s="16">
        <f>IF($B113="","",IF(J113="Complétée",1,IF(J113="Abandonnée",0,IF(K113&lt;&gt;"",K113,IFERROR(VLOOKUP(J113,Parametres!$B$6:$C$12,2,FALSE),0)))))</f>
        <v/>
      </c>
      <c r="M113" s="15">
        <f>IF($B113="","",IF(J113="Abandonnée",0,H113))</f>
        <v/>
      </c>
      <c r="N113" s="15">
        <f>IF($B113="","",M113*L113)</f>
        <v/>
      </c>
      <c r="O113" s="37" t="inlineStr">
        <is>
          <t>Abdou-Raouf</t>
        </is>
      </c>
      <c r="P113" s="40" t="n">
        <v>46324</v>
      </c>
      <c r="Q113" s="40" t="n">
        <v>46329</v>
      </c>
      <c r="R113" s="40" t="n"/>
      <c r="S113" s="37" t="inlineStr"/>
      <c r="T113" s="36" t="inlineStr">
        <is>
          <t>Non</t>
        </is>
      </c>
      <c r="U113" s="13">
        <f>IF($B113="","",IF(AND(J113&lt;&gt;"Complétée",J113&lt;&gt;"Abandonnée",Q113&lt;&gt;"",TODAY()&gt;Q113),"En retard",""))</f>
        <v/>
      </c>
      <c r="V113" s="37" t="inlineStr">
        <is>
          <t>Audit 12/09 : projectForTier testé et utilisé en V1 ; parcours T1/T2 réel et 12 cas à valider en V2.</t>
        </is>
      </c>
    </row>
    <row r="114">
      <c r="B114" s="36" t="inlineStr">
        <is>
          <t>V2-019</t>
        </is>
      </c>
      <c r="C114" s="36" t="inlineStr">
        <is>
          <t>V2</t>
        </is>
      </c>
      <c r="D114" s="36" t="inlineStr">
        <is>
          <t>RPS</t>
        </is>
      </c>
      <c r="E114" s="37" t="inlineStr">
        <is>
          <t>Circuit RPS réel</t>
        </is>
      </c>
      <c r="F114" s="37" t="inlineStr">
        <is>
          <t>Écrans admission et cercle (conformité)</t>
        </is>
      </c>
      <c r="G114" s="37" t="inlineStr">
        <is>
          <t>Compteur et capacité restante visibles</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46324</v>
      </c>
      <c r="Q114" s="40" t="n">
        <v>46327</v>
      </c>
      <c r="R114" s="40" t="n"/>
      <c r="S114" s="37" t="inlineStr"/>
      <c r="T114" s="36" t="inlineStr">
        <is>
          <t>Non</t>
        </is>
      </c>
      <c r="U114" s="13">
        <f>IF($B114="","",IF(AND(J114&lt;&gt;"Complétée",J114&lt;&gt;"Abandonnée",Q114&lt;&gt;"",TODAY()&gt;Q114),"En retard",""))</f>
        <v/>
      </c>
      <c r="V114" s="37" t="n"/>
    </row>
    <row r="115">
      <c r="B115" s="36" t="inlineStr">
        <is>
          <t>V2-020</t>
        </is>
      </c>
      <c r="C115" s="36" t="inlineStr">
        <is>
          <t>V2</t>
        </is>
      </c>
      <c r="D115" s="36" t="inlineStr">
        <is>
          <t>SIG</t>
        </is>
      </c>
      <c r="E115" s="37" t="inlineStr">
        <is>
          <t>Signature électronique</t>
        </is>
      </c>
      <c r="F115" s="37" t="inlineStr">
        <is>
          <t>Sélection et contractualisation du prestataire PSC accrédité (coordination)</t>
        </is>
      </c>
      <c r="G115" s="37" t="inlineStr">
        <is>
          <t>Contrat signé, attestation d'accréditation archivée</t>
        </is>
      </c>
      <c r="H115" s="38" t="n">
        <v>3</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46325</v>
      </c>
      <c r="Q115" s="40" t="n">
        <v>46330</v>
      </c>
      <c r="R115" s="40" t="n"/>
      <c r="S115" s="37" t="inlineStr"/>
      <c r="T115" s="36" t="inlineStr">
        <is>
          <t>Oui</t>
        </is>
      </c>
      <c r="U115" s="13">
        <f>IF($B115="","",IF(AND(J115&lt;&gt;"Complétée",J115&lt;&gt;"Abandonnée",Q115&lt;&gt;"",TODAY()&gt;Q115),"En retard",""))</f>
        <v/>
      </c>
      <c r="V115" s="37" t="n"/>
    </row>
    <row r="116">
      <c r="B116" s="36" t="inlineStr">
        <is>
          <t>V2-021</t>
        </is>
      </c>
      <c r="C116" s="36" t="inlineStr">
        <is>
          <t>V2</t>
        </is>
      </c>
      <c r="D116" s="36" t="inlineStr">
        <is>
          <t>SIG</t>
        </is>
      </c>
      <c r="E116" s="37" t="inlineStr">
        <is>
          <t>Signature électronique</t>
        </is>
      </c>
      <c r="F116" s="37" t="inlineStr">
        <is>
          <t>Intégration API de signature qualifiée, webhooks à signature vérifiée</t>
        </is>
      </c>
      <c r="G116" s="37" t="inlineStr">
        <is>
          <t>Webhook non signé rejeté (test négatif)</t>
        </is>
      </c>
      <c r="H116" s="38" t="n">
        <v>7</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46325</v>
      </c>
      <c r="Q116" s="40" t="n">
        <v>46335</v>
      </c>
      <c r="R116" s="40" t="n"/>
      <c r="S116" s="37" t="inlineStr">
        <is>
          <t>Contrat PSC</t>
        </is>
      </c>
      <c r="T116" s="36" t="inlineStr">
        <is>
          <t>Non</t>
        </is>
      </c>
      <c r="U116" s="13">
        <f>IF($B116="","",IF(AND(J116&lt;&gt;"Complétée",J116&lt;&gt;"Abandonnée",Q116&lt;&gt;"",TODAY()&gt;Q116),"En retard",""))</f>
        <v/>
      </c>
      <c r="V116" s="37" t="n"/>
    </row>
    <row r="117">
      <c r="B117" s="36" t="inlineStr">
        <is>
          <t>V2-022</t>
        </is>
      </c>
      <c r="C117" s="36" t="inlineStr">
        <is>
          <t>V2</t>
        </is>
      </c>
      <c r="D117" s="36" t="inlineStr">
        <is>
          <t>SIG</t>
        </is>
      </c>
      <c r="E117" s="37" t="inlineStr">
        <is>
          <t>Signature électronique</t>
        </is>
      </c>
      <c r="F117" s="37" t="inlineStr">
        <is>
          <t>Parcours de repli papier : PDF, contre-signature, vérification CCIT</t>
        </is>
      </c>
      <c r="G117" s="37" t="inlineStr">
        <is>
          <t>Un utilisateur refusant la signature électronique n'est pas bloqué</t>
        </is>
      </c>
      <c r="H117" s="38" t="n">
        <v>4</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46327</v>
      </c>
      <c r="Q117" s="40" t="n">
        <v>46333</v>
      </c>
      <c r="R117" s="40" t="n"/>
      <c r="S117" s="37" t="inlineStr"/>
      <c r="T117" s="36" t="inlineStr">
        <is>
          <t>Non</t>
        </is>
      </c>
      <c r="U117" s="13">
        <f>IF($B117="","",IF(AND(J117&lt;&gt;"Complétée",J117&lt;&gt;"Abandonnée",Q117&lt;&gt;"",TODAY()&gt;Q117),"En retard",""))</f>
        <v/>
      </c>
      <c r="V117" s="37" t="n"/>
    </row>
    <row r="118">
      <c r="B118" s="36" t="inlineStr">
        <is>
          <t>V2-023</t>
        </is>
      </c>
      <c r="C118" s="36" t="inlineStr">
        <is>
          <t>V2</t>
        </is>
      </c>
      <c r="D118" s="36" t="inlineStr">
        <is>
          <t>SIG</t>
        </is>
      </c>
      <c r="E118" s="37" t="inlineStr">
        <is>
          <t>Signature électronique</t>
        </is>
      </c>
      <c r="F118" s="37" t="inlineStr">
        <is>
          <t>SignatureEvidence : hash SHA-256, chaîne de certificats, jeton d'horodatage</t>
        </is>
      </c>
      <c r="G118" s="37" t="inlineStr">
        <is>
          <t>Preuve complète stockée pour chaque NDA</t>
        </is>
      </c>
      <c r="H118" s="38" t="n">
        <v>4</v>
      </c>
      <c r="I118" s="36" t="inlineStr">
        <is>
          <t>Haute</t>
        </is>
      </c>
      <c r="J118" s="36" t="inlineStr">
        <is>
          <t>En cours</t>
        </is>
      </c>
      <c r="K118" s="39" t="n">
        <v>0.2</v>
      </c>
      <c r="L118" s="16">
        <f>IF($B118="","",IF(J118="Complétée",1,IF(J118="Abandonnée",0,IF(K118&lt;&gt;"",K118,IFERROR(VLOOKUP(J118,Parametres!$B$6:$C$12,2,FALSE),0)))))</f>
        <v/>
      </c>
      <c r="M118" s="15">
        <f>IF($B118="","",IF(J118="Abandonnée",0,H118))</f>
        <v/>
      </c>
      <c r="N118" s="15">
        <f>IF($B118="","",M118*L118)</f>
        <v/>
      </c>
      <c r="O118" s="37" t="inlineStr">
        <is>
          <t>Abdou-Raouf</t>
        </is>
      </c>
      <c r="P118" s="40" t="n">
        <v>46327</v>
      </c>
      <c r="Q118" s="40" t="n">
        <v>46333</v>
      </c>
      <c r="R118" s="40" t="n"/>
      <c r="S118" s="37" t="inlineStr"/>
      <c r="T118" s="36" t="inlineStr">
        <is>
          <t>Non</t>
        </is>
      </c>
      <c r="U118" s="13">
        <f>IF($B118="","",IF(AND(J118&lt;&gt;"Complétée",J118&lt;&gt;"Abandonnée",Q118&lt;&gt;"",TODAY()&gt;Q118),"En retard",""))</f>
        <v/>
      </c>
      <c r="V118" s="37" t="inlineStr">
        <is>
          <t>Audit 12/09 : Table signature_evidence présente ; aucun circuit PSC/PSAE exécuté.</t>
        </is>
      </c>
    </row>
    <row r="119">
      <c r="B119" s="36" t="inlineStr">
        <is>
          <t>V2-024</t>
        </is>
      </c>
      <c r="C119" s="36" t="inlineStr">
        <is>
          <t>V2</t>
        </is>
      </c>
      <c r="D119" s="36" t="inlineStr">
        <is>
          <t>SIG</t>
        </is>
      </c>
      <c r="E119" s="37" t="inlineStr">
        <is>
          <t>Signature électronique</t>
        </is>
      </c>
      <c r="F119" s="37" t="inlineStr">
        <is>
          <t>Intégration archivage électronique accrédité (PSAE)</t>
        </is>
      </c>
      <c r="G119" s="37" t="inlineStr">
        <is>
          <t>Référence d'archive stockée sur chaque preuve</t>
        </is>
      </c>
      <c r="H119" s="38" t="n">
        <v>5</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46328</v>
      </c>
      <c r="Q119" s="40" t="n">
        <v>46335</v>
      </c>
      <c r="R119" s="40" t="n"/>
      <c r="S119" s="37" t="inlineStr"/>
      <c r="T119" s="36" t="inlineStr">
        <is>
          <t>Non</t>
        </is>
      </c>
      <c r="U119" s="13">
        <f>IF($B119="","",IF(AND(J119&lt;&gt;"Complétée",J119&lt;&gt;"Abandonnée",Q119&lt;&gt;"",TODAY()&gt;Q119),"En retard",""))</f>
        <v/>
      </c>
      <c r="V119" s="37" t="n"/>
    </row>
    <row r="120">
      <c r="B120" s="36" t="inlineStr">
        <is>
          <t>V2-025</t>
        </is>
      </c>
      <c r="C120" s="36" t="inlineStr">
        <is>
          <t>V2</t>
        </is>
      </c>
      <c r="D120" s="36" t="inlineStr">
        <is>
          <t>SIG</t>
        </is>
      </c>
      <c r="E120" s="37" t="inlineStr">
        <is>
          <t>Signature électronique</t>
        </is>
      </c>
      <c r="F120" s="37" t="inlineStr">
        <is>
          <t>Écrans NDA : génération, signature, statut</t>
        </is>
      </c>
      <c r="G120" s="37" t="inlineStr">
        <is>
          <t>Statut NDA visible côté cédant et investisseur</t>
        </is>
      </c>
      <c r="H120" s="38" t="n">
        <v>2</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46329</v>
      </c>
      <c r="Q120" s="40" t="n">
        <v>46332</v>
      </c>
      <c r="R120" s="40" t="n"/>
      <c r="S120" s="37" t="inlineStr"/>
      <c r="T120" s="36" t="inlineStr">
        <is>
          <t>Non</t>
        </is>
      </c>
      <c r="U120" s="13">
        <f>IF($B120="","",IF(AND(J120&lt;&gt;"Complétée",J120&lt;&gt;"Abandonnée",Q120&lt;&gt;"",TODAY()&gt;Q120),"En retard",""))</f>
        <v/>
      </c>
      <c r="V120" s="37" t="n"/>
    </row>
    <row r="121">
      <c r="B121" s="36" t="inlineStr">
        <is>
          <t>V2-026</t>
        </is>
      </c>
      <c r="C121" s="36" t="inlineStr">
        <is>
          <t>V2</t>
        </is>
      </c>
      <c r="D121" s="36" t="inlineStr">
        <is>
          <t>VDR</t>
        </is>
      </c>
      <c r="E121" s="37" t="inlineStr">
        <is>
          <t>Data room</t>
        </is>
      </c>
      <c r="F121" s="37" t="inlineStr">
        <is>
          <t>Stockage objet chiffré, URLs pré-signées courtes liées à la session</t>
        </is>
      </c>
      <c r="G121" s="37" t="inlineStr">
        <is>
          <t>Accès direct hors session refusé</t>
        </is>
      </c>
      <c r="H121" s="38" t="n">
        <v>5</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46329</v>
      </c>
      <c r="Q121" s="40" t="n">
        <v>46336</v>
      </c>
      <c r="R121" s="40" t="n"/>
      <c r="S121" s="37" t="inlineStr"/>
      <c r="T121" s="36" t="inlineStr">
        <is>
          <t>Non</t>
        </is>
      </c>
      <c r="U121" s="13">
        <f>IF($B121="","",IF(AND(J121&lt;&gt;"Complétée",J121&lt;&gt;"Abandonnée",Q121&lt;&gt;"",TODAY()&gt;Q121),"En retard",""))</f>
        <v/>
      </c>
      <c r="V121" s="37" t="n"/>
    </row>
    <row r="122">
      <c r="B122" s="36" t="inlineStr">
        <is>
          <t>V2-027</t>
        </is>
      </c>
      <c r="C122" s="36" t="inlineStr">
        <is>
          <t>V2</t>
        </is>
      </c>
      <c r="D122" s="36" t="inlineStr">
        <is>
          <t>VDR</t>
        </is>
      </c>
      <c r="E122" s="37" t="inlineStr">
        <is>
          <t>Data room</t>
        </is>
      </c>
      <c r="F122" s="37" t="inlineStr">
        <is>
          <t>Visualiseur rendu serveur, page à page, chargement progressif (3G)</t>
        </is>
      </c>
      <c r="G122" s="37" t="inlineStr">
        <is>
          <t>Première page en moins de 6 s sur réseau de référence</t>
        </is>
      </c>
      <c r="H122" s="38" t="n">
        <v>8</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46330</v>
      </c>
      <c r="Q122" s="40" t="n">
        <v>46342</v>
      </c>
      <c r="R122" s="40" t="n"/>
      <c r="S122" s="37" t="inlineStr"/>
      <c r="T122" s="36" t="inlineStr">
        <is>
          <t>Non</t>
        </is>
      </c>
      <c r="U122" s="13">
        <f>IF($B122="","",IF(AND(J122&lt;&gt;"Complétée",J122&lt;&gt;"Abandonnée",Q122&lt;&gt;"",TODAY()&gt;Q122),"En retard",""))</f>
        <v/>
      </c>
      <c r="V122" s="37" t="n"/>
    </row>
    <row r="123">
      <c r="B123" s="36" t="inlineStr">
        <is>
          <t>V2-028</t>
        </is>
      </c>
      <c r="C123" s="36" t="inlineStr">
        <is>
          <t>V2</t>
        </is>
      </c>
      <c r="D123" s="36" t="inlineStr">
        <is>
          <t>VDR</t>
        </is>
      </c>
      <c r="E123" s="37" t="inlineStr">
        <is>
          <t>Data room</t>
        </is>
      </c>
      <c r="F123" s="37" t="inlineStr">
        <is>
          <t>Filigrane dynamique par page (identité, compte, horodatage, référence du deal)</t>
        </is>
      </c>
      <c r="G123" s="37" t="inlineStr">
        <is>
          <t>Chaque page rendue porte le filigrane (test DOC-02)</t>
        </is>
      </c>
      <c r="H123" s="38" t="n">
        <v>5</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46332</v>
      </c>
      <c r="Q123" s="40" t="n">
        <v>46339</v>
      </c>
      <c r="R123" s="40" t="n"/>
      <c r="S123" s="37" t="inlineStr"/>
      <c r="T123" s="36" t="inlineStr">
        <is>
          <t>Non</t>
        </is>
      </c>
      <c r="U123" s="13">
        <f>IF($B123="","",IF(AND(J123&lt;&gt;"Complétée",J123&lt;&gt;"Abandonnée",Q123&lt;&gt;"",TODAY()&gt;Q123),"En retard",""))</f>
        <v/>
      </c>
      <c r="V123" s="37" t="n"/>
    </row>
    <row r="124">
      <c r="B124" s="36" t="inlineStr">
        <is>
          <t>V2-029</t>
        </is>
      </c>
      <c r="C124" s="36" t="inlineStr">
        <is>
          <t>V2</t>
        </is>
      </c>
      <c r="D124" s="36" t="inlineStr">
        <is>
          <t>VDR</t>
        </is>
      </c>
      <c r="E124" s="37" t="inlineStr">
        <is>
          <t>Data room</t>
        </is>
      </c>
      <c r="F124" s="37" t="inlineStr">
        <is>
          <t>Arborescence OHADA par défaut et gestion des dossiers</t>
        </is>
      </c>
      <c r="G124" s="37" t="inlineStr">
        <is>
          <t>Squelette créé automatiquement à l'ouverture</t>
        </is>
      </c>
      <c r="H124" s="38" t="n">
        <v>4</v>
      </c>
      <c r="I124" s="36" t="inlineStr">
        <is>
          <t>Moyenne</t>
        </is>
      </c>
      <c r="J124" s="36" t="inlineStr">
        <is>
          <t>En cours</t>
        </is>
      </c>
      <c r="K124" s="39" t="n">
        <v>0.2</v>
      </c>
      <c r="L124" s="16">
        <f>IF($B124="","",IF(J124="Complétée",1,IF(J124="Abandonnée",0,IF(K124&lt;&gt;"",K124,IFERROR(VLOOKUP(J124,Parametres!$B$6:$C$12,2,FALSE),0)))))</f>
        <v/>
      </c>
      <c r="M124" s="15">
        <f>IF($B124="","",IF(J124="Abandonnée",0,H124))</f>
        <v/>
      </c>
      <c r="N124" s="15">
        <f>IF($B124="","",M124*L124)</f>
        <v/>
      </c>
      <c r="O124" s="37" t="inlineStr">
        <is>
          <t>Abdou-Raouf</t>
        </is>
      </c>
      <c r="P124" s="40" t="n">
        <v>46332</v>
      </c>
      <c r="Q124" s="40" t="n">
        <v>46338</v>
      </c>
      <c r="R124" s="40" t="n"/>
      <c r="S124" s="37" t="inlineStr"/>
      <c r="T124" s="36" t="inlineStr">
        <is>
          <t>Non</t>
        </is>
      </c>
      <c r="U124" s="13">
        <f>IF($B124="","",IF(AND(J124&lt;&gt;"Complétée",J124&lt;&gt;"Abandonnée",Q124&lt;&gt;"",TODAY()&gt;Q124),"En retard",""))</f>
        <v/>
      </c>
      <c r="V124" s="37" t="inlineStr">
        <is>
          <t>Audit 12/09 : Table folder présente ; création automatique de l'arborescence OHADA à implémenter.</t>
        </is>
      </c>
    </row>
    <row r="125">
      <c r="B125" s="36" t="inlineStr">
        <is>
          <t>V2-030</t>
        </is>
      </c>
      <c r="C125" s="36" t="inlineStr">
        <is>
          <t>V2</t>
        </is>
      </c>
      <c r="D125" s="36" t="inlineStr">
        <is>
          <t>VDR</t>
        </is>
      </c>
      <c r="E125" s="37" t="inlineStr">
        <is>
          <t>Data room</t>
        </is>
      </c>
      <c r="F125" s="37" t="inlineStr">
        <is>
          <t>Permissions par document, téléchargement désactivé par défaut</t>
        </is>
      </c>
      <c r="G125" s="37" t="inlineStr">
        <is>
          <t>Téléchargement refusé sans droit explicite (test DOC-01)</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46333</v>
      </c>
      <c r="Q125" s="40" t="n">
        <v>46340</v>
      </c>
      <c r="R125" s="40" t="n"/>
      <c r="S125" s="37" t="inlineStr"/>
      <c r="T125" s="36" t="inlineStr">
        <is>
          <t>Non</t>
        </is>
      </c>
      <c r="U125" s="13">
        <f>IF($B125="","",IF(AND(J125&lt;&gt;"Complétée",J125&lt;&gt;"Abandonnée",Q125&lt;&gt;"",TODAY()&gt;Q125),"En retard",""))</f>
        <v/>
      </c>
      <c r="V125" s="37" t="n"/>
    </row>
    <row r="126">
      <c r="B126" s="36" t="inlineStr">
        <is>
          <t>V2-031</t>
        </is>
      </c>
      <c r="C126" s="36" t="inlineStr">
        <is>
          <t>V2</t>
        </is>
      </c>
      <c r="D126" s="36" t="inlineStr">
        <is>
          <t>VDR</t>
        </is>
      </c>
      <c r="E126" s="37" t="inlineStr">
        <is>
          <t>Data room</t>
        </is>
      </c>
      <c r="F126" s="37" t="inlineStr">
        <is>
          <t>Grants d'accès scopés avec expiration obligatoire</t>
        </is>
      </c>
      <c r="G126" s="37" t="inlineStr">
        <is>
          <t>Accès perpétuel impossible à créer</t>
        </is>
      </c>
      <c r="H126" s="38" t="n">
        <v>4</v>
      </c>
      <c r="I126" s="36" t="inlineStr">
        <is>
          <t>Haute</t>
        </is>
      </c>
      <c r="J126" s="36" t="inlineStr">
        <is>
          <t>En cours</t>
        </is>
      </c>
      <c r="K126" s="39" t="n">
        <v>0.2</v>
      </c>
      <c r="L126" s="16">
        <f>IF($B126="","",IF(J126="Complétée",1,IF(J126="Abandonnée",0,IF(K126&lt;&gt;"",K126,IFERROR(VLOOKUP(J126,Parametres!$B$6:$C$12,2,FALSE),0)))))</f>
        <v/>
      </c>
      <c r="M126" s="15">
        <f>IF($B126="","",IF(J126="Abandonnée",0,H126))</f>
        <v/>
      </c>
      <c r="N126" s="15">
        <f>IF($B126="","",M126*L126)</f>
        <v/>
      </c>
      <c r="O126" s="37" t="inlineStr">
        <is>
          <t>Abdou-Raouf</t>
        </is>
      </c>
      <c r="P126" s="40" t="n">
        <v>46334</v>
      </c>
      <c r="Q126" s="40" t="n">
        <v>46340</v>
      </c>
      <c r="R126" s="40" t="n"/>
      <c r="S126" s="37" t="inlineStr"/>
      <c r="T126" s="36" t="inlineStr">
        <is>
          <t>Non</t>
        </is>
      </c>
      <c r="U126" s="13">
        <f>IF($B126="","",IF(AND(J126&lt;&gt;"Complétée",J126&lt;&gt;"Abandonnée",Q126&lt;&gt;"",TODAY()&gt;Q126),"En retard",""))</f>
        <v/>
      </c>
      <c r="V126" s="37" t="inlineStr">
        <is>
          <t>Audit 12/09 : Table access_grant avec expiration obligatoire ; délivrance, contrôle serveur et révocation absents.</t>
        </is>
      </c>
    </row>
    <row r="127">
      <c r="B127" s="36" t="inlineStr">
        <is>
          <t>V2-032</t>
        </is>
      </c>
      <c r="C127" s="36" t="inlineStr">
        <is>
          <t>V2</t>
        </is>
      </c>
      <c r="D127" s="36" t="inlineStr">
        <is>
          <t>VDR</t>
        </is>
      </c>
      <c r="E127" s="37" t="inlineStr">
        <is>
          <t>Data room</t>
        </is>
      </c>
      <c r="F127" s="37" t="inlineStr">
        <is>
          <t>Révocation effective en moins de 60 s avec invalidation des URLs</t>
        </is>
      </c>
      <c r="G127" s="37" t="inlineStr">
        <is>
          <t>Test chronométré de révocation</t>
        </is>
      </c>
      <c r="H127" s="38" t="n">
        <v>4</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46335</v>
      </c>
      <c r="Q127" s="40" t="n">
        <v>46341</v>
      </c>
      <c r="R127" s="40" t="n"/>
      <c r="S127" s="37" t="inlineStr"/>
      <c r="T127" s="36" t="inlineStr">
        <is>
          <t>Non</t>
        </is>
      </c>
      <c r="U127" s="13">
        <f>IF($B127="","",IF(AND(J127&lt;&gt;"Complétée",J127&lt;&gt;"Abandonnée",Q127&lt;&gt;"",TODAY()&gt;Q127),"En retard",""))</f>
        <v/>
      </c>
      <c r="V127" s="37" t="n"/>
    </row>
    <row r="128">
      <c r="B128" s="36" t="inlineStr">
        <is>
          <t>V2-033</t>
        </is>
      </c>
      <c r="C128" s="36" t="inlineStr">
        <is>
          <t>V2</t>
        </is>
      </c>
      <c r="D128" s="36" t="inlineStr">
        <is>
          <t>VDR</t>
        </is>
      </c>
      <c r="E128" s="37" t="inlineStr">
        <is>
          <t>Data room</t>
        </is>
      </c>
      <c r="F128" s="37" t="inlineStr">
        <is>
          <t>Journal DocumentView : qui, quel document, quand, durée, IP</t>
        </is>
      </c>
      <c r="G128" s="37" t="inlineStr">
        <is>
          <t>Export du journal par dossier</t>
        </is>
      </c>
      <c r="H128" s="38" t="n">
        <v>4</v>
      </c>
      <c r="I128" s="36" t="inlineStr">
        <is>
          <t>Haute</t>
        </is>
      </c>
      <c r="J128" s="36" t="inlineStr">
        <is>
          <t>En cours</t>
        </is>
      </c>
      <c r="K128" s="39" t="n">
        <v>0.2</v>
      </c>
      <c r="L128" s="16">
        <f>IF($B128="","",IF(J128="Complétée",1,IF(J128="Abandonnée",0,IF(K128&lt;&gt;"",K128,IFERROR(VLOOKUP(J128,Parametres!$B$6:$C$12,2,FALSE),0)))))</f>
        <v/>
      </c>
      <c r="M128" s="15">
        <f>IF($B128="","",IF(J128="Abandonnée",0,H128))</f>
        <v/>
      </c>
      <c r="N128" s="15">
        <f>IF($B128="","",M128*L128)</f>
        <v/>
      </c>
      <c r="O128" s="37" t="inlineStr">
        <is>
          <t>Abdou-Raouf</t>
        </is>
      </c>
      <c r="P128" s="40" t="n">
        <v>46336</v>
      </c>
      <c r="Q128" s="40" t="n">
        <v>46342</v>
      </c>
      <c r="R128" s="40" t="n"/>
      <c r="S128" s="37" t="inlineStr"/>
      <c r="T128" s="36" t="inlineStr">
        <is>
          <t>Non</t>
        </is>
      </c>
      <c r="U128" s="13">
        <f>IF($B128="","",IF(AND(J128&lt;&gt;"Complétée",J128&lt;&gt;"Abandonnée",Q128&lt;&gt;"",TODAY()&gt;Q128),"En retard",""))</f>
        <v/>
      </c>
      <c r="V128" s="37" t="inlineStr">
        <is>
          <t>Audit 12/09 : Table document_view présente ; enregistrement réel et export absents.</t>
        </is>
      </c>
    </row>
    <row r="129">
      <c r="B129" s="36" t="inlineStr">
        <is>
          <t>V2-034</t>
        </is>
      </c>
      <c r="C129" s="36" t="inlineStr">
        <is>
          <t>V2</t>
        </is>
      </c>
      <c r="D129" s="36" t="inlineStr">
        <is>
          <t>VDR</t>
        </is>
      </c>
      <c r="E129" s="37" t="inlineStr">
        <is>
          <t>Data room</t>
        </is>
      </c>
      <c r="F129" s="37" t="inlineStr">
        <is>
          <t>Upload en masse, antivirus, OCR des documents photographiés</t>
        </is>
      </c>
      <c r="G129" s="37" t="inlineStr">
        <is>
          <t>Reprise d'un upload interrompu</t>
        </is>
      </c>
      <c r="H129" s="38" t="n">
        <v>6</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46336</v>
      </c>
      <c r="Q129" s="40" t="n">
        <v>46345</v>
      </c>
      <c r="R129" s="40" t="n"/>
      <c r="S129" s="37" t="inlineStr"/>
      <c r="T129" s="36" t="inlineStr">
        <is>
          <t>Non</t>
        </is>
      </c>
      <c r="U129" s="13">
        <f>IF($B129="","",IF(AND(J129&lt;&gt;"Complétée",J129&lt;&gt;"Abandonnée",Q129&lt;&gt;"",TODAY()&gt;Q129),"En retard",""))</f>
        <v/>
      </c>
      <c r="V129" s="37" t="n"/>
    </row>
    <row r="130">
      <c r="B130" s="36" t="inlineStr">
        <is>
          <t>V2-035</t>
        </is>
      </c>
      <c r="C130" s="36" t="inlineStr">
        <is>
          <t>V2</t>
        </is>
      </c>
      <c r="D130" s="36" t="inlineStr">
        <is>
          <t>VDR</t>
        </is>
      </c>
      <c r="E130" s="37" t="inlineStr">
        <is>
          <t>Data room</t>
        </is>
      </c>
      <c r="F130" s="37" t="inlineStr">
        <is>
          <t>Écrans data room : arborescence, visualiseur, administration des accès</t>
        </is>
      </c>
      <c r="G130" s="37" t="inlineStr">
        <is>
          <t>Parcours complet sur mobile</t>
        </is>
      </c>
      <c r="H130" s="38" t="n">
        <v>5</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46337</v>
      </c>
      <c r="Q130" s="40" t="n">
        <v>46344</v>
      </c>
      <c r="R130" s="40" t="n"/>
      <c r="S130" s="37" t="inlineStr"/>
      <c r="T130" s="36" t="inlineStr">
        <is>
          <t>Non</t>
        </is>
      </c>
      <c r="U130" s="13">
        <f>IF($B130="","",IF(AND(J130&lt;&gt;"Complétée",J130&lt;&gt;"Abandonnée",Q130&lt;&gt;"",TODAY()&gt;Q130),"En retard",""))</f>
        <v/>
      </c>
      <c r="V130" s="37" t="n"/>
    </row>
    <row r="131">
      <c r="B131" s="36" t="inlineStr">
        <is>
          <t>V2-036</t>
        </is>
      </c>
      <c r="C131" s="36" t="inlineStr">
        <is>
          <t>V2</t>
        </is>
      </c>
      <c r="D131" s="36" t="inlineStr">
        <is>
          <t>VDR</t>
        </is>
      </c>
      <c r="E131" s="37" t="inlineStr">
        <is>
          <t>Questions-réponses</t>
        </is>
      </c>
      <c r="F131" s="37" t="inlineStr">
        <is>
          <t>Fils de questions par document, visibilité contrôlée par le cédant</t>
        </is>
      </c>
      <c r="G131" s="37" t="inlineStr">
        <is>
          <t>Question invisible aux autres investisseurs par défaut</t>
        </is>
      </c>
      <c r="H131" s="38" t="n">
        <v>6</v>
      </c>
      <c r="I131" s="36" t="inlineStr">
        <is>
          <t>Haute</t>
        </is>
      </c>
      <c r="J131" s="36" t="inlineStr">
        <is>
          <t>En cours</t>
        </is>
      </c>
      <c r="K131" s="39" t="n">
        <v>0.15</v>
      </c>
      <c r="L131" s="16">
        <f>IF($B131="","",IF(J131="Complétée",1,IF(J131="Abandonnée",0,IF(K131&lt;&gt;"",K131,IFERROR(VLOOKUP(J131,Parametres!$B$6:$C$12,2,FALSE),0)))))</f>
        <v/>
      </c>
      <c r="M131" s="15">
        <f>IF($B131="","",IF(J131="Abandonnée",0,H131))</f>
        <v/>
      </c>
      <c r="N131" s="15">
        <f>IF($B131="","",M131*L131)</f>
        <v/>
      </c>
      <c r="O131" s="37" t="inlineStr">
        <is>
          <t>Abdou-Raouf</t>
        </is>
      </c>
      <c r="P131" s="40" t="n">
        <v>46338</v>
      </c>
      <c r="Q131" s="40" t="n">
        <v>46347</v>
      </c>
      <c r="R131" s="40" t="n"/>
      <c r="S131" s="37" t="inlineStr"/>
      <c r="T131" s="36" t="inlineStr">
        <is>
          <t>Non</t>
        </is>
      </c>
      <c r="U131" s="13">
        <f>IF($B131="","",IF(AND(J131&lt;&gt;"Complétée",J131&lt;&gt;"Abandonnée",Q131&lt;&gt;"",TODAY()&gt;Q131),"En retard",""))</f>
        <v/>
      </c>
      <c r="V131" s="37" t="inlineStr">
        <is>
          <t>Audit 12/09 : Table qa_thread présente ; API, isolation et circuit de réponse absents.</t>
        </is>
      </c>
    </row>
    <row r="132">
      <c r="B132" s="36" t="inlineStr">
        <is>
          <t>V2-037</t>
        </is>
      </c>
      <c r="C132" s="36" t="inlineStr">
        <is>
          <t>V2</t>
        </is>
      </c>
      <c r="D132" s="36" t="inlineStr">
        <is>
          <t>VDR</t>
        </is>
      </c>
      <c r="E132" s="37" t="inlineStr">
        <is>
          <t>Questions-réponses</t>
        </is>
      </c>
      <c r="F132" s="37" t="inlineStr">
        <is>
          <t>Statuts, catégories, pièces jointes et journalisation des actions</t>
        </is>
      </c>
      <c r="G132" s="37" t="inlineStr">
        <is>
          <t>Chaque création / réponse / clôture journalisée</t>
        </is>
      </c>
      <c r="H132" s="38" t="n">
        <v>4</v>
      </c>
      <c r="I132" s="36" t="inlineStr">
        <is>
          <t>Moyenne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46339</v>
      </c>
      <c r="Q132" s="40" t="n">
        <v>46345</v>
      </c>
      <c r="R132" s="40" t="n"/>
      <c r="S132" s="37" t="inlineStr"/>
      <c r="T132" s="36" t="inlineStr">
        <is>
          <t>Non</t>
        </is>
      </c>
      <c r="U132" s="13">
        <f>IF($B132="","",IF(AND(J132&lt;&gt;"Complétée",J132&lt;&gt;"Abandonnée",Q132&lt;&gt;"",TODAY()&gt;Q132),"En retard",""))</f>
        <v/>
      </c>
      <c r="V132" s="37" t="n"/>
    </row>
    <row r="133">
      <c r="B133" s="36" t="inlineStr">
        <is>
          <t>V2-038</t>
        </is>
      </c>
      <c r="C133" s="36" t="inlineStr">
        <is>
          <t>V2</t>
        </is>
      </c>
      <c r="D133" s="36" t="inlineStr">
        <is>
          <t>VDR</t>
        </is>
      </c>
      <c r="E133" s="37" t="inlineStr">
        <is>
          <t>Questions-réponses</t>
        </is>
      </c>
      <c r="F133" s="37" t="inlineStr">
        <is>
          <t>Écrans Q&amp;R</t>
        </is>
      </c>
      <c r="G133" s="37" t="inlineStr">
        <is>
          <t>Filtre par statut et par document</t>
        </is>
      </c>
      <c r="H133" s="38" t="n">
        <v>5</v>
      </c>
      <c r="I133" s="36" t="inlineStr">
        <is>
          <t>Moyenne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46340</v>
      </c>
      <c r="Q133" s="40" t="n">
        <v>46347</v>
      </c>
      <c r="R133" s="40" t="n"/>
      <c r="S133" s="37" t="inlineStr"/>
      <c r="T133" s="36" t="inlineStr">
        <is>
          <t>Non</t>
        </is>
      </c>
      <c r="U133" s="13">
        <f>IF($B133="","",IF(AND(J133&lt;&gt;"Complétée",J133&lt;&gt;"Abandonnée",Q133&lt;&gt;"",TODAY()&gt;Q133),"En retard",""))</f>
        <v/>
      </c>
      <c r="V133" s="37" t="n"/>
    </row>
    <row r="134">
      <c r="B134" s="36" t="inlineStr">
        <is>
          <t>V2-039</t>
        </is>
      </c>
      <c r="C134" s="36" t="inlineStr">
        <is>
          <t>V2</t>
        </is>
      </c>
      <c r="D134" s="36" t="inlineStr">
        <is>
          <t>TRV</t>
        </is>
      </c>
      <c r="E134" s="37" t="inlineStr">
        <is>
          <t>QA et sécurité</t>
        </is>
      </c>
      <c r="F134" s="37" t="inlineStr">
        <is>
          <t>Storybook du design system, alimenté par les mêmes composants que le laboratoire</t>
        </is>
      </c>
      <c r="G134" s="37" t="inlineStr">
        <is>
          <t>Le designer revoit chaque variante sans passer par l'application</t>
        </is>
      </c>
      <c r="H134" s="38" t="n">
        <v>3</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46341</v>
      </c>
      <c r="Q134" s="40" t="n">
        <v>46346</v>
      </c>
      <c r="R134" s="40" t="n"/>
      <c r="S134" s="37" t="inlineStr">
        <is>
          <t>Designer UI/UX confirmé</t>
        </is>
      </c>
      <c r="T134" s="36" t="inlineStr">
        <is>
          <t>Non</t>
        </is>
      </c>
      <c r="U134" s="13">
        <f>IF($B134="","",IF(AND(J134&lt;&gt;"Complétée",J134&lt;&gt;"Abandonnée",Q134&lt;&gt;"",TODAY()&gt;Q134),"En retard",""))</f>
        <v/>
      </c>
      <c r="V134" s="37" t="n"/>
    </row>
    <row r="135">
      <c r="B135" s="36" t="inlineStr">
        <is>
          <t>V2-040</t>
        </is>
      </c>
      <c r="C135" s="36" t="inlineStr">
        <is>
          <t>V2</t>
        </is>
      </c>
      <c r="D135" s="36" t="inlineStr">
        <is>
          <t>TRV</t>
        </is>
      </c>
      <c r="E135" s="37" t="inlineStr">
        <is>
          <t>QA et sécurité</t>
        </is>
      </c>
      <c r="F135" s="37" t="inlineStr">
        <is>
          <t>Tests de contournement de palier et de fuite T0 / T1 (DISCLOSURE_LEAK)</t>
        </is>
      </c>
      <c r="G135" s="37" t="inlineStr">
        <is>
          <t>Zéro fuite sur les 12 cas de référence</t>
        </is>
      </c>
      <c r="H135" s="38" t="n">
        <v>6</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46341</v>
      </c>
      <c r="Q135" s="40" t="n">
        <v>46350</v>
      </c>
      <c r="R135" s="40" t="n"/>
      <c r="S135" s="37" t="inlineStr"/>
      <c r="T135" s="36" t="inlineStr">
        <is>
          <t>Non</t>
        </is>
      </c>
      <c r="U135" s="13">
        <f>IF($B135="","",IF(AND(J135&lt;&gt;"Complétée",J135&lt;&gt;"Abandonnée",Q135&lt;&gt;"",TODAY()&gt;Q135),"En retard",""))</f>
        <v/>
      </c>
      <c r="V135" s="37" t="n"/>
    </row>
    <row r="136">
      <c r="B136" s="36" t="inlineStr">
        <is>
          <t>V2-041</t>
        </is>
      </c>
      <c r="C136" s="36" t="inlineStr">
        <is>
          <t>V2</t>
        </is>
      </c>
      <c r="D136" s="36" t="inlineStr">
        <is>
          <t>TRV</t>
        </is>
      </c>
      <c r="E136" s="37" t="inlineStr">
        <is>
          <t>QA et sécurité</t>
        </is>
      </c>
      <c r="F136" s="37" t="inlineStr">
        <is>
          <t>Tests de révocation et d'expiration (REVOKED_ACCESS_ALLOWED)</t>
        </is>
      </c>
      <c r="G136" s="37" t="inlineStr">
        <is>
          <t>Utilisateur révoqué sans accès résiduel</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46342</v>
      </c>
      <c r="Q136" s="40" t="n">
        <v>46348</v>
      </c>
      <c r="R136" s="40" t="n"/>
      <c r="S136" s="37" t="inlineStr"/>
      <c r="T136" s="36" t="inlineStr">
        <is>
          <t>Non</t>
        </is>
      </c>
      <c r="U136" s="13">
        <f>IF($B136="","",IF(AND(J136&lt;&gt;"Complétée",J136&lt;&gt;"Abandonnée",Q136&lt;&gt;"",TODAY()&gt;Q136),"En retard",""))</f>
        <v/>
      </c>
      <c r="V136" s="37" t="n"/>
    </row>
    <row r="137">
      <c r="B137" s="36" t="inlineStr">
        <is>
          <t>V2-042</t>
        </is>
      </c>
      <c r="C137" s="36" t="inlineStr">
        <is>
          <t>V2</t>
        </is>
      </c>
      <c r="D137" s="36" t="inlineStr">
        <is>
          <t>TRV</t>
        </is>
      </c>
      <c r="E137" s="37" t="inlineStr">
        <is>
          <t>QA et sécurité</t>
        </is>
      </c>
      <c r="F137" s="37" t="inlineStr">
        <is>
          <t>Revue de sécurité interne et préparation du périmètre de pentest</t>
        </is>
      </c>
      <c r="G137" s="37" t="inlineStr">
        <is>
          <t>Périmètre de pentest rédigé</t>
        </is>
      </c>
      <c r="H137" s="38" t="n">
        <v>5</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46343</v>
      </c>
      <c r="Q137" s="40" t="n">
        <v>46350</v>
      </c>
      <c r="R137" s="40" t="n"/>
      <c r="S137" s="37" t="inlineStr"/>
      <c r="T137" s="36" t="inlineStr">
        <is>
          <t>Non</t>
        </is>
      </c>
      <c r="U137" s="13">
        <f>IF($B137="","",IF(AND(J137&lt;&gt;"Complétée",J137&lt;&gt;"Abandonnée",Q137&lt;&gt;"",TODAY()&gt;Q137),"En retard",""))</f>
        <v/>
      </c>
      <c r="V137" s="37" t="n"/>
    </row>
    <row r="138">
      <c r="B138" s="36" t="inlineStr">
        <is>
          <t>V2-043</t>
        </is>
      </c>
      <c r="C138" s="36" t="inlineStr">
        <is>
          <t>V2</t>
        </is>
      </c>
      <c r="D138" s="36" t="inlineStr">
        <is>
          <t>TRV</t>
        </is>
      </c>
      <c r="E138" s="37" t="inlineStr">
        <is>
          <t>QA et sécurité</t>
        </is>
      </c>
      <c r="F138" s="37" t="inlineStr">
        <is>
          <t>Recette V2 et corrections</t>
        </is>
      </c>
      <c r="G138" s="37" t="inlineStr">
        <is>
          <t>Zéro anomalie bloquante ouverte</t>
        </is>
      </c>
      <c r="H138" s="38" t="n">
        <v>5</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46344</v>
      </c>
      <c r="Q138" s="40" t="n">
        <v>46351</v>
      </c>
      <c r="R138" s="40" t="n"/>
      <c r="S138" s="37" t="inlineStr"/>
      <c r="T138" s="36" t="inlineStr">
        <is>
          <t>Non</t>
        </is>
      </c>
      <c r="U138" s="13">
        <f>IF($B138="","",IF(AND(J138&lt;&gt;"Complétée",J138&lt;&gt;"Abandonnée",Q138&lt;&gt;"",TODAY()&gt;Q138),"En retard",""))</f>
        <v/>
      </c>
      <c r="V138" s="37" t="n"/>
    </row>
    <row r="139">
      <c r="B139" s="36" t="inlineStr">
        <is>
          <t>V3-001</t>
        </is>
      </c>
      <c r="C139" s="36" t="inlineStr">
        <is>
          <t>V3</t>
        </is>
      </c>
      <c r="D139" s="36" t="inlineStr">
        <is>
          <t>NEG</t>
        </is>
      </c>
      <c r="E139" s="37" t="inlineStr">
        <is>
          <t>Conception</t>
        </is>
      </c>
      <c r="F139" s="37" t="inlineStr">
        <is>
          <t>Conception de la négociation et de la réalisation : machine à états complète (offre, LOI, audit, réalisation), registre des points ouverts, événements de frais</t>
        </is>
      </c>
      <c r="G139" s="37" t="inlineStr">
        <is>
          <t>Chaque transition est spécifiée avec ses préconditions et ses effets journalisés</t>
        </is>
      </c>
      <c r="H139" s="38" t="n">
        <v>3</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46352</v>
      </c>
      <c r="Q139" s="40" t="n">
        <v>46357</v>
      </c>
      <c r="R139" s="40" t="n"/>
      <c r="S139" s="37" t="inlineStr"/>
      <c r="T139" s="36" t="inlineStr">
        <is>
          <t>Oui</t>
        </is>
      </c>
      <c r="U139" s="13">
        <f>IF($B139="","",IF(AND(J139&lt;&gt;"Complétée",J139&lt;&gt;"Abandonnée",Q139&lt;&gt;"",TODAY()&gt;Q139),"En retard",""))</f>
        <v/>
      </c>
      <c r="V139" s="37" t="n"/>
    </row>
    <row r="140">
      <c r="B140" s="36" t="inlineStr">
        <is>
          <t>V3-002</t>
        </is>
      </c>
      <c r="C140" s="36" t="inlineStr">
        <is>
          <t>V3</t>
        </is>
      </c>
      <c r="D140" s="36" t="inlineStr">
        <is>
          <t>FIN</t>
        </is>
      </c>
      <c r="E140" s="37" t="inlineStr">
        <is>
          <t>Conception</t>
        </is>
      </c>
      <c r="F140" s="37" t="inlineStr">
        <is>
          <t>Conception du moteur de frais et de rétrocession : barème versionné sous drapeau juridique, journal de calcul recalculable, rapport trimestriel</t>
        </is>
      </c>
      <c r="G140" s="37" t="inlineStr">
        <is>
          <t>Un calcul peut être rejoué à l'identique à partir du journal ; barème inactif sans avis écrit</t>
        </is>
      </c>
      <c r="H140" s="38" t="n">
        <v>2</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46352</v>
      </c>
      <c r="Q140" s="40" t="n">
        <v>46355</v>
      </c>
      <c r="R140" s="40" t="n"/>
      <c r="S140" s="37" t="inlineStr"/>
      <c r="T140" s="36" t="inlineStr">
        <is>
          <t>Non</t>
        </is>
      </c>
      <c r="U140" s="13">
        <f>IF($B140="","",IF(AND(J140&lt;&gt;"Complétée",J140&lt;&gt;"Abandonnée",Q140&lt;&gt;"",TODAY()&gt;Q140),"En retard",""))</f>
        <v/>
      </c>
      <c r="V140" s="37" t="n"/>
    </row>
    <row r="141">
      <c r="B141" s="36" t="inlineStr">
        <is>
          <t>V3-003</t>
        </is>
      </c>
      <c r="C141" s="36" t="inlineStr">
        <is>
          <t>V3</t>
        </is>
      </c>
      <c r="D141" s="36" t="inlineStr">
        <is>
          <t>LEG</t>
        </is>
      </c>
      <c r="E141" s="37" t="inlineStr">
        <is>
          <t>Conception</t>
        </is>
      </c>
      <c r="F141" s="37" t="inlineStr">
        <is>
          <t>Conception LegalTech : modèle de gabarit versionné, variables, génération PDF, mention obligatoire, traçabilité de la revue du conseil</t>
        </is>
      </c>
      <c r="G141" s="37" t="inlineStr">
        <is>
          <t>Schéma de gabarit validé avec le conseil juridique</t>
        </is>
      </c>
      <c r="H141" s="38" t="n">
        <v>2</v>
      </c>
      <c r="I141" s="36" t="inlineStr">
        <is>
          <t>Moyenne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46353</v>
      </c>
      <c r="Q141" s="40" t="n">
        <v>46356</v>
      </c>
      <c r="R141" s="40" t="n"/>
      <c r="S141" s="37" t="inlineStr"/>
      <c r="T141" s="36" t="inlineStr">
        <is>
          <t>Non</t>
        </is>
      </c>
      <c r="U141" s="13">
        <f>IF($B141="","",IF(AND(J141&lt;&gt;"Complétée",J141&lt;&gt;"Abandonnée",Q141&lt;&gt;"",TODAY()&gt;Q141),"En retard",""))</f>
        <v/>
      </c>
      <c r="V141" s="37" t="n"/>
    </row>
    <row r="142">
      <c r="B142" s="36" t="inlineStr">
        <is>
          <t>V3-004</t>
        </is>
      </c>
      <c r="C142" s="36" t="inlineStr">
        <is>
          <t>V3</t>
        </is>
      </c>
      <c r="D142" s="36" t="inlineStr">
        <is>
          <t>OPS</t>
        </is>
      </c>
      <c r="E142" s="37" t="inlineStr">
        <is>
          <t>Exploitation</t>
        </is>
      </c>
      <c r="F142" s="37" t="inlineStr">
        <is>
          <t>Acheminement des alertes d'exploitation : seuils, canal d'astreinte, accusé de prise en charge</t>
        </is>
      </c>
      <c r="G142" s="37" t="inlineStr">
        <is>
          <t>Une erreur serveur répétée réveille quelqu'un, sans dépendre d'une console consultée à la main</t>
        </is>
      </c>
      <c r="H142" s="38" t="n">
        <v>3</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46353</v>
      </c>
      <c r="Q142" s="40" t="n">
        <v>46358</v>
      </c>
      <c r="R142" s="40" t="n"/>
      <c r="S142" s="37" t="inlineStr"/>
      <c r="T142" s="36" t="inlineStr">
        <is>
          <t>Non</t>
        </is>
      </c>
      <c r="U142" s="13">
        <f>IF($B142="","",IF(AND(J142&lt;&gt;"Complétée",J142&lt;&gt;"Abandonnée",Q142&lt;&gt;"",TODAY()&gt;Q142),"En retard",""))</f>
        <v/>
      </c>
      <c r="V142" s="37" t="n"/>
    </row>
    <row r="143">
      <c r="B143" s="36" t="inlineStr">
        <is>
          <t>V3-005</t>
        </is>
      </c>
      <c r="C143" s="36" t="inlineStr">
        <is>
          <t>V3</t>
        </is>
      </c>
      <c r="D143" s="36" t="inlineStr">
        <is>
          <t>OPS</t>
        </is>
      </c>
      <c r="E143" s="37" t="inlineStr">
        <is>
          <t>Exploitation</t>
        </is>
      </c>
      <c r="F143" s="37" t="inlineStr">
        <is>
          <t>Chiffrement au repos du stockage objet par un KMS géré et rotation documentée des clés</t>
        </is>
      </c>
      <c r="G143" s="37" t="inlineStr">
        <is>
          <t>La clé de développement de MinIO n'existe plus en production ; la rotation est éprouvée</t>
        </is>
      </c>
      <c r="H143" s="38" t="n">
        <v>3</v>
      </c>
      <c r="I143" s="36" t="inlineStr">
        <is>
          <t>Haute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46354</v>
      </c>
      <c r="Q143" s="40" t="n">
        <v>46359</v>
      </c>
      <c r="R143" s="40" t="n"/>
      <c r="S143" s="37" t="inlineStr"/>
      <c r="T143" s="36" t="inlineStr">
        <is>
          <t>Non</t>
        </is>
      </c>
      <c r="U143" s="13">
        <f>IF($B143="","",IF(AND(J143&lt;&gt;"Complétée",J143&lt;&gt;"Abandonnée",Q143&lt;&gt;"",TODAY()&gt;Q143),"En retard",""))</f>
        <v/>
      </c>
      <c r="V143" s="37" t="n"/>
    </row>
    <row r="144">
      <c r="B144" s="36" t="inlineStr">
        <is>
          <t>V3-006</t>
        </is>
      </c>
      <c r="C144" s="36" t="inlineStr">
        <is>
          <t>V3</t>
        </is>
      </c>
      <c r="D144" s="36" t="inlineStr">
        <is>
          <t>SUP</t>
        </is>
      </c>
      <c r="E144" s="37" t="inlineStr">
        <is>
          <t>Support</t>
        </is>
      </c>
      <c r="F144" s="37" t="inlineStr">
        <is>
          <t>Procédure de purge et de rétention des pièces et des valeurs déclarées (effacement encadré par le DPO)</t>
        </is>
      </c>
      <c r="G144" s="37" t="inlineStr">
        <is>
          <t>Durées de conservation écrites, effacement tracé et irréversible</t>
        </is>
      </c>
      <c r="H144" s="38" t="n">
        <v>3</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46354</v>
      </c>
      <c r="Q144" s="40" t="n">
        <v>46359</v>
      </c>
      <c r="R144" s="40" t="n"/>
      <c r="S144" s="37" t="inlineStr">
        <is>
          <t>DPO désigné</t>
        </is>
      </c>
      <c r="T144" s="36" t="inlineStr">
        <is>
          <t>Non</t>
        </is>
      </c>
      <c r="U144" s="13">
        <f>IF($B144="","",IF(AND(J144&lt;&gt;"Complétée",J144&lt;&gt;"Abandonnée",Q144&lt;&gt;"",TODAY()&gt;Q144),"En retard",""))</f>
        <v/>
      </c>
      <c r="V144" s="37" t="n"/>
    </row>
    <row r="145">
      <c r="B145" s="36" t="inlineStr">
        <is>
          <t>V3-007</t>
        </is>
      </c>
      <c r="C145" s="36" t="inlineStr">
        <is>
          <t>V3</t>
        </is>
      </c>
      <c r="D145" s="36" t="inlineStr">
        <is>
          <t>OPS</t>
        </is>
      </c>
      <c r="E145" s="37" t="inlineStr">
        <is>
          <t>Conception</t>
        </is>
      </c>
      <c r="F145" s="37" t="inlineStr">
        <is>
          <t>Conception de l'exploitation et du support : SLA 99,5 %, supervision, sauvegardes et restauration, procédure d'incident, accès privilégiés et mode break-glass journalisé</t>
        </is>
      </c>
      <c r="G145" s="37" t="inlineStr">
        <is>
          <t>Plan d'exploitation relu ; chaque accès privilégié est tracé et limité dans le temps</t>
        </is>
      </c>
      <c r="H145" s="38" t="n">
        <v>3</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46355</v>
      </c>
      <c r="Q145" s="40" t="n">
        <v>46360</v>
      </c>
      <c r="R145" s="40" t="n"/>
      <c r="S145" s="37" t="inlineStr"/>
      <c r="T145" s="36" t="inlineStr">
        <is>
          <t>Non</t>
        </is>
      </c>
      <c r="U145" s="13">
        <f>IF($B145="","",IF(AND(J145&lt;&gt;"Complétée",J145&lt;&gt;"Abandonnée",Q145&lt;&gt;"",TODAY()&gt;Q145),"En retard",""))</f>
        <v/>
      </c>
      <c r="V145" s="37" t="n"/>
    </row>
    <row r="146">
      <c r="B146" s="36" t="inlineStr">
        <is>
          <t>V3-008</t>
        </is>
      </c>
      <c r="C146" s="36" t="inlineStr">
        <is>
          <t>V3</t>
        </is>
      </c>
      <c r="D146" s="36" t="inlineStr">
        <is>
          <t>LEG</t>
        </is>
      </c>
      <c r="E146" s="37" t="inlineStr">
        <is>
          <t>LegalTech OHADA</t>
        </is>
      </c>
      <c r="F146" s="37" t="inlineStr">
        <is>
          <t>Modèles versionnés : NDA, LOI, pacte simplifié, SPA, cession d'actifs, contrat de travail (Code du travail togolais)</t>
        </is>
      </c>
      <c r="G146" s="37" t="inlineStr">
        <is>
          <t>Chaque modèle porte version et référence du conseil</t>
        </is>
      </c>
      <c r="H146" s="38" t="n">
        <v>8</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46355</v>
      </c>
      <c r="Q146" s="40" t="n">
        <v>46367</v>
      </c>
      <c r="R146" s="40" t="n"/>
      <c r="S146" s="37" t="inlineStr"/>
      <c r="T146" s="36" t="inlineStr">
        <is>
          <t>Non</t>
        </is>
      </c>
      <c r="U146" s="13">
        <f>IF($B146="","",IF(AND(J146&lt;&gt;"Complétée",J146&lt;&gt;"Abandonnée",Q146&lt;&gt;"",TODAY()&gt;Q146),"En retard",""))</f>
        <v/>
      </c>
      <c r="V146" s="37" t="n"/>
    </row>
    <row r="147">
      <c r="B147" s="36" t="inlineStr">
        <is>
          <t>V3-009</t>
        </is>
      </c>
      <c r="C147" s="36" t="inlineStr">
        <is>
          <t>V3</t>
        </is>
      </c>
      <c r="D147" s="36" t="inlineStr">
        <is>
          <t>LEG</t>
        </is>
      </c>
      <c r="E147" s="37" t="inlineStr">
        <is>
          <t>LegalTech OHADA</t>
        </is>
      </c>
      <c r="F147" s="37" t="inlineStr">
        <is>
          <t>Moteur de génération PDF avec variables et mention 'aide à la rédaction, pas un conseil juridique'</t>
        </is>
      </c>
      <c r="G147" s="37" t="inlineStr">
        <is>
          <t>Mention présente sur chaque document généré</t>
        </is>
      </c>
      <c r="H147" s="38" t="n">
        <v>7</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46356</v>
      </c>
      <c r="Q147" s="40" t="n">
        <v>46366</v>
      </c>
      <c r="R147" s="40" t="n"/>
      <c r="S147" s="37" t="inlineStr"/>
      <c r="T147" s="36" t="inlineStr">
        <is>
          <t>Non</t>
        </is>
      </c>
      <c r="U147" s="13">
        <f>IF($B147="","",IF(AND(J147&lt;&gt;"Complétée",J147&lt;&gt;"Abandonnée",Q147&lt;&gt;"",TODAY()&gt;Q147),"En retard",""))</f>
        <v/>
      </c>
      <c r="V147" s="37" t="n"/>
    </row>
    <row r="148">
      <c r="B148" s="36" t="inlineStr">
        <is>
          <t>V3-010</t>
        </is>
      </c>
      <c r="C148" s="36" t="inlineStr">
        <is>
          <t>V3</t>
        </is>
      </c>
      <c r="D148" s="36" t="inlineStr">
        <is>
          <t>LEG</t>
        </is>
      </c>
      <c r="E148" s="37" t="inlineStr">
        <is>
          <t>LegalTech OHADA</t>
        </is>
      </c>
      <c r="F148" s="37" t="inlineStr">
        <is>
          <t>Revue des modèles par le conseil juridique (coordination)</t>
        </is>
      </c>
      <c r="G148" s="37" t="inlineStr">
        <is>
          <t>Avis écrit archivé par modèle</t>
        </is>
      </c>
      <c r="H148" s="38" t="n">
        <v>4</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46357</v>
      </c>
      <c r="Q148" s="40" t="n">
        <v>46363</v>
      </c>
      <c r="R148" s="40" t="n"/>
      <c r="S148" s="37" t="inlineStr"/>
      <c r="T148" s="36" t="inlineStr">
        <is>
          <t>Oui</t>
        </is>
      </c>
      <c r="U148" s="13">
        <f>IF($B148="","",IF(AND(J148&lt;&gt;"Complétée",J148&lt;&gt;"Abandonnée",Q148&lt;&gt;"",TODAY()&gt;Q148),"En retard",""))</f>
        <v/>
      </c>
      <c r="V148" s="37" t="n"/>
    </row>
    <row r="149">
      <c r="B149" s="36" t="inlineStr">
        <is>
          <t>V3-011</t>
        </is>
      </c>
      <c r="C149" s="36" t="inlineStr">
        <is>
          <t>V3</t>
        </is>
      </c>
      <c r="D149" s="36" t="inlineStr">
        <is>
          <t>LEG</t>
        </is>
      </c>
      <c r="E149" s="37" t="inlineStr">
        <is>
          <t>LegalTech OHADA</t>
        </is>
      </c>
      <c r="F149" s="37" t="inlineStr">
        <is>
          <t>Liaison avec transferRestrictions : alertes clauses d'agrément et de préemption</t>
        </is>
      </c>
      <c r="G149" s="37" t="inlineStr">
        <is>
          <t>Alerte affichée dès qu'une restriction existe</t>
        </is>
      </c>
      <c r="H149" s="38" t="n">
        <v>3</v>
      </c>
      <c r="I149" s="36" t="inlineStr">
        <is>
          <t>Moyenne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46358</v>
      </c>
      <c r="Q149" s="40" t="n">
        <v>46363</v>
      </c>
      <c r="R149" s="40" t="n"/>
      <c r="S149" s="37" t="inlineStr"/>
      <c r="T149" s="36" t="inlineStr">
        <is>
          <t>Non</t>
        </is>
      </c>
      <c r="U149" s="13">
        <f>IF($B149="","",IF(AND(J149&lt;&gt;"Complétée",J149&lt;&gt;"Abandonnée",Q149&lt;&gt;"",TODAY()&gt;Q149),"En retard",""))</f>
        <v/>
      </c>
      <c r="V149" s="37" t="n"/>
    </row>
    <row r="150">
      <c r="B150" s="36" t="inlineStr">
        <is>
          <t>V3-012</t>
        </is>
      </c>
      <c r="C150" s="36" t="inlineStr">
        <is>
          <t>V3</t>
        </is>
      </c>
      <c r="D150" s="36" t="inlineStr">
        <is>
          <t>LEG</t>
        </is>
      </c>
      <c r="E150" s="37" t="inlineStr">
        <is>
          <t>Conformité fiscale</t>
        </is>
      </c>
      <c r="F150" s="37" t="inlineStr">
        <is>
          <t>Intégration du module fiscal partenaire (simulation, attestation) derrière drapeau</t>
        </is>
      </c>
      <c r="G150" s="37" t="inlineStr">
        <is>
          <t>TaxeFacile confirmé comme service ; intégration fonctionnelle et responsabilités cadrées en V3-050 ; API fiscale et attestation uniquement si disponibles et justifiées</t>
        </is>
      </c>
      <c r="H150" s="38" t="n">
        <v>6</v>
      </c>
      <c r="I150" s="36" t="inlineStr">
        <is>
          <t>Moyenne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46359</v>
      </c>
      <c r="Q150" s="40" t="n">
        <v>46368</v>
      </c>
      <c r="R150" s="40" t="n"/>
      <c r="S150" s="37" t="inlineStr">
        <is>
          <t>Partenaire fiscal confirmé</t>
        </is>
      </c>
      <c r="T150" s="36" t="inlineStr">
        <is>
          <t>Non</t>
        </is>
      </c>
      <c r="U150" s="13">
        <f>IF($B150="","",IF(AND(J150&lt;&gt;"Complétée",J150&lt;&gt;"Abandonnée",Q150&lt;&gt;"",TODAY()&gt;Q150),"En retard",""))</f>
        <v/>
      </c>
      <c r="V150" s="37" t="n"/>
    </row>
    <row r="151">
      <c r="B151" s="36" t="inlineStr">
        <is>
          <t>V3-013</t>
        </is>
      </c>
      <c r="C151" s="36" t="inlineStr">
        <is>
          <t>V3</t>
        </is>
      </c>
      <c r="D151" s="36" t="inlineStr">
        <is>
          <t>LEG</t>
        </is>
      </c>
      <c r="E151" s="37" t="inlineStr">
        <is>
          <t>LegalTech OHADA</t>
        </is>
      </c>
      <c r="F151" s="37" t="inlineStr">
        <is>
          <t>Écrans LegalTech</t>
        </is>
      </c>
      <c r="G151" s="37" t="inlineStr">
        <is>
          <t>Quota de documents par palier respecté</t>
        </is>
      </c>
      <c r="H151" s="38" t="n">
        <v>2</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46360</v>
      </c>
      <c r="Q151" s="40" t="n">
        <v>46363</v>
      </c>
      <c r="R151" s="40" t="n"/>
      <c r="S151" s="37" t="inlineStr"/>
      <c r="T151" s="36" t="inlineStr">
        <is>
          <t>Non</t>
        </is>
      </c>
      <c r="U151" s="13">
        <f>IF($B151="","",IF(AND(J151&lt;&gt;"Complétée",J151&lt;&gt;"Abandonnée",Q151&lt;&gt;"",TODAY()&gt;Q151),"En retard",""))</f>
        <v/>
      </c>
      <c r="V151" s="37" t="n"/>
    </row>
    <row r="152">
      <c r="B152" s="36" t="inlineStr">
        <is>
          <t>V3-014</t>
        </is>
      </c>
      <c r="C152" s="36" t="inlineStr">
        <is>
          <t>V3</t>
        </is>
      </c>
      <c r="D152" s="36" t="inlineStr">
        <is>
          <t>NEG</t>
        </is>
      </c>
      <c r="E152" s="37" t="inlineStr">
        <is>
          <t>Négociation</t>
        </is>
      </c>
      <c r="F152" s="37" t="inlineStr">
        <is>
          <t>Offre et contre-offre structurées et versionnées</t>
        </is>
      </c>
      <c r="G152" s="37" t="inlineStr">
        <is>
          <t>Toutes les versions conservées</t>
        </is>
      </c>
      <c r="H152" s="38" t="n">
        <v>6</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46360</v>
      </c>
      <c r="Q152" s="40" t="n">
        <v>46369</v>
      </c>
      <c r="R152" s="40" t="n"/>
      <c r="S152" s="37" t="inlineStr"/>
      <c r="T152" s="36" t="inlineStr">
        <is>
          <t>Non</t>
        </is>
      </c>
      <c r="U152" s="13">
        <f>IF($B152="","",IF(AND(J152&lt;&gt;"Complétée",J152&lt;&gt;"Abandonnée",Q152&lt;&gt;"",TODAY()&gt;Q152),"En retard",""))</f>
        <v/>
      </c>
      <c r="V152" s="37" t="n"/>
    </row>
    <row r="153">
      <c r="B153" s="36" t="inlineStr">
        <is>
          <t>V3-015</t>
        </is>
      </c>
      <c r="C153" s="36" t="inlineStr">
        <is>
          <t>V3</t>
        </is>
      </c>
      <c r="D153" s="36" t="inlineStr">
        <is>
          <t>NEG</t>
        </is>
      </c>
      <c r="E153" s="37" t="inlineStr">
        <is>
          <t>Négociation</t>
        </is>
      </c>
      <c r="F153" s="37" t="inlineStr">
        <is>
          <t>Générateur de LOI branché sur LegalTech</t>
        </is>
      </c>
      <c r="G153" s="37" t="inlineStr">
        <is>
          <t>LOI générée depuis l'offre acceptée</t>
        </is>
      </c>
      <c r="H153" s="38" t="n">
        <v>4</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46361</v>
      </c>
      <c r="Q153" s="40" t="n">
        <v>46367</v>
      </c>
      <c r="R153" s="40" t="n"/>
      <c r="S153" s="37" t="inlineStr">
        <is>
          <t>Moteur de génération</t>
        </is>
      </c>
      <c r="T153" s="36" t="inlineStr">
        <is>
          <t>Non</t>
        </is>
      </c>
      <c r="U153" s="13">
        <f>IF($B153="","",IF(AND(J153&lt;&gt;"Complétée",J153&lt;&gt;"Abandonnée",Q153&lt;&gt;"",TODAY()&gt;Q153),"En retard",""))</f>
        <v/>
      </c>
      <c r="V153" s="37" t="n"/>
    </row>
    <row r="154">
      <c r="B154" s="36" t="inlineStr">
        <is>
          <t>V3-016</t>
        </is>
      </c>
      <c r="C154" s="36" t="inlineStr">
        <is>
          <t>V3</t>
        </is>
      </c>
      <c r="D154" s="36" t="inlineStr">
        <is>
          <t>NEG</t>
        </is>
      </c>
      <c r="E154" s="37" t="inlineStr">
        <is>
          <t>Audit d'acquisition</t>
        </is>
      </c>
      <c r="F154" s="37" t="inlineStr">
        <is>
          <t>Registre des points ouverts d'audit d'acquisition (P15)</t>
        </is>
      </c>
      <c r="G154" s="37" t="inlineStr">
        <is>
          <t>Chaque point porte propriétaire, échéance, statut</t>
        </is>
      </c>
      <c r="H154" s="38" t="n">
        <v>6</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46362</v>
      </c>
      <c r="Q154" s="40" t="n">
        <v>46371</v>
      </c>
      <c r="R154" s="40" t="n"/>
      <c r="S154" s="37" t="inlineStr"/>
      <c r="T154" s="36" t="inlineStr">
        <is>
          <t>Non</t>
        </is>
      </c>
      <c r="U154" s="13">
        <f>IF($B154="","",IF(AND(J154&lt;&gt;"Complétée",J154&lt;&gt;"Abandonnée",Q154&lt;&gt;"",TODAY()&gt;Q154),"En retard",""))</f>
        <v/>
      </c>
      <c r="V154" s="37" t="n"/>
    </row>
    <row r="155">
      <c r="B155" s="36" t="inlineStr">
        <is>
          <t>V3-017</t>
        </is>
      </c>
      <c r="C155" s="36" t="inlineStr">
        <is>
          <t>V3</t>
        </is>
      </c>
      <c r="D155" s="36" t="inlineStr">
        <is>
          <t>NEG</t>
        </is>
      </c>
      <c r="E155" s="37" t="inlineStr">
        <is>
          <t>Audit d'acquisition</t>
        </is>
      </c>
      <c r="F155" s="37" t="inlineStr">
        <is>
          <t>Décision poursuivre / renégocier / abandonner avec motifs structurés</t>
        </is>
      </c>
      <c r="G155" s="37" t="inlineStr">
        <is>
          <t>Motif obligatoire à l'abandon</t>
        </is>
      </c>
      <c r="H155" s="38" t="n">
        <v>3</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46362</v>
      </c>
      <c r="Q155" s="40" t="n">
        <v>46367</v>
      </c>
      <c r="R155" s="40" t="n"/>
      <c r="S155" s="37" t="inlineStr"/>
      <c r="T155" s="36" t="inlineStr">
        <is>
          <t>Non</t>
        </is>
      </c>
      <c r="U155" s="13">
        <f>IF($B155="","",IF(AND(J155&lt;&gt;"Complétée",J155&lt;&gt;"Abandonnée",Q155&lt;&gt;"",TODAY()&gt;Q155),"En retard",""))</f>
        <v/>
      </c>
      <c r="V155" s="37" t="n"/>
    </row>
    <row r="156">
      <c r="B156" s="36" t="inlineStr">
        <is>
          <t>V3-018</t>
        </is>
      </c>
      <c r="C156" s="36" t="inlineStr">
        <is>
          <t>V3</t>
        </is>
      </c>
      <c r="D156" s="36" t="inlineStr">
        <is>
          <t>NEG</t>
        </is>
      </c>
      <c r="E156" s="37" t="inlineStr">
        <is>
          <t>Négociation</t>
        </is>
      </c>
      <c r="F156" s="37" t="inlineStr">
        <is>
          <t>Écrans négociation et audit</t>
        </is>
      </c>
      <c r="G156" s="37" t="inlineStr">
        <is>
          <t>Conditions sensibles visibles uniquement en T2</t>
        </is>
      </c>
      <c r="H156" s="38" t="n">
        <v>6</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46363</v>
      </c>
      <c r="Q156" s="40" t="n">
        <v>46372</v>
      </c>
      <c r="R156" s="40" t="n"/>
      <c r="S156" s="37" t="inlineStr"/>
      <c r="T156" s="36" t="inlineStr">
        <is>
          <t>Non</t>
        </is>
      </c>
      <c r="U156" s="13">
        <f>IF($B156="","",IF(AND(J156&lt;&gt;"Complétée",J156&lt;&gt;"Abandonnée",Q156&lt;&gt;"",TODAY()&gt;Q156),"En retard",""))</f>
        <v/>
      </c>
      <c r="V156" s="37" t="n"/>
    </row>
    <row r="157">
      <c r="B157" s="36" t="inlineStr">
        <is>
          <t>V3-019</t>
        </is>
      </c>
      <c r="C157" s="36" t="inlineStr">
        <is>
          <t>V3</t>
        </is>
      </c>
      <c r="D157" s="36" t="inlineStr">
        <is>
          <t>REA</t>
        </is>
      </c>
      <c r="E157" s="37" t="inlineStr">
        <is>
          <t>Réalisation</t>
        </is>
      </c>
      <c r="F157" s="37" t="inlineStr">
        <is>
          <t>Statut de réalisation (réalisé, différé, abandonné) et dossier de preuves</t>
        </is>
      </c>
      <c r="G157" s="37" t="inlineStr">
        <is>
          <t>Résultat présenté avec son niveau de preuve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46364</v>
      </c>
      <c r="Q157" s="40" t="n">
        <v>46371</v>
      </c>
      <c r="R157" s="40" t="n"/>
      <c r="S157" s="37" t="inlineStr"/>
      <c r="T157" s="36" t="inlineStr">
        <is>
          <t>Non</t>
        </is>
      </c>
      <c r="U157" s="13">
        <f>IF($B157="","",IF(AND(J157&lt;&gt;"Complétée",J157&lt;&gt;"Abandonnée",Q157&lt;&gt;"",TODAY()&gt;Q157),"En retard",""))</f>
        <v/>
      </c>
      <c r="V157" s="37" t="n"/>
    </row>
    <row r="158">
      <c r="B158" s="36" t="inlineStr">
        <is>
          <t>V3-020</t>
        </is>
      </c>
      <c r="C158" s="36" t="inlineStr">
        <is>
          <t>V3</t>
        </is>
      </c>
      <c r="D158" s="36" t="inlineStr">
        <is>
          <t>REA</t>
        </is>
      </c>
      <c r="E158" s="37" t="inlineStr">
        <is>
          <t>Réalisation</t>
        </is>
      </c>
      <c r="F158" s="37" t="inlineStr">
        <is>
          <t>Références de formalités externes (RCCM) et confirmations des parties</t>
        </is>
      </c>
      <c r="G158" s="37" t="inlineStr">
        <is>
          <t>Référence RCCM stockée avec horodatage</t>
        </is>
      </c>
      <c r="H158" s="38" t="n">
        <v>3</v>
      </c>
      <c r="I158" s="36" t="inlineStr">
        <is>
          <t>Moyenne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46365</v>
      </c>
      <c r="Q158" s="40" t="n">
        <v>46370</v>
      </c>
      <c r="R158" s="40" t="n"/>
      <c r="S158" s="37" t="inlineStr"/>
      <c r="T158" s="36" t="inlineStr">
        <is>
          <t>Non</t>
        </is>
      </c>
      <c r="U158" s="13">
        <f>IF($B158="","",IF(AND(J158&lt;&gt;"Complétée",J158&lt;&gt;"Abandonnée",Q158&lt;&gt;"",TODAY()&gt;Q158),"En retard",""))</f>
        <v/>
      </c>
      <c r="V158" s="37" t="n"/>
    </row>
    <row r="159">
      <c r="B159" s="36" t="inlineStr">
        <is>
          <t>V3-021</t>
        </is>
      </c>
      <c r="C159" s="36" t="inlineStr">
        <is>
          <t>V3</t>
        </is>
      </c>
      <c r="D159" s="36" t="inlineStr">
        <is>
          <t>REA</t>
        </is>
      </c>
      <c r="E159" s="37" t="inlineStr">
        <is>
          <t>Réalisation</t>
        </is>
      </c>
      <c r="F159" s="37" t="inlineStr">
        <is>
          <t>Création automatique du FeeEvent (PENDING ou SUSPENDED) à l'entrée en CLOSED_REPORTED</t>
        </is>
      </c>
      <c r="G159" s="37" t="inlineStr">
        <is>
          <t>Aucune réalisation sans FeeEvent (test)</t>
        </is>
      </c>
      <c r="H159" s="38" t="n">
        <v>4</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46365</v>
      </c>
      <c r="Q159" s="40" t="n">
        <v>46371</v>
      </c>
      <c r="R159" s="40" t="n"/>
      <c r="S159" s="37" t="inlineStr"/>
      <c r="T159" s="36" t="inlineStr">
        <is>
          <t>Non</t>
        </is>
      </c>
      <c r="U159" s="13">
        <f>IF($B159="","",IF(AND(J159&lt;&gt;"Complétée",J159&lt;&gt;"Abandonnée",Q159&lt;&gt;"",TODAY()&gt;Q159),"En retard",""))</f>
        <v/>
      </c>
      <c r="V159" s="37" t="n"/>
    </row>
    <row r="160">
      <c r="B160" s="36" t="inlineStr">
        <is>
          <t>V3-022</t>
        </is>
      </c>
      <c r="C160" s="36" t="inlineStr">
        <is>
          <t>V3</t>
        </is>
      </c>
      <c r="D160" s="36" t="inlineStr">
        <is>
          <t>REA</t>
        </is>
      </c>
      <c r="E160" s="37" t="inlineStr">
        <is>
          <t>Réalisation</t>
        </is>
      </c>
      <c r="F160" s="37" t="inlineStr">
        <is>
          <t>Écrans réalisation</t>
        </is>
      </c>
      <c r="G160" s="37" t="inlineStr">
        <is>
          <t>Statut lisible par les deux parties</t>
        </is>
      </c>
      <c r="H160" s="38" t="n">
        <v>3</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46366</v>
      </c>
      <c r="Q160" s="40" t="n">
        <v>46371</v>
      </c>
      <c r="R160" s="40" t="n"/>
      <c r="S160" s="37" t="inlineStr"/>
      <c r="T160" s="36" t="inlineStr">
        <is>
          <t>Non</t>
        </is>
      </c>
      <c r="U160" s="13">
        <f>IF($B160="","",IF(AND(J160&lt;&gt;"Complétée",J160&lt;&gt;"Abandonnée",Q160&lt;&gt;"",TODAY()&gt;Q160),"En retard",""))</f>
        <v/>
      </c>
      <c r="V160" s="37" t="n"/>
    </row>
    <row r="161">
      <c r="B161" s="36" t="inlineStr">
        <is>
          <t>V3-023</t>
        </is>
      </c>
      <c r="C161" s="36" t="inlineStr">
        <is>
          <t>V3</t>
        </is>
      </c>
      <c r="D161" s="36" t="inlineStr">
        <is>
          <t>FIN</t>
        </is>
      </c>
      <c r="E161" s="37" t="inlineStr">
        <is>
          <t>Finance</t>
        </is>
      </c>
      <c r="F161" s="37" t="inlineStr">
        <is>
          <t>Enregistrement des revenus, catégories contractuelles et attribution</t>
        </is>
      </c>
      <c r="G161" s="37" t="inlineStr">
        <is>
          <t>Chaque revenu rattaché à une catégorie et un canal</t>
        </is>
      </c>
      <c r="H161" s="38" t="n">
        <v>5</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46366</v>
      </c>
      <c r="Q161" s="40" t="n">
        <v>46373</v>
      </c>
      <c r="R161" s="40" t="n"/>
      <c r="S161" s="37" t="inlineStr"/>
      <c r="T161" s="36" t="inlineStr">
        <is>
          <t>Non</t>
        </is>
      </c>
      <c r="U161" s="13">
        <f>IF($B161="","",IF(AND(J161&lt;&gt;"Complétée",J161&lt;&gt;"Abandonnée",Q161&lt;&gt;"",TODAY()&gt;Q161),"En retard",""))</f>
        <v/>
      </c>
      <c r="V161" s="37" t="n"/>
    </row>
    <row r="162">
      <c r="B162" s="36" t="inlineStr">
        <is>
          <t>V3-024</t>
        </is>
      </c>
      <c r="C162" s="36" t="inlineStr">
        <is>
          <t>V3</t>
        </is>
      </c>
      <c r="D162" s="36" t="inlineStr">
        <is>
          <t>FIN</t>
        </is>
      </c>
      <c r="E162" s="37" t="inlineStr">
        <is>
          <t>Finance</t>
        </is>
      </c>
      <c r="F162" s="37" t="inlineStr">
        <is>
          <t>Calcul du revenu net (déductions contractuelles) avec décomposition stockée</t>
        </is>
      </c>
      <c r="G162" s="37" t="inlineStr">
        <is>
          <t>Décomposition auditable ligne par ligne</t>
        </is>
      </c>
      <c r="H162" s="38" t="n">
        <v>5</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46367</v>
      </c>
      <c r="Q162" s="40" t="n">
        <v>46374</v>
      </c>
      <c r="R162" s="40" t="n"/>
      <c r="S162" s="37" t="inlineStr"/>
      <c r="T162" s="36" t="inlineStr">
        <is>
          <t>Non</t>
        </is>
      </c>
      <c r="U162" s="13">
        <f>IF($B162="","",IF(AND(J162&lt;&gt;"Complétée",J162&lt;&gt;"Abandonnée",Q162&lt;&gt;"",TODAY()&gt;Q162),"En retard",""))</f>
        <v/>
      </c>
      <c r="V162" s="37" t="n"/>
    </row>
    <row r="163">
      <c r="B163" s="36" t="inlineStr">
        <is>
          <t>V3-025</t>
        </is>
      </c>
      <c r="C163" s="36" t="inlineStr">
        <is>
          <t>V3</t>
        </is>
      </c>
      <c r="D163" s="36" t="inlineStr">
        <is>
          <t>FIN</t>
        </is>
      </c>
      <c r="E163" s="37" t="inlineStr">
        <is>
          <t>Finance</t>
        </is>
      </c>
      <c r="F163" s="37" t="inlineStr">
        <is>
          <t>Barème de frais par tranche et minimum garanti, sous drapeau juridique DP-RPS-021</t>
        </is>
      </c>
      <c r="G163" s="37" t="inlineStr">
        <is>
          <t>Barème inactif tant que le drapeau est fermé</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46368</v>
      </c>
      <c r="Q163" s="40" t="n">
        <v>46375</v>
      </c>
      <c r="R163" s="40" t="n"/>
      <c r="S163" s="37" t="inlineStr">
        <is>
          <t>Avis juridique écrit</t>
        </is>
      </c>
      <c r="T163" s="36" t="inlineStr">
        <is>
          <t>Non</t>
        </is>
      </c>
      <c r="U163" s="13">
        <f>IF($B163="","",IF(AND(J163&lt;&gt;"Complétée",J163&lt;&gt;"Abandonnée",Q163&lt;&gt;"",TODAY()&gt;Q163),"En retard",""))</f>
        <v/>
      </c>
      <c r="V163" s="37" t="n"/>
    </row>
    <row r="164">
      <c r="B164" s="36" t="inlineStr">
        <is>
          <t>V3-026</t>
        </is>
      </c>
      <c r="C164" s="36" t="inlineStr">
        <is>
          <t>V3</t>
        </is>
      </c>
      <c r="D164" s="36" t="inlineStr">
        <is>
          <t>FIN</t>
        </is>
      </c>
      <c r="E164" s="37" t="inlineStr">
        <is>
          <t>Finance</t>
        </is>
      </c>
      <c r="F164" s="37" t="inlineStr">
        <is>
          <t>Rétrocession par catégorie (90/10, 50/50, 70/30) et test d'éligibilité</t>
        </is>
      </c>
      <c r="G164" s="37" t="inlineStr">
        <is>
          <t>Transaction non attribuée exclue automatiquement</t>
        </is>
      </c>
      <c r="H164" s="38" t="n">
        <v>6</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46369</v>
      </c>
      <c r="Q164" s="40" t="n">
        <v>46378</v>
      </c>
      <c r="R164" s="40" t="n"/>
      <c r="S164" s="37" t="inlineStr"/>
      <c r="T164" s="36" t="inlineStr">
        <is>
          <t>Non</t>
        </is>
      </c>
      <c r="U164" s="13">
        <f>IF($B164="","",IF(AND(J164&lt;&gt;"Complétée",J164&lt;&gt;"Abandonnée",Q164&lt;&gt;"",TODAY()&gt;Q164),"En retard",""))</f>
        <v/>
      </c>
      <c r="V164" s="37" t="n"/>
    </row>
    <row r="165">
      <c r="B165" s="36" t="inlineStr">
        <is>
          <t>V3-027</t>
        </is>
      </c>
      <c r="C165" s="36" t="inlineStr">
        <is>
          <t>V3</t>
        </is>
      </c>
      <c r="D165" s="36" t="inlineStr">
        <is>
          <t>FIN</t>
        </is>
      </c>
      <c r="E165" s="37" t="inlineStr">
        <is>
          <t>Finance</t>
        </is>
      </c>
      <c r="F165" s="37" t="inlineStr">
        <is>
          <t>Journal de calcul recalculable sans accès au code source</t>
        </is>
      </c>
      <c r="G165" s="37" t="inlineStr">
        <is>
          <t>Recalcul indépendant identique au centime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46370</v>
      </c>
      <c r="Q165" s="40" t="n">
        <v>46377</v>
      </c>
      <c r="R165" s="40" t="n"/>
      <c r="S165" s="37" t="inlineStr"/>
      <c r="T165" s="36" t="inlineStr">
        <is>
          <t>Non</t>
        </is>
      </c>
      <c r="U165" s="13">
        <f>IF($B165="","",IF(AND(J165&lt;&gt;"Complétée",J165&lt;&gt;"Abandonnée",Q165&lt;&gt;"",TODAY()&gt;Q165),"En retard",""))</f>
        <v/>
      </c>
      <c r="V165" s="37" t="n"/>
    </row>
    <row r="166">
      <c r="B166" s="36" t="inlineStr">
        <is>
          <t>V3-028</t>
        </is>
      </c>
      <c r="C166" s="36" t="inlineStr">
        <is>
          <t>V3</t>
        </is>
      </c>
      <c r="D166" s="36" t="inlineStr">
        <is>
          <t>FIN</t>
        </is>
      </c>
      <c r="E166" s="37" t="inlineStr">
        <is>
          <t>Finance</t>
        </is>
      </c>
      <c r="F166" s="37" t="inlineStr">
        <is>
          <t>Reporting continu, rapport trimestriel archivé, fenêtre de contestation 30 jours</t>
        </is>
      </c>
      <c r="G166" s="37" t="inlineStr">
        <is>
          <t>Rapport immuable après archivage</t>
        </is>
      </c>
      <c r="H166" s="38" t="n">
        <v>6</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46371</v>
      </c>
      <c r="Q166" s="40" t="n">
        <v>46380</v>
      </c>
      <c r="R166" s="40" t="n"/>
      <c r="S166" s="37" t="inlineStr"/>
      <c r="T166" s="36" t="inlineStr">
        <is>
          <t>Non</t>
        </is>
      </c>
      <c r="U166" s="13">
        <f>IF($B166="","",IF(AND(J166&lt;&gt;"Complétée",J166&lt;&gt;"Abandonnée",Q166&lt;&gt;"",TODAY()&gt;Q166),"En retard",""))</f>
        <v/>
      </c>
      <c r="V166" s="37" t="n"/>
    </row>
    <row r="167">
      <c r="B167" s="36" t="inlineStr">
        <is>
          <t>V3-029</t>
        </is>
      </c>
      <c r="C167" s="36" t="inlineStr">
        <is>
          <t>V3</t>
        </is>
      </c>
      <c r="D167" s="36" t="inlineStr">
        <is>
          <t>FIN</t>
        </is>
      </c>
      <c r="E167" s="37" t="inlineStr">
        <is>
          <t>Finance</t>
        </is>
      </c>
      <c r="F167" s="37" t="inlineStr">
        <is>
          <t>Export d'audit scopé (jamais le code ni les données d'autres clients)</t>
        </is>
      </c>
      <c r="G167" s="37" t="inlineStr">
        <is>
          <t>Export vérifié par le contrôle CCI-Togo</t>
        </is>
      </c>
      <c r="H167" s="38" t="n">
        <v>3</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46372</v>
      </c>
      <c r="Q167" s="40" t="n">
        <v>46377</v>
      </c>
      <c r="R167" s="40" t="n"/>
      <c r="S167" s="37" t="inlineStr"/>
      <c r="T167" s="36" t="inlineStr">
        <is>
          <t>Non</t>
        </is>
      </c>
      <c r="U167" s="13">
        <f>IF($B167="","",IF(AND(J167&lt;&gt;"Complétée",J167&lt;&gt;"Abandonnée",Q167&lt;&gt;"",TODAY()&gt;Q167),"En retard",""))</f>
        <v/>
      </c>
      <c r="V167" s="37" t="n"/>
    </row>
    <row r="168">
      <c r="B168" s="36" t="inlineStr">
        <is>
          <t>V3-030</t>
        </is>
      </c>
      <c r="C168" s="36" t="inlineStr">
        <is>
          <t>V3</t>
        </is>
      </c>
      <c r="D168" s="36" t="inlineStr">
        <is>
          <t>SUP</t>
        </is>
      </c>
      <c r="E168" s="37" t="inlineStr">
        <is>
          <t>Support</t>
        </is>
      </c>
      <c r="F168" s="37" t="inlineStr">
        <is>
          <t>Système de tickets et sévérités P1 à P4 avec délais contractuels</t>
        </is>
      </c>
      <c r="G168" s="37" t="inlineStr">
        <is>
          <t>Délai d'accusé mesuré par sévérité</t>
        </is>
      </c>
      <c r="H168" s="38" t="n">
        <v>4</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46372</v>
      </c>
      <c r="Q168" s="40" t="n">
        <v>46378</v>
      </c>
      <c r="R168" s="40" t="n"/>
      <c r="S168" s="37" t="inlineStr"/>
      <c r="T168" s="36" t="inlineStr">
        <is>
          <t>Non</t>
        </is>
      </c>
      <c r="U168" s="13">
        <f>IF($B168="","",IF(AND(J168&lt;&gt;"Complétée",J168&lt;&gt;"Abandonnée",Q168&lt;&gt;"",TODAY()&gt;Q168),"En retard",""))</f>
        <v/>
      </c>
      <c r="V168" s="37" t="n"/>
    </row>
    <row r="169">
      <c r="B169" s="36" t="inlineStr">
        <is>
          <t>V3-031</t>
        </is>
      </c>
      <c r="C169" s="36" t="inlineStr">
        <is>
          <t>V3</t>
        </is>
      </c>
      <c r="D169" s="36" t="inlineStr">
        <is>
          <t>SUP</t>
        </is>
      </c>
      <c r="E169" s="37" t="inlineStr">
        <is>
          <t>Support</t>
        </is>
      </c>
      <c r="F169" s="37" t="inlineStr">
        <is>
          <t>Accès privilégié motivé, scopé, expirant, avec notification du propriétaire du dossier</t>
        </is>
      </c>
      <c r="G169" s="37" t="inlineStr">
        <is>
          <t>Propriétaire notifié à chaque accès</t>
        </is>
      </c>
      <c r="H169" s="38" t="n">
        <v>4</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46373</v>
      </c>
      <c r="Q169" s="40" t="n">
        <v>46379</v>
      </c>
      <c r="R169" s="40" t="n"/>
      <c r="S169" s="37" t="inlineStr"/>
      <c r="T169" s="36" t="inlineStr">
        <is>
          <t>Non</t>
        </is>
      </c>
      <c r="U169" s="13">
        <f>IF($B169="","",IF(AND(J169&lt;&gt;"Complétée",J169&lt;&gt;"Abandonnée",Q169&lt;&gt;"",TODAY()&gt;Q169),"En retard",""))</f>
        <v/>
      </c>
      <c r="V169" s="37" t="n"/>
    </row>
    <row r="170">
      <c r="B170" s="36" t="inlineStr">
        <is>
          <t>V3-032</t>
        </is>
      </c>
      <c r="C170" s="36" t="inlineStr">
        <is>
          <t>V3</t>
        </is>
      </c>
      <c r="D170" s="36" t="inlineStr">
        <is>
          <t>SUP</t>
        </is>
      </c>
      <c r="E170" s="37" t="inlineStr">
        <is>
          <t>Support</t>
        </is>
      </c>
      <c r="F170" s="37" t="inlineStr">
        <is>
          <t>Mode 'break-glass' journalisé pour l'administration</t>
        </is>
      </c>
      <c r="G170" s="37" t="inlineStr">
        <is>
          <t>Chaque usage journalisé avec motif et approbateur</t>
        </is>
      </c>
      <c r="H170" s="38" t="n">
        <v>2</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46373</v>
      </c>
      <c r="Q170" s="40" t="n">
        <v>46376</v>
      </c>
      <c r="R170" s="40" t="n"/>
      <c r="S170" s="37" t="inlineStr"/>
      <c r="T170" s="36" t="inlineStr">
        <is>
          <t>Non</t>
        </is>
      </c>
      <c r="U170" s="13">
        <f>IF($B170="","",IF(AND(J170&lt;&gt;"Complétée",J170&lt;&gt;"Abandonnée",Q170&lt;&gt;"",TODAY()&gt;Q170),"En retard",""))</f>
        <v/>
      </c>
      <c r="V170" s="37" t="n"/>
    </row>
    <row r="171">
      <c r="B171" s="36" t="inlineStr">
        <is>
          <t>V3-033</t>
        </is>
      </c>
      <c r="C171" s="36" t="inlineStr">
        <is>
          <t>V3</t>
        </is>
      </c>
      <c r="D171" s="36" t="inlineStr">
        <is>
          <t>OPS</t>
        </is>
      </c>
      <c r="E171" s="37" t="inlineStr">
        <is>
          <t>Portes de conformité</t>
        </is>
      </c>
      <c r="F171" s="37" t="inlineStr">
        <is>
          <t>Déclaration IPDCP et autorisation de transfert transfrontalier (G1, G2)</t>
        </is>
      </c>
      <c r="G171" s="37" t="inlineStr">
        <is>
          <t>Récépissés archivés</t>
        </is>
      </c>
      <c r="H171" s="38" t="n">
        <v>5</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46374</v>
      </c>
      <c r="Q171" s="40" t="n">
        <v>46381</v>
      </c>
      <c r="R171" s="40" t="n"/>
      <c r="S171" s="37" t="inlineStr"/>
      <c r="T171" s="36" t="inlineStr">
        <is>
          <t>Oui</t>
        </is>
      </c>
      <c r="U171" s="13">
        <f>IF($B171="","",IF(AND(J171&lt;&gt;"Complétée",J171&lt;&gt;"Abandonnée",Q171&lt;&gt;"",TODAY()&gt;Q171),"En retard",""))</f>
        <v/>
      </c>
      <c r="V171" s="37" t="n"/>
    </row>
    <row r="172">
      <c r="B172" s="36" t="inlineStr">
        <is>
          <t>V3-034</t>
        </is>
      </c>
      <c r="C172" s="36" t="inlineStr">
        <is>
          <t>V3</t>
        </is>
      </c>
      <c r="D172" s="36" t="inlineStr">
        <is>
          <t>OPS</t>
        </is>
      </c>
      <c r="E172" s="37" t="inlineStr">
        <is>
          <t>Portes de conformité</t>
        </is>
      </c>
      <c r="F172" s="37" t="inlineStr">
        <is>
          <t>Revue juridique NDA, CGU, politique de confidentialité (G4)</t>
        </is>
      </c>
      <c r="G172" s="37" t="inlineStr">
        <is>
          <t>Avis écrit archivé</t>
        </is>
      </c>
      <c r="H172" s="38" t="n">
        <v>3</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46374</v>
      </c>
      <c r="Q172" s="40" t="n">
        <v>46379</v>
      </c>
      <c r="R172" s="40" t="n"/>
      <c r="S172" s="37" t="inlineStr"/>
      <c r="T172" s="36" t="inlineStr">
        <is>
          <t>Non</t>
        </is>
      </c>
      <c r="U172" s="13">
        <f>IF($B172="","",IF(AND(J172&lt;&gt;"Complétée",J172&lt;&gt;"Abandonnée",Q172&lt;&gt;"",TODAY()&gt;Q172),"En retard",""))</f>
        <v/>
      </c>
      <c r="V172" s="37" t="n"/>
    </row>
    <row r="173">
      <c r="B173" s="36" t="inlineStr">
        <is>
          <t>V3-035</t>
        </is>
      </c>
      <c r="C173" s="36" t="inlineStr">
        <is>
          <t>V3</t>
        </is>
      </c>
      <c r="D173" s="36" t="inlineStr">
        <is>
          <t>OPS</t>
        </is>
      </c>
      <c r="E173" s="37" t="inlineStr">
        <is>
          <t>Portes de conformité</t>
        </is>
      </c>
      <c r="F173" s="37" t="inlineStr">
        <is>
          <t>Avis juridique écrit sur le RPS (G5) et vérification des tests de plafond (G6)</t>
        </is>
      </c>
      <c r="G173" s="37" t="inlineStr">
        <is>
          <t>Avis et rapport de tests archivés</t>
        </is>
      </c>
      <c r="H173" s="38" t="n">
        <v>4</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46375</v>
      </c>
      <c r="Q173" s="40" t="n">
        <v>46381</v>
      </c>
      <c r="R173" s="40" t="n"/>
      <c r="S173" s="37" t="inlineStr"/>
      <c r="T173" s="36" t="inlineStr">
        <is>
          <t>Non</t>
        </is>
      </c>
      <c r="U173" s="13">
        <f>IF($B173="","",IF(AND(J173&lt;&gt;"Complétée",J173&lt;&gt;"Abandonnée",Q173&lt;&gt;"",TODAY()&gt;Q173),"En retard",""))</f>
        <v/>
      </c>
      <c r="V173" s="37" t="n"/>
    </row>
    <row r="174">
      <c r="B174" s="36" t="inlineStr">
        <is>
          <t>V3-036</t>
        </is>
      </c>
      <c r="C174" s="36" t="inlineStr">
        <is>
          <t>V3</t>
        </is>
      </c>
      <c r="D174" s="36" t="inlineStr">
        <is>
          <t>OPS</t>
        </is>
      </c>
      <c r="E174" s="37" t="inlineStr">
        <is>
          <t>Portes de conformité</t>
        </is>
      </c>
      <c r="F174" s="37" t="inlineStr">
        <is>
          <t>Audit du texte d'interface : aucune allégation non prouvée (G7)</t>
        </is>
      </c>
      <c r="G174" s="37" t="inlineStr">
        <is>
          <t>Zéro occurrence de 'sécurisé', 'certifié' non justifiée</t>
        </is>
      </c>
      <c r="H174" s="38" t="n">
        <v>3</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46376</v>
      </c>
      <c r="Q174" s="40" t="n">
        <v>46381</v>
      </c>
      <c r="R174" s="40" t="n"/>
      <c r="S174" s="37" t="inlineStr"/>
      <c r="T174" s="36" t="inlineStr">
        <is>
          <t>Non</t>
        </is>
      </c>
      <c r="U174" s="13">
        <f>IF($B174="","",IF(AND(J174&lt;&gt;"Complétée",J174&lt;&gt;"Abandonnée",Q174&lt;&gt;"",TODAY()&gt;Q174),"En retard",""))</f>
        <v/>
      </c>
      <c r="V174" s="37" t="n"/>
    </row>
    <row r="175">
      <c r="B175" s="36" t="inlineStr">
        <is>
          <t>V3-037</t>
        </is>
      </c>
      <c r="C175" s="36" t="inlineStr">
        <is>
          <t>V3</t>
        </is>
      </c>
      <c r="D175" s="36" t="inlineStr">
        <is>
          <t>OPS</t>
        </is>
      </c>
      <c r="E175" s="37" t="inlineStr">
        <is>
          <t>Portes de conformité</t>
        </is>
      </c>
      <c r="F175" s="37" t="inlineStr">
        <is>
          <t>Recalcul indépendant de la rétrocession (G8)</t>
        </is>
      </c>
      <c r="G175" s="37" t="inlineStr">
        <is>
          <t>Rapprochement signé par la Finance</t>
        </is>
      </c>
      <c r="H175" s="38" t="n">
        <v>3</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46376</v>
      </c>
      <c r="Q175" s="40" t="n">
        <v>46381</v>
      </c>
      <c r="R175" s="40" t="n"/>
      <c r="S175" s="37" t="inlineStr"/>
      <c r="T175" s="36" t="inlineStr">
        <is>
          <t>Non</t>
        </is>
      </c>
      <c r="U175" s="13">
        <f>IF($B175="","",IF(AND(J175&lt;&gt;"Complétée",J175&lt;&gt;"Abandonnée",Q175&lt;&gt;"",TODAY()&gt;Q175),"En retard",""))</f>
        <v/>
      </c>
      <c r="V175" s="37" t="n"/>
    </row>
    <row r="176">
      <c r="B176" s="36" t="inlineStr">
        <is>
          <t>V3-038</t>
        </is>
      </c>
      <c r="C176" s="36" t="inlineStr">
        <is>
          <t>V3</t>
        </is>
      </c>
      <c r="D176" s="36" t="inlineStr">
        <is>
          <t>OPS</t>
        </is>
      </c>
      <c r="E176" s="37" t="inlineStr">
        <is>
          <t>Portes de conformité</t>
        </is>
      </c>
      <c r="F176" s="37" t="inlineStr">
        <is>
          <t>Nomination du DPO et processus d'effacement (G9)</t>
        </is>
      </c>
      <c r="G176" s="37" t="inlineStr">
        <is>
          <t>DPO nommé, procédure publiée</t>
        </is>
      </c>
      <c r="H176" s="38" t="n">
        <v>2</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46377</v>
      </c>
      <c r="Q176" s="40" t="n">
        <v>46380</v>
      </c>
      <c r="R176" s="40" t="n"/>
      <c r="S176" s="37" t="inlineStr"/>
      <c r="T176" s="36" t="inlineStr">
        <is>
          <t>Non</t>
        </is>
      </c>
      <c r="U176" s="13">
        <f>IF($B176="","",IF(AND(J176&lt;&gt;"Complétée",J176&lt;&gt;"Abandonnée",Q176&lt;&gt;"",TODAY()&gt;Q176),"En retard",""))</f>
        <v/>
      </c>
      <c r="V176" s="37" t="n"/>
    </row>
    <row r="177">
      <c r="B177" s="36" t="inlineStr">
        <is>
          <t>V3-039</t>
        </is>
      </c>
      <c r="C177" s="36" t="inlineStr">
        <is>
          <t>V3</t>
        </is>
      </c>
      <c r="D177" s="36" t="inlineStr">
        <is>
          <t>OPS</t>
        </is>
      </c>
      <c r="E177" s="37" t="inlineStr">
        <is>
          <t>Portes de conformité</t>
        </is>
      </c>
      <c r="F177" s="37" t="inlineStr">
        <is>
          <t>Pentest indépendant et remédiation des constats critiques et élevés (G10)</t>
        </is>
      </c>
      <c r="G177" s="37" t="inlineStr">
        <is>
          <t>Rapport de pentest sans constat critique ouvert</t>
        </is>
      </c>
      <c r="H177" s="38" t="n">
        <v>5</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46377</v>
      </c>
      <c r="Q177" s="40" t="n">
        <v>46384</v>
      </c>
      <c r="R177" s="40" t="n"/>
      <c r="S177" s="37" t="inlineStr"/>
      <c r="T177" s="36" t="inlineStr">
        <is>
          <t>Oui</t>
        </is>
      </c>
      <c r="U177" s="13">
        <f>IF($B177="","",IF(AND(J177&lt;&gt;"Complétée",J177&lt;&gt;"Abandonnée",Q177&lt;&gt;"",TODAY()&gt;Q177),"En retard",""))</f>
        <v/>
      </c>
      <c r="V177" s="37" t="n"/>
    </row>
    <row r="178">
      <c r="B178" s="36" t="inlineStr">
        <is>
          <t>V3-040</t>
        </is>
      </c>
      <c r="C178" s="36" t="inlineStr">
        <is>
          <t>V3</t>
        </is>
      </c>
      <c r="D178" s="36" t="inlineStr">
        <is>
          <t>OPS</t>
        </is>
      </c>
      <c r="E178" s="37" t="inlineStr">
        <is>
          <t>Exploitation</t>
        </is>
      </c>
      <c r="F178" s="37" t="inlineStr">
        <is>
          <t>Supervision, alertes, mesure de disponibilité mensuelle (SLA 99,5 %)</t>
        </is>
      </c>
      <c r="G178" s="37" t="inlineStr">
        <is>
          <t>Tableau de disponibilité mensuel généré</t>
        </is>
      </c>
      <c r="H178" s="38" t="n">
        <v>6</v>
      </c>
      <c r="I178" s="36" t="inlineStr">
        <is>
          <t>Haute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46378</v>
      </c>
      <c r="Q178" s="40" t="n">
        <v>46386</v>
      </c>
      <c r="R178" s="40" t="n"/>
      <c r="S178" s="37" t="inlineStr"/>
      <c r="T178" s="36" t="inlineStr">
        <is>
          <t>Non</t>
        </is>
      </c>
      <c r="U178" s="13">
        <f>IF($B178="","",IF(AND(J178&lt;&gt;"Complétée",J178&lt;&gt;"Abandonnée",Q178&lt;&gt;"",TODAY()&gt;Q178),"En retard",""))</f>
        <v/>
      </c>
      <c r="V178" s="37" t="n"/>
    </row>
    <row r="179">
      <c r="B179" s="36" t="inlineStr">
        <is>
          <t>V3-041</t>
        </is>
      </c>
      <c r="C179" s="36" t="inlineStr">
        <is>
          <t>V3</t>
        </is>
      </c>
      <c r="D179" s="36" t="inlineStr">
        <is>
          <t>OPS</t>
        </is>
      </c>
      <c r="E179" s="37" t="inlineStr">
        <is>
          <t>Exploitation</t>
        </is>
      </c>
      <c r="F179" s="37" t="inlineStr">
        <is>
          <t>Sauvegardes chiffrées et test de restauration (RPO 1 h, RTO 4 h)</t>
        </is>
      </c>
      <c r="G179" s="37" t="inlineStr">
        <is>
          <t>Restauration complète en moins de 4 h documentée</t>
        </is>
      </c>
      <c r="H179" s="38" t="n">
        <v>5</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46379</v>
      </c>
      <c r="Q179" s="40" t="n">
        <v>46386</v>
      </c>
      <c r="R179" s="40" t="n"/>
      <c r="S179" s="37" t="inlineStr"/>
      <c r="T179" s="36" t="inlineStr">
        <is>
          <t>Non</t>
        </is>
      </c>
      <c r="U179" s="13">
        <f>IF($B179="","",IF(AND(J179&lt;&gt;"Complétée",J179&lt;&gt;"Abandonnée",Q179&lt;&gt;"",TODAY()&gt;Q179),"En retard",""))</f>
        <v/>
      </c>
      <c r="V179" s="37" t="n"/>
    </row>
    <row r="180">
      <c r="B180" s="36" t="inlineStr">
        <is>
          <t>V3-042</t>
        </is>
      </c>
      <c r="C180" s="36" t="inlineStr">
        <is>
          <t>V3</t>
        </is>
      </c>
      <c r="D180" s="36" t="inlineStr">
        <is>
          <t>OPS</t>
        </is>
      </c>
      <c r="E180" s="37" t="inlineStr">
        <is>
          <t>Exploitation</t>
        </is>
      </c>
      <c r="F180" s="37" t="inlineStr">
        <is>
          <t>Procédure d'incident, analyse de cause racine, rollback</t>
        </is>
      </c>
      <c r="G180" s="37" t="inlineStr">
        <is>
          <t>Procédure testée sur un incident simulé</t>
        </is>
      </c>
      <c r="H180" s="38" t="n">
        <v>4</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46379</v>
      </c>
      <c r="Q180" s="40" t="n">
        <v>46385</v>
      </c>
      <c r="R180" s="40" t="n"/>
      <c r="S180" s="37" t="inlineStr"/>
      <c r="T180" s="36" t="inlineStr">
        <is>
          <t>Non</t>
        </is>
      </c>
      <c r="U180" s="13">
        <f>IF($B180="","",IF(AND(J180&lt;&gt;"Complétée",J180&lt;&gt;"Abandonnée",Q180&lt;&gt;"",TODAY()&gt;Q180),"En retard",""))</f>
        <v/>
      </c>
      <c r="V180" s="37" t="n"/>
    </row>
    <row r="181">
      <c r="B181" s="36" t="inlineStr">
        <is>
          <t>V3-043</t>
        </is>
      </c>
      <c r="C181" s="36" t="inlineStr">
        <is>
          <t>V3</t>
        </is>
      </c>
      <c r="D181" s="36" t="inlineStr">
        <is>
          <t>OPS</t>
        </is>
      </c>
      <c r="E181" s="37" t="inlineStr">
        <is>
          <t>Exploitation</t>
        </is>
      </c>
      <c r="F181" s="37" t="inlineStr">
        <is>
          <t>Rotation des clés, gestion des secrets, scan de dépendances en CI</t>
        </is>
      </c>
      <c r="G181" s="37" t="inlineStr">
        <is>
          <t>Build échoue sur vulnérabilité critique</t>
        </is>
      </c>
      <c r="H181" s="38" t="n">
        <v>5</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46380</v>
      </c>
      <c r="Q181" s="40" t="n">
        <v>46386</v>
      </c>
      <c r="R181" s="40" t="n"/>
      <c r="S181" s="37" t="inlineStr"/>
      <c r="T181" s="36" t="inlineStr">
        <is>
          <t>Non</t>
        </is>
      </c>
      <c r="U181" s="13">
        <f>IF($B181="","",IF(AND(J181&lt;&gt;"Complétée",J181&lt;&gt;"Abandonnée",Q181&lt;&gt;"",TODAY()&gt;Q181),"En retard",""))</f>
        <v/>
      </c>
      <c r="V181" s="37" t="n"/>
    </row>
    <row r="182">
      <c r="B182" s="36" t="inlineStr">
        <is>
          <t>V4-001</t>
        </is>
      </c>
      <c r="C182" s="36" t="inlineStr">
        <is>
          <t>V4</t>
        </is>
      </c>
      <c r="D182" s="36" t="inlineStr">
        <is>
          <t>REB</t>
        </is>
      </c>
      <c r="E182" s="37" t="inlineStr">
        <is>
          <t>Conception</t>
        </is>
      </c>
      <c r="F182" s="37" t="inlineStr">
        <is>
          <t>Conception Alerte &amp; Rebond : confidentialité renforcée, signalement, actifs en difficulté et lien avec le périmètre RPS</t>
        </is>
      </c>
      <c r="G182" s="37" t="inlineStr">
        <is>
          <t>Modèle de données et parcours validés ; aucune fuite d'identité d'une entreprise en difficulté</t>
        </is>
      </c>
      <c r="H182" s="38" t="n">
        <v>3</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46387</v>
      </c>
      <c r="Q182" s="40" t="n">
        <v>46392</v>
      </c>
      <c r="R182" s="40" t="n"/>
      <c r="S182" s="37" t="inlineStr"/>
      <c r="T182" s="36" t="inlineStr">
        <is>
          <t>Oui</t>
        </is>
      </c>
      <c r="U182" s="13">
        <f>IF($B182="","",IF(AND(J182&lt;&gt;"Complétée",J182&lt;&gt;"Abandonnée",Q182&lt;&gt;"",TODAY()&gt;Q182),"En retard",""))</f>
        <v/>
      </c>
      <c r="V182" s="37" t="n"/>
    </row>
    <row r="183">
      <c r="B183" s="36" t="inlineStr">
        <is>
          <t>V4-002</t>
        </is>
      </c>
      <c r="C183" s="36" t="inlineStr">
        <is>
          <t>V4</t>
        </is>
      </c>
      <c r="D183" s="36" t="inlineStr">
        <is>
          <t>CNX</t>
        </is>
      </c>
      <c r="E183" s="37" t="inlineStr">
        <is>
          <t>Conception</t>
        </is>
      </c>
      <c r="F183" s="37" t="inlineStr">
        <is>
          <t>Conception Deal-Connect et Guichet Diaspora complets : billetterie et sponsoring via Remo.co, rendez-vous mutuels, profil diaspora, rapport post-événement</t>
        </is>
      </c>
      <c r="G183" s="37" t="inlineStr">
        <is>
          <t>Séquences et contrats d'échange avec Remo.co validés sur la documentation à jour</t>
        </is>
      </c>
      <c r="H183" s="38" t="n">
        <v>2</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46388</v>
      </c>
      <c r="Q183" s="40" t="n">
        <v>46391</v>
      </c>
      <c r="R183" s="40" t="n"/>
      <c r="S183" s="37" t="inlineStr"/>
      <c r="T183" s="36" t="inlineStr">
        <is>
          <t>Non</t>
        </is>
      </c>
      <c r="U183" s="13">
        <f>IF($B183="","",IF(AND(J183&lt;&gt;"Complétée",J183&lt;&gt;"Abandonnée",Q183&lt;&gt;"",TODAY()&gt;Q183),"En retard",""))</f>
        <v/>
      </c>
      <c r="V183" s="37" t="n"/>
    </row>
    <row r="184">
      <c r="B184" s="36" t="inlineStr">
        <is>
          <t>V4-003</t>
        </is>
      </c>
      <c r="C184" s="36" t="inlineStr">
        <is>
          <t>V4</t>
        </is>
      </c>
      <c r="D184" s="36" t="inlineStr">
        <is>
          <t>EXP</t>
        </is>
      </c>
      <c r="E184" s="37" t="inlineStr">
        <is>
          <t>Conception</t>
        </is>
      </c>
      <c r="F184" s="37" t="inlineStr">
        <is>
          <t>Conception Deal-Experts : mobilisation d'expert indépendant, conflit d'intérêts, périmètre de mission, traçabilité</t>
        </is>
      </c>
      <c r="G184" s="37" t="inlineStr">
        <is>
          <t>Contrôles K13.1 à K13.5 couverts ; articulation avec les missions V2/V3 confirmée</t>
        </is>
      </c>
      <c r="H184" s="38" t="n">
        <v>2</v>
      </c>
      <c r="I184" s="36" t="inlineStr">
        <is>
          <t>Moyenne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46389</v>
      </c>
      <c r="Q184" s="40" t="n">
        <v>46392</v>
      </c>
      <c r="R184" s="40" t="n"/>
      <c r="S184" s="37" t="inlineStr">
        <is>
          <t>A04 : articulation P13</t>
        </is>
      </c>
      <c r="T184" s="36" t="inlineStr">
        <is>
          <t>Non</t>
        </is>
      </c>
      <c r="U184" s="13">
        <f>IF($B184="","",IF(AND(J184&lt;&gt;"Complétée",J184&lt;&gt;"Abandonnée",Q184&lt;&gt;"",TODAY()&gt;Q184),"En retard",""))</f>
        <v/>
      </c>
      <c r="V184" s="37" t="n"/>
    </row>
    <row r="185">
      <c r="B185" s="36" t="inlineStr">
        <is>
          <t>V4-004</t>
        </is>
      </c>
      <c r="C185" s="36" t="inlineStr">
        <is>
          <t>V4</t>
        </is>
      </c>
      <c r="D185" s="36" t="inlineStr">
        <is>
          <t>REB</t>
        </is>
      </c>
      <c r="E185" s="37" t="inlineStr">
        <is>
          <t>Alerte &amp; Rebond</t>
        </is>
      </c>
      <c r="F185" s="37" t="inlineStr">
        <is>
          <t>Auto-diagnostic : arbre logique et score de santé financière</t>
        </is>
      </c>
      <c r="G185" s="37" t="inlineStr">
        <is>
          <t>Score expliqué, jamais un conseil personnalisé</t>
        </is>
      </c>
      <c r="H185" s="38" t="n">
        <v>6</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46389</v>
      </c>
      <c r="Q185" s="40" t="n">
        <v>46398</v>
      </c>
      <c r="R185" s="40" t="n"/>
      <c r="S185" s="37" t="inlineStr"/>
      <c r="T185" s="36" t="inlineStr">
        <is>
          <t>Non</t>
        </is>
      </c>
      <c r="U185" s="13">
        <f>IF($B185="","",IF(AND(J185&lt;&gt;"Complétée",J185&lt;&gt;"Abandonnée",Q185&lt;&gt;"",TODAY()&gt;Q185),"En retard",""))</f>
        <v/>
      </c>
      <c r="V185" s="37" t="n"/>
    </row>
    <row r="186">
      <c r="B186" s="36" t="inlineStr">
        <is>
          <t>V4-005</t>
        </is>
      </c>
      <c r="C186" s="36" t="inlineStr">
        <is>
          <t>V4</t>
        </is>
      </c>
      <c r="D186" s="36" t="inlineStr">
        <is>
          <t>REB</t>
        </is>
      </c>
      <c r="E186" s="37" t="inlineStr">
        <is>
          <t>Alerte &amp; Rebond</t>
        </is>
      </c>
      <c r="F186" s="37" t="inlineStr">
        <is>
          <t>Dossier de crise confidentiel, INVITE_ONLY, registre d'investisseurs de retournement</t>
        </is>
      </c>
      <c r="G186" s="37" t="inlineStr">
        <is>
          <t>Dossier absent de toute recherche ouverte (test négatif)</t>
        </is>
      </c>
      <c r="H186" s="38" t="n">
        <v>6</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46391</v>
      </c>
      <c r="Q186" s="40" t="n">
        <v>46400</v>
      </c>
      <c r="R186" s="40" t="n"/>
      <c r="S186" s="37" t="inlineStr"/>
      <c r="T186" s="36" t="inlineStr">
        <is>
          <t>Non</t>
        </is>
      </c>
      <c r="U186" s="13">
        <f>IF($B186="","",IF(AND(J186&lt;&gt;"Complétée",J186&lt;&gt;"Abandonnée",Q186&lt;&gt;"",TODAY()&gt;Q186),"En retard",""))</f>
        <v/>
      </c>
      <c r="V186" s="37" t="n"/>
    </row>
    <row r="187">
      <c r="B187" s="36" t="inlineStr">
        <is>
          <t>V4-006</t>
        </is>
      </c>
      <c r="C187" s="36" t="inlineStr">
        <is>
          <t>V4</t>
        </is>
      </c>
      <c r="D187" s="36" t="inlineStr">
        <is>
          <t>REB</t>
        </is>
      </c>
      <c r="E187" s="37" t="inlineStr">
        <is>
          <t>Alerte &amp; Rebond</t>
        </is>
      </c>
      <c r="F187" s="37" t="inlineStr">
        <is>
          <t>Signalement statutaire (mandataire de justice) et avertissement sur les clauses bancaires</t>
        </is>
      </c>
      <c r="G187" s="37" t="inlineStr">
        <is>
          <t>Avertissement affiché avant tout changement de visibilité</t>
        </is>
      </c>
      <c r="H187" s="38" t="n">
        <v>3</v>
      </c>
      <c r="I187" s="36" t="inlineStr">
        <is>
          <t>Moyenne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46393</v>
      </c>
      <c r="Q187" s="40" t="n">
        <v>46398</v>
      </c>
      <c r="R187" s="40" t="n"/>
      <c r="S187" s="37" t="inlineStr"/>
      <c r="T187" s="36" t="inlineStr">
        <is>
          <t>Non</t>
        </is>
      </c>
      <c r="U187" s="13">
        <f>IF($B187="","",IF(AND(J187&lt;&gt;"Complétée",J187&lt;&gt;"Abandonnée",Q187&lt;&gt;"",TODAY()&gt;Q187),"En retard",""))</f>
        <v/>
      </c>
      <c r="V187" s="37" t="n"/>
    </row>
    <row r="188">
      <c r="B188" s="36" t="inlineStr">
        <is>
          <t>V4-007</t>
        </is>
      </c>
      <c r="C188" s="36" t="inlineStr">
        <is>
          <t>V4</t>
        </is>
      </c>
      <c r="D188" s="36" t="inlineStr">
        <is>
          <t>REB</t>
        </is>
      </c>
      <c r="E188" s="37" t="inlineStr">
        <is>
          <t>Actifs en difficulté</t>
        </is>
      </c>
      <c r="F188" s="37" t="inlineStr">
        <is>
          <t>Listings d'actifs par catégorie : créances, immobilier, équipement, flotte</t>
        </is>
      </c>
      <c r="G188" s="37" t="inlineStr">
        <is>
          <t>Jeu de champs distinct par catégorie</t>
        </is>
      </c>
      <c r="H188" s="38" t="n">
        <v>7</v>
      </c>
      <c r="I188" s="36" t="inlineStr">
        <is>
          <t>Haute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46394</v>
      </c>
      <c r="Q188" s="40" t="n">
        <v>46404</v>
      </c>
      <c r="R188" s="40" t="n"/>
      <c r="S188" s="37" t="inlineStr"/>
      <c r="T188" s="36" t="inlineStr">
        <is>
          <t>Non</t>
        </is>
      </c>
      <c r="U188" s="13">
        <f>IF($B188="","",IF(AND(J188&lt;&gt;"Complétée",J188&lt;&gt;"Abandonnée",Q188&lt;&gt;"",TODAY()&gt;Q188),"En retard",""))</f>
        <v/>
      </c>
      <c r="V188" s="37" t="n"/>
    </row>
    <row r="189">
      <c r="B189" s="36" t="inlineStr">
        <is>
          <t>V4-008</t>
        </is>
      </c>
      <c r="C189" s="36" t="inlineStr">
        <is>
          <t>V4</t>
        </is>
      </c>
      <c r="D189" s="36" t="inlineStr">
        <is>
          <t>REB</t>
        </is>
      </c>
      <c r="E189" s="37" t="inlineStr">
        <is>
          <t>Actifs en difficulté</t>
        </is>
      </c>
      <c r="F189" s="37" t="inlineStr">
        <is>
          <t>Coupe-circuit opérateur : retrait immédiat de toutes les surfaces et caches</t>
        </is>
      </c>
      <c r="G189" s="37" t="inlineStr">
        <is>
          <t>Retrait effectif en moins de 60 s</t>
        </is>
      </c>
      <c r="H189" s="38" t="n">
        <v>3</v>
      </c>
      <c r="I189" s="36" t="inlineStr">
        <is>
          <t>Haute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46396</v>
      </c>
      <c r="Q189" s="40" t="n">
        <v>46401</v>
      </c>
      <c r="R189" s="40" t="n"/>
      <c r="S189" s="37" t="inlineStr"/>
      <c r="T189" s="36" t="inlineStr">
        <is>
          <t>Non</t>
        </is>
      </c>
      <c r="U189" s="13">
        <f>IF($B189="","",IF(AND(J189&lt;&gt;"Complétée",J189&lt;&gt;"Abandonnée",Q189&lt;&gt;"",TODAY()&gt;Q189),"En retard",""))</f>
        <v/>
      </c>
      <c r="V189" s="37" t="n"/>
    </row>
    <row r="190">
      <c r="B190" s="36" t="inlineStr">
        <is>
          <t>V4-009</t>
        </is>
      </c>
      <c r="C190" s="36" t="inlineStr">
        <is>
          <t>V4</t>
        </is>
      </c>
      <c r="D190" s="36" t="inlineStr">
        <is>
          <t>REB</t>
        </is>
      </c>
      <c r="E190" s="37" t="inlineStr">
        <is>
          <t>Alerte &amp; Rebond</t>
        </is>
      </c>
      <c r="F190" s="37" t="inlineStr">
        <is>
          <t>Ingestion des annonces de dissolution / liquidation (flux CFE)</t>
        </is>
      </c>
      <c r="G190" s="37" t="inlineStr">
        <is>
          <t>Flux importé quotidiennement</t>
        </is>
      </c>
      <c r="H190" s="38" t="n">
        <v>5</v>
      </c>
      <c r="I190" s="36" t="inlineStr">
        <is>
          <t>Basse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46397</v>
      </c>
      <c r="Q190" s="40" t="n">
        <v>46404</v>
      </c>
      <c r="R190" s="40" t="n"/>
      <c r="S190" s="37" t="inlineStr"/>
      <c r="T190" s="36" t="inlineStr">
        <is>
          <t>Non</t>
        </is>
      </c>
      <c r="U190" s="13">
        <f>IF($B190="","",IF(AND(J190&lt;&gt;"Complétée",J190&lt;&gt;"Abandonnée",Q190&lt;&gt;"",TODAY()&gt;Q190),"En retard",""))</f>
        <v/>
      </c>
      <c r="V190" s="37" t="n"/>
    </row>
    <row r="191">
      <c r="B191" s="36" t="inlineStr">
        <is>
          <t>V4-010</t>
        </is>
      </c>
      <c r="C191" s="36" t="inlineStr">
        <is>
          <t>V4</t>
        </is>
      </c>
      <c r="D191" s="36" t="inlineStr">
        <is>
          <t>REB</t>
        </is>
      </c>
      <c r="E191" s="37" t="inlineStr">
        <is>
          <t>Alerte &amp; Rebond</t>
        </is>
      </c>
      <c r="F191" s="37" t="inlineStr">
        <is>
          <t>Écrans Alerte &amp; Rebond</t>
        </is>
      </c>
      <c r="G191" s="37" t="inlineStr">
        <is>
          <t>Confidentialité par défaut sur chaque écran</t>
        </is>
      </c>
      <c r="H191" s="38" t="n">
        <v>5</v>
      </c>
      <c r="I191" s="36" t="inlineStr">
        <is>
          <t>Moyenne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46398</v>
      </c>
      <c r="Q191" s="40" t="n">
        <v>46405</v>
      </c>
      <c r="R191" s="40" t="n"/>
      <c r="S191" s="37" t="inlineStr"/>
      <c r="T191" s="36" t="inlineStr">
        <is>
          <t>Non</t>
        </is>
      </c>
      <c r="U191" s="13">
        <f>IF($B191="","",IF(AND(J191&lt;&gt;"Complétée",J191&lt;&gt;"Abandonnée",Q191&lt;&gt;"",TODAY()&gt;Q191),"En retard",""))</f>
        <v/>
      </c>
      <c r="V191" s="37" t="n"/>
    </row>
    <row r="192">
      <c r="B192" s="36" t="inlineStr">
        <is>
          <t>V4-011</t>
        </is>
      </c>
      <c r="C192" s="36" t="inlineStr">
        <is>
          <t>V4</t>
        </is>
      </c>
      <c r="D192" s="36" t="inlineStr">
        <is>
          <t>CNX</t>
        </is>
      </c>
      <c r="E192" s="37" t="inlineStr">
        <is>
          <t>Deal-Connect</t>
        </is>
      </c>
      <c r="F192" s="37" t="inlineStr">
        <is>
          <t>Stands, billetterie et sponsoring avec catégorisation des revenus</t>
        </is>
      </c>
      <c r="G192" s="37" t="inlineStr">
        <is>
          <t>Revenus catégorisés pour la rétrocession</t>
        </is>
      </c>
      <c r="H192" s="38" t="n">
        <v>6</v>
      </c>
      <c r="I192" s="36" t="inlineStr">
        <is>
          <t>Moyenne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46400</v>
      </c>
      <c r="Q192" s="40" t="n">
        <v>46409</v>
      </c>
      <c r="R192" s="40" t="n"/>
      <c r="S192" s="37" t="inlineStr"/>
      <c r="T192" s="36" t="inlineStr">
        <is>
          <t>Non</t>
        </is>
      </c>
      <c r="U192" s="13">
        <f>IF($B192="","",IF(AND(J192&lt;&gt;"Complétée",J192&lt;&gt;"Abandonnée",Q192&lt;&gt;"",TODAY()&gt;Q192),"En retard",""))</f>
        <v/>
      </c>
      <c r="V192" s="37" t="n"/>
    </row>
    <row r="193">
      <c r="B193" s="36" t="inlineStr">
        <is>
          <t>V4-012</t>
        </is>
      </c>
      <c r="C193" s="36" t="inlineStr">
        <is>
          <t>V4</t>
        </is>
      </c>
      <c r="D193" s="36" t="inlineStr">
        <is>
          <t>CNX</t>
        </is>
      </c>
      <c r="E193" s="37" t="inlineStr">
        <is>
          <t>Deal-Connect</t>
        </is>
      </c>
      <c r="F193" s="37" t="inlineStr">
        <is>
          <t>Rendez-vous mutuels opt-in et suggestions par règles</t>
        </is>
      </c>
      <c r="G193" s="37" t="inlineStr">
        <is>
          <t>Aucun rendez-vous sans double accord</t>
        </is>
      </c>
      <c r="H193" s="38" t="n">
        <v>4</v>
      </c>
      <c r="I193" s="36" t="inlineStr">
        <is>
          <t>Moyenne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46401</v>
      </c>
      <c r="Q193" s="40" t="n">
        <v>46407</v>
      </c>
      <c r="R193" s="40" t="n"/>
      <c r="S193" s="37" t="inlineStr"/>
      <c r="T193" s="36" t="inlineStr">
        <is>
          <t>Non</t>
        </is>
      </c>
      <c r="U193" s="13">
        <f>IF($B193="","",IF(AND(J193&lt;&gt;"Complétée",J193&lt;&gt;"Abandonnée",Q193&lt;&gt;"",TODAY()&gt;Q193),"En retard",""))</f>
        <v/>
      </c>
      <c r="V193" s="37" t="n"/>
    </row>
    <row r="194">
      <c r="B194" s="36" t="inlineStr">
        <is>
          <t>V4-013</t>
        </is>
      </c>
      <c r="C194" s="36" t="inlineStr">
        <is>
          <t>V4</t>
        </is>
      </c>
      <c r="D194" s="36" t="inlineStr">
        <is>
          <t>CNX</t>
        </is>
      </c>
      <c r="E194" s="37" t="inlineStr">
        <is>
          <t>Deal-Connect</t>
        </is>
      </c>
      <c r="F194" s="37" t="inlineStr">
        <is>
          <t>Rapport post-événement : participation, rendez-vous, satisfaction</t>
        </is>
      </c>
      <c r="G194" s="37" t="inlineStr">
        <is>
          <t>Rapport agrégé sans donnée nominative</t>
        </is>
      </c>
      <c r="H194" s="38" t="n">
        <v>4</v>
      </c>
      <c r="I194" s="36" t="inlineStr">
        <is>
          <t>Moyenne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46403</v>
      </c>
      <c r="Q194" s="40" t="n">
        <v>46409</v>
      </c>
      <c r="R194" s="40" t="n"/>
      <c r="S194" s="37" t="inlineStr"/>
      <c r="T194" s="36" t="inlineStr">
        <is>
          <t>Non</t>
        </is>
      </c>
      <c r="U194" s="13">
        <f>IF($B194="","",IF(AND(J194&lt;&gt;"Complétée",J194&lt;&gt;"Abandonnée",Q194&lt;&gt;"",TODAY()&gt;Q194),"En retard",""))</f>
        <v/>
      </c>
      <c r="V194" s="37" t="n"/>
    </row>
    <row r="195">
      <c r="B195" s="36" t="inlineStr">
        <is>
          <t>V4-014</t>
        </is>
      </c>
      <c r="C195" s="36" t="inlineStr">
        <is>
          <t>V4</t>
        </is>
      </c>
      <c r="D195" s="36" t="inlineStr">
        <is>
          <t>CNX</t>
        </is>
      </c>
      <c r="E195" s="37" t="inlineStr">
        <is>
          <t>Deal-Connect</t>
        </is>
      </c>
      <c r="F195" s="37" t="inlineStr">
        <is>
          <t>Écrans Deal-Connect</t>
        </is>
      </c>
      <c r="G195" s="37" t="inlineStr">
        <is>
          <t>Aucun contenu à caractère de titre financier sur les stands</t>
        </is>
      </c>
      <c r="H195" s="38" t="n">
        <v>5</v>
      </c>
      <c r="I195" s="36" t="inlineStr">
        <is>
          <t>Moyenne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46404</v>
      </c>
      <c r="Q195" s="40" t="n">
        <v>46411</v>
      </c>
      <c r="R195" s="40" t="n"/>
      <c r="S195" s="37" t="inlineStr"/>
      <c r="T195" s="36" t="inlineStr">
        <is>
          <t>Non</t>
        </is>
      </c>
      <c r="U195" s="13">
        <f>IF($B195="","",IF(AND(J195&lt;&gt;"Complétée",J195&lt;&gt;"Abandonnée",Q195&lt;&gt;"",TODAY()&gt;Q195),"En retard",""))</f>
        <v/>
      </c>
      <c r="V195" s="37" t="n"/>
    </row>
    <row r="196">
      <c r="B196" s="36" t="inlineStr">
        <is>
          <t>V4-015</t>
        </is>
      </c>
      <c r="C196" s="36" t="inlineStr">
        <is>
          <t>V4</t>
        </is>
      </c>
      <c r="D196" s="36" t="inlineStr">
        <is>
          <t>DIA</t>
        </is>
      </c>
      <c r="E196" s="37" t="inlineStr">
        <is>
          <t>Guichet Diaspora</t>
        </is>
      </c>
      <c r="F196" s="37" t="inlineStr">
        <is>
          <t>Profil investisseur diaspora, préférences, liste de suivi</t>
        </is>
      </c>
      <c r="G196" s="37" t="inlineStr">
        <is>
          <t>Preuve de capacité avec date d'expiration</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46405</v>
      </c>
      <c r="Q196" s="40" t="n">
        <v>46412</v>
      </c>
      <c r="R196" s="40" t="n"/>
      <c r="S196" s="37" t="inlineStr"/>
      <c r="T196" s="36" t="inlineStr">
        <is>
          <t>Non</t>
        </is>
      </c>
      <c r="U196" s="13">
        <f>IF($B196="","",IF(AND(J196&lt;&gt;"Complétée",J196&lt;&gt;"Abandonnée",Q196&lt;&gt;"",TODAY()&gt;Q196),"En retard",""))</f>
        <v/>
      </c>
      <c r="V196" s="37" t="n"/>
    </row>
    <row r="197">
      <c r="B197" s="36" t="inlineStr">
        <is>
          <t>V4-016</t>
        </is>
      </c>
      <c r="C197" s="36" t="inlineStr">
        <is>
          <t>V4</t>
        </is>
      </c>
      <c r="D197" s="36" t="inlineStr">
        <is>
          <t>DIA</t>
        </is>
      </c>
      <c r="E197" s="37" t="inlineStr">
        <is>
          <t>Guichet Diaspora</t>
        </is>
      </c>
      <c r="F197" s="37" t="inlineStr">
        <is>
          <t>Présentation des contraintes transfrontalières et taux de change indicatif daté</t>
        </is>
      </c>
      <c r="G197" s="37" t="inlineStr">
        <is>
          <t>Taux affiché avec source et date</t>
        </is>
      </c>
      <c r="H197" s="38" t="n">
        <v>5</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46407</v>
      </c>
      <c r="Q197" s="40" t="n">
        <v>46414</v>
      </c>
      <c r="R197" s="40" t="n"/>
      <c r="S197" s="37" t="inlineStr"/>
      <c r="T197" s="36" t="inlineStr">
        <is>
          <t>Non</t>
        </is>
      </c>
      <c r="U197" s="13">
        <f>IF($B197="","",IF(AND(J197&lt;&gt;"Complétée",J197&lt;&gt;"Abandonnée",Q197&lt;&gt;"",TODAY()&gt;Q197),"En retard",""))</f>
        <v/>
      </c>
      <c r="V197" s="37" t="n"/>
    </row>
    <row r="198">
      <c r="B198" s="36" t="inlineStr">
        <is>
          <t>V4-017</t>
        </is>
      </c>
      <c r="C198" s="36" t="inlineStr">
        <is>
          <t>V4</t>
        </is>
      </c>
      <c r="D198" s="36" t="inlineStr">
        <is>
          <t>DIA</t>
        </is>
      </c>
      <c r="E198" s="37" t="inlineStr">
        <is>
          <t>Guichet Diaspora</t>
        </is>
      </c>
      <c r="F198" s="37" t="inlineStr">
        <is>
          <t>Renvoi vers banque / conseil pour les aspects réglementés</t>
        </is>
      </c>
      <c r="G198" s="37" t="inlineStr">
        <is>
          <t>Aucun conseil de change fourni par la plateforme</t>
        </is>
      </c>
      <c r="H198" s="38" t="n">
        <v>3</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46408</v>
      </c>
      <c r="Q198" s="40" t="n">
        <v>46413</v>
      </c>
      <c r="R198" s="40" t="n"/>
      <c r="S198" s="37" t="inlineStr"/>
      <c r="T198" s="36" t="inlineStr">
        <is>
          <t>Non</t>
        </is>
      </c>
      <c r="U198" s="13">
        <f>IF($B198="","",IF(AND(J198&lt;&gt;"Complétée",J198&lt;&gt;"Abandonnée",Q198&lt;&gt;"",TODAY()&gt;Q198),"En retard",""))</f>
        <v/>
      </c>
      <c r="V198" s="37" t="n"/>
    </row>
    <row r="199">
      <c r="B199" s="36" t="inlineStr">
        <is>
          <t>V4-018</t>
        </is>
      </c>
      <c r="C199" s="36" t="inlineStr">
        <is>
          <t>V4</t>
        </is>
      </c>
      <c r="D199" s="36" t="inlineStr">
        <is>
          <t>DIA</t>
        </is>
      </c>
      <c r="E199" s="37" t="inlineStr">
        <is>
          <t>Guichet Diaspora</t>
        </is>
      </c>
      <c r="F199" s="37" t="inlineStr">
        <is>
          <t>Signal de demande diaspora (agrégé, anonymisé)</t>
        </is>
      </c>
      <c r="G199" s="37" t="inlineStr">
        <is>
          <t>Aucune donnée nominative dans le signal</t>
        </is>
      </c>
      <c r="H199" s="38" t="n">
        <v>3</v>
      </c>
      <c r="I199" s="36" t="inlineStr">
        <is>
          <t>Basse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46409</v>
      </c>
      <c r="Q199" s="40" t="n">
        <v>46414</v>
      </c>
      <c r="R199" s="40" t="n"/>
      <c r="S199" s="37" t="inlineStr"/>
      <c r="T199" s="36" t="inlineStr">
        <is>
          <t>Non</t>
        </is>
      </c>
      <c r="U199" s="13">
        <f>IF($B199="","",IF(AND(J199&lt;&gt;"Complétée",J199&lt;&gt;"Abandonnée",Q199&lt;&gt;"",TODAY()&gt;Q199),"En retard",""))</f>
        <v/>
      </c>
      <c r="V199" s="37" t="n"/>
    </row>
    <row r="200">
      <c r="B200" s="36" t="inlineStr">
        <is>
          <t>V4-019</t>
        </is>
      </c>
      <c r="C200" s="36" t="inlineStr">
        <is>
          <t>V4</t>
        </is>
      </c>
      <c r="D200" s="36" t="inlineStr">
        <is>
          <t>DIA</t>
        </is>
      </c>
      <c r="E200" s="37" t="inlineStr">
        <is>
          <t>Guichet Diaspora</t>
        </is>
      </c>
      <c r="F200" s="37" t="inlineStr">
        <is>
          <t>Écrans Guichet Diaspora</t>
        </is>
      </c>
      <c r="G200" s="37" t="inlineStr">
        <is>
          <t>Contraintes affichées avant la phase finale</t>
        </is>
      </c>
      <c r="H200" s="38" t="n">
        <v>5</v>
      </c>
      <c r="I200" s="36" t="inlineStr">
        <is>
          <t>Moyenne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46410</v>
      </c>
      <c r="Q200" s="40" t="n">
        <v>46417</v>
      </c>
      <c r="R200" s="40" t="n"/>
      <c r="S200" s="37" t="inlineStr"/>
      <c r="T200" s="36" t="inlineStr">
        <is>
          <t>Non</t>
        </is>
      </c>
      <c r="U200" s="13">
        <f>IF($B200="","",IF(AND(J200&lt;&gt;"Complétée",J200&lt;&gt;"Abandonnée",Q200&lt;&gt;"",TODAY()&gt;Q200),"En retard",""))</f>
        <v/>
      </c>
      <c r="V200" s="37" t="n"/>
    </row>
    <row r="201">
      <c r="B201" s="36" t="inlineStr">
        <is>
          <t>V4-020</t>
        </is>
      </c>
      <c r="C201" s="36" t="inlineStr">
        <is>
          <t>V4</t>
        </is>
      </c>
      <c r="D201" s="36" t="inlineStr">
        <is>
          <t>EXP</t>
        </is>
      </c>
      <c r="E201" s="37" t="inlineStr">
        <is>
          <t>Deal-Experts</t>
        </is>
      </c>
      <c r="F201" s="37" t="inlineStr">
        <is>
          <t>Registre d'experts qualifiés et déclaration de conflit d'intérêts</t>
        </is>
      </c>
      <c r="G201" s="37" t="inlineStr">
        <is>
          <t>Conflit déclaré avant toute proposition</t>
        </is>
      </c>
      <c r="H201" s="38" t="n">
        <v>5</v>
      </c>
      <c r="I201" s="36" t="inlineStr">
        <is>
          <t>Moyenne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46412</v>
      </c>
      <c r="Q201" s="40" t="n">
        <v>46419</v>
      </c>
      <c r="R201" s="40" t="n"/>
      <c r="S201" s="37" t="inlineStr">
        <is>
          <t>A04 : articulation P13</t>
        </is>
      </c>
      <c r="T201" s="36" t="inlineStr">
        <is>
          <t>Non</t>
        </is>
      </c>
      <c r="U201" s="13">
        <f>IF($B201="","",IF(AND(J201&lt;&gt;"Complétée",J201&lt;&gt;"Abandonnée",Q201&lt;&gt;"",TODAY()&gt;Q201),"En retard",""))</f>
        <v/>
      </c>
      <c r="V201" s="37" t="n"/>
    </row>
    <row r="202">
      <c r="B202" s="36" t="inlineStr">
        <is>
          <t>V4-021</t>
        </is>
      </c>
      <c r="C202" s="36" t="inlineStr">
        <is>
          <t>V4</t>
        </is>
      </c>
      <c r="D202" s="36" t="inlineStr">
        <is>
          <t>EXP</t>
        </is>
      </c>
      <c r="E202" s="37" t="inlineStr">
        <is>
          <t>Deal-Experts</t>
        </is>
      </c>
      <c r="F202" s="37" t="inlineStr">
        <is>
          <t>Routage du besoin, propositions, sélection par le client</t>
        </is>
      </c>
      <c r="G202" s="37" t="inlineStr">
        <is>
          <t>Client choisit seul, DealPME n'oriente pas le fond</t>
        </is>
      </c>
      <c r="H202" s="38" t="n">
        <v>5</v>
      </c>
      <c r="I202" s="36" t="inlineStr">
        <is>
          <t>Moyenne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46413</v>
      </c>
      <c r="Q202" s="40" t="n">
        <v>46420</v>
      </c>
      <c r="R202" s="40" t="n"/>
      <c r="S202" s="37" t="inlineStr"/>
      <c r="T202" s="36" t="inlineStr">
        <is>
          <t>Non</t>
        </is>
      </c>
      <c r="U202" s="13">
        <f>IF($B202="","",IF(AND(J202&lt;&gt;"Complétée",J202&lt;&gt;"Abandonnée",Q202&lt;&gt;"",TODAY()&gt;Q202),"En retard",""))</f>
        <v/>
      </c>
      <c r="V202" s="37" t="n"/>
    </row>
    <row r="203">
      <c r="B203" s="36" t="inlineStr">
        <is>
          <t>V4-022</t>
        </is>
      </c>
      <c r="C203" s="36" t="inlineStr">
        <is>
          <t>V4</t>
        </is>
      </c>
      <c r="D203" s="36" t="inlineStr">
        <is>
          <t>EXP</t>
        </is>
      </c>
      <c r="E203" s="37" t="inlineStr">
        <is>
          <t>Deal-Experts</t>
        </is>
      </c>
      <c r="F203" s="37" t="inlineStr">
        <is>
          <t>Accès temporaire scopé en lecture, expiration à la remise du livrable</t>
        </is>
      </c>
      <c r="G203" s="37" t="inlineStr">
        <is>
          <t>Accès fermé automatiquement à la livraison</t>
        </is>
      </c>
      <c r="H203" s="38" t="n">
        <v>5</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46415</v>
      </c>
      <c r="Q203" s="40" t="n">
        <v>46422</v>
      </c>
      <c r="R203" s="40" t="n"/>
      <c r="S203" s="37" t="inlineStr"/>
      <c r="T203" s="36" t="inlineStr">
        <is>
          <t>Non</t>
        </is>
      </c>
      <c r="U203" s="13">
        <f>IF($B203="","",IF(AND(J203&lt;&gt;"Complétée",J203&lt;&gt;"Abandonnée",Q203&lt;&gt;"",TODAY()&gt;Q203),"En retard",""))</f>
        <v/>
      </c>
      <c r="V203" s="37" t="n"/>
    </row>
    <row r="204">
      <c r="B204" s="36" t="inlineStr">
        <is>
          <t>V4-023</t>
        </is>
      </c>
      <c r="C204" s="36" t="inlineStr">
        <is>
          <t>V4</t>
        </is>
      </c>
      <c r="D204" s="36" t="inlineStr">
        <is>
          <t>EXP</t>
        </is>
      </c>
      <c r="E204" s="37" t="inlineStr">
        <is>
          <t>Deal-Experts</t>
        </is>
      </c>
      <c r="F204" s="37" t="inlineStr">
        <is>
          <t>Contrat direct client-expert (hors facturation DealPME) et journal</t>
        </is>
      </c>
      <c r="G204" s="37" t="inlineStr">
        <is>
          <t>Aucune facturation de prestation par DealPME</t>
        </is>
      </c>
      <c r="H204" s="38" t="n">
        <v>3</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46416</v>
      </c>
      <c r="Q204" s="40" t="n">
        <v>46421</v>
      </c>
      <c r="R204" s="40" t="n"/>
      <c r="S204" s="37" t="inlineStr"/>
      <c r="T204" s="36" t="inlineStr">
        <is>
          <t>Non</t>
        </is>
      </c>
      <c r="U204" s="13">
        <f>IF($B204="","",IF(AND(J204&lt;&gt;"Complétée",J204&lt;&gt;"Abandonnée",Q204&lt;&gt;"",TODAY()&gt;Q204),"En retard",""))</f>
        <v/>
      </c>
      <c r="V204" s="37" t="n"/>
    </row>
    <row r="205">
      <c r="B205" s="36" t="inlineStr">
        <is>
          <t>V4-024</t>
        </is>
      </c>
      <c r="C205" s="36" t="inlineStr">
        <is>
          <t>V4</t>
        </is>
      </c>
      <c r="D205" s="36" t="inlineStr">
        <is>
          <t>EXP</t>
        </is>
      </c>
      <c r="E205" s="37" t="inlineStr">
        <is>
          <t>Deal-Experts</t>
        </is>
      </c>
      <c r="F205" s="37" t="inlineStr">
        <is>
          <t>Écrans Deal-Experts</t>
        </is>
      </c>
      <c r="G205" s="37" t="inlineStr">
        <is>
          <t>Aucun contenu d'expert imputé à DealPME</t>
        </is>
      </c>
      <c r="H205" s="38" t="n">
        <v>2</v>
      </c>
      <c r="I205" s="36" t="inlineStr">
        <is>
          <t>Basse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46417</v>
      </c>
      <c r="Q205" s="40" t="n">
        <v>46420</v>
      </c>
      <c r="R205" s="40" t="n"/>
      <c r="S205" s="37" t="inlineStr"/>
      <c r="T205" s="36" t="inlineStr">
        <is>
          <t>Non</t>
        </is>
      </c>
      <c r="U205" s="13">
        <f>IF($B205="","",IF(AND(J205&lt;&gt;"Complétée",J205&lt;&gt;"Abandonnée",Q205&lt;&gt;"",TODAY()&gt;Q205),"En retard",""))</f>
        <v/>
      </c>
      <c r="V205" s="37" t="n"/>
    </row>
    <row r="206">
      <c r="B206" s="36" t="inlineStr">
        <is>
          <t>V5-001</t>
        </is>
      </c>
      <c r="C206" s="36" t="inlineStr">
        <is>
          <t>V5</t>
        </is>
      </c>
      <c r="D206" s="36" t="inlineStr">
        <is>
          <t>VDR-IA</t>
        </is>
      </c>
      <c r="E206" s="37" t="inlineStr">
        <is>
          <t>Conception</t>
        </is>
      </c>
      <c r="F206" s="37" t="inlineStr">
        <is>
          <t>Conception VDR Intelligence : pare-feu de divulgation avant récupération, pipeline d'ingestion, indexation filtrée par permission, contrat de réponse avec citations et insuffisance</t>
        </is>
      </c>
      <c r="G206" s="37" t="inlineStr">
        <is>
          <t>Spécification relue sur les 12 cas de référence ; aucune étape 'récupérer puis masquer'</t>
        </is>
      </c>
      <c r="H206" s="38" t="n">
        <v>5</v>
      </c>
      <c r="I206" s="36" t="inlineStr">
        <is>
          <t>Haute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46424</v>
      </c>
      <c r="Q206" s="40" t="n">
        <v>46431</v>
      </c>
      <c r="R206" s="40" t="n"/>
      <c r="S206" s="37" t="inlineStr"/>
      <c r="T206" s="36" t="inlineStr">
        <is>
          <t>Oui</t>
        </is>
      </c>
      <c r="U206" s="13">
        <f>IF($B206="","",IF(AND(J206&lt;&gt;"Complétée",J206&lt;&gt;"Abandonnée",Q206&lt;&gt;"",TODAY()&gt;Q206),"En retard",""))</f>
        <v/>
      </c>
      <c r="V206" s="37" t="n"/>
    </row>
    <row r="207">
      <c r="B207" s="36" t="inlineStr">
        <is>
          <t>V5-002</t>
        </is>
      </c>
      <c r="C207" s="36" t="inlineStr">
        <is>
          <t>V5</t>
        </is>
      </c>
      <c r="D207" s="36" t="inlineStr">
        <is>
          <t>OPS</t>
        </is>
      </c>
      <c r="E207" s="37" t="inlineStr">
        <is>
          <t>Conception</t>
        </is>
      </c>
      <c r="F207" s="37" t="inlineStr">
        <is>
          <t>Revue de sécurité de conception IA : modèle de menaces (injection par document, fuite inter-dossiers, réutilisation des données par le fournisseur)</t>
        </is>
      </c>
      <c r="G207" s="37" t="inlineStr">
        <is>
          <t>Chaque menace reliée à un test QA IA ou à une clause du contrat fournisseur</t>
        </is>
      </c>
      <c r="H207" s="38" t="n">
        <v>3</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46425</v>
      </c>
      <c r="Q207" s="40" t="n">
        <v>46430</v>
      </c>
      <c r="R207" s="40" t="n"/>
      <c r="S207" s="37" t="inlineStr"/>
      <c r="T207" s="36" t="inlineStr">
        <is>
          <t>Non</t>
        </is>
      </c>
      <c r="U207" s="13">
        <f>IF($B207="","",IF(AND(J207&lt;&gt;"Complétée",J207&lt;&gt;"Abandonnée",Q207&lt;&gt;"",TODAY()&gt;Q207),"En retard",""))</f>
        <v/>
      </c>
      <c r="V207" s="37" t="n"/>
    </row>
    <row r="208">
      <c r="B208" s="36" t="inlineStr">
        <is>
          <t>V5-003</t>
        </is>
      </c>
      <c r="C208" s="36" t="inlineStr">
        <is>
          <t>V5</t>
        </is>
      </c>
      <c r="D208" s="36" t="inlineStr">
        <is>
          <t>VDR-IA</t>
        </is>
      </c>
      <c r="E208" s="37" t="inlineStr">
        <is>
          <t>Fournisseur IA</t>
        </is>
      </c>
      <c r="F208" s="37" t="inlineStr">
        <is>
          <t>Qualification et contrat du fournisseur IA (confidentialité, hébergement, aucune réutilisation des données)</t>
        </is>
      </c>
      <c r="G208" s="37" t="inlineStr">
        <is>
          <t>Contrat signé avec clauses de confidentialité</t>
        </is>
      </c>
      <c r="H208" s="38" t="n">
        <v>5</v>
      </c>
      <c r="I208" s="36" t="inlineStr">
        <is>
          <t>Haute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46425</v>
      </c>
      <c r="Q208" s="40" t="n">
        <v>46432</v>
      </c>
      <c r="R208" s="40" t="n"/>
      <c r="S208" s="37" t="inlineStr"/>
      <c r="T208" s="36" t="inlineStr">
        <is>
          <t>Oui</t>
        </is>
      </c>
      <c r="U208" s="13">
        <f>IF($B208="","",IF(AND(J208&lt;&gt;"Complétée",J208&lt;&gt;"Abandonnée",Q208&lt;&gt;"",TODAY()&gt;Q208),"En retard",""))</f>
        <v/>
      </c>
      <c r="V208" s="37" t="n"/>
    </row>
    <row r="209">
      <c r="B209" s="36" t="inlineStr">
        <is>
          <t>V5-004</t>
        </is>
      </c>
      <c r="C209" s="36" t="inlineStr">
        <is>
          <t>V5</t>
        </is>
      </c>
      <c r="D209" s="36" t="inlineStr">
        <is>
          <t>VDR-IA</t>
        </is>
      </c>
      <c r="E209" s="37" t="inlineStr">
        <is>
          <t>Fournisseur IA</t>
        </is>
      </c>
      <c r="F209" s="37" t="inlineStr">
        <is>
          <t>Dossier de conformité IA : politique, drapeaux fonctionnels, journal des politiques</t>
        </is>
      </c>
      <c r="G209" s="37" t="inlineStr">
        <is>
          <t>Chaque changement de politique audité</t>
        </is>
      </c>
      <c r="H209" s="38" t="n">
        <v>5</v>
      </c>
      <c r="I209" s="36" t="inlineStr">
        <is>
          <t>Haute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46426</v>
      </c>
      <c r="Q209" s="40" t="n">
        <v>46433</v>
      </c>
      <c r="R209" s="40" t="n"/>
      <c r="S209" s="37" t="inlineStr"/>
      <c r="T209" s="36" t="inlineStr">
        <is>
          <t>Non</t>
        </is>
      </c>
      <c r="U209" s="13">
        <f>IF($B209="","",IF(AND(J209&lt;&gt;"Complétée",J209&lt;&gt;"Abandonnée",Q209&lt;&gt;"",TODAY()&gt;Q209),"En retard",""))</f>
        <v/>
      </c>
      <c r="V209" s="37" t="n"/>
    </row>
    <row r="210">
      <c r="B210" s="36" t="inlineStr">
        <is>
          <t>V5-005</t>
        </is>
      </c>
      <c r="C210" s="36" t="inlineStr">
        <is>
          <t>V5</t>
        </is>
      </c>
      <c r="D210" s="36" t="inlineStr">
        <is>
          <t>VDR-IA</t>
        </is>
      </c>
      <c r="E210" s="37" t="inlineStr">
        <is>
          <t>Ingestion</t>
        </is>
      </c>
      <c r="F210" s="37" t="inlineStr">
        <is>
          <t>Pipeline d'ingestion : classification, OCR, ancres de page, empreinte de version</t>
        </is>
      </c>
      <c r="G210" s="37" t="inlineStr">
        <is>
          <t>États UPLOADED à PUBLISHED implémentés</t>
        </is>
      </c>
      <c r="H210" s="38" t="n">
        <v>8</v>
      </c>
      <c r="I210" s="36" t="inlineStr">
        <is>
          <t>Haute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46426</v>
      </c>
      <c r="Q210" s="40" t="n">
        <v>46438</v>
      </c>
      <c r="R210" s="40" t="n"/>
      <c r="S210" s="37" t="inlineStr"/>
      <c r="T210" s="36" t="inlineStr">
        <is>
          <t>Non</t>
        </is>
      </c>
      <c r="U210" s="13">
        <f>IF($B210="","",IF(AND(J210&lt;&gt;"Complétée",J210&lt;&gt;"Abandonnée",Q210&lt;&gt;"",TODAY()&gt;Q210),"En retard",""))</f>
        <v/>
      </c>
      <c r="V210" s="37" t="n"/>
    </row>
    <row r="211">
      <c r="B211" s="36" t="inlineStr">
        <is>
          <t>V5-006</t>
        </is>
      </c>
      <c r="C211" s="36" t="inlineStr">
        <is>
          <t>V5</t>
        </is>
      </c>
      <c r="D211" s="36" t="inlineStr">
        <is>
          <t>VDR-IA</t>
        </is>
      </c>
      <c r="E211" s="37" t="inlineStr">
        <is>
          <t>Ingestion</t>
        </is>
      </c>
      <c r="F211" s="37" t="inlineStr">
        <is>
          <t>Indexation filtrée par permission (permission_scope_hash)</t>
        </is>
      </c>
      <c r="G211" s="37" t="inlineStr">
        <is>
          <t>Aucun chunk indexé hors périmètre autorisé</t>
        </is>
      </c>
      <c r="H211" s="38" t="n">
        <v>8</v>
      </c>
      <c r="I211" s="36" t="inlineStr">
        <is>
          <t>Haute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46427</v>
      </c>
      <c r="Q211" s="40" t="n">
        <v>46439</v>
      </c>
      <c r="R211" s="40" t="n"/>
      <c r="S211" s="37" t="inlineStr"/>
      <c r="T211" s="36" t="inlineStr">
        <is>
          <t>Non</t>
        </is>
      </c>
      <c r="U211" s="13">
        <f>IF($B211="","",IF(AND(J211&lt;&gt;"Complétée",J211&lt;&gt;"Abandonnée",Q211&lt;&gt;"",TODAY()&gt;Q211),"En retard",""))</f>
        <v/>
      </c>
      <c r="V211" s="37" t="n"/>
    </row>
    <row r="212">
      <c r="B212" s="36" t="inlineStr">
        <is>
          <t>V5-007</t>
        </is>
      </c>
      <c r="C212" s="36" t="inlineStr">
        <is>
          <t>V5</t>
        </is>
      </c>
      <c r="D212" s="36" t="inlineStr">
        <is>
          <t>VDR-IA</t>
        </is>
      </c>
      <c r="E212" s="37" t="inlineStr">
        <is>
          <t>DealLens</t>
        </is>
      </c>
      <c r="F212" s="37" t="inlineStr">
        <is>
          <t>Pare-feu de divulgation avant récupération (10 étapes, jamais 'récupérer puis masquer')</t>
        </is>
      </c>
      <c r="G212" s="37" t="inlineStr">
        <is>
          <t>Test AI-01 : aucun document inaccessible cité</t>
        </is>
      </c>
      <c r="H212" s="38" t="n">
        <v>8</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46428</v>
      </c>
      <c r="Q212" s="40" t="n">
        <v>46440</v>
      </c>
      <c r="R212" s="40" t="n"/>
      <c r="S212" s="37" t="inlineStr"/>
      <c r="T212" s="36" t="inlineStr">
        <is>
          <t>Non</t>
        </is>
      </c>
      <c r="U212" s="13">
        <f>IF($B212="","",IF(AND(J212&lt;&gt;"Complétée",J212&lt;&gt;"Abandonnée",Q212&lt;&gt;"",TODAY()&gt;Q212),"En retard",""))</f>
        <v/>
      </c>
      <c r="V212" s="37" t="n"/>
    </row>
    <row r="213">
      <c r="B213" s="36" t="inlineStr">
        <is>
          <t>V5-008</t>
        </is>
      </c>
      <c r="C213" s="36" t="inlineStr">
        <is>
          <t>V5</t>
        </is>
      </c>
      <c r="D213" s="36" t="inlineStr">
        <is>
          <t>VDR-IA</t>
        </is>
      </c>
      <c r="E213" s="37" t="inlineStr">
        <is>
          <t>DealLens</t>
        </is>
      </c>
      <c r="F213" s="37" t="inlineStr">
        <is>
          <t>Contrat de réponse DealLens : citations, niveau de confiance, réponse d'insuffisance</t>
        </is>
      </c>
      <c r="G213" s="37" t="inlineStr">
        <is>
          <t>Test AI-04 : INSUFFISANT sans spéculation</t>
        </is>
      </c>
      <c r="H213" s="38" t="n">
        <v>6</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46429</v>
      </c>
      <c r="Q213" s="40" t="n">
        <v>46438</v>
      </c>
      <c r="R213" s="40" t="n"/>
      <c r="S213" s="37" t="inlineStr"/>
      <c r="T213" s="36" t="inlineStr">
        <is>
          <t>Non</t>
        </is>
      </c>
      <c r="U213" s="13">
        <f>IF($B213="","",IF(AND(J213&lt;&gt;"Complétée",J213&lt;&gt;"Abandonnée",Q213&lt;&gt;"",TODAY()&gt;Q213),"En retard",""))</f>
        <v/>
      </c>
      <c r="V213" s="37" t="n"/>
    </row>
    <row r="214">
      <c r="B214" s="36" t="inlineStr">
        <is>
          <t>V5-009</t>
        </is>
      </c>
      <c r="C214" s="36" t="inlineStr">
        <is>
          <t>V5</t>
        </is>
      </c>
      <c r="D214" s="36" t="inlineStr">
        <is>
          <t>VDR-IA</t>
        </is>
      </c>
      <c r="E214" s="37" t="inlineStr">
        <is>
          <t>DealLens</t>
        </is>
      </c>
      <c r="F214" s="37" t="inlineStr">
        <is>
          <t>DealLens mode document et mode salle entière</t>
        </is>
      </c>
      <c r="G214" s="37" t="inlineStr">
        <is>
          <t>Les deux modes journalisent AI_QUERY_COMPLETED</t>
        </is>
      </c>
      <c r="H214" s="38" t="n">
        <v>8</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46430</v>
      </c>
      <c r="Q214" s="40" t="n">
        <v>46442</v>
      </c>
      <c r="R214" s="40" t="n"/>
      <c r="S214" s="37" t="inlineStr"/>
      <c r="T214" s="36" t="inlineStr">
        <is>
          <t>Non</t>
        </is>
      </c>
      <c r="U214" s="13">
        <f>IF($B214="","",IF(AND(J214&lt;&gt;"Complétée",J214&lt;&gt;"Abandonnée",Q214&lt;&gt;"",TODAY()&gt;Q214),"En retard",""))</f>
        <v/>
      </c>
      <c r="V214" s="37" t="n"/>
    </row>
    <row r="215">
      <c r="B215" s="36" t="inlineStr">
        <is>
          <t>V5-010</t>
        </is>
      </c>
      <c r="C215" s="36" t="inlineStr">
        <is>
          <t>V5</t>
        </is>
      </c>
      <c r="D215" s="36" t="inlineStr">
        <is>
          <t>VDR-IA</t>
        </is>
      </c>
      <c r="E215" s="37" t="inlineStr">
        <is>
          <t>DealLens</t>
        </is>
      </c>
      <c r="F215" s="37" t="inlineStr">
        <is>
          <t>Vérification de chaque citation contre l'ensemble autorisé</t>
        </is>
      </c>
      <c r="G215" s="37" t="inlineStr">
        <is>
          <t>Test AI-03 : chaque citation ouvre la bonne page</t>
        </is>
      </c>
      <c r="H215" s="38" t="n">
        <v>5</v>
      </c>
      <c r="I215" s="36" t="inlineStr">
        <is>
          <t>Haute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46431</v>
      </c>
      <c r="Q215" s="40" t="n">
        <v>46438</v>
      </c>
      <c r="R215" s="40" t="n"/>
      <c r="S215" s="37" t="inlineStr"/>
      <c r="T215" s="36" t="inlineStr">
        <is>
          <t>Non</t>
        </is>
      </c>
      <c r="U215" s="13">
        <f>IF($B215="","",IF(AND(J215&lt;&gt;"Complétée",J215&lt;&gt;"Abandonnée",Q215&lt;&gt;"",TODAY()&gt;Q215),"En retard",""))</f>
        <v/>
      </c>
      <c r="V215" s="37" t="n"/>
    </row>
    <row r="216">
      <c r="B216" s="36" t="inlineStr">
        <is>
          <t>V5-011</t>
        </is>
      </c>
      <c r="C216" s="36" t="inlineStr">
        <is>
          <t>V5</t>
        </is>
      </c>
      <c r="D216" s="36" t="inlineStr">
        <is>
          <t>VDR-IA</t>
        </is>
      </c>
      <c r="E216" s="37" t="inlineStr">
        <is>
          <t>Surfaces</t>
        </is>
      </c>
      <c r="F216" s="37" t="inlineStr">
        <is>
          <t>Cockpit : couverture par domaine, priorités de revue</t>
        </is>
      </c>
      <c r="G216" s="37" t="inlineStr">
        <is>
          <t>Couverture jamais présentée comme un avis d'audit</t>
        </is>
      </c>
      <c r="H216" s="38" t="n">
        <v>6</v>
      </c>
      <c r="I216" s="36" t="inlineStr">
        <is>
          <t>Moyenne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46431</v>
      </c>
      <c r="Q216" s="40" t="n">
        <v>46440</v>
      </c>
      <c r="R216" s="40" t="n"/>
      <c r="S216" s="37" t="inlineStr"/>
      <c r="T216" s="36" t="inlineStr">
        <is>
          <t>Non</t>
        </is>
      </c>
      <c r="U216" s="13">
        <f>IF($B216="","",IF(AND(J216&lt;&gt;"Complétée",J216&lt;&gt;"Abandonnée",Q216&lt;&gt;"",TODAY()&gt;Q216),"En retard",""))</f>
        <v/>
      </c>
      <c r="V216" s="37" t="n"/>
    </row>
    <row r="217">
      <c r="B217" s="36" t="inlineStr">
        <is>
          <t>V5-012</t>
        </is>
      </c>
      <c r="C217" s="36" t="inlineStr">
        <is>
          <t>V5</t>
        </is>
      </c>
      <c r="D217" s="36" t="inlineStr">
        <is>
          <t>VDR-IA</t>
        </is>
      </c>
      <c r="E217" s="37" t="inlineStr">
        <is>
          <t>Surfaces</t>
        </is>
      </c>
      <c r="F217" s="37" t="inlineStr">
        <is>
          <t>Issue Radar : registre structuré de risques</t>
        </is>
      </c>
      <c r="G217" s="37" t="inlineStr">
        <is>
          <t>Chaque risque porte preuve, propriétaire, impact</t>
        </is>
      </c>
      <c r="H217" s="38" t="n">
        <v>7</v>
      </c>
      <c r="I217" s="36" t="inlineStr">
        <is>
          <t>Moyenne</t>
        </is>
      </c>
      <c r="J217" s="36" t="inlineStr">
        <is>
          <t>Backlog</t>
        </is>
      </c>
      <c r="K217" s="39" t="n"/>
      <c r="L217" s="16">
        <f>IF($B217="","",IF(J217="Complétée",1,IF(J217="Abandonnée",0,IF(K217&lt;&gt;"",K217,IFERROR(VLOOKUP(J217,Parametres!$B$6:$C$12,2,FALSE),0)))))</f>
        <v/>
      </c>
      <c r="M217" s="15">
        <f>IF($B217="","",IF(J217="Abandonnée",0,H217))</f>
        <v/>
      </c>
      <c r="N217" s="15">
        <f>IF($B217="","",M217*L217)</f>
        <v/>
      </c>
      <c r="O217" s="37" t="n"/>
      <c r="P217" s="40" t="n">
        <v>46432</v>
      </c>
      <c r="Q217" s="40" t="n">
        <v>46442</v>
      </c>
      <c r="R217" s="40" t="n"/>
      <c r="S217" s="37" t="inlineStr"/>
      <c r="T217" s="36" t="inlineStr">
        <is>
          <t>Non</t>
        </is>
      </c>
      <c r="U217" s="13">
        <f>IF($B217="","",IF(AND(J217&lt;&gt;"Complétée",J217&lt;&gt;"Abandonnée",Q217&lt;&gt;"",TODAY()&gt;Q217),"En retard",""))</f>
        <v/>
      </c>
      <c r="V217" s="37" t="n"/>
    </row>
    <row r="218">
      <c r="B218" s="36" t="inlineStr">
        <is>
          <t>V5-013</t>
        </is>
      </c>
      <c r="C218" s="36" t="inlineStr">
        <is>
          <t>V5</t>
        </is>
      </c>
      <c r="D218" s="36" t="inlineStr">
        <is>
          <t>VDR-IA</t>
        </is>
      </c>
      <c r="E218" s="37" t="inlineStr">
        <is>
          <t>Surfaces</t>
        </is>
      </c>
      <c r="F218" s="37" t="inlineStr">
        <is>
          <t>Evidence Map : graphe typé (SUPPORTS, CONTRADICTS, RAISES, RESOLVES, EVIDENCES)</t>
        </is>
      </c>
      <c r="G218" s="37" t="inlineStr">
        <is>
          <t>Graphe navigable depuis un document</t>
        </is>
      </c>
      <c r="H218" s="38" t="n">
        <v>8</v>
      </c>
      <c r="I218" s="36" t="inlineStr">
        <is>
          <t>Moyenne</t>
        </is>
      </c>
      <c r="J218" s="36" t="inlineStr">
        <is>
          <t>Backlog</t>
        </is>
      </c>
      <c r="K218" s="39" t="n"/>
      <c r="L218" s="16">
        <f>IF($B218="","",IF(J218="Complétée",1,IF(J218="Abandonnée",0,IF(K218&lt;&gt;"",K218,IFERROR(VLOOKUP(J218,Parametres!$B$6:$C$12,2,FALSE),0)))))</f>
        <v/>
      </c>
      <c r="M218" s="15">
        <f>IF($B218="","",IF(J218="Abandonnée",0,H218))</f>
        <v/>
      </c>
      <c r="N218" s="15">
        <f>IF($B218="","",M218*L218)</f>
        <v/>
      </c>
      <c r="O218" s="37" t="n"/>
      <c r="P218" s="40" t="n">
        <v>46433</v>
      </c>
      <c r="Q218" s="40" t="n">
        <v>46445</v>
      </c>
      <c r="R218" s="40" t="n"/>
      <c r="S218" s="37" t="inlineStr"/>
      <c r="T218" s="36" t="inlineStr">
        <is>
          <t>Non</t>
        </is>
      </c>
      <c r="U218" s="13">
        <f>IF($B218="","",IF(AND(J218&lt;&gt;"Complétée",J218&lt;&gt;"Abandonnée",Q218&lt;&gt;"",TODAY()&gt;Q218),"En retard",""))</f>
        <v/>
      </c>
      <c r="V218" s="37" t="n"/>
    </row>
    <row r="219">
      <c r="B219" s="36" t="inlineStr">
        <is>
          <t>V5-014</t>
        </is>
      </c>
      <c r="C219" s="36" t="inlineStr">
        <is>
          <t>V5</t>
        </is>
      </c>
      <c r="D219" s="36" t="inlineStr">
        <is>
          <t>VDR-IA</t>
        </is>
      </c>
      <c r="E219" s="37" t="inlineStr">
        <is>
          <t>Surfaces</t>
        </is>
      </c>
      <c r="F219" s="37" t="inlineStr">
        <is>
          <t>Atelier Q&amp;R avec rôles et brouillons IA jamais soumis automatiquement</t>
        </is>
      </c>
      <c r="G219" s="37" t="inlineStr">
        <is>
          <t>Test AI-06 : brouillon reste DRAFT</t>
        </is>
      </c>
      <c r="H219" s="38" t="n">
        <v>7</v>
      </c>
      <c r="I219" s="36" t="inlineStr">
        <is>
          <t>Haute</t>
        </is>
      </c>
      <c r="J219" s="36" t="inlineStr">
        <is>
          <t>Backlog</t>
        </is>
      </c>
      <c r="K219" s="39" t="n"/>
      <c r="L219" s="16">
        <f>IF($B219="","",IF(J219="Complétée",1,IF(J219="Abandonnée",0,IF(K219&lt;&gt;"",K219,IFERROR(VLOOKUP(J219,Parametres!$B$6:$C$12,2,FALSE),0)))))</f>
        <v/>
      </c>
      <c r="M219" s="15">
        <f>IF($B219="","",IF(J219="Abandonnée",0,H219))</f>
        <v/>
      </c>
      <c r="N219" s="15">
        <f>IF($B219="","",M219*L219)</f>
        <v/>
      </c>
      <c r="O219" s="37" t="n"/>
      <c r="P219" s="40" t="n">
        <v>46434</v>
      </c>
      <c r="Q219" s="40" t="n">
        <v>46444</v>
      </c>
      <c r="R219" s="40" t="n"/>
      <c r="S219" s="37" t="inlineStr"/>
      <c r="T219" s="36" t="inlineStr">
        <is>
          <t>Non</t>
        </is>
      </c>
      <c r="U219" s="13">
        <f>IF($B219="","",IF(AND(J219&lt;&gt;"Complétée",J219&lt;&gt;"Abandonnée",Q219&lt;&gt;"",TODAY()&gt;Q219),"En retard",""))</f>
        <v/>
      </c>
      <c r="V219" s="37" t="n"/>
    </row>
    <row r="220">
      <c r="B220" s="36" t="inlineStr">
        <is>
          <t>V5-015</t>
        </is>
      </c>
      <c r="C220" s="36" t="inlineStr">
        <is>
          <t>V5</t>
        </is>
      </c>
      <c r="D220" s="36" t="inlineStr">
        <is>
          <t>VDR-IA</t>
        </is>
      </c>
      <c r="E220" s="37" t="inlineStr">
        <is>
          <t>Surfaces</t>
        </is>
      </c>
      <c r="F220" s="37" t="inlineStr">
        <is>
          <t>Engagement Pulse (descriptif, jamais 'probabilité de closing')</t>
        </is>
      </c>
      <c r="G220" s="37" t="inlineStr">
        <is>
          <t>Libellé vérifié par l'audit de texte</t>
        </is>
      </c>
      <c r="H220" s="38" t="n">
        <v>4</v>
      </c>
      <c r="I220" s="36" t="inlineStr">
        <is>
          <t>Basse</t>
        </is>
      </c>
      <c r="J220" s="36" t="inlineStr">
        <is>
          <t>Backlog</t>
        </is>
      </c>
      <c r="K220" s="39" t="n"/>
      <c r="L220" s="16">
        <f>IF($B220="","",IF(J220="Complétée",1,IF(J220="Abandonnée",0,IF(K220&lt;&gt;"",K220,IFERROR(VLOOKUP(J220,Parametres!$B$6:$C$12,2,FALSE),0)))))</f>
        <v/>
      </c>
      <c r="M220" s="15">
        <f>IF($B220="","",IF(J220="Abandonnée",0,H220))</f>
        <v/>
      </c>
      <c r="N220" s="15">
        <f>IF($B220="","",M220*L220)</f>
        <v/>
      </c>
      <c r="O220" s="37" t="n"/>
      <c r="P220" s="40" t="n">
        <v>46435</v>
      </c>
      <c r="Q220" s="40" t="n">
        <v>46441</v>
      </c>
      <c r="R220" s="40" t="n"/>
      <c r="S220" s="37" t="inlineStr"/>
      <c r="T220" s="36" t="inlineStr">
        <is>
          <t>Non</t>
        </is>
      </c>
      <c r="U220" s="13">
        <f>IF($B220="","",IF(AND(J220&lt;&gt;"Complétée",J220&lt;&gt;"Abandonnée",Q220&lt;&gt;"",TODAY()&gt;Q220),"En retard",""))</f>
        <v/>
      </c>
      <c r="V220" s="37" t="n"/>
    </row>
    <row r="221">
      <c r="B221" s="36" t="inlineStr">
        <is>
          <t>V5-016</t>
        </is>
      </c>
      <c r="C221" s="36" t="inlineStr">
        <is>
          <t>V5</t>
        </is>
      </c>
      <c r="D221" s="36" t="inlineStr">
        <is>
          <t>VDR-IA</t>
        </is>
      </c>
      <c r="E221" s="37" t="inlineStr">
        <is>
          <t>Surfaces</t>
        </is>
      </c>
      <c r="F221" s="37" t="inlineStr">
        <is>
          <t>Rapprochement financier (Financial Tie-Out) avec matérialité configurable</t>
        </is>
      </c>
      <c r="G221" s="37" t="inlineStr">
        <is>
          <t>Écart présenté comme point de rapprochement</t>
        </is>
      </c>
      <c r="H221" s="38" t="n">
        <v>7</v>
      </c>
      <c r="I221" s="36" t="inlineStr">
        <is>
          <t>Moyenne</t>
        </is>
      </c>
      <c r="J221" s="36" t="inlineStr">
        <is>
          <t>Backlog</t>
        </is>
      </c>
      <c r="K221" s="39" t="n"/>
      <c r="L221" s="16">
        <f>IF($B221="","",IF(J221="Complétée",1,IF(J221="Abandonnée",0,IF(K221&lt;&gt;"",K221,IFERROR(VLOOKUP(J221,Parametres!$B$6:$C$12,2,FALSE),0)))))</f>
        <v/>
      </c>
      <c r="M221" s="15">
        <f>IF($B221="","",IF(J221="Abandonnée",0,H221))</f>
        <v/>
      </c>
      <c r="N221" s="15">
        <f>IF($B221="","",M221*L221)</f>
        <v/>
      </c>
      <c r="O221" s="37" t="n"/>
      <c r="P221" s="40" t="n">
        <v>46435</v>
      </c>
      <c r="Q221" s="40" t="n">
        <v>46445</v>
      </c>
      <c r="R221" s="40" t="n"/>
      <c r="S221" s="37" t="inlineStr"/>
      <c r="T221" s="36" t="inlineStr">
        <is>
          <t>Non</t>
        </is>
      </c>
      <c r="U221" s="13">
        <f>IF($B221="","",IF(AND(J221&lt;&gt;"Complétée",J221&lt;&gt;"Abandonnée",Q221&lt;&gt;"",TODAY()&gt;Q221),"En retard",""))</f>
        <v/>
      </c>
      <c r="V221" s="37" t="n"/>
    </row>
    <row r="222">
      <c r="B222" s="36" t="inlineStr">
        <is>
          <t>V5-017</t>
        </is>
      </c>
      <c r="C222" s="36" t="inlineStr">
        <is>
          <t>V5</t>
        </is>
      </c>
      <c r="D222" s="36" t="inlineStr">
        <is>
          <t>VDR-IA</t>
        </is>
      </c>
      <c r="E222" s="37" t="inlineStr">
        <is>
          <t>Surfaces</t>
        </is>
      </c>
      <c r="F222" s="37" t="inlineStr">
        <is>
          <t>Intelligence de version : diff textuel et sémantique, matérialité proposée</t>
        </is>
      </c>
      <c r="G222" s="37" t="inlineStr">
        <is>
          <t>Test DOC-03 : nouvelle version n'hérite pas de l'analyse</t>
        </is>
      </c>
      <c r="H222" s="38" t="n">
        <v>6</v>
      </c>
      <c r="I222" s="36" t="inlineStr">
        <is>
          <t>Moyenne</t>
        </is>
      </c>
      <c r="J222" s="36" t="inlineStr">
        <is>
          <t>Backlog</t>
        </is>
      </c>
      <c r="K222" s="39" t="n"/>
      <c r="L222" s="16">
        <f>IF($B222="","",IF(J222="Complétée",1,IF(J222="Abandonnée",0,IF(K222&lt;&gt;"",K222,IFERROR(VLOOKUP(J222,Parametres!$B$6:$C$12,2,FALSE),0)))))</f>
        <v/>
      </c>
      <c r="M222" s="15">
        <f>IF($B222="","",IF(J222="Abandonnée",0,H222))</f>
        <v/>
      </c>
      <c r="N222" s="15">
        <f>IF($B222="","",M222*L222)</f>
        <v/>
      </c>
      <c r="O222" s="37" t="n"/>
      <c r="P222" s="40" t="n">
        <v>46436</v>
      </c>
      <c r="Q222" s="40" t="n">
        <v>46445</v>
      </c>
      <c r="R222" s="40" t="n"/>
      <c r="S222" s="37" t="inlineStr"/>
      <c r="T222" s="36" t="inlineStr">
        <is>
          <t>Non</t>
        </is>
      </c>
      <c r="U222" s="13">
        <f>IF($B222="","",IF(AND(J222&lt;&gt;"Complétée",J222&lt;&gt;"Abandonnée",Q222&lt;&gt;"",TODAY()&gt;Q222),"En retard",""))</f>
        <v/>
      </c>
      <c r="V222" s="37" t="n"/>
    </row>
    <row r="223">
      <c r="B223" s="36" t="inlineStr">
        <is>
          <t>V5-018</t>
        </is>
      </c>
      <c r="C223" s="36" t="inlineStr">
        <is>
          <t>V5</t>
        </is>
      </c>
      <c r="D223" s="36" t="inlineStr">
        <is>
          <t>VDR-IA</t>
        </is>
      </c>
      <c r="E223" s="37" t="inlineStr">
        <is>
          <t>Surfaces</t>
        </is>
      </c>
      <c r="F223" s="37" t="inlineStr">
        <is>
          <t>Caviardage assisté avec revue humaine élément par élément</t>
        </is>
      </c>
      <c r="G223" s="37" t="inlineStr">
        <is>
          <t>Original jamais écrasé</t>
        </is>
      </c>
      <c r="H223" s="38" t="n">
        <v>7</v>
      </c>
      <c r="I223" s="36" t="inlineStr">
        <is>
          <t>Moyenne</t>
        </is>
      </c>
      <c r="J223" s="36" t="inlineStr">
        <is>
          <t>Backlog</t>
        </is>
      </c>
      <c r="K223" s="39" t="n"/>
      <c r="L223" s="16">
        <f>IF($B223="","",IF(J223="Complétée",1,IF(J223="Abandonnée",0,IF(K223&lt;&gt;"",K223,IFERROR(VLOOKUP(J223,Parametres!$B$6:$C$12,2,FALSE),0)))))</f>
        <v/>
      </c>
      <c r="M223" s="15">
        <f>IF($B223="","",IF(J223="Abandonnée",0,H223))</f>
        <v/>
      </c>
      <c r="N223" s="15">
        <f>IF($B223="","",M223*L223)</f>
        <v/>
      </c>
      <c r="O223" s="37" t="n"/>
      <c r="P223" s="40" t="n">
        <v>46437</v>
      </c>
      <c r="Q223" s="40" t="n">
        <v>46446</v>
      </c>
      <c r="R223" s="40" t="n"/>
      <c r="S223" s="37" t="inlineStr"/>
      <c r="T223" s="36" t="inlineStr">
        <is>
          <t>Non</t>
        </is>
      </c>
      <c r="U223" s="13">
        <f>IF($B223="","",IF(AND(J223&lt;&gt;"Complétée",J223&lt;&gt;"Abandonnée",Q223&lt;&gt;"",TODAY()&gt;Q223),"En retard",""))</f>
        <v/>
      </c>
      <c r="V223" s="37" t="n"/>
    </row>
    <row r="224">
      <c r="B224" s="36" t="inlineStr">
        <is>
          <t>V5-019</t>
        </is>
      </c>
      <c r="C224" s="36" t="inlineStr">
        <is>
          <t>V5</t>
        </is>
      </c>
      <c r="D224" s="36" t="inlineStr">
        <is>
          <t>VDR-IA</t>
        </is>
      </c>
      <c r="E224" s="37" t="inlineStr">
        <is>
          <t>Accès</t>
        </is>
      </c>
      <c r="F224" s="37" t="inlineStr">
        <is>
          <t>Accès et Clean Team, MFA step-up sur changements de permission</t>
        </is>
      </c>
      <c r="G224" s="37" t="inlineStr">
        <is>
          <t>Test AI-02 : Clean Team exclue de la recherche standard</t>
        </is>
      </c>
      <c r="H224" s="38" t="n">
        <v>6</v>
      </c>
      <c r="I224" s="36" t="inlineStr">
        <is>
          <t>Haute</t>
        </is>
      </c>
      <c r="J224" s="36" t="inlineStr">
        <is>
          <t>Backlog</t>
        </is>
      </c>
      <c r="K224" s="39" t="n"/>
      <c r="L224" s="16">
        <f>IF($B224="","",IF(J224="Complétée",1,IF(J224="Abandonnée",0,IF(K224&lt;&gt;"",K224,IFERROR(VLOOKUP(J224,Parametres!$B$6:$C$12,2,FALSE),0)))))</f>
        <v/>
      </c>
      <c r="M224" s="15">
        <f>IF($B224="","",IF(J224="Abandonnée",0,H224))</f>
        <v/>
      </c>
      <c r="N224" s="15">
        <f>IF($B224="","",M224*L224)</f>
        <v/>
      </c>
      <c r="O224" s="37" t="n"/>
      <c r="P224" s="40" t="n">
        <v>46438</v>
      </c>
      <c r="Q224" s="40" t="n">
        <v>46446</v>
      </c>
      <c r="R224" s="40" t="n"/>
      <c r="S224" s="37" t="inlineStr"/>
      <c r="T224" s="36" t="inlineStr">
        <is>
          <t>Non</t>
        </is>
      </c>
      <c r="U224" s="13">
        <f>IF($B224="","",IF(AND(J224&lt;&gt;"Complétée",J224&lt;&gt;"Abandonnée",Q224&lt;&gt;"",TODAY()&gt;Q224),"En retard",""))</f>
        <v/>
      </c>
      <c r="V224" s="37" t="n"/>
    </row>
    <row r="225">
      <c r="B225" s="36" t="inlineStr">
        <is>
          <t>V5-020</t>
        </is>
      </c>
      <c r="C225" s="36" t="inlineStr">
        <is>
          <t>V5</t>
        </is>
      </c>
      <c r="D225" s="36" t="inlineStr">
        <is>
          <t>VDR-IA</t>
        </is>
      </c>
      <c r="E225" s="37" t="inlineStr">
        <is>
          <t>Accès</t>
        </is>
      </c>
      <c r="F225" s="37" t="inlineStr">
        <is>
          <t>Audit append-only sans contenu sensible ni texte de réponse IA</t>
        </is>
      </c>
      <c r="G225" s="37" t="inlineStr">
        <is>
          <t>Journal ne contient que identifiants, action, résultat</t>
        </is>
      </c>
      <c r="H225" s="38" t="n">
        <v>4</v>
      </c>
      <c r="I225" s="36" t="inlineStr">
        <is>
          <t>Haute</t>
        </is>
      </c>
      <c r="J225" s="36" t="inlineStr">
        <is>
          <t>Backlog</t>
        </is>
      </c>
      <c r="K225" s="39" t="n"/>
      <c r="L225" s="16">
        <f>IF($B225="","",IF(J225="Complétée",1,IF(J225="Abandonnée",0,IF(K225&lt;&gt;"",K225,IFERROR(VLOOKUP(J225,Parametres!$B$6:$C$12,2,FALSE),0)))))</f>
        <v/>
      </c>
      <c r="M225" s="15">
        <f>IF($B225="","",IF(J225="Abandonnée",0,H225))</f>
        <v/>
      </c>
      <c r="N225" s="15">
        <f>IF($B225="","",M225*L225)</f>
        <v/>
      </c>
      <c r="O225" s="37" t="n"/>
      <c r="P225" s="40" t="n">
        <v>46439</v>
      </c>
      <c r="Q225" s="40" t="n">
        <v>46445</v>
      </c>
      <c r="R225" s="40" t="n"/>
      <c r="S225" s="37" t="inlineStr"/>
      <c r="T225" s="36" t="inlineStr">
        <is>
          <t>Non</t>
        </is>
      </c>
      <c r="U225" s="13">
        <f>IF($B225="","",IF(AND(J225&lt;&gt;"Complétée",J225&lt;&gt;"Abandonnée",Q225&lt;&gt;"",TODAY()&gt;Q225),"En retard",""))</f>
        <v/>
      </c>
      <c r="V225" s="37" t="n"/>
    </row>
    <row r="226">
      <c r="B226" s="36" t="inlineStr">
        <is>
          <t>V5-021</t>
        </is>
      </c>
      <c r="C226" s="36" t="inlineStr">
        <is>
          <t>V5</t>
        </is>
      </c>
      <c r="D226" s="36" t="inlineStr">
        <is>
          <t>VDR-IA</t>
        </is>
      </c>
      <c r="E226" s="37" t="inlineStr">
        <is>
          <t>Surfaces</t>
        </is>
      </c>
      <c r="F226" s="37" t="inlineStr">
        <is>
          <t>Écrans VDR Intelligence (9 surfaces, responsive)</t>
        </is>
      </c>
      <c r="G226" s="37" t="inlineStr">
        <is>
          <t>Mobile : document, DealLens, Q&amp;R prioritaires</t>
        </is>
      </c>
      <c r="H226" s="38" t="n">
        <v>10</v>
      </c>
      <c r="I226" s="36" t="inlineStr">
        <is>
          <t>Haute</t>
        </is>
      </c>
      <c r="J226" s="36" t="inlineStr">
        <is>
          <t>Backlog</t>
        </is>
      </c>
      <c r="K226" s="39" t="n"/>
      <c r="L226" s="16">
        <f>IF($B226="","",IF(J226="Complétée",1,IF(J226="Abandonnée",0,IF(K226&lt;&gt;"",K226,IFERROR(VLOOKUP(J226,Parametres!$B$6:$C$12,2,FALSE),0)))))</f>
        <v/>
      </c>
      <c r="M226" s="15">
        <f>IF($B226="","",IF(J226="Abandonnée",0,H226))</f>
        <v/>
      </c>
      <c r="N226" s="15">
        <f>IF($B226="","",M226*L226)</f>
        <v/>
      </c>
      <c r="O226" s="37" t="n"/>
      <c r="P226" s="40" t="n">
        <v>46439</v>
      </c>
      <c r="Q226" s="40" t="n">
        <v>46446</v>
      </c>
      <c r="R226" s="40" t="n"/>
      <c r="S226" s="37" t="inlineStr"/>
      <c r="T226" s="36" t="inlineStr">
        <is>
          <t>Non</t>
        </is>
      </c>
      <c r="U226" s="13">
        <f>IF($B226="","",IF(AND(J226&lt;&gt;"Complétée",J226&lt;&gt;"Abandonnée",Q226&lt;&gt;"",TODAY()&gt;Q226),"En retard",""))</f>
        <v/>
      </c>
      <c r="V226" s="37" t="n"/>
    </row>
    <row r="227">
      <c r="B227" s="36" t="inlineStr">
        <is>
          <t>V5-022</t>
        </is>
      </c>
      <c r="C227" s="36" t="inlineStr">
        <is>
          <t>V5</t>
        </is>
      </c>
      <c r="D227" s="36" t="inlineStr">
        <is>
          <t>VDR-IA</t>
        </is>
      </c>
      <c r="E227" s="37" t="inlineStr">
        <is>
          <t>QA IA</t>
        </is>
      </c>
      <c r="F227" s="37" t="inlineStr">
        <is>
          <t>Tests AI-01 à AI-06, DOC-01 à DOC-03, Q&amp;A-01, UI-01</t>
        </is>
      </c>
      <c r="G227" s="37" t="inlineStr">
        <is>
          <t>Tous les tests P0 passent</t>
        </is>
      </c>
      <c r="H227" s="38" t="n">
        <v>10</v>
      </c>
      <c r="I227" s="36" t="inlineStr">
        <is>
          <t>Haute</t>
        </is>
      </c>
      <c r="J227" s="36" t="inlineStr">
        <is>
          <t>Backlog</t>
        </is>
      </c>
      <c r="K227" s="39" t="n"/>
      <c r="L227" s="16">
        <f>IF($B227="","",IF(J227="Complétée",1,IF(J227="Abandonnée",0,IF(K227&lt;&gt;"",K227,IFERROR(VLOOKUP(J227,Parametres!$B$6:$C$12,2,FALSE),0)))))</f>
        <v/>
      </c>
      <c r="M227" s="15">
        <f>IF($B227="","",IF(J227="Abandonnée",0,H227))</f>
        <v/>
      </c>
      <c r="N227" s="15">
        <f>IF($B227="","",M227*L227)</f>
        <v/>
      </c>
      <c r="O227" s="37" t="n"/>
      <c r="P227" s="40" t="n">
        <v>46440</v>
      </c>
      <c r="Q227" s="40" t="n">
        <v>46446</v>
      </c>
      <c r="R227" s="40" t="n"/>
      <c r="S227" s="37" t="inlineStr"/>
      <c r="T227" s="36" t="inlineStr">
        <is>
          <t>Non</t>
        </is>
      </c>
      <c r="U227" s="13">
        <f>IF($B227="","",IF(AND(J227&lt;&gt;"Complétée",J227&lt;&gt;"Abandonnée",Q227&lt;&gt;"",TODAY()&gt;Q227),"En retard",""))</f>
        <v/>
      </c>
      <c r="V227" s="37" t="n"/>
    </row>
    <row r="228">
      <c r="B228" s="36" t="inlineStr">
        <is>
          <t>V5-023</t>
        </is>
      </c>
      <c r="C228" s="36" t="inlineStr">
        <is>
          <t>V5</t>
        </is>
      </c>
      <c r="D228" s="36" t="inlineStr">
        <is>
          <t>VDR-IA</t>
        </is>
      </c>
      <c r="E228" s="37" t="inlineStr">
        <is>
          <t>QA IA</t>
        </is>
      </c>
      <c r="F228" s="37" t="inlineStr">
        <is>
          <t>Performance : viewer progressif, streaming des réponses, recherche &lt; 1,5 s</t>
        </is>
      </c>
      <c r="G228" s="37" t="inlineStr">
        <is>
          <t>Mesures sur réseau de référence</t>
        </is>
      </c>
      <c r="H228" s="38" t="n">
        <v>5</v>
      </c>
      <c r="I228" s="36" t="inlineStr">
        <is>
          <t>Moyenne</t>
        </is>
      </c>
      <c r="J228" s="36" t="inlineStr">
        <is>
          <t>Backlog</t>
        </is>
      </c>
      <c r="K228" s="39" t="n"/>
      <c r="L228" s="16">
        <f>IF($B228="","",IF(J228="Complétée",1,IF(J228="Abandonnée",0,IF(K228&lt;&gt;"",K228,IFERROR(VLOOKUP(J228,Parametres!$B$6:$C$12,2,FALSE),0)))))</f>
        <v/>
      </c>
      <c r="M228" s="15">
        <f>IF($B228="","",IF(J228="Abandonnée",0,H228))</f>
        <v/>
      </c>
      <c r="N228" s="15">
        <f>IF($B228="","",M228*L228)</f>
        <v/>
      </c>
      <c r="O228" s="37" t="n"/>
      <c r="P228" s="40" t="n">
        <v>46441</v>
      </c>
      <c r="Q228" s="40" t="n">
        <v>46446</v>
      </c>
      <c r="R228" s="40" t="n"/>
      <c r="S228" s="37" t="inlineStr"/>
      <c r="T228" s="36" t="inlineStr">
        <is>
          <t>Non</t>
        </is>
      </c>
      <c r="U228" s="13">
        <f>IF($B228="","",IF(AND(J228&lt;&gt;"Complétée",J228&lt;&gt;"Abandonnée",Q228&lt;&gt;"",TODAY()&gt;Q228),"En retard",""))</f>
        <v/>
      </c>
      <c r="V228" s="37" t="n"/>
    </row>
    <row r="229">
      <c r="B229" s="36" t="inlineStr">
        <is>
          <t>V5-024</t>
        </is>
      </c>
      <c r="C229" s="36" t="inlineStr">
        <is>
          <t>V5</t>
        </is>
      </c>
      <c r="D229" s="36" t="inlineStr">
        <is>
          <t>VDR-IA</t>
        </is>
      </c>
      <c r="E229" s="37" t="inlineStr">
        <is>
          <t>QA IA</t>
        </is>
      </c>
      <c r="F229" s="37" t="inlineStr">
        <is>
          <t>Recette V5 et corrections</t>
        </is>
      </c>
      <c r="G229" s="37" t="inlineStr">
        <is>
          <t>Zéro anomalie bloquante ouverte</t>
        </is>
      </c>
      <c r="H229" s="38" t="n">
        <v>5</v>
      </c>
      <c r="I229" s="36" t="inlineStr">
        <is>
          <t>Haute</t>
        </is>
      </c>
      <c r="J229" s="36" t="inlineStr">
        <is>
          <t>Backlog</t>
        </is>
      </c>
      <c r="K229" s="39" t="n"/>
      <c r="L229" s="16">
        <f>IF($B229="","",IF(J229="Complétée",1,IF(J229="Abandonnée",0,IF(K229&lt;&gt;"",K229,IFERROR(VLOOKUP(J229,Parametres!$B$6:$C$12,2,FALSE),0)))))</f>
        <v/>
      </c>
      <c r="M229" s="15">
        <f>IF($B229="","",IF(J229="Abandonnée",0,H229))</f>
        <v/>
      </c>
      <c r="N229" s="15">
        <f>IF($B229="","",M229*L229)</f>
        <v/>
      </c>
      <c r="O229" s="37" t="n"/>
      <c r="P229" s="40" t="n">
        <v>46442</v>
      </c>
      <c r="Q229" s="40" t="n">
        <v>46446</v>
      </c>
      <c r="R229" s="40" t="n"/>
      <c r="S229" s="37" t="inlineStr"/>
      <c r="T229" s="36" t="inlineStr">
        <is>
          <t>Non</t>
        </is>
      </c>
      <c r="U229" s="13">
        <f>IF($B229="","",IF(AND(J229&lt;&gt;"Complétée",J229&lt;&gt;"Abandonnée",Q229&lt;&gt;"",TODAY()&gt;Q229),"En retard",""))</f>
        <v/>
      </c>
      <c r="V229" s="37" t="n"/>
    </row>
    <row r="230">
      <c r="B230" s="36" t="inlineStr">
        <is>
          <t>V1-091</t>
        </is>
      </c>
      <c r="C230" s="36" t="inlineStr">
        <is>
          <t>V1</t>
        </is>
      </c>
      <c r="D230" s="36" t="inlineStr">
        <is>
          <t>TRV</t>
        </is>
      </c>
      <c r="E230" s="37" t="inlineStr">
        <is>
          <t>QA et livraison</t>
        </is>
      </c>
      <c r="F230" s="37" t="inlineStr">
        <is>
          <t>CI réellement bloquante : lint effectif et compilation de tous les workspaces sans erreur masquée</t>
        </is>
      </c>
      <c r="G230" s="37" t="inlineStr">
        <is>
          <t>Un défaut de lint ou de compilation web/worker fait échouer la CI ; supprimer le succès forcé de build:libs</t>
        </is>
      </c>
      <c r="H230" s="38" t="n">
        <v>2</v>
      </c>
      <c r="I230" s="36" t="inlineStr">
        <is>
          <t>Haute</t>
        </is>
      </c>
      <c r="J230" s="36" t="inlineStr">
        <is>
          <t>Complétée</t>
        </is>
      </c>
      <c r="K230" s="39" t="n">
        <v>1</v>
      </c>
      <c r="L230" s="16">
        <f>IF($B230="","",IF(J230="Complétée",1,IF(J230="Abandonnée",0,IF(K230&lt;&gt;"",K230,IFERROR(VLOOKUP(J230,Parametres!$B$6:$C$12,2,FALSE),0)))))</f>
        <v/>
      </c>
      <c r="M230" s="15">
        <f>IF($B230="","",IF(J230="Abandonnée",0,H230))</f>
        <v/>
      </c>
      <c r="N230" s="15">
        <f>IF($B230="","",M230*L230)</f>
        <v/>
      </c>
      <c r="O230" s="37" t="inlineStr">
        <is>
          <t>Abdou-Raouf</t>
        </is>
      </c>
      <c r="P230" s="40" t="n">
        <v>46279</v>
      </c>
      <c r="Q230" s="40" t="n">
        <v>46281</v>
      </c>
      <c r="R230" s="40" t="n">
        <v>46281</v>
      </c>
      <c r="S230" s="37" t="inlineStr"/>
      <c r="T230" s="36" t="inlineStr">
        <is>
          <t>Oui</t>
        </is>
      </c>
      <c r="U230" s="13">
        <f>IF($B230="","",IF(AND(J230&lt;&gt;"Complétée",J230&lt;&gt;"Abandonnée",Q230&lt;&gt;"",TODAY()&gt;Q230),"En retard",""))</f>
        <v/>
      </c>
      <c r="V230" s="37" t="inlineStr">
        <is>
          <t>Ajout audit 12/09/2026 ; charge initiale à revalider avec l'équipe ; voir docs/BILAN_AVANCEMENT_2026-09-12.md.</t>
        </is>
      </c>
    </row>
    <row r="231">
      <c r="B231" s="36" t="inlineStr">
        <is>
          <t>V1-092</t>
        </is>
      </c>
      <c r="C231" s="36" t="inlineStr">
        <is>
          <t>V1</t>
        </is>
      </c>
      <c r="D231" s="36" t="inlineStr">
        <is>
          <t>TRV</t>
        </is>
      </c>
      <c r="E231" s="37" t="inlineStr">
        <is>
          <t>QA et livraison</t>
        </is>
      </c>
      <c r="F231" s="37" t="inlineStr">
        <is>
          <t>Contrats et contrôles des parcours V1 : registre actionnable et preuves navigateur</t>
        </is>
      </c>
      <c r="G231" s="37" t="inlineStr">
        <is>
          <t>Contrats des parcours V1 documentés ; composants partagés inclus dans le scan ; aucun identifiant dynamique non couvert ; DEAD_CONTROL testé</t>
        </is>
      </c>
      <c r="H231" s="38" t="n">
        <v>3</v>
      </c>
      <c r="I231" s="36" t="inlineStr">
        <is>
          <t>Haute</t>
        </is>
      </c>
      <c r="J231" s="36" t="inlineStr">
        <is>
          <t>À faire</t>
        </is>
      </c>
      <c r="K231" s="39" t="n"/>
      <c r="L231" s="16">
        <f>IF($B231="","",IF(J231="Complétée",1,IF(J231="Abandonnée",0,IF(K231&lt;&gt;"",K231,IFERROR(VLOOKUP(J231,Parametres!$B$6:$C$12,2,FALSE),0)))))</f>
        <v/>
      </c>
      <c r="M231" s="15">
        <f>IF($B231="","",IF(J231="Abandonnée",0,H231))</f>
        <v/>
      </c>
      <c r="N231" s="15">
        <f>IF($B231="","",M231*L231)</f>
        <v/>
      </c>
      <c r="O231" s="37" t="inlineStr">
        <is>
          <t>Abdou-Raouf</t>
        </is>
      </c>
      <c r="P231" s="40" t="n">
        <v>46281</v>
      </c>
      <c r="Q231" s="40" t="n">
        <v>46304</v>
      </c>
      <c r="R231" s="40" t="n"/>
      <c r="S231" s="37" t="inlineStr">
        <is>
          <t>V1-091 ; A15</t>
        </is>
      </c>
      <c r="T231" s="36" t="inlineStr">
        <is>
          <t>Oui</t>
        </is>
      </c>
      <c r="U231" s="13">
        <f>IF($B231="","",IF(AND(J231&lt;&gt;"Complétée",J231&lt;&gt;"Abandonnée",Q231&lt;&gt;"",TODAY()&gt;Q231),"En retard",""))</f>
        <v/>
      </c>
      <c r="V231" s="37" t="inlineStr">
        <is>
          <t>Ajout audit 12/09/2026 ; charge initiale à revalider avec l'équipe ; voir docs/BILAN_AVANCEMENT_2026-09-12.md.</t>
        </is>
      </c>
    </row>
    <row r="232">
      <c r="B232" s="36" t="inlineStr">
        <is>
          <t>V1-093</t>
        </is>
      </c>
      <c r="C232" s="36" t="inlineStr">
        <is>
          <t>V1</t>
        </is>
      </c>
      <c r="D232" s="36" t="inlineStr">
        <is>
          <t>IDN</t>
        </is>
      </c>
      <c r="E232" s="37" t="inlineStr">
        <is>
          <t>Auth et rôles</t>
        </is>
      </c>
      <c r="F232" s="37" t="inlineStr">
        <is>
          <t>Adaptateur email effectif et sélection stricte des fournisseurs</t>
        </is>
      </c>
      <c r="G232" s="37" t="inlineStr">
        <is>
          <t>Message reçu via SMTP/Mailpit puis fournisseur retenu ; aucun mode réel ne retourne un faux connecteur ; erreur fournisseur explicite</t>
        </is>
      </c>
      <c r="H232" s="38" t="n">
        <v>3</v>
      </c>
      <c r="I232" s="36" t="inlineStr">
        <is>
          <t>Haute</t>
        </is>
      </c>
      <c r="J232" s="36" t="inlineStr">
        <is>
          <t>En revue</t>
        </is>
      </c>
      <c r="K232" s="39" t="n">
        <v>0.9</v>
      </c>
      <c r="L232" s="16">
        <f>IF($B232="","",IF(J232="Complétée",1,IF(J232="Abandonnée",0,IF(K232&lt;&gt;"",K232,IFERROR(VLOOKUP(J232,Parametres!$B$6:$C$12,2,FALSE),0)))))</f>
        <v/>
      </c>
      <c r="M232" s="15">
        <f>IF($B232="","",IF(J232="Abandonnée",0,H232))</f>
        <v/>
      </c>
      <c r="N232" s="15">
        <f>IF($B232="","",M232*L232)</f>
        <v/>
      </c>
      <c r="O232" s="37" t="inlineStr">
        <is>
          <t>Abdou-Raouf</t>
        </is>
      </c>
      <c r="P232" s="40" t="n">
        <v>46279</v>
      </c>
      <c r="Q232" s="40" t="n">
        <v>46286</v>
      </c>
      <c r="R232" s="40" t="n"/>
      <c r="S232" s="37" t="inlineStr">
        <is>
          <t>Choix fournisseur email pour la cible hors local</t>
        </is>
      </c>
      <c r="T232" s="36" t="inlineStr">
        <is>
          <t>Oui</t>
        </is>
      </c>
      <c r="U232" s="13">
        <f>IF($B232="","",IF(AND(J232&lt;&gt;"Complétée",J232&lt;&gt;"Abandonnée",Q232&lt;&gt;"",TODAY()&gt;Q232),"En retard",""))</f>
        <v/>
      </c>
      <c r="V232" s="37" t="inlineStr">
        <is>
          <t>Ajout audit 12/09/2026 ; charge initiale à revalider avec l'équipe ; voir docs/BILAN_AVANCEMENT_2026-09-12.md.</t>
        </is>
      </c>
    </row>
    <row r="233">
      <c r="B233" s="36" t="inlineStr">
        <is>
          <t>V1-094</t>
        </is>
      </c>
      <c r="C233" s="36" t="inlineStr">
        <is>
          <t>V1</t>
        </is>
      </c>
      <c r="D233" s="36" t="inlineStr">
        <is>
          <t>OPS</t>
        </is>
      </c>
      <c r="E233" s="37" t="inlineStr">
        <is>
          <t>Sécurité</t>
        </is>
      </c>
      <c r="F233" s="37" t="inlineStr">
        <is>
          <t>Persistance garantie des événements d'audit sensibles</t>
        </is>
      </c>
      <c r="G233" s="37" t="inlineStr">
        <is>
          <t>Action et preuve durables par transaction ou outbox ; panne du journal et rollback testés ; aucun succès perdu après arrêt du processus</t>
        </is>
      </c>
      <c r="H233" s="38" t="n">
        <v>3</v>
      </c>
      <c r="I233" s="36" t="inlineStr">
        <is>
          <t>Haute</t>
        </is>
      </c>
      <c r="J233" s="36" t="inlineStr">
        <is>
          <t>Complétée</t>
        </is>
      </c>
      <c r="K233" s="39" t="n">
        <v>1</v>
      </c>
      <c r="L233" s="16">
        <f>IF($B233="","",IF(J233="Complétée",1,IF(J233="Abandonnée",0,IF(K233&lt;&gt;"",K233,IFERROR(VLOOKUP(J233,Parametres!$B$6:$C$12,2,FALSE),0)))))</f>
        <v/>
      </c>
      <c r="M233" s="15">
        <f>IF($B233="","",IF(J233="Abandonnée",0,H233))</f>
        <v/>
      </c>
      <c r="N233" s="15">
        <f>IF($B233="","",M233*L233)</f>
        <v/>
      </c>
      <c r="O233" s="37" t="inlineStr">
        <is>
          <t>Abdou-Raouf</t>
        </is>
      </c>
      <c r="P233" s="40" t="n">
        <v>46281</v>
      </c>
      <c r="Q233" s="40" t="n">
        <v>46288</v>
      </c>
      <c r="R233" s="40" t="n">
        <v>46288</v>
      </c>
      <c r="S233" s="37" t="inlineStr">
        <is>
          <t>V1-045 ; AuditService.record</t>
        </is>
      </c>
      <c r="T233" s="36" t="inlineStr">
        <is>
          <t>Oui</t>
        </is>
      </c>
      <c r="U233" s="13">
        <f>IF($B233="","",IF(AND(J233&lt;&gt;"Complétée",J233&lt;&gt;"Abandonnée",Q233&lt;&gt;"",TODAY()&gt;Q233),"En retard",""))</f>
        <v/>
      </c>
      <c r="V233" s="37" t="inlineStr">
        <is>
          <t>Ajout audit 12/09/2026 ; charge initiale à revalider avec l'équipe ; voir docs/BILAN_AVANCEMENT_2026-09-12.md.</t>
        </is>
      </c>
    </row>
    <row r="234">
      <c r="B234" s="36" t="inlineStr">
        <is>
          <t>V2-044</t>
        </is>
      </c>
      <c r="C234" s="36" t="inlineStr">
        <is>
          <t>V2</t>
        </is>
      </c>
      <c r="D234" s="36" t="inlineStr">
        <is>
          <t>RPS</t>
        </is>
      </c>
      <c r="E234" s="37" t="inlineStr">
        <is>
          <t>Circuit RPS réel</t>
        </is>
      </c>
      <c r="F234" s="37" t="inlineStr">
        <is>
          <t>Durcissement RPS : admissions atomiques, journal append-only et identité interservices</t>
        </is>
      </c>
      <c r="G234" s="37" t="inlineStr">
        <is>
          <t>Admissions concurrentes ne dépassent pas le plafond ; chaîne séquentielle vérifiable ; UPDATE/DELETE refusés ; révocation ajoutée ; opérateur authentifié</t>
        </is>
      </c>
      <c r="H234" s="38" t="n">
        <v>5</v>
      </c>
      <c r="I234" s="36" t="inlineStr">
        <is>
          <t>Haute</t>
        </is>
      </c>
      <c r="J234" s="36" t="inlineStr">
        <is>
          <t>Backlog</t>
        </is>
      </c>
      <c r="K234" s="39" t="n"/>
      <c r="L234" s="16">
        <f>IF($B234="","",IF(J234="Complétée",1,IF(J234="Abandonnée",0,IF(K234&lt;&gt;"",K234,IFERROR(VLOOKUP(J234,Parametres!$B$6:$C$12,2,FALSE),0)))))</f>
        <v/>
      </c>
      <c r="M234" s="15">
        <f>IF($B234="","",IF(J234="Abandonnée",0,H234))</f>
        <v/>
      </c>
      <c r="N234" s="15">
        <f>IF($B234="","",M234*L234)</f>
        <v/>
      </c>
      <c r="O234" s="37" t="inlineStr">
        <is>
          <t>Abdou-Raouf</t>
        </is>
      </c>
      <c r="P234" s="40" t="n">
        <v>46311</v>
      </c>
      <c r="Q234" s="40" t="n">
        <v>46318</v>
      </c>
      <c r="R234" s="40" t="n"/>
      <c r="S234" s="37" t="inlineStr">
        <is>
          <t>V2-012 ; V2-014 ; V2-017</t>
        </is>
      </c>
      <c r="T234" s="36" t="inlineStr">
        <is>
          <t>Oui</t>
        </is>
      </c>
      <c r="U234" s="13">
        <f>IF($B234="","",IF(AND(J234&lt;&gt;"Complétée",J234&lt;&gt;"Abandonnée",Q234&lt;&gt;"",TODAY()&gt;Q234),"En retard",""))</f>
        <v/>
      </c>
      <c r="V234" s="37" t="inlineStr">
        <is>
          <t>Ajout audit 12/09/2026 ; charge initiale à revalider avec l'équipe ; voir docs/BILAN_AVANCEMENT_2026-09-12.md.</t>
        </is>
      </c>
    </row>
    <row r="235">
      <c r="B235" s="36" t="inlineStr">
        <is>
          <t>V2-045</t>
        </is>
      </c>
      <c r="C235" s="36" t="inlineStr">
        <is>
          <t>V2</t>
        </is>
      </c>
      <c r="D235" s="36" t="inlineStr">
        <is>
          <t>RPS</t>
        </is>
      </c>
      <c r="E235" s="37" t="inlineStr">
        <is>
          <t>Circuit RPS réel</t>
        </is>
      </c>
      <c r="F235" s="37" t="inlineStr">
        <is>
          <t>Branchement API vers RPS réel et refus par défaut en cas de panne</t>
        </is>
      </c>
      <c r="G235" s="37" t="inlineStr">
        <is>
          <t>Publication et communications passent par le RPS ; indisponibilité bloque la divulgation ; activation du drapeau seule insuffisante ; parcours intégré testé</t>
        </is>
      </c>
      <c r="H235" s="38" t="n">
        <v>4</v>
      </c>
      <c r="I235" s="36" t="inlineStr">
        <is>
          <t>Haute</t>
        </is>
      </c>
      <c r="J235" s="36" t="inlineStr">
        <is>
          <t>Backlog</t>
        </is>
      </c>
      <c r="K235" s="39" t="n"/>
      <c r="L235" s="16">
        <f>IF($B235="","",IF(J235="Complétée",1,IF(J235="Abandonnée",0,IF(K235&lt;&gt;"",K235,IFERROR(VLOOKUP(J235,Parametres!$B$6:$C$12,2,FALSE),0)))))</f>
        <v/>
      </c>
      <c r="M235" s="15">
        <f>IF($B235="","",IF(J235="Abandonnée",0,H235))</f>
        <v/>
      </c>
      <c r="N235" s="15">
        <f>IF($B235="","",M235*L235)</f>
        <v/>
      </c>
      <c r="O235" s="37" t="inlineStr">
        <is>
          <t>Abdou-Raouf</t>
        </is>
      </c>
      <c r="P235" s="40" t="n">
        <v>46317</v>
      </c>
      <c r="Q235" s="40" t="n">
        <v>46325</v>
      </c>
      <c r="R235" s="40" t="n"/>
      <c r="S235" s="37" t="inlineStr">
        <is>
          <t>V2-044 ; V2-001</t>
        </is>
      </c>
      <c r="T235" s="36" t="inlineStr">
        <is>
          <t>Oui</t>
        </is>
      </c>
      <c r="U235" s="13">
        <f>IF($B235="","",IF(AND(J235&lt;&gt;"Complétée",J235&lt;&gt;"Abandonnée",Q235&lt;&gt;"",TODAY()&gt;Q235),"En retard",""))</f>
        <v/>
      </c>
      <c r="V235" s="37" t="inlineStr">
        <is>
          <t>Ajout audit 12/09/2026 ; charge initiale à revalider avec l'équipe ; voir docs/BILAN_AVANCEMENT_2026-09-12.md.</t>
        </is>
      </c>
    </row>
    <row r="236">
      <c r="B236" s="36" t="inlineStr">
        <is>
          <t>V2-046</t>
        </is>
      </c>
      <c r="C236" s="36" t="inlineStr">
        <is>
          <t>V2</t>
        </is>
      </c>
      <c r="D236" s="36" t="inlineStr">
        <is>
          <t>IDN</t>
        </is>
      </c>
      <c r="E236" s="37" t="inlineStr">
        <is>
          <t>Mise en relation</t>
        </is>
      </c>
      <c r="F236" s="37" t="inlineStr">
        <is>
          <t>Vérification documentaire d'identité et qualification avec preuves (DP-IDN-050 / P08)</t>
        </is>
      </c>
      <c r="G236" s="37" t="inlineStr">
        <is>
          <t>Capture privée, revue humaine, OTP et recoupement registre tracés ; refus/expiration testés ; distinct de la simple vérification email ; sans biométrie</t>
        </is>
      </c>
      <c r="H236" s="38" t="n">
        <v>5</v>
      </c>
      <c r="I236" s="36" t="inlineStr">
        <is>
          <t>Haute</t>
        </is>
      </c>
      <c r="J236" s="36" t="inlineStr">
        <is>
          <t>Backlog</t>
        </is>
      </c>
      <c r="K236" s="39" t="n"/>
      <c r="L236" s="16">
        <f>IF($B236="","",IF(J236="Complétée",1,IF(J236="Abandonnée",0,IF(K236&lt;&gt;"",K236,IFERROR(VLOOKUP(J236,Parametres!$B$6:$C$12,2,FALSE),0)))))</f>
        <v/>
      </c>
      <c r="M236" s="15">
        <f>IF($B236="","",IF(J236="Abandonnée",0,H236))</f>
        <v/>
      </c>
      <c r="N236" s="15">
        <f>IF($B236="","",M236*L236)</f>
        <v/>
      </c>
      <c r="O236" s="37" t="inlineStr">
        <is>
          <t>Abdou-Raouf</t>
        </is>
      </c>
      <c r="P236" s="40" t="n">
        <v>46311</v>
      </c>
      <c r="Q236" s="40" t="n">
        <v>46323</v>
      </c>
      <c r="R236" s="40" t="n"/>
      <c r="S236" s="37" t="inlineStr">
        <is>
          <t>V1-028 ; V1-035 ; V1-093</t>
        </is>
      </c>
      <c r="T236" s="36" t="inlineStr">
        <is>
          <t>Oui</t>
        </is>
      </c>
      <c r="U236" s="13">
        <f>IF($B236="","",IF(AND(J236&lt;&gt;"Complétée",J236&lt;&gt;"Abandonnée",Q236&lt;&gt;"",TODAY()&gt;Q236),"En retard",""))</f>
        <v/>
      </c>
      <c r="V236" s="37" t="inlineStr">
        <is>
          <t>Ajout audit 12/09/2026 ; charge initiale à revalider avec l'équipe ; voir docs/BILAN_AVANCEMENT_2026-09-12.md.</t>
        </is>
      </c>
    </row>
    <row r="237">
      <c r="B237" s="36" t="inlineStr">
        <is>
          <t>V3-044</t>
        </is>
      </c>
      <c r="C237" s="36" t="inlineStr">
        <is>
          <t>V3</t>
        </is>
      </c>
      <c r="D237" s="36" t="inlineStr">
        <is>
          <t>IDN</t>
        </is>
      </c>
      <c r="E237" s="37" t="inlineStr">
        <is>
          <t>Facturation abonnements</t>
        </is>
      </c>
      <c r="F237" s="37" t="inlineStr">
        <is>
          <t>Abonnements prépayés, renouvellement, grâce et factures NIF (DP-IDN-041 à 045)</t>
        </is>
      </c>
      <c r="G237" s="37" t="inlineStr">
        <is>
          <t>Périodes prépayées ; lecture seule puis teaser puis suspension sans effacement ; facture NIF ; promotions et virement institutionnel tracés</t>
        </is>
      </c>
      <c r="H237" s="38" t="n">
        <v>8</v>
      </c>
      <c r="I237" s="36" t="inlineStr">
        <is>
          <t>Haute</t>
        </is>
      </c>
      <c r="J237" s="36" t="inlineStr">
        <is>
          <t>Backlog</t>
        </is>
      </c>
      <c r="K237" s="39" t="n"/>
      <c r="L237" s="16">
        <f>IF($B237="","",IF(J237="Complétée",1,IF(J237="Abandonnée",0,IF(K237&lt;&gt;"",K237,IFERROR(VLOOKUP(J237,Parametres!$B$6:$C$12,2,FALSE),0)))))</f>
        <v/>
      </c>
      <c r="M237" s="15">
        <f>IF($B237="","",IF(J237="Abandonnée",0,H237))</f>
        <v/>
      </c>
      <c r="N237" s="15">
        <f>IF($B237="","",M237*L237)</f>
        <v/>
      </c>
      <c r="O237" s="37" t="inlineStr">
        <is>
          <t>Abdou-Raouf</t>
        </is>
      </c>
      <c r="P237" s="40" t="n">
        <v>46352</v>
      </c>
      <c r="Q237" s="40" t="n">
        <v>46367</v>
      </c>
      <c r="R237" s="40" t="n"/>
      <c r="S237" s="37" t="inlineStr">
        <is>
          <t>V1-032 ; prestataire de paiement</t>
        </is>
      </c>
      <c r="T237" s="36" t="inlineStr">
        <is>
          <t>Oui</t>
        </is>
      </c>
      <c r="U237" s="13">
        <f>IF($B237="","",IF(AND(J237&lt;&gt;"Complétée",J237&lt;&gt;"Abandonnée",Q237&lt;&gt;"",TODAY()&gt;Q237),"En retard",""))</f>
        <v/>
      </c>
      <c r="V237" s="37" t="inlineStr">
        <is>
          <t>Ajout audit 12/09/2026 ; charge initiale à revalider avec l'équipe ; voir docs/BILAN_AVANCEMENT_2026-09-12.md.</t>
        </is>
      </c>
    </row>
    <row r="238">
      <c r="B238" s="36" t="inlineStr">
        <is>
          <t>V3-045</t>
        </is>
      </c>
      <c r="C238" s="36" t="inlineStr">
        <is>
          <t>V3</t>
        </is>
      </c>
      <c r="D238" s="36" t="inlineStr">
        <is>
          <t>FIN</t>
        </is>
      </c>
      <c r="E238" s="37" t="inlineStr">
        <is>
          <t>Facturation abonnements</t>
        </is>
      </c>
      <c r="F238" s="37" t="inlineStr">
        <is>
          <t>Paiement des services et rapprochement par rail (DP-OPS-030 à 032)</t>
        </is>
      </c>
      <c r="G238" s="37" t="inlineStr">
        <is>
          <t>Agrégateur principal et secours ; mobile money et carte diaspora ; états autorisé/capturé/réglé/rapproché datés ; rejeu et panne testés ; aucun séquestre de cession</t>
        </is>
      </c>
      <c r="H238" s="38" t="n">
        <v>8</v>
      </c>
      <c r="I238" s="36" t="inlineStr">
        <is>
          <t>Haute</t>
        </is>
      </c>
      <c r="J238" s="36" t="inlineStr">
        <is>
          <t>Backlog</t>
        </is>
      </c>
      <c r="K238" s="39" t="n"/>
      <c r="L238" s="16">
        <f>IF($B238="","",IF(J238="Complétée",1,IF(J238="Abandonnée",0,IF(K238&lt;&gt;"",K238,IFERROR(VLOOKUP(J238,Parametres!$B$6:$C$12,2,FALSE),0)))))</f>
        <v/>
      </c>
      <c r="M238" s="15">
        <f>IF($B238="","",IF(J238="Abandonnée",0,H238))</f>
        <v/>
      </c>
      <c r="N238" s="15">
        <f>IF($B238="","",M238*L238)</f>
        <v/>
      </c>
      <c r="O238" s="37" t="inlineStr">
        <is>
          <t>Abdou-Raouf</t>
        </is>
      </c>
      <c r="P238" s="40" t="n">
        <v>46352</v>
      </c>
      <c r="Q238" s="40" t="n">
        <v>46372</v>
      </c>
      <c r="R238" s="40" t="n"/>
      <c r="S238" s="37" t="inlineStr">
        <is>
          <t>Contrat agrégateur ; V1-023</t>
        </is>
      </c>
      <c r="T238" s="36" t="inlineStr">
        <is>
          <t>Oui</t>
        </is>
      </c>
      <c r="U238" s="13">
        <f>IF($B238="","",IF(AND(J238&lt;&gt;"Complétée",J238&lt;&gt;"Abandonnée",Q238&lt;&gt;"",TODAY()&gt;Q238),"En retard",""))</f>
        <v/>
      </c>
      <c r="V238" s="37" t="inlineStr">
        <is>
          <t>Ajout audit 12/09/2026 ; charge initiale à revalider avec l'équipe ; voir docs/BILAN_AVANCEMENT_2026-09-12.md.</t>
        </is>
      </c>
    </row>
    <row r="239">
      <c r="B239" s="36" t="inlineStr">
        <is>
          <t>V3-046</t>
        </is>
      </c>
      <c r="C239" s="36" t="inlineStr">
        <is>
          <t>V3</t>
        </is>
      </c>
      <c r="D239" s="36" t="inlineStr">
        <is>
          <t>OPS</t>
        </is>
      </c>
      <c r="E239" s="37" t="inlineStr">
        <is>
          <t>QA et livraison</t>
        </is>
      </c>
      <c r="F239" s="37" t="inlineStr">
        <is>
          <t>Tests de capacité et de réseau au niveau du pilote</t>
        </is>
      </c>
      <c r="G239" s="37" t="inlineStr">
        <is>
          <t>Scénarios à 2x la cible documentée ; latences, erreurs, viewer 3G et limites mesurées ; rapport archivé</t>
        </is>
      </c>
      <c r="H239" s="38" t="n">
        <v>4</v>
      </c>
      <c r="I239" s="36" t="inlineStr">
        <is>
          <t>Haute</t>
        </is>
      </c>
      <c r="J239" s="36" t="inlineStr">
        <is>
          <t>Backlog</t>
        </is>
      </c>
      <c r="K239" s="39" t="n"/>
      <c r="L239" s="16">
        <f>IF($B239="","",IF(J239="Complétée",1,IF(J239="Abandonnée",0,IF(K239&lt;&gt;"",K239,IFERROR(VLOOKUP(J239,Parametres!$B$6:$C$12,2,FALSE),0)))))</f>
        <v/>
      </c>
      <c r="M239" s="15">
        <f>IF($B239="","",IF(J239="Abandonnée",0,H239))</f>
        <v/>
      </c>
      <c r="N239" s="15">
        <f>IF($B239="","",M239*L239)</f>
        <v/>
      </c>
      <c r="O239" s="37" t="inlineStr">
        <is>
          <t>Abdou-Raouf</t>
        </is>
      </c>
      <c r="P239" s="40" t="n">
        <v>46370</v>
      </c>
      <c r="Q239" s="40" t="n">
        <v>46377</v>
      </c>
      <c r="R239" s="40" t="n"/>
      <c r="S239" s="37" t="inlineStr">
        <is>
          <t>V2-043 ; staging</t>
        </is>
      </c>
      <c r="T239" s="36" t="inlineStr">
        <is>
          <t>Oui</t>
        </is>
      </c>
      <c r="U239" s="13">
        <f>IF($B239="","",IF(AND(J239&lt;&gt;"Complétée",J239&lt;&gt;"Abandonnée",Q239&lt;&gt;"",TODAY()&gt;Q239),"En retard",""))</f>
        <v/>
      </c>
      <c r="V239" s="37" t="inlineStr">
        <is>
          <t>Ajout audit 12/09/2026 ; charge initiale à revalider avec l'équipe ; voir docs/BILAN_AVANCEMENT_2026-09-12.md.</t>
        </is>
      </c>
    </row>
    <row r="240">
      <c r="B240" s="36" t="inlineStr">
        <is>
          <t>V3-047</t>
        </is>
      </c>
      <c r="C240" s="36" t="inlineStr">
        <is>
          <t>V3</t>
        </is>
      </c>
      <c r="D240" s="36" t="inlineStr">
        <is>
          <t>TRV</t>
        </is>
      </c>
      <c r="E240" s="37" t="inlineStr">
        <is>
          <t>QA et livraison</t>
        </is>
      </c>
      <c r="F240" s="37" t="inlineStr">
        <is>
          <t>Recette V3 intégrée : transaction, facturation, exploitation et portes G1 à G10</t>
        </is>
      </c>
      <c r="G240" s="37" t="inlineStr">
        <is>
          <t>Parcours complet avec preuves ; restauration et incidents exercés ; aucun P0/P1 ouvert ; validation métier archivée avant livraison</t>
        </is>
      </c>
      <c r="H240" s="38" t="n">
        <v>4</v>
      </c>
      <c r="I240" s="36" t="inlineStr">
        <is>
          <t>Haute</t>
        </is>
      </c>
      <c r="J240" s="36" t="inlineStr">
        <is>
          <t>Backlog</t>
        </is>
      </c>
      <c r="K240" s="39" t="n"/>
      <c r="L240" s="16">
        <f>IF($B240="","",IF(J240="Complétée",1,IF(J240="Abandonnée",0,IF(K240&lt;&gt;"",K240,IFERROR(VLOOKUP(J240,Parametres!$B$6:$C$12,2,FALSE),0)))))</f>
        <v/>
      </c>
      <c r="M240" s="15">
        <f>IF($B240="","",IF(J240="Abandonnée",0,H240))</f>
        <v/>
      </c>
      <c r="N240" s="15">
        <f>IF($B240="","",M240*L240)</f>
        <v/>
      </c>
      <c r="O240" s="37" t="inlineStr">
        <is>
          <t>Abdou-Raouf</t>
        </is>
      </c>
      <c r="P240" s="40" t="n">
        <v>46377</v>
      </c>
      <c r="Q240" s="40" t="n">
        <v>46386</v>
      </c>
      <c r="R240" s="40" t="n"/>
      <c r="S240" s="37" t="inlineStr">
        <is>
          <t>V3-044 ; V3-045 ; V3-046 ; J11 ; J12</t>
        </is>
      </c>
      <c r="T240" s="36" t="inlineStr">
        <is>
          <t>Oui</t>
        </is>
      </c>
      <c r="U240" s="13">
        <f>IF($B240="","",IF(AND(J240&lt;&gt;"Complétée",J240&lt;&gt;"Abandonnée",Q240&lt;&gt;"",TODAY()&gt;Q240),"En retard",""))</f>
        <v/>
      </c>
      <c r="V240" s="37" t="inlineStr">
        <is>
          <t>Ajout audit 12/09/2026 ; charge initiale à revalider avec l'équipe ; voir docs/BILAN_AVANCEMENT_2026-09-12.md.</t>
        </is>
      </c>
    </row>
    <row r="241">
      <c r="B241" s="36" t="inlineStr">
        <is>
          <t>V4-025</t>
        </is>
      </c>
      <c r="C241" s="36" t="inlineStr">
        <is>
          <t>V4</t>
        </is>
      </c>
      <c r="D241" s="36" t="inlineStr">
        <is>
          <t>TRV</t>
        </is>
      </c>
      <c r="E241" s="37" t="inlineStr">
        <is>
          <t>QA et livraison</t>
        </is>
      </c>
      <c r="F241" s="37" t="inlineStr">
        <is>
          <t>Recette V4 intégrée : Rebond, Deal-Connect, Diaspora et Experts</t>
        </is>
      </c>
      <c r="G241" s="37" t="inlineStr">
        <is>
          <t>Parcours des quatre services, contrats partenaires, confidentialité et révocation expert testés ; preuves desktop/mobile ; corrections closes</t>
        </is>
      </c>
      <c r="H241" s="38" t="n">
        <v>4</v>
      </c>
      <c r="I241" s="36" t="inlineStr">
        <is>
          <t>Haute</t>
        </is>
      </c>
      <c r="J241" s="36" t="inlineStr">
        <is>
          <t>Backlog</t>
        </is>
      </c>
      <c r="K241" s="39" t="n"/>
      <c r="L241" s="16">
        <f>IF($B241="","",IF(J241="Complétée",1,IF(J241="Abandonnée",0,IF(K241&lt;&gt;"",K241,IFERROR(VLOOKUP(J241,Parametres!$B$6:$C$12,2,FALSE),0)))))</f>
        <v/>
      </c>
      <c r="M241" s="15">
        <f>IF($B241="","",IF(J241="Abandonnée",0,H241))</f>
        <v/>
      </c>
      <c r="N241" s="15">
        <f>IF($B241="","",M241*L241)</f>
        <v/>
      </c>
      <c r="O241" s="37" t="inlineStr">
        <is>
          <t>Abdou-Raouf</t>
        </is>
      </c>
      <c r="P241" s="40" t="n">
        <v>46419</v>
      </c>
      <c r="Q241" s="40" t="n">
        <v>46423</v>
      </c>
      <c r="R241" s="40" t="n"/>
      <c r="S241" s="37" t="inlineStr">
        <is>
          <t>V3-047 ; A04 ; connecteur Remo réel</t>
        </is>
      </c>
      <c r="T241" s="36" t="inlineStr">
        <is>
          <t>Oui</t>
        </is>
      </c>
      <c r="U241" s="13">
        <f>IF($B241="","",IF(AND(J241&lt;&gt;"Complétée",J241&lt;&gt;"Abandonnée",Q241&lt;&gt;"",TODAY()&gt;Q241),"En retard",""))</f>
        <v/>
      </c>
      <c r="V241" s="37" t="inlineStr">
        <is>
          <t>Ajout audit 12/09/2026 ; charge initiale à revalider avec l'équipe ; voir docs/BILAN_AVANCEMENT_2026-09-12.md.</t>
        </is>
      </c>
    </row>
    <row r="242">
      <c r="B242" s="36" t="inlineStr">
        <is>
          <t>V1-095</t>
        </is>
      </c>
      <c r="C242" s="36" t="inlineStr">
        <is>
          <t>V1</t>
        </is>
      </c>
      <c r="D242" s="36" t="inlineStr">
        <is>
          <t>MKT</t>
        </is>
      </c>
      <c r="E242" s="37" t="inlineStr">
        <is>
          <t>Marketplace actifs</t>
        </is>
      </c>
      <c r="F242" s="37" t="inlineStr">
        <is>
          <t>Correctif de messagerie : réponse ciblée du cédant et isolation des conversations</t>
        </is>
      </c>
      <c r="G242" s="37" t="inlineStr">
        <is>
          <t>Aller-retour reçu par le bon repreneur ; deux repreneurs ne lisent jamais leurs fils respectifs ; RLS et pièces jointes avant NDA testées</t>
        </is>
      </c>
      <c r="H242" s="38" t="n">
        <v>3</v>
      </c>
      <c r="I242" s="36" t="inlineStr">
        <is>
          <t>Haute</t>
        </is>
      </c>
      <c r="J242" s="36" t="inlineStr">
        <is>
          <t>Complétée</t>
        </is>
      </c>
      <c r="K242" s="39" t="n">
        <v>1</v>
      </c>
      <c r="L242" s="16">
        <f>IF($B242="","",IF(J242="Complétée",1,IF(J242="Abandonnée",0,IF(K242&lt;&gt;"",K242,IFERROR(VLOOKUP(J242,Parametres!$B$6:$C$12,2,FALSE),0)))))</f>
        <v/>
      </c>
      <c r="M242" s="15">
        <f>IF($B242="","",IF(J242="Abandonnée",0,H242))</f>
        <v/>
      </c>
      <c r="N242" s="15">
        <f>IF($B242="","",M242*L242)</f>
        <v/>
      </c>
      <c r="O242" s="37" t="inlineStr">
        <is>
          <t>Abdou-Raouf</t>
        </is>
      </c>
      <c r="P242" s="40" t="n">
        <v>46286</v>
      </c>
      <c r="Q242" s="40" t="n">
        <v>46290</v>
      </c>
      <c r="R242" s="40" t="n">
        <v>46290</v>
      </c>
      <c r="S242" s="37" t="inlineStr">
        <is>
          <t>V1-054</t>
        </is>
      </c>
      <c r="T242" s="36" t="inlineStr">
        <is>
          <t>Oui</t>
        </is>
      </c>
      <c r="U242" s="13">
        <f>IF($B242="","",IF(AND(J242&lt;&gt;"Complétée",J242&lt;&gt;"Abandonnée",Q242&lt;&gt;"",TODAY()&gt;Q242),"En retard",""))</f>
        <v/>
      </c>
      <c r="V242" s="37" t="inlineStr">
        <is>
          <t>Ajout audit 12/09/2026 ; charge initiale à revalider avec l'équipe ; voir docs/BILAN_AVANCEMENT_2026-09-12.md.</t>
        </is>
      </c>
    </row>
    <row r="243">
      <c r="B243" s="36" t="inlineStr">
        <is>
          <t>V1-096</t>
        </is>
      </c>
      <c r="C243" s="36" t="inlineStr">
        <is>
          <t>V1</t>
        </is>
      </c>
      <c r="D243" s="36" t="inlineStr">
        <is>
          <t>MKT</t>
        </is>
      </c>
      <c r="E243" s="37" t="inlineStr">
        <is>
          <t>Marketplace actifs</t>
        </is>
      </c>
      <c r="F243" s="37" t="inlineStr">
        <is>
          <t>Traitement des alertes sauvegardées : matching et envoi automatisé</t>
        </is>
      </c>
      <c r="G243" s="37" t="inlineStr">
        <is>
          <t>Nouvelle opportunité déclenche une notification avec opt-in ; révocation stoppe les envois ; aucun contenu hors palier ; reprise et dédoublonnage testés</t>
        </is>
      </c>
      <c r="H243" s="38" t="n">
        <v>4</v>
      </c>
      <c r="I243" s="36" t="inlineStr">
        <is>
          <t>Haute</t>
        </is>
      </c>
      <c r="J243" s="36" t="inlineStr">
        <is>
          <t>Complétée</t>
        </is>
      </c>
      <c r="K243" s="39" t="n">
        <v>1</v>
      </c>
      <c r="L243" s="16">
        <f>IF($B243="","",IF(J243="Complétée",1,IF(J243="Abandonnée",0,IF(K243&lt;&gt;"",K243,IFERROR(VLOOKUP(J243,Parametres!$B$6:$C$12,2,FALSE),0)))))</f>
        <v/>
      </c>
      <c r="M243" s="15">
        <f>IF($B243="","",IF(J243="Abandonnée",0,H243))</f>
        <v/>
      </c>
      <c r="N243" s="15">
        <f>IF($B243="","",M243*L243)</f>
        <v/>
      </c>
      <c r="O243" s="37" t="inlineStr">
        <is>
          <t>Abdou-Raouf</t>
        </is>
      </c>
      <c r="P243" s="40" t="n">
        <v>46289</v>
      </c>
      <c r="Q243" s="40" t="n">
        <v>46297</v>
      </c>
      <c r="R243" s="40" t="n">
        <v>46297</v>
      </c>
      <c r="S243" s="37" t="inlineStr">
        <is>
          <t>V1-055 ; V1-093</t>
        </is>
      </c>
      <c r="T243" s="36" t="inlineStr">
        <is>
          <t>Oui</t>
        </is>
      </c>
      <c r="U243" s="13">
        <f>IF($B243="","",IF(AND(J243&lt;&gt;"Complétée",J243&lt;&gt;"Abandonnée",Q243&lt;&gt;"",TODAY()&gt;Q243),"En retard",""))</f>
        <v/>
      </c>
      <c r="V243" s="37" t="inlineStr">
        <is>
          <t>Ajout audit 12/09/2026 ; charge initiale à revalider avec l'équipe ; voir docs/BILAN_AVANCEMENT_2026-09-12.md.</t>
        </is>
      </c>
    </row>
    <row r="244">
      <c r="B244" s="36" t="inlineStr">
        <is>
          <t>V1-097</t>
        </is>
      </c>
      <c r="C244" s="36" t="inlineStr">
        <is>
          <t>V1</t>
        </is>
      </c>
      <c r="D244" s="36" t="inlineStr">
        <is>
          <t>OPS</t>
        </is>
      </c>
      <c r="E244" s="37" t="inlineStr">
        <is>
          <t>Fondations</t>
        </is>
      </c>
      <c r="F244" s="37" t="inlineStr">
        <is>
          <t>Centralisation des journaux et déclenchement des alertes 5xx</t>
        </is>
      </c>
      <c r="G244" s="37" t="inlineStr">
        <is>
          <t>Journaux centralisés ; erreur serveur répétée déclenche une notification reçue ; preuve du test conservée</t>
        </is>
      </c>
      <c r="H244" s="38" t="n">
        <v>2</v>
      </c>
      <c r="I244" s="36" t="inlineStr">
        <is>
          <t>Haute</t>
        </is>
      </c>
      <c r="J244" s="36" t="inlineStr">
        <is>
          <t>En revue</t>
        </is>
      </c>
      <c r="K244" s="39" t="n">
        <v>0.85</v>
      </c>
      <c r="L244" s="16">
        <f>IF($B244="","",IF(J244="Complétée",1,IF(J244="Abandonnée",0,IF(K244&lt;&gt;"",K244,IFERROR(VLOOKUP(J244,Parametres!$B$6:$C$12,2,FALSE),0)))))</f>
        <v/>
      </c>
      <c r="M244" s="15">
        <f>IF($B244="","",IF(J244="Abandonnée",0,H244))</f>
        <v/>
      </c>
      <c r="N244" s="15">
        <f>IF($B244="","",M244*L244)</f>
        <v/>
      </c>
      <c r="O244" s="37" t="inlineStr">
        <is>
          <t>Abdou-Raouf</t>
        </is>
      </c>
      <c r="P244" s="40" t="n">
        <v>46300</v>
      </c>
      <c r="Q244" s="40" t="n">
        <v>46303</v>
      </c>
      <c r="R244" s="40" t="n"/>
      <c r="S244" s="37" t="inlineStr">
        <is>
          <t>V1-016 ; V1-009</t>
        </is>
      </c>
      <c r="T244" s="36" t="inlineStr">
        <is>
          <t>Oui</t>
        </is>
      </c>
      <c r="U244" s="13">
        <f>IF($B244="","",IF(AND(J244&lt;&gt;"Complétée",J244&lt;&gt;"Abandonnée",Q244&lt;&gt;"",TODAY()&gt;Q244),"En retard",""))</f>
        <v/>
      </c>
      <c r="V244" s="37" t="inlineStr">
        <is>
          <t>Ajout audit 12/09/2026 ; charge initiale à revalider avec l'équipe ; voir docs/BILAN_AVANCEMENT_2026-09-12.md.</t>
        </is>
      </c>
    </row>
    <row r="245">
      <c r="B245" s="36" t="inlineStr">
        <is>
          <t>V1-098</t>
        </is>
      </c>
      <c r="C245" s="36" t="inlineStr">
        <is>
          <t>V1</t>
        </is>
      </c>
      <c r="D245" s="36" t="inlineStr">
        <is>
          <t>OPS</t>
        </is>
      </c>
      <c r="E245" s="37" t="inlineStr">
        <is>
          <t>Fondations</t>
        </is>
      </c>
      <c r="F245" s="37" t="inlineStr">
        <is>
          <t>Automatisation des sauvegardes et durcissement du contrôle de restauration</t>
        </is>
      </c>
      <c r="G245" s="37" t="inlineStr">
        <is>
          <t>Sauvegarde quotidienne programmée ; aucune erreur pg_restore masquée ; comparaison au manifeste daté ; objets contrôlés ; preuve de restauration archivée</t>
        </is>
      </c>
      <c r="H245" s="38" t="n">
        <v>2</v>
      </c>
      <c r="I245" s="36" t="inlineStr">
        <is>
          <t>Haute</t>
        </is>
      </c>
      <c r="J245" s="36" t="inlineStr">
        <is>
          <t>En revue</t>
        </is>
      </c>
      <c r="K245" s="39" t="n">
        <v>0.9</v>
      </c>
      <c r="L245" s="16">
        <f>IF($B245="","",IF(J245="Complétée",1,IF(J245="Abandonnée",0,IF(K245&lt;&gt;"",K245,IFERROR(VLOOKUP(J245,Parametres!$B$6:$C$12,2,FALSE),0)))))</f>
        <v/>
      </c>
      <c r="M245" s="15">
        <f>IF($B245="","",IF(J245="Abandonnée",0,H245))</f>
        <v/>
      </c>
      <c r="N245" s="15">
        <f>IF($B245="","",M245*L245)</f>
        <v/>
      </c>
      <c r="O245" s="37" t="inlineStr">
        <is>
          <t>Abdou-Raouf</t>
        </is>
      </c>
      <c r="P245" s="40" t="n">
        <v>46301</v>
      </c>
      <c r="Q245" s="40" t="n">
        <v>46304</v>
      </c>
      <c r="R245" s="40" t="n"/>
      <c r="S245" s="37" t="inlineStr">
        <is>
          <t>V1-017</t>
        </is>
      </c>
      <c r="T245" s="36" t="inlineStr">
        <is>
          <t>Oui</t>
        </is>
      </c>
      <c r="U245" s="13">
        <f>IF($B245="","",IF(AND(J245&lt;&gt;"Complétée",J245&lt;&gt;"Abandonnée",Q245&lt;&gt;"",TODAY()&gt;Q245),"En retard",""))</f>
        <v/>
      </c>
      <c r="V245" s="37" t="inlineStr">
        <is>
          <t>Ajout audit 12/09/2026 ; charge initiale à revalider avec l'équipe ; voir docs/BILAN_AVANCEMENT_2026-09-12.md.</t>
        </is>
      </c>
    </row>
    <row r="246">
      <c r="B246" s="36" t="inlineStr">
        <is>
          <t>V1-099</t>
        </is>
      </c>
      <c r="C246" s="36" t="inlineStr">
        <is>
          <t>V1</t>
        </is>
      </c>
      <c r="D246" s="36" t="inlineStr">
        <is>
          <t>MKT</t>
        </is>
      </c>
      <c r="E246" s="37" t="inlineStr">
        <is>
          <t>Frontend et design</t>
        </is>
      </c>
      <c r="F246" s="37" t="inlineStr">
        <is>
          <t>Extension de la fiche opportunité : six onglets et états de divulgation</t>
        </is>
      </c>
      <c r="G246" s="37" t="inlineStr">
        <is>
          <t>Six onglets du corpus couverts avec états accessibles ou bloqués explicites ; aucune donnée T1/T2 inventée ou divulguée ; écarts de fidélité documentés et validés</t>
        </is>
      </c>
      <c r="H246" s="38" t="n">
        <v>3</v>
      </c>
      <c r="I246" s="36" t="inlineStr">
        <is>
          <t>Haute</t>
        </is>
      </c>
      <c r="J246" s="36" t="inlineStr">
        <is>
          <t>À faire</t>
        </is>
      </c>
      <c r="K246" s="39" t="n"/>
      <c r="L246" s="16">
        <f>IF($B246="","",IF(J246="Complétée",1,IF(J246="Abandonnée",0,IF(K246&lt;&gt;"",K246,IFERROR(VLOOKUP(J246,Parametres!$B$6:$C$12,2,FALSE),0)))))</f>
        <v/>
      </c>
      <c r="M246" s="15">
        <f>IF($B246="","",IF(J246="Abandonnée",0,H246))</f>
        <v/>
      </c>
      <c r="N246" s="15">
        <f>IF($B246="","",M246*L246)</f>
        <v/>
      </c>
      <c r="O246" s="37" t="inlineStr">
        <is>
          <t>Abdou-Raouf</t>
        </is>
      </c>
      <c r="P246" s="40" t="n">
        <v>46293</v>
      </c>
      <c r="Q246" s="40" t="n">
        <v>46302</v>
      </c>
      <c r="R246" s="40" t="n"/>
      <c r="S246" s="37" t="inlineStr">
        <is>
          <t>V1-057 ; V1-092</t>
        </is>
      </c>
      <c r="T246" s="36" t="inlineStr">
        <is>
          <t>Oui</t>
        </is>
      </c>
      <c r="U246" s="13">
        <f>IF($B246="","",IF(AND(J246&lt;&gt;"Complétée",J246&lt;&gt;"Abandonnée",Q246&lt;&gt;"",TODAY()&gt;Q246),"En retard",""))</f>
        <v/>
      </c>
      <c r="V246" s="37" t="inlineStr">
        <is>
          <t>Ajout audit 12/09/2026 ; charge initiale à revalider avec l'équipe ; voir docs/BILAN_AVANCEMENT_2026-09-12.md.</t>
        </is>
      </c>
    </row>
    <row r="247">
      <c r="B247" s="36" t="inlineStr">
        <is>
          <t>V1-100</t>
        </is>
      </c>
      <c r="C247" s="36" t="inlineStr">
        <is>
          <t>V1</t>
        </is>
      </c>
      <c r="D247" s="36" t="inlineStr">
        <is>
          <t>TRV</t>
        </is>
      </c>
      <c r="E247" s="37" t="inlineStr">
        <is>
          <t>QA et livraison</t>
        </is>
      </c>
      <c r="F247" s="37" t="inlineStr">
        <is>
          <t>Extension des tests aux parcours navigateur et archivage des preuves de recette</t>
        </is>
      </c>
      <c r="G247" s="37" t="inlineStr">
        <is>
          <t>Smoke API rejoué ; inscription, dossier, certification, publication et échange testés en navigateur ; états négatifs et mobile ; qa/e2e-results.json relié au commit</t>
        </is>
      </c>
      <c r="H247" s="38" t="n">
        <v>3</v>
      </c>
      <c r="I247" s="36" t="inlineStr">
        <is>
          <t>Haute</t>
        </is>
      </c>
      <c r="J247" s="36" t="inlineStr">
        <is>
          <t>À faire</t>
        </is>
      </c>
      <c r="K247" s="39" t="n"/>
      <c r="L247" s="16">
        <f>IF($B247="","",IF(J247="Complétée",1,IF(J247="Abandonnée",0,IF(K247&lt;&gt;"",K247,IFERROR(VLOOKUP(J247,Parametres!$B$6:$C$12,2,FALSE),0)))))</f>
        <v/>
      </c>
      <c r="M247" s="15">
        <f>IF($B247="","",IF(J247="Abandonnée",0,H247))</f>
        <v/>
      </c>
      <c r="N247" s="15">
        <f>IF($B247="","",M247*L247)</f>
        <v/>
      </c>
      <c r="O247" s="37" t="inlineStr">
        <is>
          <t>Abdou-Raouf</t>
        </is>
      </c>
      <c r="P247" s="40" t="n">
        <v>46303</v>
      </c>
      <c r="Q247" s="40" t="n">
        <v>46309</v>
      </c>
      <c r="R247" s="40" t="n"/>
      <c r="S247" s="37" t="inlineStr">
        <is>
          <t>V1-084 ; V1-085 ; V1-086 ; V1-092 ; V1-095 ; V1-099</t>
        </is>
      </c>
      <c r="T247" s="36" t="inlineStr">
        <is>
          <t>Oui</t>
        </is>
      </c>
      <c r="U247" s="13">
        <f>IF($B247="","",IF(AND(J247&lt;&gt;"Complétée",J247&lt;&gt;"Abandonnée",Q247&lt;&gt;"",TODAY()&gt;Q247),"En retard",""))</f>
        <v/>
      </c>
      <c r="V247" s="37" t="inlineStr">
        <is>
          <t>Ajout audit 12/09/2026 ; charge initiale à revalider avec l'équipe ; voir docs/BILAN_AVANCEMENT_2026-09-12.md.</t>
        </is>
      </c>
    </row>
    <row r="248">
      <c r="B248" s="36" t="inlineStr">
        <is>
          <t>V1-101</t>
        </is>
      </c>
      <c r="C248" s="36" t="inlineStr">
        <is>
          <t>V1</t>
        </is>
      </c>
      <c r="D248" s="36" t="inlineStr">
        <is>
          <t>IDN</t>
        </is>
      </c>
      <c r="E248" s="37" t="inlineStr">
        <is>
          <t>Auth et rôles</t>
        </is>
      </c>
      <c r="F248" s="37" t="inlineStr">
        <is>
          <t>Boîte SMS locale réutilisable : API HTTP, interface de réception et simulation d'incidents</t>
        </is>
      </c>
      <c r="G248" s="37" t="inlineStr">
        <is>
          <t>OTP lisible dans une boîte locale indépendante du métier ; filtres et API de test ; 429/5xx/timeout simulables ; aucune remise opérateur annoncée</t>
        </is>
      </c>
      <c r="H248" s="38" t="n">
        <v>4</v>
      </c>
      <c r="I248" s="36" t="inlineStr">
        <is>
          <t>Haute</t>
        </is>
      </c>
      <c r="J248" s="36" t="inlineStr">
        <is>
          <t>Complétée</t>
        </is>
      </c>
      <c r="K248" s="39" t="n">
        <v>1</v>
      </c>
      <c r="L248" s="16">
        <f>IF($B248="","",IF(J248="Complétée",1,IF(J248="Abandonnée",0,IF(K248&lt;&gt;"",K248,IFERROR(VLOOKUP(J248,Parametres!$B$6:$C$12,2,FALSE),0)))))</f>
        <v/>
      </c>
      <c r="M248" s="15">
        <f>IF($B248="","",IF(J248="Abandonnée",0,H248))</f>
        <v/>
      </c>
      <c r="N248" s="15">
        <f>IF($B248="","",M248*L248)</f>
        <v/>
      </c>
      <c r="O248" s="37" t="inlineStr">
        <is>
          <t>Abdou-Raouf</t>
        </is>
      </c>
      <c r="P248" s="40" t="n">
        <v>46282</v>
      </c>
      <c r="Q248" s="40" t="n">
        <v>46288</v>
      </c>
      <c r="R248" s="40" t="n">
        <v>46288</v>
      </c>
      <c r="S248" s="37" t="inlineStr">
        <is>
          <t>V1-091 ; SmsPort</t>
        </is>
      </c>
      <c r="T248" s="36" t="inlineStr">
        <is>
          <t>Oui</t>
        </is>
      </c>
      <c r="U248" s="13">
        <f>IF($B248="","",IF(AND(J248&lt;&gt;"Complétée",J248&lt;&gt;"Abandonnée",Q248&lt;&gt;"",TODAY()&gt;Q248),"En retard",""))</f>
        <v/>
      </c>
      <c r="V248" s="37" t="inlineStr">
        <is>
          <t>Réunion direction / précisions du chef de projet, 12/09/2026. Lot et preuves : docs/PLAN_EXECUTION.md. Charge initiale estimée ; dates des versions maintenues.</t>
        </is>
      </c>
    </row>
    <row r="249">
      <c r="B249" s="36" t="inlineStr">
        <is>
          <t>V1-102</t>
        </is>
      </c>
      <c r="C249" s="36" t="inlineStr">
        <is>
          <t>V1</t>
        </is>
      </c>
      <c r="D249" s="36" t="inlineStr">
        <is>
          <t>IDN</t>
        </is>
      </c>
      <c r="E249" s="37" t="inlineStr">
        <is>
          <t>QA et livraison</t>
        </is>
      </c>
      <c r="F249" s="37" t="inlineStr">
        <is>
          <t>Contrats email/SMS et bascule de fournisseur par configuration</t>
        </is>
      </c>
      <c r="G249" s="37" t="inlineStr">
        <is>
          <t>Même suite fake/local/sandbox ; aucun repli silencieux ; timeouts, rejeu, expiration et consommation OTP concurrente testés ; E2E lit les boîtes plutôt que devCode</t>
        </is>
      </c>
      <c r="H249" s="38" t="n">
        <v>2</v>
      </c>
      <c r="I249" s="36" t="inlineStr">
        <is>
          <t>Haute</t>
        </is>
      </c>
      <c r="J249" s="36" t="inlineStr">
        <is>
          <t>En revue</t>
        </is>
      </c>
      <c r="K249" s="39" t="n">
        <v>0.9</v>
      </c>
      <c r="L249" s="16">
        <f>IF($B249="","",IF(J249="Complétée",1,IF(J249="Abandonnée",0,IF(K249&lt;&gt;"",K249,IFERROR(VLOOKUP(J249,Parametres!$B$6:$C$12,2,FALSE),0)))))</f>
        <v/>
      </c>
      <c r="M249" s="15">
        <f>IF($B249="","",IF(J249="Abandonnée",0,H249))</f>
        <v/>
      </c>
      <c r="N249" s="15">
        <f>IF($B249="","",M249*L249)</f>
        <v/>
      </c>
      <c r="O249" s="37" t="inlineStr">
        <is>
          <t>Abdou-Raouf</t>
        </is>
      </c>
      <c r="P249" s="40" t="n">
        <v>46288</v>
      </c>
      <c r="Q249" s="40" t="n">
        <v>46290</v>
      </c>
      <c r="R249" s="40" t="n"/>
      <c r="S249" s="37" t="inlineStr">
        <is>
          <t>V1-093 ; V1-101 ; V1-028 pour recette opérateur</t>
        </is>
      </c>
      <c r="T249" s="36" t="inlineStr">
        <is>
          <t>Oui</t>
        </is>
      </c>
      <c r="U249" s="13">
        <f>IF($B249="","",IF(AND(J249&lt;&gt;"Complétée",J249&lt;&gt;"Abandonnée",Q249&lt;&gt;"",TODAY()&gt;Q249),"En retard",""))</f>
        <v/>
      </c>
      <c r="V249" s="37" t="inlineStr">
        <is>
          <t>Réunion direction / précisions du chef de projet, 12/09/2026. Lot et preuves : docs/PLAN_EXECUTION.md. Charge initiale estimée ; dates des versions maintenues.</t>
        </is>
      </c>
    </row>
    <row r="250">
      <c r="B250" s="36" t="inlineStr">
        <is>
          <t>V1-103</t>
        </is>
      </c>
      <c r="C250" s="36" t="inlineStr">
        <is>
          <t>V1</t>
        </is>
      </c>
      <c r="D250" s="36" t="inlineStr">
        <is>
          <t>TRV</t>
        </is>
      </c>
      <c r="E250" s="37" t="inlineStr">
        <is>
          <t>Conception</t>
        </is>
      </c>
      <c r="F250" s="37" t="inlineStr">
        <is>
          <t>Cartographie du corpus par module : exigences, écrans, reporting et preuves VDR</t>
        </is>
      </c>
      <c r="G250" s="37" t="inlineStr">
        <is>
          <t>Chaque famille de ressources inventoriée, autorité et doublons indiqués ; lien source &gt; tâche &gt; écran &gt; test ; références VDR et services consultables avant chaque lot</t>
        </is>
      </c>
      <c r="H250" s="38" t="n">
        <v>3</v>
      </c>
      <c r="I250" s="36" t="inlineStr">
        <is>
          <t>Haute</t>
        </is>
      </c>
      <c r="J250" s="36" t="inlineStr">
        <is>
          <t>À faire</t>
        </is>
      </c>
      <c r="K250" s="39" t="n"/>
      <c r="L250" s="16">
        <f>IF($B250="","",IF(J250="Complétée",1,IF(J250="Abandonnée",0,IF(K250&lt;&gt;"",K250,IFERROR(VLOOKUP(J250,Parametres!$B$6:$C$12,2,FALSE),0)))))</f>
        <v/>
      </c>
      <c r="M250" s="15">
        <f>IF($B250="","",IF(J250="Abandonnée",0,H250))</f>
        <v/>
      </c>
      <c r="N250" s="15">
        <f>IF($B250="","",M250*L250)</f>
        <v/>
      </c>
      <c r="O250" s="37" t="inlineStr">
        <is>
          <t>Abdou-Raouf</t>
        </is>
      </c>
      <c r="P250" s="40" t="n">
        <v>46279</v>
      </c>
      <c r="Q250" s="40" t="n">
        <v>46283</v>
      </c>
      <c r="R250" s="40" t="n"/>
      <c r="S250" s="37" t="inlineStr">
        <is>
          <t>Master Handoff ; V1-089</t>
        </is>
      </c>
      <c r="T250" s="36" t="inlineStr">
        <is>
          <t>Oui</t>
        </is>
      </c>
      <c r="U250" s="13">
        <f>IF($B250="","",IF(AND(J250&lt;&gt;"Complétée",J250&lt;&gt;"Abandonnée",Q250&lt;&gt;"",TODAY()&gt;Q250),"En retard",""))</f>
        <v/>
      </c>
      <c r="V250" s="37" t="inlineStr">
        <is>
          <t>Réunion direction / précisions du chef de projet, 12/09/2026. Lot et preuves : docs/PLAN_EXECUTION.md. Charge initiale estimée ; dates des versions maintenues.</t>
        </is>
      </c>
    </row>
    <row r="251">
      <c r="B251" s="36" t="inlineStr">
        <is>
          <t>V1-104</t>
        </is>
      </c>
      <c r="C251" s="36" t="inlineStr">
        <is>
          <t>V1</t>
        </is>
      </c>
      <c r="D251" s="36" t="inlineStr">
        <is>
          <t>CNX</t>
        </is>
      </c>
      <c r="E251" s="37" t="inlineStr">
        <is>
          <t>Deal-Connect (Remo)</t>
        </is>
      </c>
      <c r="F251" s="37" t="inlineStr">
        <is>
          <t>Qualification technique des abonnements événementiels et prototype d'intégration</t>
        </is>
      </c>
      <c r="G251" s="37" t="inlineStr">
        <is>
          <t>Matrice exhaustive des capacités Remo pertinentes et de l'offre possédée : API, SSO, branding global/événement, rôles, quotas, inscriptions, présence, webhooks et exports ; suite de contrats et fiche de branchement prêtes ; qualification réelle à réception des accès</t>
        </is>
      </c>
      <c r="H251" s="38" t="n">
        <v>4</v>
      </c>
      <c r="I251" s="36" t="inlineStr">
        <is>
          <t>Haute</t>
        </is>
      </c>
      <c r="J251" s="36" t="inlineStr">
        <is>
          <t>En revue</t>
        </is>
      </c>
      <c r="K251" s="39" t="n">
        <v>0.9</v>
      </c>
      <c r="L251" s="16">
        <f>IF($B251="","",IF(J251="Complétée",1,IF(J251="Abandonnée",0,IF(K251&lt;&gt;"",K251,IFERROR(VLOOKUP(J251,Parametres!$B$6:$C$12,2,FALSE),0)))))</f>
        <v/>
      </c>
      <c r="M251" s="15">
        <f>IF($B251="","",IF(J251="Abandonnée",0,H251))</f>
        <v/>
      </c>
      <c r="N251" s="15">
        <f>IF($B251="","",M251*L251)</f>
        <v/>
      </c>
      <c r="O251" s="37" t="inlineStr">
        <is>
          <t>Abdou-Raouf</t>
        </is>
      </c>
      <c r="P251" s="40" t="n">
        <v>46283</v>
      </c>
      <c r="Q251" s="40" t="n">
        <v>46289</v>
      </c>
      <c r="R251" s="40" t="n"/>
      <c r="S251" s="37" t="inlineStr">
        <is>
          <t>V1-067 ; A17 : accès et plans exacts</t>
        </is>
      </c>
      <c r="T251" s="36" t="inlineStr">
        <is>
          <t>Oui</t>
        </is>
      </c>
      <c r="U251" s="13">
        <f>IF($B251="","",IF(AND(J251&lt;&gt;"Complétée",J251&lt;&gt;"Abandonnée",Q251&lt;&gt;"",TODAY()&gt;Q251),"En retard",""))</f>
        <v/>
      </c>
      <c r="V251" s="37" t="inlineStr">
        <is>
          <t>Matrice et sources disponibles. Sous-recettes explicites V1-112 à V1-115 ; V1-107 conserve la qualification captation/export. Clôture d'ensemble en V1-116.</t>
        </is>
      </c>
    </row>
    <row r="252">
      <c r="B252" s="36" t="inlineStr">
        <is>
          <t>V1-105</t>
        </is>
      </c>
      <c r="C252" s="36" t="inlineStr">
        <is>
          <t>V1</t>
        </is>
      </c>
      <c r="D252" s="36" t="inlineStr">
        <is>
          <t>CNX</t>
        </is>
      </c>
      <c r="E252" s="37" t="inlineStr">
        <is>
          <t>Deal-Connect (Remo)</t>
        </is>
      </c>
      <c r="F252" s="37" t="inlineStr">
        <is>
          <t>Console organisateur DealPME : création, personnalisation et gestion de l'événement</t>
        </is>
      </c>
      <c r="G252" s="37" t="inlineStr">
        <is>
          <t>Console organisateur : créer, personnaliser et gérer les événements ; branding global et surcharges par événement séparés ; états de synchronisation, erreurs et reprise visibles ; parcours conservés lors de la bascule Remo réelle</t>
        </is>
      </c>
      <c r="H252" s="38" t="n">
        <v>5</v>
      </c>
      <c r="I252" s="36" t="inlineStr">
        <is>
          <t>Haute</t>
        </is>
      </c>
      <c r="J252" s="36" t="inlineStr">
        <is>
          <t>Complétée</t>
        </is>
      </c>
      <c r="K252" s="39" t="n">
        <v>1</v>
      </c>
      <c r="L252" s="16">
        <f>IF($B252="","",IF(J252="Complétée",1,IF(J252="Abandonnée",0,IF(K252&lt;&gt;"",K252,IFERROR(VLOOKUP(J252,Parametres!$B$6:$C$12,2,FALSE),0)))))</f>
        <v/>
      </c>
      <c r="M252" s="15">
        <f>IF($B252="","",IF(J252="Abandonnée",0,H252))</f>
        <v/>
      </c>
      <c r="N252" s="15">
        <f>IF($B252="","",M252*L252)</f>
        <v/>
      </c>
      <c r="O252" s="37" t="inlineStr">
        <is>
          <t>Abdou-Raouf</t>
        </is>
      </c>
      <c r="P252" s="40" t="n">
        <v>46289</v>
      </c>
      <c r="Q252" s="40" t="n">
        <v>46300</v>
      </c>
      <c r="R252" s="40" t="n">
        <v>46300</v>
      </c>
      <c r="S252" s="37" t="inlineStr">
        <is>
          <t>V1-068 ; V1-104 ; V1-106</t>
        </is>
      </c>
      <c r="T252" s="36" t="inlineStr">
        <is>
          <t>Oui</t>
        </is>
      </c>
      <c r="U252" s="13">
        <f>IF($B252="","",IF(AND(J252&lt;&gt;"Complétée",J252&lt;&gt;"Abandonnée",Q252&lt;&gt;"",TODAY()&gt;Q252),"En retard",""))</f>
        <v/>
      </c>
      <c r="V252" s="37" t="inlineStr">
        <is>
          <t>Acquis conservé : console organisateur livrée et testée, qa/l05-remo-verification.json. Câblage V1-110/111/117 éprouvé ; recettes branding V1-114 et bout en bout V1-115 encore ouvertes. L05 non clos.</t>
        </is>
      </c>
    </row>
    <row r="253">
      <c r="B253" s="36" t="inlineStr">
        <is>
          <t>V1-106</t>
        </is>
      </c>
      <c r="C253" s="36" t="inlineStr">
        <is>
          <t>V1</t>
        </is>
      </c>
      <c r="D253" s="36" t="inlineStr">
        <is>
          <t>CNX</t>
        </is>
      </c>
      <c r="E253" s="37" t="inlineStr">
        <is>
          <t>Deal-Connect (Remo)</t>
        </is>
      </c>
      <c r="F253" s="37" t="inlineStr">
        <is>
          <t>Réservations du compte événementiel partagé : quotas, concurrence et séparation des produits</t>
        </is>
      </c>
      <c r="G253" s="37" t="inlineStr">
        <is>
          <t>Deux réservations concurrentes respectent le quota vérifié ; compte, produit et événement distincts ; annulation/reprise rapprochées ; créations hors registre explicitement couvertes ou signalées</t>
        </is>
      </c>
      <c r="H253" s="38" t="n">
        <v>3</v>
      </c>
      <c r="I253" s="36" t="inlineStr">
        <is>
          <t>Haute</t>
        </is>
      </c>
      <c r="J253" s="36" t="inlineStr">
        <is>
          <t>En revue</t>
        </is>
      </c>
      <c r="K253" s="39" t="n">
        <v>0.95</v>
      </c>
      <c r="L253" s="16">
        <f>IF($B253="","",IF(J253="Complétée",1,IF(J253="Abandonnée",0,IF(K253&lt;&gt;"",K253,IFERROR(VLOOKUP(J253,Parametres!$B$6:$C$12,2,FALSE),0)))))</f>
        <v/>
      </c>
      <c r="M253" s="15">
        <f>IF($B253="","",IF(J253="Abandonnée",0,H253))</f>
        <v/>
      </c>
      <c r="N253" s="15">
        <f>IF($B253="","",M253*L253)</f>
        <v/>
      </c>
      <c r="O253" s="37" t="inlineStr">
        <is>
          <t>Abdou-Raouf</t>
        </is>
      </c>
      <c r="P253" s="40" t="n">
        <v>46289</v>
      </c>
      <c r="Q253" s="40" t="n">
        <v>46294</v>
      </c>
      <c r="R253" s="40" t="n"/>
      <c r="S253" s="37" t="inlineStr">
        <is>
          <t>V1-104 ; A18 : quota simultané et usage multi-produits</t>
        </is>
      </c>
      <c r="T253" s="36" t="inlineStr">
        <is>
          <t>Oui</t>
        </is>
      </c>
      <c r="U253" s="13">
        <f>IF($B253="","",IF(AND(J253&lt;&gt;"Complétée",J253&lt;&gt;"Abandonnée",Q253&lt;&gt;"",TODAY()&gt;Q253),"En retard",""))</f>
        <v/>
      </c>
      <c r="V253" s="37" t="inlineStr">
        <is>
          <t>Registre partagé éprouvé localement. Le quota de simulation ne valide pas l'offre : paramètres réels V1-112, concurrence et couverture du compte V1-115, écarts V1-116.</t>
        </is>
      </c>
    </row>
    <row r="254">
      <c r="B254" s="36" t="inlineStr">
        <is>
          <t>V1-107</t>
        </is>
      </c>
      <c r="C254" s="36" t="inlineStr">
        <is>
          <t>V1</t>
        </is>
      </c>
      <c r="D254" s="36" t="inlineStr">
        <is>
          <t>CNX</t>
        </is>
      </c>
      <c r="E254" s="37" t="inlineStr">
        <is>
          <t>Conception</t>
        </is>
      </c>
      <c r="F254" s="37" t="inlineStr">
        <is>
          <t>Prototype de captation des réunions : agent participant, exports et couverture des sessions</t>
        </is>
      </c>
      <c r="G254" s="37" t="inlineStr">
        <is>
          <t>Sur réunion synthétique : connexion autorisée, captation et arrêt démontrés ; scène et tables vérifiées séparément ; quotas agents, reprise et portions manquantes mesurés ; stratégie retenue tracée</t>
        </is>
      </c>
      <c r="H254" s="38" t="n">
        <v>3</v>
      </c>
      <c r="I254" s="36" t="inlineStr">
        <is>
          <t>Haute</t>
        </is>
      </c>
      <c r="J254" s="36" t="inlineStr">
        <is>
          <t>En cours</t>
        </is>
      </c>
      <c r="K254" s="39" t="n">
        <v>0.55</v>
      </c>
      <c r="L254" s="16">
        <f>IF($B254="","",IF(J254="Complétée",1,IF(J254="Abandonnée",0,IF(K254&lt;&gt;"",K254,IFERROR(VLOOKUP(J254,Parametres!$B$6:$C$12,2,FALSE),0)))))</f>
        <v/>
      </c>
      <c r="M254" s="15">
        <f>IF($B254="","",IF(J254="Abandonnée",0,H254))</f>
        <v/>
      </c>
      <c r="N254" s="15">
        <f>IF($B254="","",M254*L254)</f>
        <v/>
      </c>
      <c r="O254" s="37" t="inlineStr">
        <is>
          <t>Abdou-Raouf</t>
        </is>
      </c>
      <c r="P254" s="40" t="n">
        <v>46290</v>
      </c>
      <c r="Q254" s="40" t="n">
        <v>46297</v>
      </c>
      <c r="R254" s="40" t="n"/>
      <c r="S254" s="37" t="inlineStr">
        <is>
          <t>V1-104 ; A17 ; A21</t>
        </is>
      </c>
      <c r="T254" s="36" t="inlineStr">
        <is>
          <t>Oui</t>
        </is>
      </c>
      <c r="U254" s="13">
        <f>IF($B254="","",IF(AND(J254&lt;&gt;"Complétée",J254&lt;&gt;"Abandonnée",Q254&lt;&gt;"",TODAY()&gt;Q254),"En retard",""))</f>
        <v/>
      </c>
      <c r="V254" s="37" t="inlineStr">
        <is>
          <t>Prototype synthétique conservé ; voix réelles, tables/scène, agent et exports natifs restent à qualifier avec A17/A21. Cette tâche reste un prérequis de clôture V1-116 ; le pipeline de rapports V2 n'est pas anticipé.</t>
        </is>
      </c>
    </row>
    <row r="255">
      <c r="B255" s="36" t="inlineStr">
        <is>
          <t>V1-108</t>
        </is>
      </c>
      <c r="C255" s="36" t="inlineStr">
        <is>
          <t>V1</t>
        </is>
      </c>
      <c r="D255" s="36" t="inlineStr">
        <is>
          <t>OPS</t>
        </is>
      </c>
      <c r="E255" s="37" t="inlineStr">
        <is>
          <t>Conception</t>
        </is>
      </c>
      <c r="F255" s="37" t="inlineStr">
        <is>
          <t>Dimensionnement du serveur dédié et demande d'accès pour DealPME et les services associés</t>
        </is>
      </c>
      <c r="G255" s="37" t="inlineStr">
        <is>
          <t>Spécifications et enveloppe stockage/sauvegarde envoyées et validées ; accès, DNS et isolation par service confirmés ; charge ASR/agents distinguée du serveur applicatif</t>
        </is>
      </c>
      <c r="H255" s="38" t="n">
        <v>2</v>
      </c>
      <c r="I255" s="36" t="inlineStr">
        <is>
          <t>Haute</t>
        </is>
      </c>
      <c r="J255" s="36" t="inlineStr">
        <is>
          <t>À faire</t>
        </is>
      </c>
      <c r="K255" s="39" t="n"/>
      <c r="L255" s="16">
        <f>IF($B255="","",IF(J255="Complétée",1,IF(J255="Abandonnée",0,IF(K255&lt;&gt;"",K255,IFERROR(VLOOKUP(J255,Parametres!$B$6:$C$12,2,FALSE),0)))))</f>
        <v/>
      </c>
      <c r="M255" s="15">
        <f>IF($B255="","",IF(J255="Abandonnée",0,H255))</f>
        <v/>
      </c>
      <c r="N255" s="15">
        <f>IF($B255="","",M255*L255)</f>
        <v/>
      </c>
      <c r="O255" s="37" t="inlineStr">
        <is>
          <t>Abdou-Raouf</t>
        </is>
      </c>
      <c r="P255" s="40" t="n">
        <v>46279</v>
      </c>
      <c r="Q255" s="40" t="n">
        <v>46283</v>
      </c>
      <c r="R255" s="40" t="n"/>
      <c r="S255" s="37" t="inlineStr">
        <is>
          <t>A19 : serveur dédié ; V1-009</t>
        </is>
      </c>
      <c r="T255" s="36" t="inlineStr">
        <is>
          <t>Oui</t>
        </is>
      </c>
      <c r="U255" s="13">
        <f>IF($B255="","",IF(AND(J255&lt;&gt;"Complétée",J255&lt;&gt;"Abandonnée",Q255&lt;&gt;"",TODAY()&gt;Q255),"En retard",""))</f>
        <v/>
      </c>
      <c r="V255" s="37" t="inlineStr">
        <is>
          <t>Réunion direction / précisions du chef de projet, 12/09/2026. Lot et preuves : docs/PLAN_EXECUTION.md. Charge initiale estimée ; dates des versions maintenues.</t>
        </is>
      </c>
    </row>
    <row r="256">
      <c r="B256" s="36" t="inlineStr">
        <is>
          <t>V2-047</t>
        </is>
      </c>
      <c r="C256" s="36" t="inlineStr">
        <is>
          <t>V2</t>
        </is>
      </c>
      <c r="D256" s="36" t="inlineStr">
        <is>
          <t>CNX</t>
        </is>
      </c>
      <c r="E256" s="37" t="inlineStr">
        <is>
          <t>Réunions et comptes rendus</t>
        </is>
      </c>
      <c r="F256" s="37" t="inlineStr">
        <is>
          <t>Mini-réunions privées depuis un dossier avec plusieurs repreneurs invités</t>
        </is>
      </c>
      <c r="G256" s="37" t="inlineStr">
        <is>
          <t>Création depuis le dossier ; invitations nominatives, consentement à visibilité mutuelle ; qualification/RPS/NDA selon palier ; accès revérifié à l'entrée ; révocation testée ; aucun listing public</t>
        </is>
      </c>
      <c r="H256" s="38" t="n">
        <v>6</v>
      </c>
      <c r="I256" s="36" t="inlineStr">
        <is>
          <t>Haute</t>
        </is>
      </c>
      <c r="J256" s="36" t="inlineStr">
        <is>
          <t>Backlog</t>
        </is>
      </c>
      <c r="K256" s="39" t="n"/>
      <c r="L256" s="16">
        <f>IF($B256="","",IF(J256="Complétée",1,IF(J256="Abandonnée",0,IF(K256&lt;&gt;"",K256,IFERROR(VLOOKUP(J256,Parametres!$B$6:$C$12,2,FALSE),0)))))</f>
        <v/>
      </c>
      <c r="M256" s="15">
        <f>IF($B256="","",IF(J256="Abandonnée",0,H256))</f>
        <v/>
      </c>
      <c r="N256" s="15">
        <f>IF($B256="","",M256*L256)</f>
        <v/>
      </c>
      <c r="O256" s="37" t="inlineStr">
        <is>
          <t>Abdou-Raouf</t>
        </is>
      </c>
      <c r="P256" s="40" t="n">
        <v>46328</v>
      </c>
      <c r="Q256" s="40" t="n">
        <v>46339</v>
      </c>
      <c r="R256" s="40" t="n"/>
      <c r="S256" s="37" t="inlineStr">
        <is>
          <t>V2-045 ; V2-046 ; V2-025 ; V1-106</t>
        </is>
      </c>
      <c r="T256" s="36" t="inlineStr">
        <is>
          <t>Oui</t>
        </is>
      </c>
      <c r="U256" s="13">
        <f>IF($B256="","",IF(AND(J256&lt;&gt;"Complétée",J256&lt;&gt;"Abandonnée",Q256&lt;&gt;"",TODAY()&gt;Q256),"En retard",""))</f>
        <v/>
      </c>
      <c r="V256" s="37" t="inlineStr">
        <is>
          <t>Réunion direction / précisions du chef de projet, 12/09/2026. Lot et preuves : docs/PLAN_EXECUTION.md. Charge initiale estimée ; dates des versions maintenues.</t>
        </is>
      </c>
    </row>
    <row r="257">
      <c r="B257" s="36" t="inlineStr">
        <is>
          <t>V2-048</t>
        </is>
      </c>
      <c r="C257" s="36" t="inlineStr">
        <is>
          <t>V2</t>
        </is>
      </c>
      <c r="D257" s="36" t="inlineStr">
        <is>
          <t>CNX</t>
        </is>
      </c>
      <c r="E257" s="37" t="inlineStr">
        <is>
          <t>Réunions et comptes rendus</t>
        </is>
      </c>
      <c r="F257" s="37" t="inlineStr">
        <is>
          <t>Connecteur réutilisable d'agent de réunion et captation résiliente</t>
        </is>
      </c>
      <c r="G257" s="37" t="inlineStr">
        <is>
          <t>Agent admis uniquement aux sessions autorisées ; états connecté/captation/partiel/échec ; reprise bornée, dédoublonnage, arrêt et couverture testés ; adaptateur réellement éprouvé sur la plateforme retenue</t>
        </is>
      </c>
      <c r="H257" s="38" t="n">
        <v>8</v>
      </c>
      <c r="I257" s="36" t="inlineStr">
        <is>
          <t>Haute</t>
        </is>
      </c>
      <c r="J257" s="36" t="inlineStr">
        <is>
          <t>Backlog</t>
        </is>
      </c>
      <c r="K257" s="39" t="n"/>
      <c r="L257" s="16">
        <f>IF($B257="","",IF(J257="Complétée",1,IF(J257="Abandonnée",0,IF(K257&lt;&gt;"",K257,IFERROR(VLOOKUP(J257,Parametres!$B$6:$C$12,2,FALSE),0)))))</f>
        <v/>
      </c>
      <c r="M257" s="15">
        <f>IF($B257="","",IF(J257="Abandonnée",0,H257))</f>
        <v/>
      </c>
      <c r="N257" s="15">
        <f>IF($B257="","",M257*L257)</f>
        <v/>
      </c>
      <c r="O257" s="37" t="inlineStr">
        <is>
          <t>Abdou-Raouf</t>
        </is>
      </c>
      <c r="P257" s="40" t="n">
        <v>46311</v>
      </c>
      <c r="Q257" s="40" t="n">
        <v>46330</v>
      </c>
      <c r="R257" s="40" t="n"/>
      <c r="S257" s="37" t="inlineStr">
        <is>
          <t>V1-107 ; A17 ; A21</t>
        </is>
      </c>
      <c r="T257" s="36" t="inlineStr">
        <is>
          <t>Oui</t>
        </is>
      </c>
      <c r="U257" s="13">
        <f>IF($B257="","",IF(AND(J257&lt;&gt;"Complétée",J257&lt;&gt;"Abandonnée",Q257&lt;&gt;"",TODAY()&gt;Q257),"En retard",""))</f>
        <v/>
      </c>
      <c r="V257" s="37" t="inlineStr">
        <is>
          <t>Réunion direction / précisions du chef de projet, 12/09/2026. Lot et preuves : docs/PLAN_EXECUTION.md. Charge initiale estimée ; dates des versions maintenues.</t>
        </is>
      </c>
    </row>
    <row r="258">
      <c r="B258" s="36" t="inlineStr">
        <is>
          <t>V2-049</t>
        </is>
      </c>
      <c r="C258" s="36" t="inlineStr">
        <is>
          <t>V2</t>
        </is>
      </c>
      <c r="D258" s="36" t="inlineStr">
        <is>
          <t>CNX</t>
        </is>
      </c>
      <c r="E258" s="37" t="inlineStr">
        <is>
          <t>Réunions et comptes rendus</t>
        </is>
      </c>
      <c r="F258" s="37" t="inlineStr">
        <is>
          <t>Transcription et compte rendu de contenu : sources, revue et distribution ciblée</t>
        </is>
      </c>
      <c r="G258" s="37" t="inlineStr">
        <is>
          <t>Segments horodatés et couverture visibles ; résumé sourcé avec moteur autorisé ; brouillon puis revue ; seuls participants autorisés reçoivent le lien ; import de transcript distingué du live</t>
        </is>
      </c>
      <c r="H258" s="38" t="n">
        <v>6</v>
      </c>
      <c r="I258" s="36" t="inlineStr">
        <is>
          <t>Haute</t>
        </is>
      </c>
      <c r="J258" s="36" t="inlineStr">
        <is>
          <t>Backlog</t>
        </is>
      </c>
      <c r="K258" s="39" t="n"/>
      <c r="L258" s="16">
        <f>IF($B258="","",IF(J258="Complétée",1,IF(J258="Abandonnée",0,IF(K258&lt;&gt;"",K258,IFERROR(VLOOKUP(J258,Parametres!$B$6:$C$12,2,FALSE),0)))))</f>
        <v/>
      </c>
      <c r="M258" s="15">
        <f>IF($B258="","",IF(J258="Abandonnée",0,H258))</f>
        <v/>
      </c>
      <c r="N258" s="15">
        <f>IF($B258="","",M258*L258)</f>
        <v/>
      </c>
      <c r="O258" s="37" t="inlineStr">
        <is>
          <t>Abdou-Raouf</t>
        </is>
      </c>
      <c r="P258" s="40" t="n">
        <v>46330</v>
      </c>
      <c r="Q258" s="40" t="n">
        <v>46344</v>
      </c>
      <c r="R258" s="40" t="n"/>
      <c r="S258" s="37" t="inlineStr">
        <is>
          <t>V2-048 ; V1-093 ; A21 : traitement audio et résumé</t>
        </is>
      </c>
      <c r="T258" s="36" t="inlineStr">
        <is>
          <t>Oui</t>
        </is>
      </c>
      <c r="U258" s="13">
        <f>IF($B258="","",IF(AND(J258&lt;&gt;"Complétée",J258&lt;&gt;"Abandonnée",Q258&lt;&gt;"",TODAY()&gt;Q258),"En retard",""))</f>
        <v/>
      </c>
      <c r="V258" s="37" t="inlineStr">
        <is>
          <t>Réunion direction / précisions du chef de projet, 12/09/2026. Lot et preuves : docs/PLAN_EXECUTION.md. Charge initiale estimée ; dates des versions maintenues.</t>
        </is>
      </c>
    </row>
    <row r="259">
      <c r="B259" s="36" t="inlineStr">
        <is>
          <t>V2-050</t>
        </is>
      </c>
      <c r="C259" s="36" t="inlineStr">
        <is>
          <t>V2</t>
        </is>
      </c>
      <c r="D259" s="36" t="inlineStr">
        <is>
          <t>OPS</t>
        </is>
      </c>
      <c r="E259" s="37" t="inlineStr">
        <is>
          <t>QA et sécurité</t>
        </is>
      </c>
      <c r="F259" s="37" t="inlineStr">
        <is>
          <t>Recette des agents et rapports : injections, permissions, révocation et reprises</t>
        </is>
      </c>
      <c r="G259" s="37" t="inlineStr">
        <is>
          <t>Une instruction dans un transcript ne change ni outils ni destinataires ; aucune fuite inter-session/produit ; révocation effective ; pannes audio/IA, sources manquantes et double envoi testés</t>
        </is>
      </c>
      <c r="H259" s="38" t="n">
        <v>4</v>
      </c>
      <c r="I259" s="36" t="inlineStr">
        <is>
          <t>Haute</t>
        </is>
      </c>
      <c r="J259" s="36" t="inlineStr">
        <is>
          <t>Backlog</t>
        </is>
      </c>
      <c r="K259" s="39" t="n"/>
      <c r="L259" s="16">
        <f>IF($B259="","",IF(J259="Complétée",1,IF(J259="Abandonnée",0,IF(K259&lt;&gt;"",K259,IFERROR(VLOOKUP(J259,Parametres!$B$6:$C$12,2,FALSE),0)))))</f>
        <v/>
      </c>
      <c r="M259" s="15">
        <f>IF($B259="","",IF(J259="Abandonnée",0,H259))</f>
        <v/>
      </c>
      <c r="N259" s="15">
        <f>IF($B259="","",M259*L259)</f>
        <v/>
      </c>
      <c r="O259" s="37" t="inlineStr">
        <is>
          <t>Abdou-Raouf</t>
        </is>
      </c>
      <c r="P259" s="40" t="n">
        <v>46344</v>
      </c>
      <c r="Q259" s="40" t="n">
        <v>46350</v>
      </c>
      <c r="R259" s="40" t="n"/>
      <c r="S259" s="37" t="inlineStr">
        <is>
          <t>V2-047 ; V2-048 ; V2-049</t>
        </is>
      </c>
      <c r="T259" s="36" t="inlineStr">
        <is>
          <t>Oui</t>
        </is>
      </c>
      <c r="U259" s="13">
        <f>IF($B259="","",IF(AND(J259&lt;&gt;"Complétée",J259&lt;&gt;"Abandonnée",Q259&lt;&gt;"",TODAY()&gt;Q259),"En retard",""))</f>
        <v/>
      </c>
      <c r="V259" s="37" t="inlineStr">
        <is>
          <t>Réunion direction / précisions du chef de projet, 12/09/2026. Lot et preuves : docs/PLAN_EXECUTION.md. Charge initiale estimée ; dates des versions maintenues.</t>
        </is>
      </c>
    </row>
    <row r="260">
      <c r="B260" s="36" t="inlineStr">
        <is>
          <t>V3-048</t>
        </is>
      </c>
      <c r="C260" s="36" t="inlineStr">
        <is>
          <t>V3</t>
        </is>
      </c>
      <c r="D260" s="36" t="inlineStr">
        <is>
          <t>LEG</t>
        </is>
      </c>
      <c r="E260" s="37" t="inlineStr">
        <is>
          <t>Catalogue de services</t>
        </is>
      </c>
      <c r="F260" s="37" t="inlineStr">
        <is>
          <t>Catalogue de services et prestataires avec TaxeFacile sélectionnable</t>
        </is>
      </c>
      <c r="G260" s="37" t="inlineStr">
        <is>
          <t>Service accessible depuis DealPME ; fiche, périmètre, prestataire, état de disponibilité et parcours de demande ; responsabilités du prestataire visibles ; aucune prestation fictive présentée comme exécutée</t>
        </is>
      </c>
      <c r="H260" s="38" t="n">
        <v>5</v>
      </c>
      <c r="I260" s="36" t="inlineStr">
        <is>
          <t>Haute</t>
        </is>
      </c>
      <c r="J260" s="36" t="inlineStr">
        <is>
          <t>Backlog</t>
        </is>
      </c>
      <c r="K260" s="39" t="n"/>
      <c r="L260" s="16">
        <f>IF($B260="","",IF(J260="Complétée",1,IF(J260="Abandonnée",0,IF(K260&lt;&gt;"",K260,IFERROR(VLOOKUP(J260,Parametres!$B$6:$C$12,2,FALSE),0)))))</f>
        <v/>
      </c>
      <c r="M260" s="15">
        <f>IF($B260="","",IF(J260="Abandonnée",0,H260))</f>
        <v/>
      </c>
      <c r="N260" s="15">
        <f>IF($B260="","",M260*L260)</f>
        <v/>
      </c>
      <c r="O260" s="37" t="inlineStr">
        <is>
          <t>Abdou-Raouf</t>
        </is>
      </c>
      <c r="P260" s="40" t="n">
        <v>46352</v>
      </c>
      <c r="Q260" s="40" t="n">
        <v>46364</v>
      </c>
      <c r="R260" s="40" t="n"/>
      <c r="S260" s="37" t="inlineStr">
        <is>
          <t>A06 ; A20 ; V3-049</t>
        </is>
      </c>
      <c r="T260" s="36" t="inlineStr">
        <is>
          <t>Oui</t>
        </is>
      </c>
      <c r="U260" s="13">
        <f>IF($B260="","",IF(AND(J260&lt;&gt;"Complétée",J260&lt;&gt;"Abandonnée",Q260&lt;&gt;"",TODAY()&gt;Q260),"En retard",""))</f>
        <v/>
      </c>
      <c r="V260" s="37" t="inlineStr">
        <is>
          <t>Réunion direction / précisions du chef de projet, 12/09/2026. Lot et preuves : docs/PLAN_EXECUTION.md. Charge initiale estimée ; dates des versions maintenues.</t>
        </is>
      </c>
    </row>
    <row r="261">
      <c r="B261" s="36" t="inlineStr">
        <is>
          <t>V3-049</t>
        </is>
      </c>
      <c r="C261" s="36" t="inlineStr">
        <is>
          <t>V3</t>
        </is>
      </c>
      <c r="D261" s="36" t="inlineStr">
        <is>
          <t>EXP</t>
        </is>
      </c>
      <c r="E261" s="37" t="inlineStr">
        <is>
          <t>Catalogue de services</t>
        </is>
      </c>
      <c r="F261" s="37" t="inlineStr">
        <is>
          <t>Référentiel commun des prestataires : inscription, screening, validation et publication du profil</t>
        </is>
      </c>
      <c r="G261" s="37" t="inlineStr">
        <is>
          <t>Identité/organisation réutilisées ; un profil prestataire de référence ; soumission, compléments, acceptation/refus, publication et suspension tracés ; liaison aux missions Experts V4 sans duplication</t>
        </is>
      </c>
      <c r="H261" s="38" t="n">
        <v>6</v>
      </c>
      <c r="I261" s="36" t="inlineStr">
        <is>
          <t>Haute</t>
        </is>
      </c>
      <c r="J261" s="36" t="inlineStr">
        <is>
          <t>Backlog</t>
        </is>
      </c>
      <c r="K261" s="39" t="n"/>
      <c r="L261" s="16">
        <f>IF($B261="","",IF(J261="Complétée",1,IF(J261="Abandonnée",0,IF(K261&lt;&gt;"",K261,IFERROR(VLOOKUP(J261,Parametres!$B$6:$C$12,2,FALSE),0)))))</f>
        <v/>
      </c>
      <c r="M261" s="15">
        <f>IF($B261="","",IF(J261="Abandonnée",0,H261))</f>
        <v/>
      </c>
      <c r="N261" s="15">
        <f>IF($B261="","",M261*L261)</f>
        <v/>
      </c>
      <c r="O261" s="37" t="inlineStr">
        <is>
          <t>Abdou-Raouf</t>
        </is>
      </c>
      <c r="P261" s="40" t="n">
        <v>46352</v>
      </c>
      <c r="Q261" s="40" t="n">
        <v>46360</v>
      </c>
      <c r="R261" s="40" t="n"/>
      <c r="S261" s="37" t="inlineStr">
        <is>
          <t>V2-046 ; A04 ; A20</t>
        </is>
      </c>
      <c r="T261" s="36" t="inlineStr">
        <is>
          <t>Oui</t>
        </is>
      </c>
      <c r="U261" s="13">
        <f>IF($B261="","",IF(AND(J261&lt;&gt;"Complétée",J261&lt;&gt;"Abandonnée",Q261&lt;&gt;"",TODAY()&gt;Q261),"En retard",""))</f>
        <v/>
      </c>
      <c r="V261" s="37" t="inlineStr">
        <is>
          <t>Réunion direction / précisions du chef de projet, 12/09/2026. Lot et preuves : docs/PLAN_EXECUTION.md. Charge initiale estimée ; dates des versions maintenues.</t>
        </is>
      </c>
    </row>
    <row r="262">
      <c r="B262" s="36" t="inlineStr">
        <is>
          <t>V3-050</t>
        </is>
      </c>
      <c r="C262" s="36" t="inlineStr">
        <is>
          <t>V3</t>
        </is>
      </c>
      <c r="D262" s="36" t="inlineStr">
        <is>
          <t>LEG</t>
        </is>
      </c>
      <c r="E262" s="37" t="inlineStr">
        <is>
          <t>Catalogue de services</t>
        </is>
      </c>
      <c r="F262" s="37" t="inlineStr">
        <is>
          <t>Parcours TaxeFacile : contrat d'échange, demande et suivi de prestation</t>
        </is>
      </c>
      <c r="G262" s="37" t="inlineStr">
        <is>
          <t>De la sélection au retour de statut ; API/SSO ou renvoi contrôlé selon capacités confirmées ; références et consentement tracés ; refus/panne testés ; données métier isolées sur hébergement mutualisé</t>
        </is>
      </c>
      <c r="H262" s="38" t="n">
        <v>5</v>
      </c>
      <c r="I262" s="36" t="inlineStr">
        <is>
          <t>Haute</t>
        </is>
      </c>
      <c r="J262" s="36" t="inlineStr">
        <is>
          <t>Backlog</t>
        </is>
      </c>
      <c r="K262" s="39" t="n"/>
      <c r="L262" s="16">
        <f>IF($B262="","",IF(J262="Complétée",1,IF(J262="Abandonnée",0,IF(K262&lt;&gt;"",K262,IFERROR(VLOOKUP(J262,Parametres!$B$6:$C$12,2,FALSE),0)))))</f>
        <v/>
      </c>
      <c r="M262" s="15">
        <f>IF($B262="","",IF(J262="Abandonnée",0,H262))</f>
        <v/>
      </c>
      <c r="N262" s="15">
        <f>IF($B262="","",M262*L262)</f>
        <v/>
      </c>
      <c r="O262" s="37" t="inlineStr">
        <is>
          <t>Abdou-Raouf</t>
        </is>
      </c>
      <c r="P262" s="40" t="n">
        <v>46364</v>
      </c>
      <c r="Q262" s="40" t="n">
        <v>46374</v>
      </c>
      <c r="R262" s="40" t="n"/>
      <c r="S262" s="37" t="inlineStr">
        <is>
          <t>V3-048 ; A20 ; V1-108</t>
        </is>
      </c>
      <c r="T262" s="36" t="inlineStr">
        <is>
          <t>Oui</t>
        </is>
      </c>
      <c r="U262" s="13">
        <f>IF($B262="","",IF(AND(J262&lt;&gt;"Complétée",J262&lt;&gt;"Abandonnée",Q262&lt;&gt;"",TODAY()&gt;Q262),"En retard",""))</f>
        <v/>
      </c>
      <c r="V262" s="37" t="inlineStr">
        <is>
          <t>Réunion direction / précisions du chef de projet, 12/09/2026. Lot et preuves : docs/PLAN_EXECUTION.md. Charge initiale estimée ; dates des versions maintenues.</t>
        </is>
      </c>
    </row>
    <row r="263">
      <c r="B263" s="36" t="inlineStr">
        <is>
          <t>V4-026</t>
        </is>
      </c>
      <c r="C263" s="36" t="inlineStr">
        <is>
          <t>V4</t>
        </is>
      </c>
      <c r="D263" s="36" t="inlineStr">
        <is>
          <t>CNX</t>
        </is>
      </c>
      <c r="E263" s="37" t="inlineStr">
        <is>
          <t>Deal-Connect</t>
        </is>
      </c>
      <c r="F263" s="37" t="inlineStr">
        <is>
          <t>Comptes rendus de contenu par session de salon et distribution aux participants concernés</t>
        </is>
      </c>
      <c r="G263" s="37" t="inlineStr">
        <is>
          <t>Présence par session vérifiée ; rapports sourcés et validés diffusés selon droits/préférences ; contenu d'une autre table absent ; couverture partielle explicitée ; statistiques P20 conservées séparément</t>
        </is>
      </c>
      <c r="H263" s="38" t="n">
        <v>5</v>
      </c>
      <c r="I263" s="36" t="inlineStr">
        <is>
          <t>Haute</t>
        </is>
      </c>
      <c r="J263" s="36" t="inlineStr">
        <is>
          <t>Backlog</t>
        </is>
      </c>
      <c r="K263" s="39" t="n"/>
      <c r="L263" s="16">
        <f>IF($B263="","",IF(J263="Complétée",1,IF(J263="Abandonnée",0,IF(K263&lt;&gt;"",K263,IFERROR(VLOOKUP(J263,Parametres!$B$6:$C$12,2,FALSE),0)))))</f>
        <v/>
      </c>
      <c r="M263" s="15">
        <f>IF($B263="","",IF(J263="Abandonnée",0,H263))</f>
        <v/>
      </c>
      <c r="N263" s="15">
        <f>IF($B263="","",M263*L263)</f>
        <v/>
      </c>
      <c r="O263" s="37" t="inlineStr">
        <is>
          <t>Abdou-Raouf</t>
        </is>
      </c>
      <c r="P263" s="40" t="n">
        <v>46405</v>
      </c>
      <c r="Q263" s="40" t="n">
        <v>46416</v>
      </c>
      <c r="R263" s="40" t="n"/>
      <c r="S263" s="37" t="inlineStr">
        <is>
          <t>V2-049 ; V2-050 ; connecteur sessions qualifié</t>
        </is>
      </c>
      <c r="T263" s="36" t="inlineStr">
        <is>
          <t>Oui</t>
        </is>
      </c>
      <c r="U263" s="13">
        <f>IF($B263="","",IF(AND(J263&lt;&gt;"Complétée",J263&lt;&gt;"Abandonnée",Q263&lt;&gt;"",TODAY()&gt;Q263),"En retard",""))</f>
        <v/>
      </c>
      <c r="V263" s="37" t="inlineStr">
        <is>
          <t>Réunion direction / précisions du chef de projet, 12/09/2026. Lot et preuves : docs/PLAN_EXECUTION.md. Charge initiale estimée ; dates des versions maintenues.</t>
        </is>
      </c>
    </row>
    <row r="264">
      <c r="B264" s="36" t="inlineStr">
        <is>
          <t>V1-109</t>
        </is>
      </c>
      <c r="C264" s="36" t="inlineStr">
        <is>
          <t>V1</t>
        </is>
      </c>
      <c r="D264" s="36" t="inlineStr">
        <is>
          <t>GOV</t>
        </is>
      </c>
      <c r="E264" s="37" t="inlineStr">
        <is>
          <t>Espace CCI-Togo</t>
        </is>
      </c>
      <c r="F264" s="37" t="inlineStr">
        <is>
          <t>Mock CFE/RCCM local et bascule API activée ou validation manuelle complète</t>
        </is>
      </c>
      <c r="G264" s="37" t="inlineStr">
        <is>
          <t>API désactivée : zéro appel réseau et décisions manuelles motivées ; API active/mock : trouvé, absent, divergent, 429/5xx/timeout ; provenance conservée ; remplacement par adaptateur réel ; aucune certification automatique</t>
        </is>
      </c>
      <c r="H264" s="38" t="n">
        <v>4</v>
      </c>
      <c r="I264" s="36" t="inlineStr">
        <is>
          <t>Haute</t>
        </is>
      </c>
      <c r="J264" s="36" t="inlineStr">
        <is>
          <t>Complétée</t>
        </is>
      </c>
      <c r="K264" s="39" t="n">
        <v>1</v>
      </c>
      <c r="L264" s="16">
        <f>IF($B264="","",IF(J264="Complétée",1,IF(J264="Abandonnée",0,IF(K264&lt;&gt;"",K264,IFERROR(VLOOKUP(J264,Parametres!$B$6:$C$12,2,FALSE),0)))))</f>
        <v/>
      </c>
      <c r="M264" s="15">
        <f>IF($B264="","",IF(J264="Abandonnée",0,H264))</f>
        <v/>
      </c>
      <c r="N264" s="15">
        <f>IF($B264="","",M264*L264)</f>
        <v/>
      </c>
      <c r="O264" s="37" t="inlineStr">
        <is>
          <t>Abdou-Raouf</t>
        </is>
      </c>
      <c r="P264" s="40" t="n">
        <v>46286</v>
      </c>
      <c r="Q264" s="40" t="n">
        <v>46293</v>
      </c>
      <c r="R264" s="40" t="n">
        <v>46293</v>
      </c>
      <c r="S264" s="37" t="inlineStr">
        <is>
          <t>V1-035 ; V1-091 ; D10</t>
        </is>
      </c>
      <c r="T264" s="36" t="inlineStr">
        <is>
          <t>Oui</t>
        </is>
      </c>
      <c r="U264" s="13">
        <f>IF($B264="","",IF(AND(J264&lt;&gt;"Complétée",J264&lt;&gt;"Abandonnée",Q264&lt;&gt;"",TODAY()&gt;Q264),"En retard",""))</f>
        <v/>
      </c>
      <c r="V264" s="37" t="inlineStr">
        <is>
          <t>Réunion direction / précisions du chef de projet, 12/09/2026. Lot et preuves : docs/PLAN_EXECUTION.md. Charge initiale estimée ; dates des versions maintenues.</t>
        </is>
      </c>
    </row>
    <row r="265">
      <c r="B265" s="36" t="inlineStr">
        <is>
          <t>V1-110</t>
        </is>
      </c>
      <c r="C265" s="36" t="inlineStr">
        <is>
          <t>V1</t>
        </is>
      </c>
      <c r="D265" s="36" t="inlineStr">
        <is>
          <t>CNX</t>
        </is>
      </c>
      <c r="E265" s="37" t="inlineStr">
        <is>
          <t>Deal-Connect (Remo)</t>
        </is>
      </c>
      <c r="F265" s="37" t="inlineStr">
        <is>
          <t>Revue exhaustive du câblage L05 sans accès fournisseur</t>
        </is>
      </c>
      <c r="G265" s="37" t="inlineStr">
        <is>
          <t>Matrice exigence &gt; opération documentée &gt; service/API &gt; BFF &gt; contrôle UI &gt; test ; scénarios positifs et négatifs rejoués ; trous de câblage corrigés ; limitations hors API sourcées avec traitement explicite ; rapport et commit archivés</t>
        </is>
      </c>
      <c r="H265" s="38" t="n">
        <v>2</v>
      </c>
      <c r="I265" s="36" t="inlineStr">
        <is>
          <t>Haute</t>
        </is>
      </c>
      <c r="J265" s="36" t="inlineStr">
        <is>
          <t>Complétée</t>
        </is>
      </c>
      <c r="K265" s="39" t="n">
        <v>1</v>
      </c>
      <c r="L265" s="16">
        <f>IF($B265="","",IF(J265="Complétée",1,IF(J265="Abandonnée",0,IF(K265&lt;&gt;"",K265,IFERROR(VLOOKUP(J265,Parametres!$B$6:$C$12,2,FALSE),0)))))</f>
        <v/>
      </c>
      <c r="M265" s="15">
        <f>IF($B265="","",IF(J265="Abandonnée",0,H265))</f>
        <v/>
      </c>
      <c r="N265" s="15">
        <f>IF($B265="","",M265*L265)</f>
        <v/>
      </c>
      <c r="O265" s="37" t="inlineStr">
        <is>
          <t>Abdou-Raouf</t>
        </is>
      </c>
      <c r="P265" s="40" t="n">
        <v>46289</v>
      </c>
      <c r="Q265" s="40" t="n">
        <v>46297</v>
      </c>
      <c r="R265" s="40" t="n">
        <v>46297</v>
      </c>
      <c r="S265" s="37" t="inlineStr">
        <is>
          <t>Acquis locaux V1-007/068/105 ; Swagger public ; ne pas attendre leur clôture fournisseur ni un accès Remo</t>
        </is>
      </c>
      <c r="T265" s="36" t="inlineStr">
        <is>
          <t>Oui</t>
        </is>
      </c>
      <c r="U265" s="13">
        <f>IF($B265="","",IF(AND(J265&lt;&gt;"Complétée",J265&lt;&gt;"Abandonnée",Q265&lt;&gt;"",TODAY()&gt;Q265),"En retard",""))</f>
        <v/>
      </c>
      <c r="V265" s="37" t="inlineStr">
        <is>
          <t>Complément à V1-007/068/105 clos hors compte ; matrice et six constats vérifiés, liés à V1-117/118/119. Preuves : qa/l05-wiring-verification.json et qa/l05-wiring-matrix.json.</t>
        </is>
      </c>
    </row>
    <row r="266">
      <c r="B266" s="36" t="inlineStr">
        <is>
          <t>V1-111</t>
        </is>
      </c>
      <c r="C266" s="36" t="inlineStr">
        <is>
          <t>V1</t>
        </is>
      </c>
      <c r="D266" s="36" t="inlineStr">
        <is>
          <t>CNX</t>
        </is>
      </c>
      <c r="E266" s="37" t="inlineStr">
        <is>
          <t>Deal-Connect (Remo)</t>
        </is>
      </c>
      <c r="F266" s="37" t="inlineStr">
        <is>
          <t>Précontrôle automatisé et recette de bascule de configuration Remo</t>
        </is>
      </c>
      <c r="G266" s="37" t="inlineStr">
        <is>
          <t>Précontrôle exécutable sans secrets dans les sorties ; local/remo/disabled, paramètres incomplets ou contradictoires, certificats, changement de compte et reprise après redémarrage éprouvés sur fixtures ; fiche de branchement reliée aux résultats</t>
        </is>
      </c>
      <c r="H266" s="38" t="n">
        <v>2</v>
      </c>
      <c r="I266" s="36" t="inlineStr">
        <is>
          <t>Haute</t>
        </is>
      </c>
      <c r="J266" s="36" t="inlineStr">
        <is>
          <t>Complétée</t>
        </is>
      </c>
      <c r="K266" s="39" t="n">
        <v>1</v>
      </c>
      <c r="L266" s="16">
        <f>IF($B266="","",IF(J266="Complétée",1,IF(J266="Abandonnée",0,IF(K266&lt;&gt;"",K266,IFERROR(VLOOKUP(J266,Parametres!$B$6:$C$12,2,FALSE),0)))))</f>
        <v/>
      </c>
      <c r="M266" s="15">
        <f>IF($B266="","",IF(J266="Abandonnée",0,H266))</f>
        <v/>
      </c>
      <c r="N266" s="15">
        <f>IF($B266="","",M266*L266)</f>
        <v/>
      </c>
      <c r="O266" s="37" t="inlineStr">
        <is>
          <t>Abdou-Raouf</t>
        </is>
      </c>
      <c r="P266" s="40" t="n">
        <v>46293</v>
      </c>
      <c r="Q266" s="40" t="n">
        <v>46301</v>
      </c>
      <c r="R266" s="40" t="n">
        <v>46301</v>
      </c>
      <c r="S266" s="37" t="inlineStr">
        <is>
          <t>V1-110 ; docs/REMO_RACCORDEMENT.md ; aucun accès fournisseur pour cette préparation</t>
        </is>
      </c>
      <c r="T266" s="36" t="inlineStr">
        <is>
          <t>Oui</t>
        </is>
      </c>
      <c r="U266" s="13">
        <f>IF($B266="","",IF(AND(J266&lt;&gt;"Complétée",J266&lt;&gt;"Abandonnée",Q266&lt;&gt;"",TODAY()&gt;Q266),"En retard",""))</f>
        <v/>
      </c>
      <c r="V266" s="37" t="inlineStr">
        <is>
          <t>Précontrôle et bascule éprouvés avec fixtures et certificats de test. Procédure : docs/REMO_RACCORDEMENT.md. Aucun compte réel qualifié ; activation V1-112 encore bloquée par les accès.</t>
        </is>
      </c>
    </row>
    <row r="267">
      <c r="B267" s="36" t="inlineStr">
        <is>
          <t>V1-112</t>
        </is>
      </c>
      <c r="C267" s="36" t="inlineStr">
        <is>
          <t>V1</t>
        </is>
      </c>
      <c r="D267" s="36" t="inlineStr">
        <is>
          <t>CNX</t>
        </is>
      </c>
      <c r="E267" s="37" t="inlineStr">
        <is>
          <t>Deal-Connect (Remo)</t>
        </is>
      </c>
      <c r="F267" s="37" t="inlineStr">
        <is>
          <t>Activation du compte Remo réel et vérification des droits et quotas</t>
        </is>
      </c>
      <c r="G267" s="37" t="inlineStr">
        <is>
          <t>Accès propriétaire et add-ons vérifiés ; Company ID, App Token, hôte, quota et contexte multi-produits configurés hors dépôt ; précontrôle V1-111 exécuté ; preuve de connexion au compte réel sans exposition de secrets</t>
        </is>
      </c>
      <c r="H267" s="38" t="n">
        <v>1</v>
      </c>
      <c r="I267" s="36" t="inlineStr">
        <is>
          <t>Haute</t>
        </is>
      </c>
      <c r="J267" s="36" t="inlineStr">
        <is>
          <t>Bloquée</t>
        </is>
      </c>
      <c r="K267" s="39" t="n">
        <v>0</v>
      </c>
      <c r="L267" s="16">
        <f>IF($B267="","",IF(J267="Complétée",1,IF(J267="Abandonnée",0,IF(K267&lt;&gt;"",K267,IFERROR(VLOOKUP(J267,Parametres!$B$6:$C$12,2,FALSE),0)))))</f>
        <v/>
      </c>
      <c r="M267" s="15">
        <f>IF($B267="","",IF(J267="Abandonnée",0,H267))</f>
        <v/>
      </c>
      <c r="N267" s="15">
        <f>IF($B267="","",M267*L267)</f>
        <v/>
      </c>
      <c r="O267" s="37" t="inlineStr">
        <is>
          <t>Abdou-Raouf</t>
        </is>
      </c>
      <c r="P267" s="40" t="n">
        <v>46300</v>
      </c>
      <c r="Q267" s="40" t="n">
        <v>46303</v>
      </c>
      <c r="R267" s="40" t="n"/>
      <c r="S267" s="37" t="inlineStr">
        <is>
          <t>Dossier de préparation V1-104 déjà disponible ; V1-111 ; A17 : accès et offre ; A18 : quota confirmé</t>
        </is>
      </c>
      <c r="T267" s="36" t="inlineStr">
        <is>
          <t>Oui</t>
        </is>
      </c>
      <c r="U267" s="13">
        <f>IF($B267="","",IF(AND(J267&lt;&gt;"Complétée",J267&lt;&gt;"Abandonnée",Q267&lt;&gt;"",TODAY()&gt;Q267),"En retard",""))</f>
        <v/>
      </c>
      <c r="V267" s="37" t="inlineStr">
        <is>
          <t>Bloquée par A17/A18 : activer le compte reçu et consigner droits, paramètres, add-ons et quota. Le Swagger public est disponible ; son accès n'est plus un blocage.</t>
        </is>
      </c>
    </row>
    <row r="268">
      <c r="B268" s="36" t="inlineStr">
        <is>
          <t>V1-113</t>
        </is>
      </c>
      <c r="C268" s="36" t="inlineStr">
        <is>
          <t>V1</t>
        </is>
      </c>
      <c r="D268" s="36" t="inlineStr">
        <is>
          <t>IDN</t>
        </is>
      </c>
      <c r="E268" s="37" t="inlineStr">
        <is>
          <t>Deal-Connect (Remo)</t>
        </is>
      </c>
      <c r="F268" s="37" t="inlineStr">
        <is>
          <t>Recette SSO SAML réelle du compte Remo mutualisé</t>
        </is>
      </c>
      <c r="G268" s="37" t="inlineStr">
        <is>
          <t>IdP commun et métadonnées SP configurés ; connexion depuis DealPME, MFA, email NameID, expiration/rejeu, changement de session et rotation éprouvés chez Remo ; accès privé et méthodes alternatives testés ; limites de logout et effets sur les autres produits documentés</t>
        </is>
      </c>
      <c r="H268" s="38" t="n">
        <v>2</v>
      </c>
      <c r="I268" s="36" t="inlineStr">
        <is>
          <t>Haute</t>
        </is>
      </c>
      <c r="J268" s="36" t="inlineStr">
        <is>
          <t>Bloquée</t>
        </is>
      </c>
      <c r="K268" s="39" t="n">
        <v>0</v>
      </c>
      <c r="L268" s="16">
        <f>IF($B268="","",IF(J268="Complétée",1,IF(J268="Abandonnée",0,IF(K268&lt;&gt;"",K268,IFERROR(VLOOKUP(J268,Parametres!$B$6:$C$12,2,FALSE),0)))))</f>
        <v/>
      </c>
      <c r="M268" s="15">
        <f>IF($B268="","",IF(J268="Abandonnée",0,H268))</f>
        <v/>
      </c>
      <c r="N268" s="15">
        <f>IF($B268="","",M268*L268)</f>
        <v/>
      </c>
      <c r="O268" s="37" t="inlineStr">
        <is>
          <t>Abdou-Raouf</t>
        </is>
      </c>
      <c r="P268" s="40" t="n">
        <v>46301</v>
      </c>
      <c r="Q268" s="40" t="n">
        <v>46307</v>
      </c>
      <c r="R268" s="40" t="n"/>
      <c r="S268" s="37" t="inlineStr">
        <is>
          <t>Implémentations locales V1-007/071 acquises ; V1-112 ; A17 : paramètres SAML du compte</t>
        </is>
      </c>
      <c r="T268" s="36" t="inlineStr">
        <is>
          <t>Oui</t>
        </is>
      </c>
      <c r="U268" s="13">
        <f>IF($B268="","",IF(AND(J268&lt;&gt;"Complétée",J268&lt;&gt;"Abandonnée",Q268&lt;&gt;"",TODAY()&gt;Q268),"En retard",""))</f>
        <v/>
      </c>
      <c r="V268" s="37" t="inlineStr">
        <is>
          <t>Bloquée jusqu'à activation réelle : IdP commun, métadonnées, NameID email, MFA, sessions, rotation et admissions privées vérifiés chez Remo ; les résultats locaux restent des preuves distinctes.</t>
        </is>
      </c>
    </row>
    <row r="269">
      <c r="B269" s="36" t="inlineStr">
        <is>
          <t>V1-114</t>
        </is>
      </c>
      <c r="C269" s="36" t="inlineStr">
        <is>
          <t>V1</t>
        </is>
      </c>
      <c r="D269" s="36" t="inlineStr">
        <is>
          <t>CNX</t>
        </is>
      </c>
      <c r="E269" s="37" t="inlineStr">
        <is>
          <t>Deal-Connect (Remo)</t>
        </is>
      </c>
      <c r="F269" s="37" t="inlineStr">
        <is>
          <t>Activation et recette du branding global et par événement chez Remo</t>
        </is>
      </c>
      <c r="G269" s="37" t="inlineStr">
        <is>
          <t>Profil général et surcharges appliqués sur deux événements ; logo, couverture, accueil, connexion, favicon, domaine et emails vérifiés selon l'offre ; initialisation des paramètres non exposés par API effectuée ; absence d'effet indésirable sur les autres produits et captures réelles archivées</t>
        </is>
      </c>
      <c r="H269" s="38" t="n">
        <v>2</v>
      </c>
      <c r="I269" s="36" t="inlineStr">
        <is>
          <t>Haute</t>
        </is>
      </c>
      <c r="J269" s="36" t="inlineStr">
        <is>
          <t>Bloquée</t>
        </is>
      </c>
      <c r="K269" s="39" t="n">
        <v>0</v>
      </c>
      <c r="L269" s="16">
        <f>IF($B269="","",IF(J269="Complétée",1,IF(J269="Abandonnée",0,IF(K269&lt;&gt;"",K269,IFERROR(VLOOKUP(J269,Parametres!$B$6:$C$12,2,FALSE),0)))))</f>
        <v/>
      </c>
      <c r="M269" s="15">
        <f>IF($B269="","",IF(J269="Abandonnée",0,H269))</f>
        <v/>
      </c>
      <c r="N269" s="15">
        <f>IF($B269="","",M269*L269)</f>
        <v/>
      </c>
      <c r="O269" s="37" t="inlineStr">
        <is>
          <t>Abdou-Raouf</t>
        </is>
      </c>
      <c r="P269" s="40" t="n">
        <v>46301</v>
      </c>
      <c r="Q269" s="40" t="n">
        <v>46307</v>
      </c>
      <c r="R269" s="40" t="n"/>
      <c r="S269" s="37" t="inlineStr">
        <is>
          <t>V1-105 ; V1-112 ; A17 : options white label et droits</t>
        </is>
      </c>
      <c r="T269" s="36" t="inlineStr">
        <is>
          <t>Oui</t>
        </is>
      </c>
      <c r="U269" s="13">
        <f>IF($B269="","",IF(AND(J269&lt;&gt;"Complétée",J269&lt;&gt;"Abandonnée",Q269&lt;&gt;"",TODAY()&gt;Q269),"En retard",""))</f>
        <v/>
      </c>
      <c r="V269" s="37" t="inlineStr">
        <is>
          <t>Bloquée jusqu'à activation réelle : compte et événement, héritage/surcharges, logo/couverture/accueil, favicon, domaine et emails. Paramètres hors API configurés initialement chez Remo, effets et limites documentés.</t>
        </is>
      </c>
    </row>
    <row r="270">
      <c r="B270" s="36" t="inlineStr">
        <is>
          <t>V1-115</t>
        </is>
      </c>
      <c r="C270" s="36" t="inlineStr">
        <is>
          <t>V1</t>
        </is>
      </c>
      <c r="D270" s="36" t="inlineStr">
        <is>
          <t>CNX</t>
        </is>
      </c>
      <c r="E270" s="37" t="inlineStr">
        <is>
          <t>Deal-Connect (Remo)</t>
        </is>
      </c>
      <c r="F270" s="37" t="inlineStr">
        <is>
          <t>Recette bout en bout DealPME vers l'API et les salles Remo réelles</t>
        </is>
      </c>
      <c r="G270" s="37" t="inlineStr">
        <is>
          <t>Création, contenu, invitations/intervenants, groupes, présence et entretien diaspora rejoués contre le compte réel ; droits, profils/contacts, email modifié, quota partagé, erreurs/reprise et suppression contrôlée vérifiés ; distinction des effets fournisseur et des fixtures dans les preuves</t>
        </is>
      </c>
      <c r="H270" s="38" t="n">
        <v>2</v>
      </c>
      <c r="I270" s="36" t="inlineStr">
        <is>
          <t>Haute</t>
        </is>
      </c>
      <c r="J270" s="36" t="inlineStr">
        <is>
          <t>Bloquée</t>
        </is>
      </c>
      <c r="K270" s="39" t="n">
        <v>0</v>
      </c>
      <c r="L270" s="16">
        <f>IF($B270="","",IF(J270="Complétée",1,IF(J270="Abandonnée",0,IF(K270&lt;&gt;"",K270,IFERROR(VLOOKUP(J270,Parametres!$B$6:$C$12,2,FALSE),0)))))</f>
        <v/>
      </c>
      <c r="M270" s="15">
        <f>IF($B270="","",IF(J270="Abandonnée",0,H270))</f>
        <v/>
      </c>
      <c r="N270" s="15">
        <f>IF($B270="","",M270*L270)</f>
        <v/>
      </c>
      <c r="O270" s="37" t="inlineStr">
        <is>
          <t>Abdou-Raouf</t>
        </is>
      </c>
      <c r="P270" s="40" t="n">
        <v>46303</v>
      </c>
      <c r="Q270" s="40" t="n">
        <v>46309</v>
      </c>
      <c r="R270" s="40" t="n"/>
      <c r="S270" s="37" t="inlineStr">
        <is>
          <t>Acquis locaux V1-068/071/106 ; V1-112 ; V1-113 ; V1-114 ; A17/A18</t>
        </is>
      </c>
      <c r="T270" s="36" t="inlineStr">
        <is>
          <t>Oui</t>
        </is>
      </c>
      <c r="U270" s="13">
        <f>IF($B270="","",IF(AND(J270&lt;&gt;"Complétée",J270&lt;&gt;"Abandonnée",Q270&lt;&gt;"",TODAY()&gt;Q270),"En retard",""))</f>
        <v/>
      </c>
      <c r="V270" s="37" t="inlineStr">
        <is>
          <t>Bloquée jusqu'à activation réelle : l'organisateur et le participant rejouent les parcours depuis DealPME contre Remo ; confidentialité, visibilité des profils, quotas et incidents documentés.</t>
        </is>
      </c>
    </row>
    <row r="271">
      <c r="B271" s="36" t="inlineStr">
        <is>
          <t>V1-116</t>
        </is>
      </c>
      <c r="C271" s="36" t="inlineStr">
        <is>
          <t>V1</t>
        </is>
      </c>
      <c r="D271" s="36" t="inlineStr">
        <is>
          <t>CNX</t>
        </is>
      </c>
      <c r="E271" s="37" t="inlineStr">
        <is>
          <t>Deal-Connect (Remo)</t>
        </is>
      </c>
      <c r="F271" s="37" t="inlineStr">
        <is>
          <t>Corrections des écarts fournisseur et clôture documentée de L05</t>
        </is>
      </c>
      <c r="G271" s="37" t="inlineStr">
        <is>
          <t>Écarts des recettes réelles corrigés et rejoués ; revue de câblage et bascule closes ; qualification captation/export V1-107 instruite avec preuves ; aucun point bloquant non résolu ou non arbitré ; validation et preuves L05 archivées ; un test fournisseur non exécuté n'est jamais déclaré réussi</t>
        </is>
      </c>
      <c r="H271" s="38" t="n">
        <v>2</v>
      </c>
      <c r="I271" s="36" t="inlineStr">
        <is>
          <t>Haute</t>
        </is>
      </c>
      <c r="J271" s="36" t="inlineStr">
        <is>
          <t>À faire</t>
        </is>
      </c>
      <c r="K271" s="39" t="n">
        <v>0</v>
      </c>
      <c r="L271" s="16">
        <f>IF($B271="","",IF(J271="Complétée",1,IF(J271="Abandonnée",0,IF(K271&lt;&gt;"",K271,IFERROR(VLOOKUP(J271,Parametres!$B$6:$C$12,2,FALSE),0)))))</f>
        <v/>
      </c>
      <c r="M271" s="15">
        <f>IF($B271="","",IF(J271="Abandonnée",0,H271))</f>
        <v/>
      </c>
      <c r="N271" s="15">
        <f>IF($B271="","",M271*L271)</f>
        <v/>
      </c>
      <c r="O271" s="37" t="inlineStr">
        <is>
          <t>Abdou-Raouf</t>
        </is>
      </c>
      <c r="P271" s="40" t="n">
        <v>46307</v>
      </c>
      <c r="Q271" s="40" t="n">
        <v>46310</v>
      </c>
      <c r="R271" s="40" t="n"/>
      <c r="S271" s="37" t="inlineStr">
        <is>
          <t>V1-110 ; V1-111 ; V1-113 ; V1-114 ; V1-115 ; V1-107 ; A21</t>
        </is>
      </c>
      <c r="T271" s="36" t="inlineStr">
        <is>
          <t>Oui</t>
        </is>
      </c>
      <c r="U271" s="13">
        <f>IF($B271="","",IF(AND(J271&lt;&gt;"Complétée",J271&lt;&gt;"Abandonnée",Q271&lt;&gt;"",TODAY()&gt;Q271),"En retard",""))</f>
        <v/>
      </c>
      <c r="V271" s="37" t="inlineStr">
        <is>
          <t>À faire après les recettes : corriger les écarts, rejouer les contrôles et archiver la décision de clôture L05. Un accès reçu, une tâche UI close ou un mock PASS ne suffisent pas.</t>
        </is>
      </c>
    </row>
    <row r="272">
      <c r="B272" s="36" t="inlineStr">
        <is>
          <t>V1-117</t>
        </is>
      </c>
      <c r="C272" s="36" t="inlineStr">
        <is>
          <t>V1</t>
        </is>
      </c>
      <c r="D272" s="36" t="inlineStr">
        <is>
          <t>CNX</t>
        </is>
      </c>
      <c r="E272" s="37" t="inlineStr">
        <is>
          <t>Deal-Connect (Remo)</t>
        </is>
      </c>
      <c r="F272" s="37" t="inlineStr">
        <is>
          <t>Pagination complète des consoles événements et des demandes diaspora</t>
        </is>
      </c>
      <c r="G272" s="37" t="inlineStr">
        <is>
          <t>Toutes les lignes au-delà de la première page sont accessibles par curseur depuis les écrans organisateur et demandeur ; ordre stable, paramètres bornés, états vides/erreur et isolation entre utilisateurs testés</t>
        </is>
      </c>
      <c r="H272" s="38" t="n">
        <v>2</v>
      </c>
      <c r="I272" s="36" t="inlineStr">
        <is>
          <t>Haute</t>
        </is>
      </c>
      <c r="J272" s="36" t="inlineStr">
        <is>
          <t>Complétée</t>
        </is>
      </c>
      <c r="K272" s="39" t="n">
        <v>1</v>
      </c>
      <c r="L272" s="16">
        <f>IF($B272="","",IF(J272="Complétée",1,IF(J272="Abandonnée",0,IF(K272&lt;&gt;"",K272,IFERROR(VLOOKUP(J272,Parametres!$B$6:$C$12,2,FALSE),0)))))</f>
        <v/>
      </c>
      <c r="M272" s="15">
        <f>IF($B272="","",IF(J272="Abandonnée",0,H272))</f>
        <v/>
      </c>
      <c r="N272" s="15">
        <f>IF($B272="","",M272*L272)</f>
        <v/>
      </c>
      <c r="O272" s="37" t="inlineStr">
        <is>
          <t>Abdou-Raouf</t>
        </is>
      </c>
      <c r="P272" s="40" t="n">
        <v>46293</v>
      </c>
      <c r="Q272" s="40" t="n">
        <v>46302</v>
      </c>
      <c r="R272" s="40" t="n">
        <v>46302</v>
      </c>
      <c r="S272" s="37" t="inlineStr">
        <is>
          <t>Constat V1-110 ; acquis V1-105/071 ; aucun accès fournisseur requis</t>
        </is>
      </c>
      <c r="T272" s="36" t="inlineStr">
        <is>
          <t>Oui</t>
        </is>
      </c>
      <c r="U272" s="13">
        <f>IF($B272="","",IF(AND(J272&lt;&gt;"Complétée",J272&lt;&gt;"Abandonnée",Q272&lt;&gt;"",TODAY()&gt;Q272),"En retard",""))</f>
        <v/>
      </c>
      <c r="V272" s="37" t="inlineStr">
        <is>
          <t>Complément découvert pendant V1-110, lié à la console livrée V1-105 : pagination API/SSR/UI, conservation des filtres et isolation, sans accès Remo. Responsable : Abdou-Raouf.</t>
        </is>
      </c>
    </row>
    <row r="273">
      <c r="B273" s="36" t="inlineStr">
        <is>
          <t>V1-118</t>
        </is>
      </c>
      <c r="C273" s="36" t="inlineStr">
        <is>
          <t>V1</t>
        </is>
      </c>
      <c r="D273" s="36" t="inlineStr">
        <is>
          <t>IDN</t>
        </is>
      </c>
      <c r="E273" s="37" t="inlineStr">
        <is>
          <t>Deal-Connect (Remo)</t>
        </is>
      </c>
      <c r="F273" s="37" t="inlineStr">
        <is>
          <t>Validité des certificats SAML en fonctionnement et pendant la rotation</t>
        </is>
      </c>
      <c r="G273" s="37" t="inlineStr">
        <is>
          <t>Après démarrage, un certificat courant expiré ne signe plus ; durée des assertions bornée par sa validité ; certificat précédent expiré non annoncé ; erreur exploitable sans secret et tests temporels/signatures archivés</t>
        </is>
      </c>
      <c r="H273" s="38" t="n">
        <v>1</v>
      </c>
      <c r="I273" s="36" t="inlineStr">
        <is>
          <t>Haute</t>
        </is>
      </c>
      <c r="J273" s="36" t="inlineStr">
        <is>
          <t>Complétée</t>
        </is>
      </c>
      <c r="K273" s="39" t="n">
        <v>1</v>
      </c>
      <c r="L273" s="16">
        <f>IF($B273="","",IF(J273="Complétée",1,IF(J273="Abandonnée",0,IF(K273&lt;&gt;"",K273,IFERROR(VLOOKUP(J273,Parametres!$B$6:$C$12,2,FALSE),0)))))</f>
        <v/>
      </c>
      <c r="M273" s="15">
        <f>IF($B273="","",IF(J273="Abandonnée",0,H273))</f>
        <v/>
      </c>
      <c r="N273" s="15">
        <f>IF($B273="","",M273*L273)</f>
        <v/>
      </c>
      <c r="O273" s="37" t="inlineStr">
        <is>
          <t>Abdou-Raouf</t>
        </is>
      </c>
      <c r="P273" s="40" t="n">
        <v>46293</v>
      </c>
      <c r="Q273" s="40" t="n">
        <v>46301</v>
      </c>
      <c r="R273" s="40" t="n">
        <v>46301</v>
      </c>
      <c r="S273" s="37" t="inlineStr">
        <is>
          <t>Constat V1-110 ; acquis SAML V1-007/068 ; précontrôle V1-111</t>
        </is>
      </c>
      <c r="T273" s="36" t="inlineStr">
        <is>
          <t>Oui</t>
        </is>
      </c>
      <c r="U273" s="13">
        <f>IF($B273="","",IF(AND(J273&lt;&gt;"Complétée",J273&lt;&gt;"Abandonnée",Q273&lt;&gt;"",TODAY()&gt;Q273),"En retard",""))</f>
        <v/>
      </c>
      <c r="V273" s="37" t="inlineStr">
        <is>
          <t>Complément découvert pendant V1-110, lié au SAML V1-007/068 : validité à l'émission et à la lecture des métadonnées, certificat précédent et preuve par horloge contrôlée. Sans accès fournisseur.</t>
        </is>
      </c>
    </row>
    <row r="274">
      <c r="B274" s="36" t="inlineStr">
        <is>
          <t>V1-119</t>
        </is>
      </c>
      <c r="C274" s="36" t="inlineStr">
        <is>
          <t>V1</t>
        </is>
      </c>
      <c r="D274" s="36" t="inlineStr">
        <is>
          <t>CNX</t>
        </is>
      </c>
      <c r="E274" s="37" t="inlineStr">
        <is>
          <t>Deal-Connect (Remo)</t>
        </is>
      </c>
      <c r="F274" s="37" t="inlineStr">
        <is>
          <t>Cohérence des invitations Remo concurrentes et des changements d'identité ou de rôle</t>
        </is>
      </c>
      <c r="G274" s="37" t="inlineStr">
        <is>
          <t>Une réponse tardive ne remplace pas une intention plus récente ; inscription active et email vérifié courant contrôlés avant groupe/intervenant ; refus/conflits audités, reprise et concurrence éprouvées sur fixture HTTPS</t>
        </is>
      </c>
      <c r="H274" s="38" t="n">
        <v>2</v>
      </c>
      <c r="I274" s="36" t="inlineStr">
        <is>
          <t>Haute</t>
        </is>
      </c>
      <c r="J274" s="36" t="inlineStr">
        <is>
          <t>Complétée</t>
        </is>
      </c>
      <c r="K274" s="39" t="n">
        <v>1</v>
      </c>
      <c r="L274" s="16">
        <f>IF($B274="","",IF(J274="Complétée",1,IF(J274="Abandonnée",0,IF(K274&lt;&gt;"",K274,IFERROR(VLOOKUP(J274,Parametres!$B$6:$C$12,2,FALSE),0)))))</f>
        <v/>
      </c>
      <c r="M274" s="15">
        <f>IF($B274="","",IF(J274="Abandonnée",0,H274))</f>
        <v/>
      </c>
      <c r="N274" s="15">
        <f>IF($B274="","",M274*L274)</f>
        <v/>
      </c>
      <c r="O274" s="37" t="inlineStr">
        <is>
          <t>Abdou-Raouf</t>
        </is>
      </c>
      <c r="P274" s="40" t="n">
        <v>46293</v>
      </c>
      <c r="Q274" s="40" t="n">
        <v>46303</v>
      </c>
      <c r="R274" s="40" t="n">
        <v>46303</v>
      </c>
      <c r="S274" s="37" t="inlineStr">
        <is>
          <t>Constat V1-110 ; acquis V1-068/105 ; aucun accès fournisseur requis</t>
        </is>
      </c>
      <c r="T274" s="36" t="inlineStr">
        <is>
          <t>Oui</t>
        </is>
      </c>
      <c r="U274" s="13">
        <f>IF($B274="","",IF(AND(J274&lt;&gt;"Complétée",J274&lt;&gt;"Abandonnée",Q274&lt;&gt;"",TODAY()&gt;Q274),"En retard",""))</f>
        <v/>
      </c>
      <c r="V274" s="37" t="inlineStr">
        <is>
          <t>Complément découvert pendant V1-110, lié aux invitations V1-068/105 : rôle et tentative courants, email vérifié et inscription active, effets concurrents et reprise après interruption. Sans accès Remo.</t>
        </is>
      </c>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7.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18" t="inlineStr">
        <is>
          <t>FOND</t>
        </is>
      </c>
      <c r="C6" s="18" t="inlineStr">
        <is>
          <t>Fondations : modèle de données et bifurcation actif / titre</t>
        </is>
      </c>
      <c r="D6" s="43" t="inlineStr">
        <is>
          <t>Socle V0</t>
        </is>
      </c>
      <c r="E6" s="18" t="inlineStr">
        <is>
          <t>-</t>
        </is>
      </c>
      <c r="F6" s="18" t="inlineStr">
        <is>
          <t>V1</t>
        </is>
      </c>
      <c r="G6" s="44">
        <f>SUMIF(Taches!$D$6:$D$325,$B6,Taches!$M$6:$M$325)</f>
        <v/>
      </c>
      <c r="H6" s="15">
        <f>SUMIF(Taches!$D$6:$D$325,$B6,Taches!$N$6:$N$325)</f>
        <v/>
      </c>
      <c r="I6" s="16">
        <f>IF(G6=0,0,H6/G6)</f>
        <v/>
      </c>
      <c r="J6" s="12">
        <f>COUNTIFS(Taches!$D$6:$D$325,$B6,Taches!$J$6:$J$325,"&lt;&gt;Abandonnée",Taches!$B$6:$B$325,"&lt;&gt;")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18" t="inlineStr">
        <is>
          <t>TRV</t>
        </is>
      </c>
      <c r="C7" s="18" t="inlineStr">
        <is>
          <t>Transverse technique : infra, CI, design system, QA</t>
        </is>
      </c>
      <c r="D7" s="43" t="inlineStr">
        <is>
          <t>Socle V0</t>
        </is>
      </c>
      <c r="E7" s="18" t="inlineStr">
        <is>
          <t>-</t>
        </is>
      </c>
      <c r="F7" s="18" t="inlineStr">
        <is>
          <t>V1</t>
        </is>
      </c>
      <c r="G7" s="44">
        <f>SUMIF(Taches!$D$6:$D$325,$B7,Taches!$M$6:$M$325)</f>
        <v/>
      </c>
      <c r="H7" s="15">
        <f>SUMIF(Taches!$D$6:$D$325,$B7,Taches!$N$6:$N$325)</f>
        <v/>
      </c>
      <c r="I7" s="16">
        <f>IF(G7=0,0,H7/G7)</f>
        <v/>
      </c>
      <c r="J7" s="12">
        <f>COUNTIFS(Taches!$D$6:$D$325,$B7,Taches!$J$6:$J$325,"&lt;&gt;Abandonnée",Taches!$B$6:$B$325,"&lt;&gt;")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18" t="inlineStr">
        <is>
          <t>IDN</t>
        </is>
      </c>
      <c r="C8" s="18" t="inlineStr">
        <is>
          <t>Identité, abonnement et facturation</t>
        </is>
      </c>
      <c r="D8" s="43" t="inlineStr">
        <is>
          <t>Socle V0</t>
        </is>
      </c>
      <c r="E8" s="18" t="inlineStr">
        <is>
          <t>P08</t>
        </is>
      </c>
      <c r="F8" s="18" t="inlineStr">
        <is>
          <t>V1</t>
        </is>
      </c>
      <c r="G8" s="44">
        <f>SUMIF(Taches!$D$6:$D$325,$B8,Taches!$M$6:$M$325)</f>
        <v/>
      </c>
      <c r="H8" s="15">
        <f>SUMIF(Taches!$D$6:$D$325,$B8,Taches!$N$6:$N$325)</f>
        <v/>
      </c>
      <c r="I8" s="16">
        <f>IF(G8=0,0,H8/G8)</f>
        <v/>
      </c>
      <c r="J8" s="12">
        <f>COUNTIFS(Taches!$D$6:$D$325,$B8,Taches!$J$6:$J$325,"&lt;&gt;Abandonnée",Taches!$B$6:$B$325,"&lt;&gt;")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18" t="inlineStr">
        <is>
          <t>GOV</t>
        </is>
      </c>
      <c r="C9" s="18" t="inlineStr">
        <is>
          <t>Console institutionnelle CCI-Togo et gouvernance</t>
        </is>
      </c>
      <c r="D9" s="43" t="inlineStr">
        <is>
          <t>Socle V0</t>
        </is>
      </c>
      <c r="E9" s="18" t="inlineStr">
        <is>
          <t>P22</t>
        </is>
      </c>
      <c r="F9" s="18" t="inlineStr">
        <is>
          <t>V1</t>
        </is>
      </c>
      <c r="G9" s="44">
        <f>SUMIF(Taches!$D$6:$D$325,$B9,Taches!$M$6:$M$325)</f>
        <v/>
      </c>
      <c r="H9" s="15">
        <f>SUMIF(Taches!$D$6:$D$325,$B9,Taches!$N$6:$N$325)</f>
        <v/>
      </c>
      <c r="I9" s="16">
        <f>IF(G9=0,0,H9/G9)</f>
        <v/>
      </c>
      <c r="J9" s="12">
        <f>COUNTIFS(Taches!$D$6:$D$325,$B9,Taches!$J$6:$J$325,"&lt;&gt;Abandonnée",Taches!$B$6:$B$325,"&lt;&gt;")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18" t="inlineStr">
        <is>
          <t>CCI</t>
        </is>
      </c>
      <c r="C10" s="18" t="inlineStr">
        <is>
          <t>Deal-Ready : certification CCI-Togo</t>
        </is>
      </c>
      <c r="D10" s="43" t="inlineStr">
        <is>
          <t>Socle V0</t>
        </is>
      </c>
      <c r="E10" s="18" t="inlineStr">
        <is>
          <t>P06</t>
        </is>
      </c>
      <c r="F10" s="18" t="inlineStr">
        <is>
          <t>V1</t>
        </is>
      </c>
      <c r="G10" s="44">
        <f>SUMIF(Taches!$D$6:$D$325,$B10,Taches!$M$6:$M$325)</f>
        <v/>
      </c>
      <c r="H10" s="15">
        <f>SUMIF(Taches!$D$6:$D$325,$B10,Taches!$N$6:$N$325)</f>
        <v/>
      </c>
      <c r="I10" s="16">
        <f>IF(G10=0,0,H10/G10)</f>
        <v/>
      </c>
      <c r="J10" s="12">
        <f>COUNTIFS(Taches!$D$6:$D$325,$B10,Taches!$J$6:$J$325,"&lt;&gt;Abandonnée",Taches!$B$6:$B$325,"&lt;&gt;")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18" t="inlineStr">
        <is>
          <t>MKT</t>
        </is>
      </c>
      <c r="C11" s="18" t="inlineStr">
        <is>
          <t>Pass Transmission : dossier cédant, marketplace, évaluation indicative</t>
        </is>
      </c>
      <c r="D11" s="43" t="inlineStr">
        <is>
          <t>Socle V0</t>
        </is>
      </c>
      <c r="E11" s="18" t="inlineStr">
        <is>
          <t>P04, P05, P09</t>
        </is>
      </c>
      <c r="F11" s="18" t="inlineStr">
        <is>
          <t>V1</t>
        </is>
      </c>
      <c r="G11" s="44">
        <f>SUMIF(Taches!$D$6:$D$325,$B11,Taches!$M$6:$M$325)</f>
        <v/>
      </c>
      <c r="H11" s="15">
        <f>SUMIF(Taches!$D$6:$D$325,$B11,Taches!$N$6:$N$325)</f>
        <v/>
      </c>
      <c r="I11" s="16">
        <f>IF(G11=0,0,H11/G11)</f>
        <v/>
      </c>
      <c r="J11" s="12">
        <f>COUNTIFS(Taches!$D$6:$D$325,$B11,Taches!$J$6:$J$325,"&lt;&gt;Abandonnée",Taches!$B$6:$B$325,"&lt;&gt;")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18" t="inlineStr">
        <is>
          <t>RPS</t>
        </is>
      </c>
      <c r="C12" s="18" t="inlineStr">
        <is>
          <t>Regulatory Perimeter Service : divulgation T0/T1/T2</t>
        </is>
      </c>
      <c r="D12" s="43" t="inlineStr">
        <is>
          <t>Socle V0</t>
        </is>
      </c>
      <c r="E12" s="18" t="inlineStr">
        <is>
          <t>P07, P10</t>
        </is>
      </c>
      <c r="F12" s="18" t="inlineStr">
        <is>
          <t>V1 (démo) / V2 (réel)</t>
        </is>
      </c>
      <c r="G12" s="44">
        <f>SUMIF(Taches!$D$6:$D$325,$B12,Taches!$M$6:$M$325)</f>
        <v/>
      </c>
      <c r="H12" s="15">
        <f>SUMIF(Taches!$D$6:$D$325,$B12,Taches!$N$6:$N$325)</f>
        <v/>
      </c>
      <c r="I12" s="16">
        <f>IF(G12=0,0,H12/G12)</f>
        <v/>
      </c>
      <c r="J12" s="12">
        <f>COUNTIFS(Taches!$D$6:$D$325,$B12,Taches!$J$6:$J$325,"&lt;&gt;Abandonnée",Taches!$B$6:$B$325,"&lt;&gt;")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18" t="inlineStr">
        <is>
          <t>SIG</t>
        </is>
      </c>
      <c r="C13" s="18" t="inlineStr">
        <is>
          <t>Signature électronique et preuve</t>
        </is>
      </c>
      <c r="D13" s="45" t="inlineStr">
        <is>
          <t>Partenaire-dépendant</t>
        </is>
      </c>
      <c r="E13" s="18" t="inlineStr">
        <is>
          <t>P11</t>
        </is>
      </c>
      <c r="F13" s="18" t="inlineStr">
        <is>
          <t>V2</t>
        </is>
      </c>
      <c r="G13" s="44">
        <f>SUMIF(Taches!$D$6:$D$325,$B13,Taches!$M$6:$M$325)</f>
        <v/>
      </c>
      <c r="H13" s="15">
        <f>SUMIF(Taches!$D$6:$D$325,$B13,Taches!$N$6:$N$325)</f>
        <v/>
      </c>
      <c r="I13" s="16">
        <f>IF(G13=0,0,H13/G13)</f>
        <v/>
      </c>
      <c r="J13" s="12">
        <f>COUNTIFS(Taches!$D$6:$D$325,$B13,Taches!$J$6:$J$325,"&lt;&gt;Abandonnée",Taches!$B$6:$B$325,"&lt;&gt;")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18" t="inlineStr">
        <is>
          <t>VDR</t>
        </is>
      </c>
      <c r="C14" s="18" t="inlineStr">
        <is>
          <t>Data room et questions-réponses</t>
        </is>
      </c>
      <c r="D14" s="43" t="inlineStr">
        <is>
          <t>Socle V0</t>
        </is>
      </c>
      <c r="E14" s="18" t="inlineStr">
        <is>
          <t>P12</t>
        </is>
      </c>
      <c r="F14" s="18" t="inlineStr">
        <is>
          <t>V2</t>
        </is>
      </c>
      <c r="G14" s="44">
        <f>SUMIF(Taches!$D$6:$D$325,$B14,Taches!$M$6:$M$325)</f>
        <v/>
      </c>
      <c r="H14" s="15">
        <f>SUMIF(Taches!$D$6:$D$325,$B14,Taches!$N$6:$N$325)</f>
        <v/>
      </c>
      <c r="I14" s="16">
        <f>IF(G14=0,0,H14/G14)</f>
        <v/>
      </c>
      <c r="J14" s="12">
        <f>COUNTIFS(Taches!$D$6:$D$325,$B14,Taches!$J$6:$J$325,"&lt;&gt;Abandonnée",Taches!$B$6:$B$325,"&lt;&gt;")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18" t="inlineStr">
        <is>
          <t>NEG</t>
        </is>
      </c>
      <c r="C15" s="18" t="inlineStr">
        <is>
          <t>Négociation : offre, LOI, audit d'acquisition</t>
        </is>
      </c>
      <c r="D15" s="43" t="inlineStr">
        <is>
          <t>Socle V0</t>
        </is>
      </c>
      <c r="E15" s="18" t="inlineStr">
        <is>
          <t>P14, P15</t>
        </is>
      </c>
      <c r="F15" s="18" t="inlineStr">
        <is>
          <t>V3</t>
        </is>
      </c>
      <c r="G15" s="44">
        <f>SUMIF(Taches!$D$6:$D$325,$B15,Taches!$M$6:$M$325)</f>
        <v/>
      </c>
      <c r="H15" s="15">
        <f>SUMIF(Taches!$D$6:$D$325,$B15,Taches!$N$6:$N$325)</f>
        <v/>
      </c>
      <c r="I15" s="16">
        <f>IF(G15=0,0,H15/G15)</f>
        <v/>
      </c>
      <c r="J15" s="12">
        <f>COUNTIFS(Taches!$D$6:$D$325,$B15,Taches!$J$6:$J$325,"&lt;&gt;Abandonnée",Taches!$B$6:$B$325,"&lt;&gt;")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18" t="inlineStr">
        <is>
          <t>REA</t>
        </is>
      </c>
      <c r="C16" s="18" t="inlineStr">
        <is>
          <t>Réalisation et traçabilité de la transmission</t>
        </is>
      </c>
      <c r="D16" s="43" t="inlineStr">
        <is>
          <t>Socle V0</t>
        </is>
      </c>
      <c r="E16" s="18" t="inlineStr">
        <is>
          <t>P16</t>
        </is>
      </c>
      <c r="F16" s="18" t="inlineStr">
        <is>
          <t>V3</t>
        </is>
      </c>
      <c r="G16" s="44">
        <f>SUMIF(Taches!$D$6:$D$325,$B16,Taches!$M$6:$M$325)</f>
        <v/>
      </c>
      <c r="H16" s="15">
        <f>SUMIF(Taches!$D$6:$D$325,$B16,Taches!$N$6:$N$325)</f>
        <v/>
      </c>
      <c r="I16" s="16">
        <f>IF(G16=0,0,H16/G16)</f>
        <v/>
      </c>
      <c r="J16" s="12">
        <f>COUNTIFS(Taches!$D$6:$D$325,$B16,Taches!$J$6:$J$325,"&lt;&gt;Abandonnée",Taches!$B$6:$B$325,"&lt;&gt;")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18" t="inlineStr">
        <is>
          <t>LEG</t>
        </is>
      </c>
      <c r="C17" s="18" t="inlineStr">
        <is>
          <t>LegalTech OHADA et conformité fiscale</t>
        </is>
      </c>
      <c r="D17" s="45" t="inlineStr">
        <is>
          <t>Partenaire-dépendant</t>
        </is>
      </c>
      <c r="E17" s="18" t="inlineStr">
        <is>
          <t>P19</t>
        </is>
      </c>
      <c r="F17" s="18" t="inlineStr">
        <is>
          <t>V3</t>
        </is>
      </c>
      <c r="G17" s="44">
        <f>SUMIF(Taches!$D$6:$D$325,$B17,Taches!$M$6:$M$325)</f>
        <v/>
      </c>
      <c r="H17" s="15">
        <f>SUMIF(Taches!$D$6:$D$325,$B17,Taches!$N$6:$N$325)</f>
        <v/>
      </c>
      <c r="I17" s="16">
        <f>IF(G17=0,0,H17/G17)</f>
        <v/>
      </c>
      <c r="J17" s="12">
        <f>COUNTIFS(Taches!$D$6:$D$325,$B17,Taches!$J$6:$J$325,"&lt;&gt;Abandonnée",Taches!$B$6:$B$325,"&lt;&gt;")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TaxeFacile confirmé comme service par la direction ; contrat d'intégration à cadrer (A20)</t>
        </is>
      </c>
    </row>
    <row r="18">
      <c r="B18" s="18" t="inlineStr">
        <is>
          <t>FIN</t>
        </is>
      </c>
      <c r="C18" s="18" t="inlineStr">
        <is>
          <t>Finance : frais, rétrocession CCI, reporting</t>
        </is>
      </c>
      <c r="D18" s="43" t="inlineStr">
        <is>
          <t>Socle V0</t>
        </is>
      </c>
      <c r="E18" s="18" t="inlineStr">
        <is>
          <t>P24</t>
        </is>
      </c>
      <c r="F18" s="18" t="inlineStr">
        <is>
          <t>V3</t>
        </is>
      </c>
      <c r="G18" s="44">
        <f>SUMIF(Taches!$D$6:$D$325,$B18,Taches!$M$6:$M$325)</f>
        <v/>
      </c>
      <c r="H18" s="15">
        <f>SUMIF(Taches!$D$6:$D$325,$B18,Taches!$N$6:$N$325)</f>
        <v/>
      </c>
      <c r="I18" s="16">
        <f>IF(G18=0,0,H18/G18)</f>
        <v/>
      </c>
      <c r="J18" s="12">
        <f>COUNTIFS(Taches!$D$6:$D$325,$B18,Taches!$J$6:$J$325,"&lt;&gt;Abandonnée",Taches!$B$6:$B$325,"&lt;&gt;")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18" t="inlineStr">
        <is>
          <t>SUP</t>
        </is>
      </c>
      <c r="C19" s="18" t="inlineStr">
        <is>
          <t>Support et accès privilégiés</t>
        </is>
      </c>
      <c r="D19" s="43" t="inlineStr">
        <is>
          <t>Socle V0</t>
        </is>
      </c>
      <c r="E19" s="18" t="inlineStr">
        <is>
          <t>P23</t>
        </is>
      </c>
      <c r="F19" s="18" t="inlineStr">
        <is>
          <t>V3</t>
        </is>
      </c>
      <c r="G19" s="44">
        <f>SUMIF(Taches!$D$6:$D$325,$B19,Taches!$M$6:$M$325)</f>
        <v/>
      </c>
      <c r="H19" s="15">
        <f>SUMIF(Taches!$D$6:$D$325,$B19,Taches!$N$6:$N$325)</f>
        <v/>
      </c>
      <c r="I19" s="16">
        <f>IF(G19=0,0,H19/G19)</f>
        <v/>
      </c>
      <c r="J19" s="12">
        <f>COUNTIFS(Taches!$D$6:$D$325,$B19,Taches!$J$6:$J$325,"&lt;&gt;Abandonnée",Taches!$B$6:$B$325,"&lt;&gt;")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18" t="inlineStr">
        <is>
          <t>OPS</t>
        </is>
      </c>
      <c r="C20" s="18" t="inlineStr">
        <is>
          <t>Exploitation, sécurité, continuité (SLA 99,5 %)</t>
        </is>
      </c>
      <c r="D20" s="43" t="inlineStr">
        <is>
          <t>Socle V0</t>
        </is>
      </c>
      <c r="E20" s="18" t="inlineStr">
        <is>
          <t>P25</t>
        </is>
      </c>
      <c r="F20" s="18" t="inlineStr">
        <is>
          <t>V1 (base) / V3 (durci)</t>
        </is>
      </c>
      <c r="G20" s="44">
        <f>SUMIF(Taches!$D$6:$D$325,$B20,Taches!$M$6:$M$325)</f>
        <v/>
      </c>
      <c r="H20" s="15">
        <f>SUMIF(Taches!$D$6:$D$325,$B20,Taches!$N$6:$N$325)</f>
        <v/>
      </c>
      <c r="I20" s="16">
        <f>IF(G20=0,0,H20/G20)</f>
        <v/>
      </c>
      <c r="J20" s="12">
        <f>COUNTIFS(Taches!$D$6:$D$325,$B20,Taches!$J$6:$J$325,"&lt;&gt;Abandonnée",Taches!$B$6:$B$325,"&lt;&gt;")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18" t="inlineStr">
        <is>
          <t>REB</t>
        </is>
      </c>
      <c r="C21" s="18" t="inlineStr">
        <is>
          <t>Alerte &amp; Rebond : entreprises en difficulté</t>
        </is>
      </c>
      <c r="D21" s="43" t="inlineStr">
        <is>
          <t>Socle V0</t>
        </is>
      </c>
      <c r="E21" s="18" t="inlineStr">
        <is>
          <t>P17, P18</t>
        </is>
      </c>
      <c r="F21" s="18" t="inlineStr">
        <is>
          <t>V4</t>
        </is>
      </c>
      <c r="G21" s="44">
        <f>SUMIF(Taches!$D$6:$D$325,$B21,Taches!$M$6:$M$325)</f>
        <v/>
      </c>
      <c r="H21" s="15">
        <f>SUMIF(Taches!$D$6:$D$325,$B21,Taches!$N$6:$N$325)</f>
        <v/>
      </c>
      <c r="I21" s="16">
        <f>IF(G21=0,0,H21/G21)</f>
        <v/>
      </c>
      <c r="J21" s="12">
        <f>COUNTIFS(Taches!$D$6:$D$325,$B21,Taches!$J$6:$J$325,"&lt;&gt;Abandonnée",Taches!$B$6:$B$325,"&lt;&gt;")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18" t="inlineStr">
        <is>
          <t>CNX</t>
        </is>
      </c>
      <c r="C22" s="18" t="inlineStr">
        <is>
          <t>Deal-Connect : événements B2B (Remo.co)</t>
        </is>
      </c>
      <c r="D22" s="43" t="inlineStr">
        <is>
          <t>Socle V0</t>
        </is>
      </c>
      <c r="E22" s="18" t="inlineStr">
        <is>
          <t>P20</t>
        </is>
      </c>
      <c r="F22" s="18" t="inlineStr">
        <is>
          <t>V4</t>
        </is>
      </c>
      <c r="G22" s="44">
        <f>SUMIF(Taches!$D$6:$D$325,$B22,Taches!$M$6:$M$325)</f>
        <v/>
      </c>
      <c r="H22" s="15">
        <f>SUMIF(Taches!$D$6:$D$325,$B22,Taches!$N$6:$N$325)</f>
        <v/>
      </c>
      <c r="I22" s="16">
        <f>IF(G22=0,0,H22/G22)</f>
        <v/>
      </c>
      <c r="J22" s="12">
        <f>COUNTIFS(Taches!$D$6:$D$325,$B22,Taches!$J$6:$J$325,"&lt;&gt;Abandonnée",Taches!$B$6:$B$325,"&lt;&gt;")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18" t="inlineStr">
        <is>
          <t>DIA</t>
        </is>
      </c>
      <c r="C23" s="18" t="inlineStr">
        <is>
          <t>Guichet Diaspora et investissement</t>
        </is>
      </c>
      <c r="D23" s="43" t="inlineStr">
        <is>
          <t>Socle V0</t>
        </is>
      </c>
      <c r="E23" s="18" t="inlineStr">
        <is>
          <t>P21</t>
        </is>
      </c>
      <c r="F23" s="18" t="inlineStr">
        <is>
          <t>V4</t>
        </is>
      </c>
      <c r="G23" s="44">
        <f>SUMIF(Taches!$D$6:$D$325,$B23,Taches!$M$6:$M$325)</f>
        <v/>
      </c>
      <c r="H23" s="15">
        <f>SUMIF(Taches!$D$6:$D$325,$B23,Taches!$N$6:$N$325)</f>
        <v/>
      </c>
      <c r="I23" s="16">
        <f>IF(G23=0,0,H23/G23)</f>
        <v/>
      </c>
      <c r="J23" s="12">
        <f>COUNTIFS(Taches!$D$6:$D$325,$B23,Taches!$J$6:$J$325,"&lt;&gt;Abandonnée",Taches!$B$6:$B$325,"&lt;&gt;")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18" t="inlineStr">
        <is>
          <t>EXP</t>
        </is>
      </c>
      <c r="C24" s="18" t="inlineStr">
        <is>
          <t>Deal-Experts : mobilisation d'expert indépendant</t>
        </is>
      </c>
      <c r="D24" s="43" t="inlineStr">
        <is>
          <t>Socle V0</t>
        </is>
      </c>
      <c r="E24" s="18" t="inlineStr">
        <is>
          <t>P13</t>
        </is>
      </c>
      <c r="F24" s="18" t="inlineStr">
        <is>
          <t>V4</t>
        </is>
      </c>
      <c r="G24" s="44">
        <f>SUMIF(Taches!$D$6:$D$325,$B24,Taches!$M$6:$M$325)</f>
        <v/>
      </c>
      <c r="H24" s="15">
        <f>SUMIF(Taches!$D$6:$D$325,$B24,Taches!$N$6:$N$325)</f>
        <v/>
      </c>
      <c r="I24" s="16">
        <f>IF(G24=0,0,H24/G24)</f>
        <v/>
      </c>
      <c r="J24" s="12">
        <f>COUNTIFS(Taches!$D$6:$D$325,$B24,Taches!$J$6:$J$325,"&lt;&gt;Abandonnée",Taches!$B$6:$B$325,"&lt;&gt;")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Référentiel p. 23-24 : socle contractuel art. 12.3 ; articulation avec les besoins experts V2/V3 à confirmer (A04)</t>
        </is>
      </c>
    </row>
    <row r="25">
      <c r="B25" s="18" t="inlineStr">
        <is>
          <t>VDR-IA</t>
        </is>
      </c>
      <c r="C25" s="18" t="inlineStr">
        <is>
          <t>VDR Intelligence : DealLens et surfaces de diligence</t>
        </is>
      </c>
      <c r="D25" s="46" t="inlineStr">
        <is>
          <t>Extension conçue, non prod</t>
        </is>
      </c>
      <c r="E25" s="18" t="inlineStr">
        <is>
          <t>-</t>
        </is>
      </c>
      <c r="F25" s="18" t="inlineStr">
        <is>
          <t>V5</t>
        </is>
      </c>
      <c r="G25" s="44">
        <f>SUMIF(Taches!$D$6:$D$325,$B25,Taches!$M$6:$M$325)</f>
        <v/>
      </c>
      <c r="H25" s="15">
        <f>SUMIF(Taches!$D$6:$D$325,$B25,Taches!$N$6:$N$325)</f>
        <v/>
      </c>
      <c r="I25" s="16">
        <f>IF(G25=0,0,H25/G25)</f>
        <v/>
      </c>
      <c r="J25" s="12">
        <f>COUNTIFS(Taches!$D$6:$D$325,$B25,Taches!$J$6:$J$325,"&lt;&gt;Abandonnée",Taches!$B$6:$B$325,"&lt;&gt;")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9.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18" t="inlineStr">
        <is>
          <t>V1</t>
        </is>
      </c>
      <c r="C6" s="18"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18" t="inlineStr">
        <is>
          <t>V2</t>
        </is>
      </c>
      <c r="C7" s="18"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18" t="inlineStr">
        <is>
          <t>V3</t>
        </is>
      </c>
      <c r="C8" s="18"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18" t="inlineStr">
        <is>
          <t>V4</t>
        </is>
      </c>
      <c r="C9" s="18"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18" t="inlineStr">
        <is>
          <t>V5</t>
        </is>
      </c>
      <c r="C10" s="18"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10.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1.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18"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18" t="inlineStr">
        <is>
          <t>Conditionne la tenue du périmètre V1</t>
        </is>
      </c>
    </row>
    <row r="7">
      <c r="B7" s="54" t="inlineStr">
        <is>
          <t>J02</t>
        </is>
      </c>
      <c r="C7" s="18"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18" t="inlineStr">
        <is>
          <t>Sinon saisie manuelle supervisée</t>
        </is>
      </c>
    </row>
    <row r="8">
      <c r="B8" s="54" t="inlineStr">
        <is>
          <t>J03</t>
        </is>
      </c>
      <c r="C8" s="18"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18" t="inlineStr">
        <is>
          <t>Plus aucun ajout après cette date</t>
        </is>
      </c>
    </row>
    <row r="9">
      <c r="B9" s="54" t="inlineStr">
        <is>
          <t>J04</t>
        </is>
      </c>
      <c r="C9" s="18"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18" t="inlineStr">
        <is>
          <t>Proposition Bouley à confirmer</t>
        </is>
      </c>
    </row>
    <row r="10">
      <c r="B10" s="54" t="inlineStr">
        <is>
          <t>J05</t>
        </is>
      </c>
      <c r="C10" s="18"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18" t="inlineStr">
        <is>
          <t>Zéro anomalie bloquante ; QA du 13 au 15/10</t>
        </is>
      </c>
    </row>
    <row r="11">
      <c r="B11" s="54" t="inlineStr">
        <is>
          <t>J06</t>
        </is>
      </c>
      <c r="C11" s="18"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18" t="inlineStr">
        <is>
          <t>Le développement s'arrête, la QA prend le relais du 13 au 15/10</t>
        </is>
      </c>
    </row>
    <row r="12">
      <c r="B12" s="54" t="inlineStr">
        <is>
          <t>J07</t>
        </is>
      </c>
      <c r="C12" s="18"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18" t="inlineStr">
        <is>
          <t>Échéance ferme</t>
        </is>
      </c>
    </row>
    <row r="13">
      <c r="B13" s="54" t="inlineStr">
        <is>
          <t>J08</t>
        </is>
      </c>
      <c r="C13" s="18"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18" t="inlineStr">
        <is>
          <t>Bloquant pour l'intégration NDA</t>
        </is>
      </c>
    </row>
    <row r="14">
      <c r="B14" s="54" t="inlineStr">
        <is>
          <t>J19</t>
        </is>
      </c>
      <c r="C14" s="18"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18" t="inlineStr">
        <is>
          <t>Doit être réalisé avant la fermeture des portes en V3</t>
        </is>
      </c>
    </row>
    <row r="15">
      <c r="B15" s="54" t="inlineStr">
        <is>
          <t>J09</t>
        </is>
      </c>
      <c r="C15" s="18"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18" t="inlineStr">
        <is>
          <t>Date fixée le 10/09/2026</t>
        </is>
      </c>
    </row>
    <row r="16">
      <c r="B16" s="54" t="inlineStr">
        <is>
          <t>J10</t>
        </is>
      </c>
      <c r="C16" s="18"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18" t="inlineStr">
        <is>
          <t>Conditionne l'activation du barème</t>
        </is>
      </c>
    </row>
    <row r="17">
      <c r="B17" s="54" t="inlineStr">
        <is>
          <t>J11</t>
        </is>
      </c>
      <c r="C17" s="18"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18" t="inlineStr">
        <is>
          <t>Porte G10</t>
        </is>
      </c>
    </row>
    <row r="18">
      <c r="B18" s="54" t="inlineStr">
        <is>
          <t>J12</t>
        </is>
      </c>
      <c r="C18" s="18"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18" t="inlineStr">
        <is>
          <t>Condition de lancement commercial</t>
        </is>
      </c>
    </row>
    <row r="19">
      <c r="B19" s="54" t="inlineStr">
        <is>
          <t>J13</t>
        </is>
      </c>
      <c r="C19" s="18"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18" t="inlineStr">
        <is>
          <t>Date fixée le 10/09/2026</t>
        </is>
      </c>
    </row>
    <row r="20">
      <c r="B20" s="54" t="inlineStr">
        <is>
          <t>J14</t>
        </is>
      </c>
      <c r="C20" s="18"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18" t="inlineStr">
        <is>
          <t>Bloque le connecteur Remo</t>
        </is>
      </c>
    </row>
    <row r="21">
      <c r="B21" s="54" t="inlineStr">
        <is>
          <t>J15</t>
        </is>
      </c>
      <c r="C21" s="18"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18" t="inlineStr">
        <is>
          <t>Date fixée le 10/09/2026</t>
        </is>
      </c>
    </row>
    <row r="22">
      <c r="B22" s="54" t="inlineStr">
        <is>
          <t>J16</t>
        </is>
      </c>
      <c r="C22" s="18"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18" t="inlineStr">
        <is>
          <t>Bloquant pour DealLens ; consultation à lancer dès V2</t>
        </is>
      </c>
    </row>
    <row r="23">
      <c r="B23" s="54" t="inlineStr">
        <is>
          <t>J17</t>
        </is>
      </c>
      <c r="C23" s="18"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18" t="inlineStr">
        <is>
          <t>Date fixée le 10/09/2026</t>
        </is>
      </c>
    </row>
    <row r="24">
      <c r="B24" s="54" t="inlineStr">
        <is>
          <t>J18</t>
        </is>
      </c>
      <c r="C24" s="18"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18"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L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18" t="inlineStr">
        <is>
          <t>Équipe de développement non confirmée ou sous-dimensionnée</t>
        </is>
      </c>
      <c r="D6" s="18" t="inlineStr">
        <is>
          <t>Organisation</t>
        </is>
      </c>
      <c r="E6" s="36" t="n">
        <v>4</v>
      </c>
      <c r="F6" s="36" t="n">
        <v>5</v>
      </c>
      <c r="G6" s="12">
        <f>E6*F6</f>
        <v/>
      </c>
      <c r="H6" s="12">
        <f>IF(G6&gt;=15,"Critique",IF(G6&gt;=8,"Élevé",IF(G6&gt;=4,"Moyen","Faible")))</f>
        <v/>
      </c>
      <c r="I6" s="54" t="inlineStr">
        <is>
          <t>V1</t>
        </is>
      </c>
      <c r="J6" s="18" t="inlineStr">
        <is>
          <t>Chef de projet</t>
        </is>
      </c>
      <c r="K6" s="18" t="inlineStr">
        <is>
          <t>Une seule personne enregistrée. Recalculer le reste à faire par version et affecter les responsables ; préserver les dates, soumettre toute coupe de périmètre à décision (A01). Ne pas retirer une démo RPS déjà construite.</t>
        </is>
      </c>
      <c r="L6" s="36" t="inlineStr">
        <is>
          <t>Ouvert</t>
        </is>
      </c>
    </row>
    <row r="7">
      <c r="B7" s="54" t="inlineStr">
        <is>
          <t>R02</t>
        </is>
      </c>
      <c r="C7" s="18" t="inlineStr">
        <is>
          <t>API CFE / RCCM indisponible ou non documentée</t>
        </is>
      </c>
      <c r="D7" s="18" t="inlineStr">
        <is>
          <t>Dépendance externe</t>
        </is>
      </c>
      <c r="E7" s="36" t="n">
        <v>3</v>
      </c>
      <c r="F7" s="36" t="n">
        <v>4</v>
      </c>
      <c r="G7" s="12">
        <f>E7*F7</f>
        <v/>
      </c>
      <c r="H7" s="12">
        <f>IF(G7&gt;=15,"Critique",IF(G7&gt;=8,"Élevé",IF(G7&gt;=4,"Moyen","Faible")))</f>
        <v/>
      </c>
      <c r="I7" s="54" t="inlineStr">
        <is>
          <t>V1</t>
        </is>
      </c>
      <c r="J7" s="18" t="inlineStr">
        <is>
          <t>Chef de projet</t>
        </is>
      </c>
      <c r="K7" s="18" t="inlineStr">
        <is>
          <t>V1-109 : mock HTTP pour avancer ; API désactivée = instruction manuelle ; contrat réel à qualifier sans modifier les parcours</t>
        </is>
      </c>
      <c r="L7" s="36" t="inlineStr">
        <is>
          <t>Ouvert</t>
        </is>
      </c>
    </row>
    <row r="8">
      <c r="B8" s="54" t="inlineStr">
        <is>
          <t>R03</t>
        </is>
      </c>
      <c r="C8" s="18" t="inlineStr">
        <is>
          <t>Designer UI/UX non disponible de bout en bout</t>
        </is>
      </c>
      <c r="D8" s="18" t="inlineStr">
        <is>
          <t>Organisation</t>
        </is>
      </c>
      <c r="E8" s="36" t="n">
        <v>3</v>
      </c>
      <c r="F8" s="36" t="n">
        <v>3</v>
      </c>
      <c r="G8" s="12">
        <f>E8*F8</f>
        <v/>
      </c>
      <c r="H8" s="12">
        <f>IF(G8&gt;=15,"Critique",IF(G8&gt;=8,"Élevé",IF(G8&gt;=4,"Moyen","Faible")))</f>
        <v/>
      </c>
      <c r="I8" s="54" t="inlineStr">
        <is>
          <t>V1</t>
        </is>
      </c>
      <c r="J8" s="18" t="inlineStr">
        <is>
          <t>M. Bruno</t>
        </is>
      </c>
      <c r="K8" s="18" t="inlineStr">
        <is>
          <t>Partir des références fournies ; proposer une revue ciblée au designer ; ses apports sont évalués avant intégration, sans bloquer le socle existant</t>
        </is>
      </c>
      <c r="L8" s="36" t="inlineStr">
        <is>
          <t>Ouvert</t>
        </is>
      </c>
    </row>
    <row r="9">
      <c r="B9" s="54" t="inlineStr">
        <is>
          <t>R04</t>
        </is>
      </c>
      <c r="C9" s="18" t="inlineStr">
        <is>
          <t>Périmètre V1 qui s'élargit pendant le mois</t>
        </is>
      </c>
      <c r="D9" s="18" t="inlineStr">
        <is>
          <t>Périmètre</t>
        </is>
      </c>
      <c r="E9" s="36" t="n">
        <v>4</v>
      </c>
      <c r="F9" s="36" t="n">
        <v>4</v>
      </c>
      <c r="G9" s="12">
        <f>E9*F9</f>
        <v/>
      </c>
      <c r="H9" s="12">
        <f>IF(G9&gt;=15,"Critique",IF(G9&gt;=8,"Élevé",IF(G9&gt;=4,"Moyen","Faible")))</f>
        <v/>
      </c>
      <c r="I9" s="54" t="inlineStr">
        <is>
          <t>V1</t>
        </is>
      </c>
      <c r="J9" s="18" t="inlineStr">
        <is>
          <t>Chef de projet</t>
        </is>
      </c>
      <c r="K9" s="18" t="inlineStr">
        <is>
          <t>Gel du périmètre à J03, toute demande passe par l'onglet Decisions</t>
        </is>
      </c>
      <c r="L9" s="36" t="inlineStr">
        <is>
          <t>Ouvert</t>
        </is>
      </c>
    </row>
    <row r="10">
      <c r="B10" s="54" t="inlineStr">
        <is>
          <t>R05</t>
        </is>
      </c>
      <c r="C10" s="18" t="inlineStr">
        <is>
          <t>Démonstration perçue comme un produit fini (sur-promesse)</t>
        </is>
      </c>
      <c r="D10" s="18" t="inlineStr">
        <is>
          <t>Communication</t>
        </is>
      </c>
      <c r="E10" s="36" t="n">
        <v>3</v>
      </c>
      <c r="F10" s="36" t="n">
        <v>4</v>
      </c>
      <c r="G10" s="12">
        <f>E10*F10</f>
        <v/>
      </c>
      <c r="H10" s="12">
        <f>IF(G10&gt;=15,"Critique",IF(G10&gt;=8,"Élevé",IF(G10&gt;=4,"Moyen","Faible")))</f>
        <v/>
      </c>
      <c r="I10" s="54" t="inlineStr">
        <is>
          <t>V1</t>
        </is>
      </c>
      <c r="J10" s="18" t="inlineStr">
        <is>
          <t>M. Bruno</t>
        </is>
      </c>
      <c r="K10" s="18" t="inlineStr">
        <is>
          <t>Note de cadrage V1, étiquette 'démonstration synthétique' sur chaque écran</t>
        </is>
      </c>
      <c r="L10" s="36" t="inlineStr">
        <is>
          <t>Ouvert</t>
        </is>
      </c>
    </row>
    <row r="11">
      <c r="B11" s="54" t="inlineStr">
        <is>
          <t>R06</t>
        </is>
      </c>
      <c r="C11" s="18" t="inlineStr">
        <is>
          <t>Prestataire de signature qualifiée non contractualisé à temps</t>
        </is>
      </c>
      <c r="D11" s="18" t="inlineStr">
        <is>
          <t>Dépendance externe</t>
        </is>
      </c>
      <c r="E11" s="36" t="n">
        <v>3</v>
      </c>
      <c r="F11" s="36" t="n">
        <v>4</v>
      </c>
      <c r="G11" s="12">
        <f>E11*F11</f>
        <v/>
      </c>
      <c r="H11" s="12">
        <f>IF(G11&gt;=15,"Critique",IF(G11&gt;=8,"Élevé",IF(G11&gt;=4,"Moyen","Faible")))</f>
        <v/>
      </c>
      <c r="I11" s="54" t="inlineStr">
        <is>
          <t>V2</t>
        </is>
      </c>
      <c r="J11" s="18" t="inlineStr">
        <is>
          <t>M. Bruno</t>
        </is>
      </c>
      <c r="K11" s="18" t="inlineStr">
        <is>
          <t>Lancer la consultation PSC/PSAE pendant V1 ; disposer d'un gabarit NDA revu en V2, sans attendre LegalTech V3 ; jalon J08 maintenu</t>
        </is>
      </c>
      <c r="L11" s="36" t="inlineStr">
        <is>
          <t>Ouvert</t>
        </is>
      </c>
    </row>
    <row r="12">
      <c r="B12" s="54" t="inlineStr">
        <is>
          <t>R07</t>
        </is>
      </c>
      <c r="C12" s="18" t="inlineStr">
        <is>
          <t>Retard des portes de conformité (IPDCP, DPO, pentest)</t>
        </is>
      </c>
      <c r="D12" s="18" t="inlineStr">
        <is>
          <t>Réglementaire</t>
        </is>
      </c>
      <c r="E12" s="36" t="n">
        <v>3</v>
      </c>
      <c r="F12" s="36" t="n">
        <v>5</v>
      </c>
      <c r="G12" s="12">
        <f>E12*F12</f>
        <v/>
      </c>
      <c r="H12" s="12">
        <f>IF(G12&gt;=15,"Critique",IF(G12&gt;=8,"Élevé",IF(G12&gt;=4,"Moyen","Faible")))</f>
        <v/>
      </c>
      <c r="I12" s="54" t="inlineStr">
        <is>
          <t>V3</t>
        </is>
      </c>
      <c r="J12" s="18" t="inlineStr">
        <is>
          <t>Conseil juridique / DPO</t>
        </is>
      </c>
      <c r="K12" s="18" t="inlineStr">
        <is>
          <t>Démarrer les démarches IPDCP pendant V2</t>
        </is>
      </c>
      <c r="L12" s="36" t="inlineStr">
        <is>
          <t>Ouvert</t>
        </is>
      </c>
    </row>
    <row r="13">
      <c r="B13" s="54" t="inlineStr">
        <is>
          <t>R08</t>
        </is>
      </c>
      <c r="C13" s="18" t="inlineStr">
        <is>
          <t>Contrat d'intégration TaxeFacile non défini</t>
        </is>
      </c>
      <c r="D13" s="18" t="inlineStr">
        <is>
          <t>Dépendance externe</t>
        </is>
      </c>
      <c r="E13" s="36" t="n">
        <v>3</v>
      </c>
      <c r="F13" s="36" t="n">
        <v>3</v>
      </c>
      <c r="G13" s="12">
        <f>E13*F13</f>
        <v/>
      </c>
      <c r="H13" s="12">
        <f>IF(G13&gt;=15,"Critique",IF(G13&gt;=8,"Élevé",IF(G13&gt;=4,"Moyen","Faible")))</f>
        <v/>
      </c>
      <c r="I13" s="54" t="inlineStr">
        <is>
          <t>V3</t>
        </is>
      </c>
      <c r="J13" s="18" t="inlineStr">
        <is>
          <t>M. Bruno</t>
        </is>
      </c>
      <c r="K13" s="18" t="inlineStr">
        <is>
          <t>Nom du service confirmé (A06) ; préciser API/SSO ou renvoi, demandes, statuts, responsabilités et isolation (A20 / V3-050)</t>
        </is>
      </c>
      <c r="L13" s="36" t="inlineStr">
        <is>
          <t>Ouvert</t>
        </is>
      </c>
    </row>
    <row r="14">
      <c r="B14" s="54" t="inlineStr">
        <is>
          <t>R09</t>
        </is>
      </c>
      <c r="C14" s="18" t="inlineStr">
        <is>
          <t>Périmètre de l'intégration Remo.co plus large que prévu</t>
        </is>
      </c>
      <c r="D14" s="18" t="inlineStr">
        <is>
          <t>Technique</t>
        </is>
      </c>
      <c r="E14" s="36" t="n">
        <v>3</v>
      </c>
      <c r="F14" s="36" t="n">
        <v>4</v>
      </c>
      <c r="G14" s="12">
        <f>E14*F14</f>
        <v/>
      </c>
      <c r="H14" s="12">
        <f>IF(G14&gt;=15,"Critique",IF(G14&gt;=8,"Élevé",IF(G14&gt;=4,"Moyen","Faible")))</f>
        <v/>
      </c>
      <c r="I14" s="54" t="inlineStr">
        <is>
          <t>V1</t>
        </is>
      </c>
      <c r="J14" s="18" t="inlineStr">
        <is>
          <t>Chef de projet</t>
        </is>
      </c>
      <c r="K14" s="18" t="inlineStr">
        <is>
          <t>V1-104 : tests des droits admin/API, limites, branding et enregistrements ; abonnement annoncé ne vaut pas contrat testé</t>
        </is>
      </c>
      <c r="L14" s="36" t="inlineStr">
        <is>
          <t>Ouvert</t>
        </is>
      </c>
    </row>
    <row r="15">
      <c r="B15" s="54" t="inlineStr">
        <is>
          <t>R10</t>
        </is>
      </c>
      <c r="C15" s="18" t="inlineStr">
        <is>
          <t>Fournisseur IA sans clauses de confidentialité acceptables</t>
        </is>
      </c>
      <c r="D15" s="18" t="inlineStr">
        <is>
          <t>Dépendance externe</t>
        </is>
      </c>
      <c r="E15" s="36" t="n">
        <v>3</v>
      </c>
      <c r="F15" s="36" t="n">
        <v>5</v>
      </c>
      <c r="G15" s="12">
        <f>E15*F15</f>
        <v/>
      </c>
      <c r="H15" s="12">
        <f>IF(G15&gt;=15,"Critique",IF(G15&gt;=8,"Élevé",IF(G15&gt;=4,"Moyen","Faible")))</f>
        <v/>
      </c>
      <c r="I15" s="54" t="inlineStr">
        <is>
          <t>V5</t>
        </is>
      </c>
      <c r="J15" s="18" t="inlineStr">
        <is>
          <t>Conseil juridique</t>
        </is>
      </c>
      <c r="K15" s="18" t="inlineStr">
        <is>
          <t>Consultation dès V2, clauses de non-réutilisation des données ; contrat attendu le 15/01/2027 (J16 et A08 alignés)</t>
        </is>
      </c>
      <c r="L15" s="36" t="inlineStr">
        <is>
          <t>Ouvert</t>
        </is>
      </c>
    </row>
    <row r="16">
      <c r="B16" s="54" t="inlineStr">
        <is>
          <t>R11</t>
        </is>
      </c>
      <c r="C16" s="18" t="inlineStr">
        <is>
          <t>Fuite de divulgation T0 / T1 sur un dossier titres en production</t>
        </is>
      </c>
      <c r="D16" s="18" t="inlineStr">
        <is>
          <t>Sécurité</t>
        </is>
      </c>
      <c r="E16" s="36" t="n">
        <v>2</v>
      </c>
      <c r="F16" s="36" t="n">
        <v>5</v>
      </c>
      <c r="G16" s="12">
        <f>E16*F16</f>
        <v/>
      </c>
      <c r="H16" s="12">
        <f>IF(G16&gt;=15,"Critique",IF(G16&gt;=8,"Élevé",IF(G16&gt;=4,"Moyen","Faible")))</f>
        <v/>
      </c>
      <c r="I16" s="54" t="inlineStr">
        <is>
          <t>V2</t>
        </is>
      </c>
      <c r="J16" s="18" t="inlineStr">
        <is>
          <t>Équipe de développement</t>
        </is>
      </c>
      <c r="K16" s="18" t="inlineStr">
        <is>
          <t>Allow-list serveur, tests DISCLOSURE_LEAK sur les 12 cas de référence</t>
        </is>
      </c>
      <c r="L16" s="36" t="inlineStr">
        <is>
          <t>Surveillé</t>
        </is>
      </c>
    </row>
    <row r="17">
      <c r="B17" s="54" t="inlineStr">
        <is>
          <t>R12</t>
        </is>
      </c>
      <c r="C17" s="18" t="inlineStr">
        <is>
          <t>Sur-ingénierie par rapport au plafond du pilote (2 000 comptes)</t>
        </is>
      </c>
      <c r="D17" s="18" t="inlineStr">
        <is>
          <t>Technique</t>
        </is>
      </c>
      <c r="E17" s="36" t="n">
        <v>2</v>
      </c>
      <c r="F17" s="36" t="n">
        <v>2</v>
      </c>
      <c r="G17" s="12">
        <f>E17*F17</f>
        <v/>
      </c>
      <c r="H17" s="12">
        <f>IF(G17&gt;=15,"Critique",IF(G17&gt;=8,"Élevé",IF(G17&gt;=4,"Moyen","Faible")))</f>
        <v/>
      </c>
      <c r="I17" s="54" t="inlineStr">
        <is>
          <t>V2</t>
        </is>
      </c>
      <c r="J17" s="18" t="inlineStr">
        <is>
          <t>Chef de projet</t>
        </is>
      </c>
      <c r="K17" s="18" t="inlineStr">
        <is>
          <t>Revue d'architecture à chaque version contre le plafond de capacité</t>
        </is>
      </c>
      <c r="L17" s="36" t="inlineStr">
        <is>
          <t>Surveillé</t>
        </is>
      </c>
    </row>
    <row r="18">
      <c r="B18" s="54" t="inlineStr">
        <is>
          <t>R14</t>
        </is>
      </c>
      <c r="C18" s="18" t="inlineStr">
        <is>
          <t>Calendrier V2 à V5 compressé (V5 : 153 j/p en trois semaines) avec lancement commercial au 01/03/2027</t>
        </is>
      </c>
      <c r="D18" s="18" t="inlineStr">
        <is>
          <t>Planning</t>
        </is>
      </c>
      <c r="E18" s="36" t="n">
        <v>4</v>
      </c>
      <c r="F18" s="36" t="n">
        <v>4</v>
      </c>
      <c r="G18" s="12">
        <f>E18*F18</f>
        <v/>
      </c>
      <c r="H18" s="12">
        <f>IF(G18&gt;=15,"Critique",IF(G18&gt;=8,"Élevé",IF(G18&gt;=4,"Moyen","Faible")))</f>
        <v/>
      </c>
      <c r="I18" s="54" t="inlineStr">
        <is>
          <t>V5</t>
        </is>
      </c>
      <c r="J18" s="18" t="inlineStr">
        <is>
          <t>Chef de projet</t>
        </is>
      </c>
      <c r="K18" s="18"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18" t="inlineStr">
        <is>
          <t>Pentest indépendant reporté en V3 : la démonstration V1 tourne sans audit externe</t>
        </is>
      </c>
      <c r="D19" s="18" t="inlineStr">
        <is>
          <t>Sécurité</t>
        </is>
      </c>
      <c r="E19" s="36" t="n">
        <v>3</v>
      </c>
      <c r="F19" s="36" t="n">
        <v>4</v>
      </c>
      <c r="G19" s="12">
        <f>E19*F19</f>
        <v/>
      </c>
      <c r="H19" s="12">
        <f>IF(G19&gt;=15,"Critique",IF(G19&gt;=8,"Élevé",IF(G19&gt;=4,"Moyen","Faible")))</f>
        <v/>
      </c>
      <c r="I19" s="54" t="inlineStr">
        <is>
          <t>V1</t>
        </is>
      </c>
      <c r="J19" s="18" t="inlineStr">
        <is>
          <t>Chef de projet</t>
        </is>
      </c>
      <c r="K19" s="18" t="inlineStr">
        <is>
          <t>Revue de sécurité interne et scan de dépendances en V1 (lot Sécurité) ; aucun environnement accessible publiquement avant V3 ; commander le pentest dès V2</t>
        </is>
      </c>
      <c r="L19" s="36" t="inlineStr">
        <is>
          <t>Ouvert</t>
        </is>
      </c>
    </row>
    <row r="20">
      <c r="B20" s="54" t="inlineStr">
        <is>
          <t>R15</t>
        </is>
      </c>
      <c r="C20" s="18" t="inlineStr">
        <is>
          <t>Compléments d'intégration et de recette insuffisamment suivis</t>
        </is>
      </c>
      <c r="D20" s="18" t="inlineStr">
        <is>
          <t>Qualité du suivi</t>
        </is>
      </c>
      <c r="E20" s="36" t="n">
        <v>3</v>
      </c>
      <c r="F20" s="36" t="n">
        <v>4</v>
      </c>
      <c r="G20" s="12">
        <f>E20*F20</f>
        <v/>
      </c>
      <c r="H20" s="12">
        <f>IF(G20&gt;=15,"Critique",IF(G20&gt;=8,"Élevé",IF(G20&gt;=4,"Moyen","Faible")))</f>
        <v/>
      </c>
      <c r="I20" s="54" t="inlineStr">
        <is>
          <t>V1</t>
        </is>
      </c>
      <c r="J20" s="18" t="inlineStr">
        <is>
          <t>Chef de projet</t>
        </is>
      </c>
      <c r="K20" s="18" t="inlineStr">
        <is>
          <t>Acquis conservés ; correctifs, intégrations et preuves suivis dans des tâches distinctes, reliées aux travaux initiaux</t>
        </is>
      </c>
      <c r="L20" s="36" t="inlineStr">
        <is>
          <t>Ouvert</t>
        </is>
      </c>
    </row>
    <row r="21">
      <c r="B21" s="54" t="inlineStr">
        <is>
          <t>R16</t>
        </is>
      </c>
      <c r="C21" s="18" t="inlineStr">
        <is>
          <t>Paiements, facturation prépayée et KYC documentaire absents du plan détaillé</t>
        </is>
      </c>
      <c r="D21" s="18" t="inlineStr">
        <is>
          <t>Périmètre</t>
        </is>
      </c>
      <c r="E21" s="36" t="n">
        <v>4</v>
      </c>
      <c r="F21" s="36" t="n">
        <v>5</v>
      </c>
      <c r="G21" s="12">
        <f>E21*F21</f>
        <v/>
      </c>
      <c r="H21" s="12">
        <f>IF(G21&gt;=15,"Critique",IF(G21&gt;=8,"Élevé",IF(G21&gt;=4,"Moyen","Faible")))</f>
        <v/>
      </c>
      <c r="I21" s="54" t="inlineStr">
        <is>
          <t>V3</t>
        </is>
      </c>
      <c r="J21" s="18" t="inlineStr">
        <is>
          <t>Chef de projet</t>
        </is>
      </c>
      <c r="K21" s="18" t="inlineStr">
        <is>
          <t>Exigences v0 réintroduites en V2-046 et V3-044/045 ; consulter les fournisseurs pendant V1/V2 et revalider les charges sans déplacer les versions</t>
        </is>
      </c>
      <c r="L21" s="36" t="inlineStr">
        <is>
          <t>Ouvert</t>
        </is>
      </c>
    </row>
    <row r="22">
      <c r="B22" s="54" t="inlineStr">
        <is>
          <t>R17</t>
        </is>
      </c>
      <c r="C22" s="18" t="inlineStr">
        <is>
          <t>Admissions et journal RPS non protégés contre la concurrence</t>
        </is>
      </c>
      <c r="D22" s="18" t="inlineStr">
        <is>
          <t>Technique</t>
        </is>
      </c>
      <c r="E22" s="36" t="n">
        <v>4</v>
      </c>
      <c r="F22" s="36" t="n">
        <v>5</v>
      </c>
      <c r="G22" s="12">
        <f>E22*F22</f>
        <v/>
      </c>
      <c r="H22" s="12">
        <f>IF(G22&gt;=15,"Critique",IF(G22&gt;=8,"Élevé",IF(G22&gt;=4,"Moyen","Faible")))</f>
        <v/>
      </c>
      <c r="I22" s="54" t="inlineStr">
        <is>
          <t>V2</t>
        </is>
      </c>
      <c r="J22" s="18" t="inlineStr">
        <is>
          <t>Chef de projet</t>
        </is>
      </c>
      <c r="K22" s="18" t="inlineStr">
        <is>
          <t>V2-044 avant V2-045 : tests concurrents, transactions, append-only, identité interservices ; ne pas activer les titres sur la seule foi des tests unitaires</t>
        </is>
      </c>
      <c r="L22" s="36" t="inlineStr">
        <is>
          <t>Ouvert</t>
        </is>
      </c>
    </row>
    <row r="23">
      <c r="B23" s="54" t="inlineStr">
        <is>
          <t>R18</t>
        </is>
      </c>
      <c r="C23" s="18" t="inlineStr">
        <is>
          <t>Quota d'un événement simultané incompatible avec les mini-réunions et le compte partagé</t>
        </is>
      </c>
      <c r="D23" s="18" t="inlineStr">
        <is>
          <t>Dépendance externe</t>
        </is>
      </c>
      <c r="E23" s="36" t="n">
        <v>4</v>
      </c>
      <c r="F23" s="36" t="n">
        <v>4</v>
      </c>
      <c r="G23" s="12">
        <f>E23*F23</f>
        <v/>
      </c>
      <c r="H23" s="12">
        <f>IF(G23&gt;=15,"Critique",IF(G23&gt;=8,"Élevé",IF(G23&gt;=4,"Moyen","Faible")))</f>
        <v/>
      </c>
      <c r="I23" s="54" t="inlineStr">
        <is>
          <t>V1</t>
        </is>
      </c>
      <c r="J23" s="18" t="inlineStr">
        <is>
          <t>Chef de projet</t>
        </is>
      </c>
      <c r="K23" s="18" t="inlineStr">
        <is>
          <t>Confirmer A18 et tester V1-104 ; réservation commune V1-106 ; couvrir les créations externes ; comparaison des autres abonnements avant choix définitif</t>
        </is>
      </c>
      <c r="L23" s="36" t="inlineStr">
        <is>
          <t>Ouvert</t>
        </is>
      </c>
    </row>
    <row r="24">
      <c r="B24" s="54" t="inlineStr">
        <is>
          <t>R19</t>
        </is>
      </c>
      <c r="C24" s="18" t="inlineStr">
        <is>
          <t>Captation partielle ou rapport remis aux mauvais participants</t>
        </is>
      </c>
      <c r="D24" s="18" t="inlineStr">
        <is>
          <t>Technique</t>
        </is>
      </c>
      <c r="E24" s="36" t="n">
        <v>4</v>
      </c>
      <c r="F24" s="36" t="n">
        <v>4</v>
      </c>
      <c r="G24" s="12">
        <f>E24*F24</f>
        <v/>
      </c>
      <c r="H24" s="12">
        <f>IF(G24&gt;=15,"Critique",IF(G24&gt;=8,"Élevé",IF(G24&gt;=4,"Moyen","Faible")))</f>
        <v/>
      </c>
      <c r="I24" s="54" t="inlineStr">
        <is>
          <t>V2</t>
        </is>
      </c>
      <c r="J24" s="18" t="inlineStr">
        <is>
          <t>Chef de projet</t>
        </is>
      </c>
      <c r="K24" s="18" t="inlineStr">
        <is>
          <t>Prototype scène/tables V1-107 ; provenance et couverture visibles ; droits par session et révocation ; tests d'injection et de distribution V2-050</t>
        </is>
      </c>
      <c r="L24" s="36" t="inlineStr">
        <is>
          <t>Ouvert</t>
        </is>
      </c>
    </row>
  </sheetData>
  <conditionalFormatting sqref="H6:H74">
    <cfRule type="expression" priority="1" dxfId="1">
      <formula>H6="Critique"</formula>
    </cfRule>
    <cfRule type="expression" priority="2" dxfId="5">
      <formula>H6="Élevé"</formula>
    </cfRule>
    <cfRule type="expression" priority="3" dxfId="6">
      <formula>H6="Moyen"</formula>
    </cfRule>
  </conditionalFormatting>
  <conditionalFormatting sqref="L6:L74">
    <cfRule type="expression" priority="4" dxfId="2">
      <formula>L6="Clos"</formula>
    </cfRule>
  </conditionalFormatting>
  <dataValidations count="2">
    <dataValidation sqref="E6:F74" showDropDown="0" showInputMessage="0" showErrorMessage="0" allowBlank="0" type="whole" operator="between">
      <formula1>1</formula1>
      <formula2>5</formula2>
    </dataValidation>
    <dataValidation sqref="L6:L74" showDropDown="0" showInputMessage="0" showErrorMessage="0" allowBlank="1" type="list">
      <formula1>=Parametres!$P$6:$P$8</formula1>
    </dataValidation>
  </dataValidations>
  <pageMargins left="0.75" right="0.75" top="1" bottom="1" header="0.5" footer="0.5"/>
</worksheet>
</file>

<file path=xl/worksheets/sheet13.xml><?xml version="1.0" encoding="utf-8"?>
<worksheet xmlns="http://schemas.openxmlformats.org/spreadsheetml/2006/main">
  <sheetPr>
    <tabColor rgb="008C3A3A"/>
    <outlinePr summaryBelow="1" summaryRight="1"/>
    <pageSetUpPr/>
  </sheetPr>
  <dimension ref="B2:J2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18" t="inlineStr">
        <is>
          <t>L'API se connecte avec le rôle propriétaire de la base : les politiques RLS existent mais ne s'exercent pas</t>
        </is>
      </c>
      <c r="D6" s="18" t="inlineStr">
        <is>
          <t>Un défaut d'autorisation applicatif expose les dossiers d'un autre cédant</t>
        </is>
      </c>
      <c r="E6" s="18" t="inlineStr">
        <is>
          <t>Rôle dealpme_api sans contournement, contexte par transaction, test négatif</t>
        </is>
      </c>
      <c r="F6" s="54" t="inlineStr">
        <is>
          <t>V1</t>
        </is>
      </c>
      <c r="G6" s="18"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18" t="inlineStr">
        <is>
          <t>Aucune limitation de débit ni verrouillage après échecs de connexion</t>
        </is>
      </c>
      <c r="D7" s="18" t="inlineStr">
        <is>
          <t>Force brute sur /auth/login et sur les codes OTP</t>
        </is>
      </c>
      <c r="E7" s="18" t="inlineStr">
        <is>
          <t>Limitation par IP et par compte, verrouillage progressif, journal des échecs</t>
        </is>
      </c>
      <c r="F7" s="54" t="inlineStr">
        <is>
          <t>V1</t>
        </is>
      </c>
      <c r="G7" s="18"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18" t="inlineStr">
        <is>
          <t>Pas de vérification email ni de second facteur effectif</t>
        </is>
      </c>
      <c r="D8" s="18" t="inlineStr">
        <is>
          <t>Usurpation d'un compte officier ou administrateur</t>
        </is>
      </c>
      <c r="E8" s="18" t="inlineStr">
        <is>
          <t>Vérification email, MFA obligatoire pour les officiers CCI-Togo et les administrateurs</t>
        </is>
      </c>
      <c r="F8" s="54" t="inlineStr">
        <is>
          <t>V1</t>
        </is>
      </c>
      <c r="G8" s="18"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18" t="inlineStr">
        <is>
          <t>Champs CONFIDENTIAL_DEAL (prix, valorisation) en clair en base</t>
        </is>
      </c>
      <c r="D9" s="18" t="inlineStr">
        <is>
          <t>Un dump de la base révèle les conditions des cessions</t>
        </is>
      </c>
      <c r="E9" s="18" t="inlineStr">
        <is>
          <t>Chiffrement applicatif, clé hors base, rotation documentée</t>
        </is>
      </c>
      <c r="F9" s="54" t="inlineStr">
        <is>
          <t>V1</t>
        </is>
      </c>
      <c r="G9" s="18"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18" t="inlineStr">
        <is>
          <t>Pas d'en-têtes de sécurité HTTP, pas de CORS explicite</t>
        </is>
      </c>
      <c r="D10" s="18" t="inlineStr">
        <is>
          <t>Injection de contenu, appels depuis des origines inconnues</t>
        </is>
      </c>
      <c r="E10" s="18" t="inlineStr">
        <is>
          <t>CSP, HSTS, CORS strict, cookies sécurisés, taille maximale des requêtes</t>
        </is>
      </c>
      <c r="F10" s="54" t="inlineStr">
        <is>
          <t>V1</t>
        </is>
      </c>
      <c r="G10" s="18"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18" t="inlineStr">
        <is>
          <t>Idempotence en mémoire ; signatures de webhooks non vérifiées (faux connecteurs)</t>
        </is>
      </c>
      <c r="D11" s="18" t="inlineStr">
        <is>
          <t>Double effet sur rejeu ; webhook forgé accepté</t>
        </is>
      </c>
      <c r="E11" s="18" t="inlineStr">
        <is>
          <t>Idempotence en base, HMAC vérifié sur chaque webhook, test de rejeu</t>
        </is>
      </c>
      <c r="F11" s="54" t="inlineStr">
        <is>
          <t>V1</t>
        </is>
      </c>
      <c r="G11" s="18"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18" t="inlineStr">
        <is>
          <t>Mot de passe commun du jeu de démonstration</t>
        </is>
      </c>
      <c r="D12" s="18" t="inlineStr">
        <is>
          <t>Accès trivial si le jeu est chargé sur un environnement accessible</t>
        </is>
      </c>
      <c r="E12" s="18" t="inlineStr">
        <is>
          <t>Mots de passe uniques, chargement refusé hors développement</t>
        </is>
      </c>
      <c r="F12" s="54" t="inlineStr">
        <is>
          <t>V1</t>
        </is>
      </c>
      <c r="G12" s="18"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18" t="inlineStr">
        <is>
          <t>Aucun scan de dépendances exécuté</t>
        </is>
      </c>
      <c r="D13" s="18" t="inlineStr">
        <is>
          <t>Vulnérabilité connue embarquée sans alerte</t>
        </is>
      </c>
      <c r="E13" s="18" t="inlineStr">
        <is>
          <t>Scan bloquant en CI sur vulnérabilité critique, revue interne selon la liste de contrôle v0</t>
        </is>
      </c>
      <c r="F13" s="54" t="inlineStr">
        <is>
          <t>V1</t>
        </is>
      </c>
      <c r="G13" s="18"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18" t="inlineStr">
        <is>
          <t>Les tables entreprise et vérification de registre n'étaient pas couvertes par la RLS : tout compte authentifié pouvait lire la raison sociale et l'état d'instruction d'une entreprise tierce (constat interne du 24/09/2026)</t>
        </is>
      </c>
      <c r="D14" s="18" t="inlineStr">
        <is>
          <t>Fuite d'information entre cédants concurrents</t>
        </is>
      </c>
      <c r="E14" s="18" t="inlineStr">
        <is>
          <t>Corrigé le jour même : RLS activée sur company et registry_record (propriétaire et institution), lectures de la console passées sous contexte officier, contrôle de fumée ajouté</t>
        </is>
      </c>
      <c r="F14" s="54" t="inlineStr">
        <is>
          <t>V1</t>
        </is>
      </c>
      <c r="G14" s="18"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S16</t>
        </is>
      </c>
      <c r="C15" s="18" t="inlineStr">
        <is>
          <t>Une écriture refusée par la RLS ne lève pas d'erreur : elle ne touche aucune ligne. L'API annonçait une transition d'état qui n'avait pas eu lieu (constat interne du 02/10/2026)</t>
        </is>
      </c>
      <c r="D15" s="18" t="inlineStr">
        <is>
          <t>Décision affichée comme prise alors que rien n'a changé en base</t>
        </is>
      </c>
      <c r="E15" s="18" t="inlineStr">
        <is>
          <t>Corrigé le jour même : toute transition vérifie le nombre de lignes touchées et échoue en FORBIDDEN sinon ; politique RLS étroite ajoutée pour le renvoi en préparation par un officier ; contrôles de fumée ajoutés</t>
        </is>
      </c>
      <c r="F15" s="54" t="inlineStr">
        <is>
          <t>V1</t>
        </is>
      </c>
      <c r="G15" s="18" t="inlineStr">
        <is>
          <t>Tests négatifs : permissions serveur, accès non autorisés, contrôles morts</t>
        </is>
      </c>
      <c r="H15" s="12">
        <f>IF($G15="","Sans tâche",IFERROR(INDEX(Taches!$J$6:$J$325,MATCH($G15,Taches!$F$6:$F$325,0)),"À planifier"))</f>
        <v/>
      </c>
      <c r="I15" s="16">
        <f>IF($G15="","",IFERROR(INDEX(Taches!$L$6:$L$325,MATCH($G15,Taches!$F$6:$F$325,0)),0))</f>
        <v/>
      </c>
      <c r="J15" s="37" t="n"/>
    </row>
    <row r="16" ht="58" customHeight="1">
      <c r="B16" s="54" t="inlineStr">
        <is>
          <t>S17</t>
        </is>
      </c>
      <c r="C16" s="18" t="inlineStr">
        <is>
          <t>Une règle de conception écrite dans les conventions mais sans artefact ni test : le registre des contrôles d'interface était exigé par nos propres documents et n'existait nulle part (constat du 11/09/2026)</t>
        </is>
      </c>
      <c r="D16" s="18" t="inlineStr">
        <is>
          <t>Dérive silencieuse : 376 identifiants inventés, condition bloquante de recette non tenue</t>
        </is>
      </c>
      <c r="E16" s="18" t="inlineStr">
        <is>
          <t>Registre importé dans le dépôt (qa/registre-interactions.json) et test qui refuse tout identifiant inconnu ; preuve de couverture produite automatiquement</t>
        </is>
      </c>
      <c r="F16" s="54" t="inlineStr">
        <is>
          <t>V1</t>
        </is>
      </c>
      <c r="G16" s="18" t="inlineStr">
        <is>
          <t>Tests négatifs : permissions serveur, accès non autorisés, contrôles morts</t>
        </is>
      </c>
      <c r="H16" s="12">
        <f>IF($G16="","Sans tâche",IFERROR(INDEX(Taches!$J$6:$J$325,MATCH($G16,Taches!$F$6:$F$325,0)),"À planifier"))</f>
        <v/>
      </c>
      <c r="I16" s="16">
        <f>IF($G16="","",IFERROR(INDEX(Taches!$L$6:$L$325,MATCH($G16,Taches!$F$6:$F$325,0)),0))</f>
        <v/>
      </c>
      <c r="J16" s="37" t="n"/>
    </row>
    <row r="17" ht="58" customHeight="1">
      <c r="B17" s="54" t="inlineStr">
        <is>
          <t>S09</t>
        </is>
      </c>
      <c r="C17" s="18" t="inlineStr">
        <is>
          <t>Aucun pentest indépendant</t>
        </is>
      </c>
      <c r="D17" s="18" t="inlineStr">
        <is>
          <t>Failles non détectées par l'équipe elle-même</t>
        </is>
      </c>
      <c r="E17" s="18" t="inlineStr">
        <is>
          <t>Reporté en V3 (porte G10) : exige un prestataire externe et un périmètre stabilisé ; mitigation V1 = revue interne S08, aucun environnement public avant V3 ; commander le pentest dès V2</t>
        </is>
      </c>
      <c r="F17" s="54" t="inlineStr">
        <is>
          <t>V3</t>
        </is>
      </c>
      <c r="G17" s="18" t="inlineStr">
        <is>
          <t>Pentest indépendant et remédiation des constats critiques et élevés (G10)</t>
        </is>
      </c>
      <c r="H17" s="12">
        <f>IF($G17="","Sans tâche",IFERROR(INDEX(Taches!$J$6:$J$325,MATCH($G17,Taches!$F$6:$F$325,0)),"À planifier"))</f>
        <v/>
      </c>
      <c r="I17" s="16">
        <f>IF($G17="","",IFERROR(INDEX(Taches!$L$6:$L$325,MATCH($G17,Taches!$F$6:$F$325,0)),0))</f>
        <v/>
      </c>
      <c r="J17" s="37" t="n"/>
    </row>
    <row r="18" ht="58" customHeight="1">
      <c r="B18" s="54" t="inlineStr">
        <is>
          <t>S10</t>
        </is>
      </c>
      <c r="C18" s="18" t="inlineStr">
        <is>
          <t>Documents servis sans rendu serveur ni filigrane (data room absente en V1)</t>
        </is>
      </c>
      <c r="D18" s="18" t="inlineStr">
        <is>
          <t>Fuite de documents confidentiels</t>
        </is>
      </c>
      <c r="E18" s="18" t="inlineStr">
        <is>
          <t>Reporté en V2 avec la data room : rendu serveur, filigrane, URL pré-signées courtes, révocation en moins de 60 s ; V1 ne stocke aucun document de data room</t>
        </is>
      </c>
      <c r="F18" s="54" t="inlineStr">
        <is>
          <t>V2</t>
        </is>
      </c>
      <c r="G18" s="18" t="inlineStr">
        <is>
          <t>Visualiseur rendu serveur, page à page, chargement progressif (3G)</t>
        </is>
      </c>
      <c r="H18" s="12">
        <f>IF($G18="","Sans tâche",IFERROR(INDEX(Taches!$J$6:$J$325,MATCH($G18,Taches!$F$6:$F$325,0)),"À planifier"))</f>
        <v/>
      </c>
      <c r="I18" s="16">
        <f>IF($G18="","",IFERROR(INDEX(Taches!$L$6:$L$325,MATCH($G18,Taches!$F$6:$F$325,0)),0))</f>
        <v/>
      </c>
      <c r="J18" s="37" t="n"/>
    </row>
    <row r="19" ht="58" customHeight="1">
      <c r="B19" s="54" t="inlineStr">
        <is>
          <t>S11</t>
        </is>
      </c>
      <c r="C19" s="18" t="inlineStr">
        <is>
          <t>Preuve de signature non qualifiée (pas de NDA en V1)</t>
        </is>
      </c>
      <c r="D19" s="18" t="inlineStr">
        <is>
          <t>NDA non opposable</t>
        </is>
      </c>
      <c r="E19" s="18" t="inlineStr">
        <is>
          <t>Reporté en V2 : prestataire PSC accrédité ARCEP, archivage PSAE ; V1 n'exécute aucun NDA</t>
        </is>
      </c>
      <c r="F19" s="54" t="inlineStr">
        <is>
          <t>V2</t>
        </is>
      </c>
      <c r="G19" s="18" t="inlineStr">
        <is>
          <t>Intégration API de signature qualifiée, webhooks à signature vérifiée</t>
        </is>
      </c>
      <c r="H19" s="12">
        <f>IF($G19="","Sans tâche",IFERROR(INDEX(Taches!$J$6:$J$325,MATCH($G19,Taches!$F$6:$F$325,0)),"À planifier"))</f>
        <v/>
      </c>
      <c r="I19" s="16">
        <f>IF($G19="","",IFERROR(INDEX(Taches!$L$6:$L$325,MATCH($G19,Taches!$F$6:$F$325,0)),0))</f>
        <v/>
      </c>
      <c r="J19" s="37" t="n"/>
    </row>
    <row r="20" ht="58" customHeight="1">
      <c r="B20" s="54" t="inlineStr">
        <is>
          <t>S12</t>
        </is>
      </c>
      <c r="C20" s="18" t="inlineStr">
        <is>
          <t>Accès administrateur non tracé par mode break-glass</t>
        </is>
      </c>
      <c r="D20" s="18" t="inlineStr">
        <is>
          <t>Accès silencieux à des dossiers confidentiels</t>
        </is>
      </c>
      <c r="E20" s="18" t="inlineStr">
        <is>
          <t>Reporté en V3 avec le module support ; V1 : journal d'audit persisté sur toute action sensible, aucun endpoint d'accès aux données confidentielles pour l'administrateur</t>
        </is>
      </c>
      <c r="F20" s="54" t="inlineStr">
        <is>
          <t>V3</t>
        </is>
      </c>
      <c r="G20" s="18" t="inlineStr">
        <is>
          <t>Mode 'break-glass' journalisé pour l'administration</t>
        </is>
      </c>
      <c r="H20" s="12">
        <f>IF($G20="","Sans tâche",IFERROR(INDEX(Taches!$J$6:$J$325,MATCH($G20,Taches!$F$6:$F$325,0)),"À planifier"))</f>
        <v/>
      </c>
      <c r="I20" s="16">
        <f>IF($G20="","",IFERROR(INDEX(Taches!$L$6:$L$325,MATCH($G20,Taches!$F$6:$F$325,0)),0))</f>
        <v/>
      </c>
      <c r="J20" s="37" t="n"/>
    </row>
    <row r="21" ht="58" customHeight="1">
      <c r="B21" s="54" t="inlineStr">
        <is>
          <t>S13</t>
        </is>
      </c>
      <c r="C21" s="18" t="inlineStr">
        <is>
          <t>Vérification d'identité documentaire sans biométrie</t>
        </is>
      </c>
      <c r="D21" s="18" t="inlineStr">
        <is>
          <t>Usurpation d'identité au-delà de ce que le document capture</t>
        </is>
      </c>
      <c r="E21" s="18" t="inlineStr">
        <is>
          <t>Voulu par le v0 : biométrie interdite sans autorisation IPDCP (drapeau FEATURE_BIOMETRIC_KYC fermé) ; revue humaine et recoupement RCCM en V1</t>
        </is>
      </c>
      <c r="F21" s="54" t="inlineStr">
        <is>
          <t>P2</t>
        </is>
      </c>
      <c r="G21" s="18" t="inlineStr"/>
      <c r="H21" s="12">
        <f>IF($G21="","Sans tâche",IFERROR(INDEX(Taches!$J$6:$J$325,MATCH($G21,Taches!$F$6:$F$325,0)),"À planifier"))</f>
        <v/>
      </c>
      <c r="I21" s="16">
        <f>IF($G21="","",IFERROR(INDEX(Taches!$L$6:$L$325,MATCH($G21,Taches!$F$6:$F$325,0)),0))</f>
        <v/>
      </c>
      <c r="J21" s="37" t="n"/>
    </row>
    <row r="22" ht="58" customHeight="1">
      <c r="B22" s="54" t="inlineStr">
        <is>
          <t>S14</t>
        </is>
      </c>
      <c r="C22" s="18" t="inlineStr">
        <is>
          <t>Portes de conformité G1 à G10 non fermées (IPDCP, DPO, avis juridiques)</t>
        </is>
      </c>
      <c r="D22" s="18" t="inlineStr">
        <is>
          <t>Lancement commercial juridiquement exposé</t>
        </is>
      </c>
      <c r="E22" s="18" t="inlineStr">
        <is>
          <t>Reporté en V3 : condition explicite de lancement ; V1 est une démonstration à données synthétiques, jamais un service public</t>
        </is>
      </c>
      <c r="F22" s="54" t="inlineStr">
        <is>
          <t>V3</t>
        </is>
      </c>
      <c r="G22" s="18" t="inlineStr">
        <is>
          <t>Déclaration IPDCP et autorisation de transfert transfrontalier (G1, G2)</t>
        </is>
      </c>
      <c r="H22" s="12">
        <f>IF($G22="","Sans tâche",IFERROR(INDEX(Taches!$J$6:$J$325,MATCH($G22,Taches!$F$6:$F$325,0)),"À planifier"))</f>
        <v/>
      </c>
      <c r="I22" s="16">
        <f>IF($G22="","",IFERROR(INDEX(Taches!$L$6:$L$325,MATCH($G22,Taches!$F$6:$F$325,0)),0))</f>
        <v/>
      </c>
      <c r="J22" s="37" t="n"/>
    </row>
    <row r="24" ht="32" customHeight="1">
      <c r="B24" s="3" t="inlineStr">
        <is>
          <t>Règle</t>
        </is>
      </c>
      <c r="C24" s="20"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4:J24"/>
  </mergeCells>
  <conditionalFormatting sqref="H6:H22">
    <cfRule type="expression" priority="1" dxfId="2">
      <formula>H6="Complétée"</formula>
    </cfRule>
    <cfRule type="expression" priority="2" dxfId="5">
      <formula>H6="En cours"</formula>
    </cfRule>
    <cfRule type="expression" priority="3" dxfId="1">
      <formula>H6="Bloquée"</formula>
    </cfRule>
  </conditionalFormatting>
  <conditionalFormatting sqref="I6:I22">
    <cfRule type="dataBar" priority="4">
      <dataBar>
        <cfvo type="num" val="0"/>
        <cfvo type="num" val="1"/>
        <color rgb="006678F1"/>
      </dataBar>
    </cfRule>
  </conditionalFormatting>
  <conditionalFormatting sqref="F6:F22">
    <cfRule type="expression" priority="5" dxfId="3">
      <formula>F6&lt;&gt;"V1"</formula>
    </cfRule>
  </conditionalFormatting>
  <pageMargins left="0.75" right="0.75" top="1" bottom="1" header="0.5" footer="0.5"/>
</worksheet>
</file>

<file path=xl/worksheets/sheet14.xml><?xml version="1.0" encoding="utf-8"?>
<worksheet xmlns="http://schemas.openxmlformats.org/spreadsheetml/2006/main">
  <sheetPr>
    <tabColor rgb="00B07A2B"/>
    <outlinePr summaryBelow="1" summaryRight="1"/>
    <pageSetUpPr/>
  </sheetPr>
  <dimension ref="B2:J36"/>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18" t="inlineStr">
        <is>
          <t>Périmètre cible</t>
        </is>
      </c>
      <c r="E6" s="18" t="inlineStr">
        <is>
          <t>Le cahier des charges v0 approuvé et le Référentiel P04-P25 sont retenus comme cible finale ; le blueprint v5 n'est pas retenu.</t>
        </is>
      </c>
      <c r="F6" s="36" t="inlineStr">
        <is>
          <t>Tranché</t>
        </is>
      </c>
      <c r="G6" s="18" t="inlineStr">
        <is>
          <t>M. Bruno</t>
        </is>
      </c>
      <c r="H6" s="18" t="inlineStr">
        <is>
          <t>Cadre toute la feuille de route</t>
        </is>
      </c>
      <c r="I6" s="18" t="inlineStr"/>
      <c r="J6" s="54" t="inlineStr"/>
    </row>
    <row r="7">
      <c r="B7" s="54" t="inlineStr">
        <is>
          <t>D02</t>
        </is>
      </c>
      <c r="C7" s="54" t="inlineStr">
        <is>
          <t>09/09/2026</t>
        </is>
      </c>
      <c r="D7" s="18" t="inlineStr">
        <is>
          <t>Deal-Connect / Guichet Diaspora</t>
        </is>
      </c>
      <c r="E7" s="18" t="inlineStr">
        <is>
          <t>Remo.co retenu comme connecteur externe pour les salons et rendez-vous virtuels.</t>
        </is>
      </c>
      <c r="F7" s="36" t="inlineStr">
        <is>
          <t>Tranché</t>
        </is>
      </c>
      <c r="G7" s="18" t="inlineStr">
        <is>
          <t>M. Bruno</t>
        </is>
      </c>
      <c r="H7" s="18" t="inlineStr">
        <is>
          <t>Intégration dès V1 ; périmètre d'intégration à cadrer</t>
        </is>
      </c>
      <c r="I7" s="18" t="inlineStr">
        <is>
          <t>Cadrage écrit sur la documentation API Remo</t>
        </is>
      </c>
      <c r="J7" s="54" t="inlineStr">
        <is>
          <t>18/09/2026</t>
        </is>
      </c>
    </row>
    <row r="8">
      <c r="B8" s="54" t="inlineStr">
        <is>
          <t>D04</t>
        </is>
      </c>
      <c r="C8" s="54" t="inlineStr">
        <is>
          <t>10/09/2026</t>
        </is>
      </c>
      <c r="D8" s="18" t="inlineStr">
        <is>
          <t>Lot Sécurité en V1</t>
        </is>
      </c>
      <c r="E8" s="18"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18" t="inlineStr">
        <is>
          <t>Chef de projet</t>
        </is>
      </c>
      <c r="H8" s="18" t="inlineStr">
        <is>
          <t>+19 j/p sur V1 ; voir l'onglet Securite</t>
        </is>
      </c>
      <c r="I8" s="18" t="inlineStr">
        <is>
          <t>Commencer par la RLS effective</t>
        </is>
      </c>
      <c r="J8" s="54" t="inlineStr">
        <is>
          <t>18/09/2026</t>
        </is>
      </c>
    </row>
    <row r="9">
      <c r="B9" s="54" t="inlineStr">
        <is>
          <t>D03</t>
        </is>
      </c>
      <c r="C9" s="54" t="inlineStr">
        <is>
          <t>09/09/2026</t>
        </is>
      </c>
      <c r="D9" s="18" t="inlineStr">
        <is>
          <t>Démonstration RPS en V1</t>
        </is>
      </c>
      <c r="E9" s="18" t="inlineStr">
        <is>
          <t>V1 inclut une démonstration maquettée du blocage de publication d'une cession de titres ; le circuit réel reste en V2.</t>
        </is>
      </c>
      <c r="F9" s="36" t="inlineStr">
        <is>
          <t>Tranché</t>
        </is>
      </c>
      <c r="G9" s="18" t="inlineStr">
        <is>
          <t>Chef de projet</t>
        </is>
      </c>
      <c r="H9" s="18" t="inlineStr">
        <is>
          <t>+20 j/p sur V1</t>
        </is>
      </c>
      <c r="I9" s="18" t="inlineStr"/>
      <c r="J9" s="54" t="inlineStr"/>
    </row>
    <row r="10">
      <c r="B10" s="54" t="inlineStr">
        <is>
          <t>A01</t>
        </is>
      </c>
      <c r="C10" s="54" t="inlineStr">
        <is>
          <t>09/09/2026</t>
        </is>
      </c>
      <c r="D10" s="18" t="inlineStr">
        <is>
          <t>Équipe de développement</t>
        </is>
      </c>
      <c r="E10" s="18" t="inlineStr">
        <is>
          <t>Taille et séniorité de l'équipe disponible dès maintenant ?</t>
        </is>
      </c>
      <c r="F10" s="36" t="inlineStr">
        <is>
          <t>Ouvert</t>
        </is>
      </c>
      <c r="G10" s="18" t="inlineStr">
        <is>
          <t>M. Bruno</t>
        </is>
      </c>
      <c r="H10" s="18" t="inlineStr">
        <is>
          <t>Détermine si V1 tient en 5 semaines ou nécessite des coupes</t>
        </is>
      </c>
      <c r="I10" s="18" t="inlineStr">
        <is>
          <t>Réponse attendue avant J01</t>
        </is>
      </c>
      <c r="J10" s="54" t="inlineStr">
        <is>
          <t>14/09/2026</t>
        </is>
      </c>
    </row>
    <row r="11">
      <c r="B11" s="54" t="inlineStr">
        <is>
          <t>A02</t>
        </is>
      </c>
      <c r="C11" s="54" t="inlineStr">
        <is>
          <t>09/09/2026</t>
        </is>
      </c>
      <c r="D11" s="18" t="inlineStr">
        <is>
          <t>API CFE / RCCM</t>
        </is>
      </c>
      <c r="E11" s="18" t="inlineStr">
        <is>
          <t>Automatisation souhaitée en réunion ; disponibilité et contrat réels encore inconnus. D10 : API désactivée = instruction manuelle ; API activée avec fournisseur mock = simulation locale.</t>
        </is>
      </c>
      <c r="F11" s="36" t="inlineStr">
        <is>
          <t>En discussion</t>
        </is>
      </c>
      <c r="G11" s="18" t="inlineStr">
        <is>
          <t>CCI-Togo</t>
        </is>
      </c>
      <c r="H11" s="18" t="inlineStr">
        <is>
          <t>Le développement local peut avancer ; la vérification réelle dépend des accès et de la source</t>
        </is>
      </c>
      <c r="I11" s="18" t="inlineStr">
        <is>
          <t>Obtenir documentation, sandbox, limites et référence de preuve ; conserver la reprise manuelle</t>
        </is>
      </c>
      <c r="J11" s="54" t="inlineStr">
        <is>
          <t>16/09/2026</t>
        </is>
      </c>
    </row>
    <row r="12">
      <c r="B12" s="54" t="inlineStr">
        <is>
          <t>A03</t>
        </is>
      </c>
      <c r="C12" s="54" t="inlineStr">
        <is>
          <t>09/09/2026</t>
        </is>
      </c>
      <c r="D12" s="18" t="inlineStr">
        <is>
          <t>Designer UI/UX</t>
        </is>
      </c>
      <c r="E12" s="18" t="inlineStr">
        <is>
          <t>Partir des références institutionnelles et VDR fournies ; évaluer une contribution ciblée du designer plutôt qu'une refonte imposée. Disponibilité et mission à confirmer.</t>
        </is>
      </c>
      <c r="F12" s="36" t="inlineStr">
        <is>
          <t>En discussion</t>
        </is>
      </c>
      <c r="G12" s="18" t="inlineStr">
        <is>
          <t>M. Bruno</t>
        </is>
      </c>
      <c r="H12" s="18" t="inlineStr">
        <is>
          <t>Préserve la cohérence du corpus et permet d'évaluer la valeur ajoutée</t>
        </is>
      </c>
      <c r="I12" s="18" t="inlineStr">
        <is>
          <t>Contacter le designer avec un écran de référence, objectifs et critères de revue</t>
        </is>
      </c>
      <c r="J12" s="54" t="inlineStr">
        <is>
          <t>18/09/2026</t>
        </is>
      </c>
    </row>
    <row r="13">
      <c r="B13" s="54" t="inlineStr">
        <is>
          <t>A04</t>
        </is>
      </c>
      <c r="C13" s="54" t="inlineStr">
        <is>
          <t>09/09/2026</t>
        </is>
      </c>
      <c r="D13" s="18" t="inlineStr">
        <is>
          <t>Articulation Deal-Experts (P13)</t>
        </is>
      </c>
      <c r="E13" s="18" t="inlineStr">
        <is>
          <t>Le référentiel p. 23-24 classe explicitement P13 en socle contractuel, art. 12.3. Confirmer l'organisation des missions nécessaires à Deal-Ready et à l'audit avant le module complet V4.</t>
        </is>
      </c>
      <c r="F13" s="36" t="inlineStr">
        <is>
          <t>Ouvert</t>
        </is>
      </c>
      <c r="G13" s="18" t="inlineStr">
        <is>
          <t>CCI-Togo</t>
        </is>
      </c>
      <c r="H13" s="18" t="inlineStr">
        <is>
          <t>V4 conservée ; responsabilités et accès experts des parcours antérieurs à expliciter</t>
        </is>
      </c>
      <c r="I13" s="18" t="inlineStr">
        <is>
          <t>Valider une modalité opérationnelle avec la CCI-Togo avant V2</t>
        </is>
      </c>
      <c r="J13" s="54" t="inlineStr">
        <is>
          <t>15/10/2026</t>
        </is>
      </c>
    </row>
    <row r="14">
      <c r="B14" s="54" t="inlineStr">
        <is>
          <t>A05</t>
        </is>
      </c>
      <c r="C14" s="54" t="inlineStr">
        <is>
          <t>09/09/2026</t>
        </is>
      </c>
      <c r="D14" s="18" t="inlineStr">
        <is>
          <t>Numérotation P01-P03</t>
        </is>
      </c>
      <c r="E14" s="18" t="inlineStr">
        <is>
          <t>Processus manquants ou numérotation volontaire à partir de P04 ?</t>
        </is>
      </c>
      <c r="F14" s="36" t="inlineStr">
        <is>
          <t>Ouvert</t>
        </is>
      </c>
      <c r="G14" s="18" t="inlineStr">
        <is>
          <t>CCI-Togo</t>
        </is>
      </c>
      <c r="H14" s="18" t="inlineStr">
        <is>
          <t>Faible impact sur le plan</t>
        </is>
      </c>
      <c r="I14" s="18" t="inlineStr">
        <is>
          <t>Confirmer avec le juridique</t>
        </is>
      </c>
      <c r="J14" s="54" t="inlineStr"/>
    </row>
    <row r="15">
      <c r="B15" s="54" t="inlineStr">
        <is>
          <t>A06</t>
        </is>
      </c>
      <c r="C15" s="54" t="inlineStr">
        <is>
          <t>09/09/2026</t>
        </is>
      </c>
      <c r="D15" s="18" t="inlineStr">
        <is>
          <t>Partenaire fiscal</t>
        </is>
      </c>
      <c r="E15" s="18" t="inlineStr">
        <is>
          <t>TaxeFacile confirmé comme service sélectionnable depuis DealPME lors de la réunion (49:04–51:30). Cette confirmation ne prouve pas l'existence d'une API fiscale ni d'une attestation automatique.</t>
        </is>
      </c>
      <c r="F15" s="36" t="inlineStr">
        <is>
          <t>Tranché</t>
        </is>
      </c>
      <c r="G15" s="18" t="inlineStr">
        <is>
          <t>M. Bruno</t>
        </is>
      </c>
      <c r="H15" s="18" t="inlineStr">
        <is>
          <t>Catalogue de services et référentiel prestataires à partager ; intégration détaillée en A20</t>
        </is>
      </c>
      <c r="I15" s="18" t="inlineStr">
        <is>
          <t>Préciser le parcours et les accès avec le responsable TaxeFacile</t>
        </is>
      </c>
      <c r="J15" s="54" t="inlineStr">
        <is>
          <t>30/11/2026</t>
        </is>
      </c>
    </row>
    <row r="16">
      <c r="B16" s="54" t="inlineStr">
        <is>
          <t>A07</t>
        </is>
      </c>
      <c r="C16" s="54" t="inlineStr">
        <is>
          <t>09/09/2026</t>
        </is>
      </c>
      <c r="D16" s="18" t="inlineStr">
        <is>
          <t>Charte du COPIL</t>
        </is>
      </c>
      <c r="E16" s="18" t="inlineStr">
        <is>
          <t>Composition, cadence exacte, règles de vote ?</t>
        </is>
      </c>
      <c r="F16" s="36" t="inlineStr">
        <is>
          <t>Ouvert</t>
        </is>
      </c>
      <c r="G16" s="18" t="inlineStr">
        <is>
          <t>CCI-Togo</t>
        </is>
      </c>
      <c r="H16" s="18" t="inlineStr">
        <is>
          <t>Gouvernance inter-version</t>
        </is>
      </c>
      <c r="I16" s="18" t="inlineStr">
        <is>
          <t>Récupérer l'annexe de la Convention</t>
        </is>
      </c>
      <c r="J16" s="54" t="inlineStr"/>
    </row>
    <row r="17">
      <c r="B17" s="54" t="inlineStr">
        <is>
          <t>A15</t>
        </is>
      </c>
      <c r="C17" s="54" t="inlineStr">
        <is>
          <t>11/09/2026</t>
        </is>
      </c>
      <c r="D17" s="18" t="inlineStr">
        <is>
          <t>Registre d'interactions</t>
        </is>
      </c>
      <c r="E17" s="18" t="inlineStr">
        <is>
          <t>Le registre officiel ne couvre que trois surfaces de référence et compte 76 identifiants, alors que le produit compte une vingtaine de surfaces. Décision interne conservée : reprendre les identifiants officiels sur leurs surfaces et étendre le registre pour le produit. Le test actuel vérifie l'appartenance statique, pas le comportement.</t>
        </is>
      </c>
      <c r="F17" s="36" t="inlineStr">
        <is>
          <t>Tranché</t>
        </is>
      </c>
      <c r="G17" s="18" t="inlineStr">
        <is>
          <t>Chef de projet</t>
        </is>
      </c>
      <c r="H17" s="18" t="inlineStr">
        <is>
          <t>Au 12/09 : 371 identifiants relevés, 365 contrats à documenter ; PASS de couverture ne vaut pas PASS de recette</t>
        </is>
      </c>
      <c r="I17" s="18" t="inlineStr">
        <is>
          <t>Documenter et tester les parcours V1 en V1-092, puis terminer et étendre en V2-003</t>
        </is>
      </c>
      <c r="J17" s="54" t="inlineStr">
        <is>
          <t>25/11/2026</t>
        </is>
      </c>
    </row>
    <row r="18">
      <c r="B18" s="54" t="inlineStr">
        <is>
          <t>A13</t>
        </is>
      </c>
      <c r="C18" s="54" t="inlineStr">
        <is>
          <t>02/10/2026</t>
        </is>
      </c>
      <c r="D18" s="18" t="inlineStr">
        <is>
          <t>Retrait d'une publication</t>
        </is>
      </c>
      <c r="E18" s="18"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8" s="36" t="inlineStr">
        <is>
          <t>Ouvert</t>
        </is>
      </c>
      <c r="G18" s="18" t="inlineStr">
        <is>
          <t>M. Bruno</t>
        </is>
      </c>
      <c r="H18" s="18" t="inlineStr">
        <is>
          <t>Un cédant qui suspend une vente ne doit pas avoir à abandonner son dossier</t>
        </is>
      </c>
      <c r="I18" s="18" t="inlineStr">
        <is>
          <t>Trancher avant le début de V2</t>
        </is>
      </c>
      <c r="J18" s="54" t="inlineStr">
        <is>
          <t>16/10/2026</t>
        </is>
      </c>
    </row>
    <row r="19">
      <c r="B19" s="54" t="inlineStr">
        <is>
          <t>A12</t>
        </is>
      </c>
      <c r="C19" s="54" t="inlineStr">
        <is>
          <t>24/09/2026</t>
        </is>
      </c>
      <c r="D19" s="18" t="inlineStr">
        <is>
          <t>Certification visible dans le jeu de démonstration</t>
        </is>
      </c>
      <c r="E19" s="18"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9" s="36" t="inlineStr">
        <is>
          <t>Tranché</t>
        </is>
      </c>
      <c r="G19" s="18" t="inlineStr">
        <is>
          <t>Chef de projet</t>
        </is>
      </c>
      <c r="H19" s="18" t="inlineStr">
        <is>
          <t>La démonstration montre les deux états, certifié et non certifié, sans altérer les cas de référence</t>
        </is>
      </c>
      <c r="I19" s="18" t="inlineStr">
        <is>
          <t>Confirmer le choix du dossier certifié avec M. Bruno avant la répétition générale</t>
        </is>
      </c>
      <c r="J19" s="54" t="inlineStr">
        <is>
          <t>12/10/2026</t>
        </is>
      </c>
    </row>
    <row r="20">
      <c r="B20" s="54" t="inlineStr">
        <is>
          <t>A11</t>
        </is>
      </c>
      <c r="C20" s="54" t="inlineStr">
        <is>
          <t>23/09/2026</t>
        </is>
      </c>
      <c r="D20" s="18" t="inlineStr">
        <is>
          <t>Formats acceptés en pièce de dossier</t>
        </is>
      </c>
      <c r="E20" s="18"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20" s="36" t="inlineStr">
        <is>
          <t>Tranché</t>
        </is>
      </c>
      <c r="G20" s="18" t="inlineStr">
        <is>
          <t>Chef de projet</t>
        </is>
      </c>
      <c r="H20" s="18" t="inlineStr">
        <is>
          <t>Ergonomie réelle contre surface de risque, arbitrée par l'analyse antivirus obligatoire</t>
        </is>
      </c>
      <c r="I20" s="18" t="inlineStr">
        <is>
          <t>Revoir si le pentest de V3 signale un vecteur bureautique</t>
        </is>
      </c>
      <c r="J20" s="54" t="inlineStr">
        <is>
          <t>18/12/2026</t>
        </is>
      </c>
    </row>
    <row r="21">
      <c r="B21" s="54" t="inlineStr">
        <is>
          <t>A10</t>
        </is>
      </c>
      <c r="C21" s="54" t="inlineStr">
        <is>
          <t>15/09/2026</t>
        </is>
      </c>
      <c r="D21" s="18" t="inlineStr">
        <is>
          <t>Préalable à la certification</t>
        </is>
      </c>
      <c r="E21" s="18" t="inlineStr">
        <is>
          <t>L'octroi Deal-Ready exige une vérification RCCM ou CFE enregistrée pour l'entreprise ; le serveur refuse l'octroi sans elle (INVALID_TRANSITION). Le refus et le retrait restent possibles sans vérification.</t>
        </is>
      </c>
      <c r="F21" s="36" t="inlineStr">
        <is>
          <t>Tranché</t>
        </is>
      </c>
      <c r="G21" s="18" t="inlineStr">
        <is>
          <t>Chef de projet</t>
        </is>
      </c>
      <c r="H21" s="18" t="inlineStr">
        <is>
          <t>Évite un badge accordé sur des données uniquement déclaratives</t>
        </is>
      </c>
      <c r="I21" s="18" t="inlineStr">
        <is>
          <t>Confirmer la règle avec la CCI-Togo lors de la recette</t>
        </is>
      </c>
      <c r="J21" s="54" t="inlineStr">
        <is>
          <t>15/10/2026</t>
        </is>
      </c>
    </row>
    <row r="22">
      <c r="B22" s="54" t="inlineStr">
        <is>
          <t>A09</t>
        </is>
      </c>
      <c r="C22" s="54" t="inlineStr">
        <is>
          <t>10/09/2026</t>
        </is>
      </c>
      <c r="D22" s="18" t="inlineStr">
        <is>
          <t>Palette de l'application</t>
        </is>
      </c>
      <c r="E22" s="18"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2" s="36" t="inlineStr">
        <is>
          <t>Ouvert</t>
        </is>
      </c>
      <c r="G22" s="18" t="inlineStr">
        <is>
          <t>Designer UI/UX</t>
        </is>
      </c>
      <c r="H22" s="18" t="inlineStr">
        <is>
          <t>Cohérence visuelle entre application et site public</t>
        </is>
      </c>
      <c r="I22" s="18" t="inlineStr">
        <is>
          <t>Trancher dès la nomination du designer</t>
        </is>
      </c>
      <c r="J22" s="54" t="inlineStr">
        <is>
          <t>18/09/2026</t>
        </is>
      </c>
    </row>
    <row r="23">
      <c r="B23" s="54" t="inlineStr">
        <is>
          <t>A08</t>
        </is>
      </c>
      <c r="C23" s="54" t="inlineStr">
        <is>
          <t>09/09/2026</t>
        </is>
      </c>
      <c r="D23" s="18" t="inlineStr">
        <is>
          <t>Fournisseur IA (DealLens)</t>
        </is>
      </c>
      <c r="E23" s="18" t="inlineStr">
        <is>
          <t>Quel fournisseur, avec quelles clauses de confidentialité ?</t>
        </is>
      </c>
      <c r="F23" s="36" t="inlineStr">
        <is>
          <t>Ouvert</t>
        </is>
      </c>
      <c r="G23" s="18" t="inlineStr">
        <is>
          <t>Conseil juridique</t>
        </is>
      </c>
      <c r="H23" s="18" t="inlineStr">
        <is>
          <t>Bloque tout le lot V5</t>
        </is>
      </c>
      <c r="I23" s="18" t="inlineStr">
        <is>
          <t>Consultation dès V2 ; échéance alignée sur J16, avant le début de V5</t>
        </is>
      </c>
      <c r="J23" s="54" t="inlineStr">
        <is>
          <t>15/01/2027</t>
        </is>
      </c>
    </row>
    <row r="24">
      <c r="B24" s="54" t="inlineStr">
        <is>
          <t>D05</t>
        </is>
      </c>
      <c r="C24" s="54" t="inlineStr">
        <is>
          <t>12/09/2026</t>
        </is>
      </c>
      <c r="D24" s="18" t="inlineStr">
        <is>
          <t>Enrichissement du suivi et conservation des acquis</t>
        </is>
      </c>
      <c r="E24" s="18" t="inlineStr">
        <is>
          <t>Travaux réalisés, statuts et avancements historiques conservés. Compléments identifiés ajoutés sous des identifiants distincts ; socles V2 reconnus. Calendrier des versions et dates prévues historiques maintenus.</t>
        </is>
      </c>
      <c r="F24" s="36" t="inlineStr">
        <is>
          <t>Tranché</t>
        </is>
      </c>
      <c r="G24" s="18" t="inlineStr">
        <is>
          <t>Chef de projet</t>
        </is>
      </c>
      <c r="H24" s="18" t="inlineStr">
        <is>
          <t>Suivi enrichi sans retrait des réalisations ; charges additionnelles visibles</t>
        </is>
      </c>
      <c r="I24" s="18" t="inlineStr">
        <is>
          <t>Réaliser et clôturer les compléments au fil des livraisons</t>
        </is>
      </c>
      <c r="J24" s="54" t="inlineStr">
        <is>
          <t>18/09/2026</t>
        </is>
      </c>
    </row>
    <row r="25">
      <c r="B25" s="54" t="inlineStr">
        <is>
          <t>A16</t>
        </is>
      </c>
      <c r="C25" s="54" t="inlineStr">
        <is>
          <t>12/09/2026</t>
        </is>
      </c>
      <c r="D25" s="18" t="inlineStr">
        <is>
          <t>Prestataires email, SMS et paiement</t>
        </is>
      </c>
      <c r="E25" s="18" t="inlineStr">
        <is>
          <t>Confirmer les prestataires, les accès de test et le responsable de chaque intégration. Les adaptateurs factices ne valident pas un service réel.</t>
        </is>
      </c>
      <c r="F25" s="36" t="inlineStr">
        <is>
          <t>Ouvert</t>
        </is>
      </c>
      <c r="G25" s="18" t="inlineStr">
        <is>
          <t>M. Bruno</t>
        </is>
      </c>
      <c r="H25" s="18" t="inlineStr">
        <is>
          <t>Conditionne identité, notifications et facturation avant lancement</t>
        </is>
      </c>
      <c r="I25" s="18" t="inlineStr">
        <is>
          <t>Email/SMS dès V1 ; agrégateur principal et secours à cadrer pendant V2</t>
        </is>
      </c>
      <c r="J25" s="54" t="inlineStr">
        <is>
          <t>18/09/2026</t>
        </is>
      </c>
    </row>
    <row r="26">
      <c r="B26" s="54" t="inlineStr">
        <is>
          <t>D06</t>
        </is>
      </c>
      <c r="C26" s="54" t="inlineStr">
        <is>
          <t>12/09/2026</t>
        </is>
      </c>
      <c r="D26" s="18" t="inlineStr">
        <is>
          <t>Services et prestataires</t>
        </is>
      </c>
      <c r="E26" s="18" t="inlineStr">
        <is>
          <t>TaxeFacile fait partie des services à proposer ; réutiliser le parcours d'inscription, screening et validation des prestataires, avec un référentiel commun dans DealPME.</t>
        </is>
      </c>
      <c r="F26" s="36" t="inlineStr">
        <is>
          <t>Tranché</t>
        </is>
      </c>
      <c r="G26" s="18" t="inlineStr">
        <is>
          <t>M. Bruno</t>
        </is>
      </c>
      <c r="H26" s="18" t="inlineStr">
        <is>
          <t>V3-048/049/050 ; rattachement ultérieur aux missions Experts V4</t>
        </is>
      </c>
      <c r="I26" s="18" t="inlineStr">
        <is>
          <t>Spécifier le contrat TaxeFacile (A20)</t>
        </is>
      </c>
      <c r="J26" s="54" t="inlineStr">
        <is>
          <t>20/11/2026</t>
        </is>
      </c>
    </row>
    <row r="27">
      <c r="B27" s="54" t="inlineStr">
        <is>
          <t>D07</t>
        </is>
      </c>
      <c r="C27" s="54" t="inlineStr">
        <is>
          <t>12/09/2026</t>
        </is>
      </c>
      <c r="D27" s="18" t="inlineStr">
        <is>
          <t>Design et documentation</t>
        </is>
      </c>
      <c r="E27" s="18" t="inlineStr">
        <is>
          <t>Références fournies comme base, attention prioritaire au VDR ; cartographier les documents par module et évaluer les apports du designer contre cette base.</t>
        </is>
      </c>
      <c r="F27" s="36" t="inlineStr">
        <is>
          <t>Tranché</t>
        </is>
      </c>
      <c r="G27" s="18" t="inlineStr">
        <is>
          <t>M. Bruno</t>
        </is>
      </c>
      <c r="H27" s="18" t="inlineStr">
        <is>
          <t>V1-103 et V1-075 ; aucune remise à zéro du design existant</t>
        </is>
      </c>
      <c r="I27" s="18" t="inlineStr">
        <is>
          <t>Construire la carte source/tâche/écran/test</t>
        </is>
      </c>
      <c r="J27" s="54" t="inlineStr">
        <is>
          <t>18/09/2026</t>
        </is>
      </c>
    </row>
    <row r="28">
      <c r="B28" s="54" t="inlineStr">
        <is>
          <t>D08</t>
        </is>
      </c>
      <c r="C28" s="54" t="inlineStr">
        <is>
          <t>12/09/2026</t>
        </is>
      </c>
      <c r="D28" s="18" t="inlineStr">
        <is>
          <t>Hébergement et antivirus</t>
        </is>
      </c>
      <c r="E28" s="18" t="inlineStr">
        <is>
          <t>Préparer un serveur dédié à DealPME et aux services associés dont TaxeFacile ; antivirus intégré à l'environnement. Le socle ClamAV existant est conservé.</t>
        </is>
      </c>
      <c r="F28" s="36" t="inlineStr">
        <is>
          <t>Tranché</t>
        </is>
      </c>
      <c r="G28" s="18" t="inlineStr">
        <is>
          <t>M. Bruno</t>
        </is>
      </c>
      <c r="H28" s="18" t="inlineStr">
        <is>
          <t>V1-108 puis V1-009 ; séparation des services, données et accès à préciser</t>
        </is>
      </c>
      <c r="I28" s="18" t="inlineStr">
        <is>
          <t>Envoyer les spécifications et obtenir les accès</t>
        </is>
      </c>
      <c r="J28" s="54" t="inlineStr">
        <is>
          <t>18/09/2026</t>
        </is>
      </c>
    </row>
    <row r="29">
      <c r="B29" s="54" t="inlineStr">
        <is>
          <t>D09</t>
        </is>
      </c>
      <c r="C29" s="54" t="inlineStr">
        <is>
          <t>12/09/2026</t>
        </is>
      </c>
      <c r="D29" s="18" t="inlineStr">
        <is>
          <t>Réunions et comptes rendus</t>
        </is>
      </c>
      <c r="E29" s="18" t="inlineStr">
        <is>
          <t>Prévoir mini-réunions depuis un dossier et comptes rendus du contenu des sessions. Étudier un agent participant réutilisable et les enregistrements natifs ; faisabilité à tester.</t>
        </is>
      </c>
      <c r="F29" s="36" t="inlineStr">
        <is>
          <t>Tranché</t>
        </is>
      </c>
      <c r="G29" s="18" t="inlineStr">
        <is>
          <t>M. Bruno / chef de projet</t>
        </is>
      </c>
      <c r="H29" s="18" t="inlineStr">
        <is>
          <t>Cadrage et prototype V1, socle réunions/rapports V2, multi-sessions salon V4 ; affectation technique inscrite sans déplacement des versions</t>
        </is>
      </c>
      <c r="I29" s="18" t="inlineStr">
        <is>
          <t>Tester V1-104/107, trancher limites A18 et traitement A21</t>
        </is>
      </c>
      <c r="J29" s="54" t="inlineStr">
        <is>
          <t>02/10/2026</t>
        </is>
      </c>
    </row>
    <row r="30">
      <c r="B30" s="54" t="inlineStr">
        <is>
          <t>D10</t>
        </is>
      </c>
      <c r="C30" s="54" t="inlineStr">
        <is>
          <t>12/09/2026</t>
        </is>
      </c>
      <c r="D30" s="18" t="inlineStr">
        <is>
          <t>CFE activé, mock ou manuel</t>
        </is>
      </c>
      <c r="E30" s="18" t="inlineStr">
        <is>
          <t>API désactivée par environnement : validation manuelle complète. API activée : mock HTTP local puis adaptateur réel disponible. La décision Deal-Ready demeure nominative et distincte.</t>
        </is>
      </c>
      <c r="F30" s="36" t="inlineStr">
        <is>
          <t>Tranché</t>
        </is>
      </c>
      <c r="G30" s="18" t="inlineStr">
        <is>
          <t>Chef de projet</t>
        </is>
      </c>
      <c r="H30" s="18" t="inlineStr">
        <is>
          <t>V1-109 complète V1-035 ; le mock ne vaut pas preuve réelle du registre</t>
        </is>
      </c>
      <c r="I30" s="18" t="inlineStr">
        <is>
          <t>Implémenter sélection, scénarios et reprise manuelle tracée</t>
        </is>
      </c>
      <c r="J30" s="54" t="inlineStr">
        <is>
          <t>28/09/2026</t>
        </is>
      </c>
    </row>
    <row r="31">
      <c r="B31" s="54" t="inlineStr">
        <is>
          <t>D11</t>
        </is>
      </c>
      <c r="C31" s="54" t="inlineStr">
        <is>
          <t>12/09/2026</t>
        </is>
      </c>
      <c r="D31" s="18" t="inlineStr">
        <is>
          <t>Email et SMS locaux</t>
        </is>
      </c>
      <c r="E31" s="18" t="inlineStr">
        <is>
          <t>Mailpit pour l'email et boîte SMS HTTP locale réutilisable ; conserver les ports métier lors de la bascule vers un adaptateur fournisseur testé et configuré.</t>
        </is>
      </c>
      <c r="F31" s="36" t="inlineStr">
        <is>
          <t>Tranché</t>
        </is>
      </c>
      <c r="G31" s="18" t="inlineStr">
        <is>
          <t>Chef de projet</t>
        </is>
      </c>
      <c r="H31" s="18" t="inlineStr">
        <is>
          <t>V1-093/101/102 et V1-028 pour le fournisseur SMS réel</t>
        </is>
      </c>
      <c r="I31" s="18" t="inlineStr">
        <is>
          <t>Réaliser le lot L03 du plan d'exécution</t>
        </is>
      </c>
      <c r="J31" s="54" t="inlineStr">
        <is>
          <t>25/09/2026</t>
        </is>
      </c>
    </row>
    <row r="32">
      <c r="B32" s="54" t="inlineStr">
        <is>
          <t>A17</t>
        </is>
      </c>
      <c r="C32" s="54" t="inlineStr">
        <is>
          <t>12/09/2026</t>
        </is>
      </c>
      <c r="D32" s="18" t="inlineStr">
        <is>
          <t>Accès et offres événementielles</t>
        </is>
      </c>
      <c r="E32" s="18" t="inlineStr">
        <is>
          <t>Transmettre un accès organisateur/API, pas seulement une invitation participant ; confirmer l'offre Remo/Events.com Virtual et les autres abonnements mentionnés oralement.</t>
        </is>
      </c>
      <c r="F32" s="36" t="inlineStr">
        <is>
          <t>Ouvert</t>
        </is>
      </c>
      <c r="G32" s="18" t="inlineStr">
        <is>
          <t>M. Bruno</t>
        </is>
      </c>
      <c r="H32" s="18" t="inlineStr">
        <is>
          <t>Conditionne les essais réels V1-104 et le connecteur</t>
        </is>
      </c>
      <c r="I32" s="18" t="inlineStr">
        <is>
          <t>Partager documentation, droits, clés de test et noms exacts des solutions</t>
        </is>
      </c>
      <c r="J32" s="54" t="inlineStr">
        <is>
          <t>18/09/2026</t>
        </is>
      </c>
    </row>
    <row r="33">
      <c r="B33" s="54" t="inlineStr">
        <is>
          <t>A18</t>
        </is>
      </c>
      <c r="C33" s="54" t="inlineStr">
        <is>
          <t>12/09/2026</t>
        </is>
      </c>
      <c r="D33" s="18" t="inlineStr">
        <is>
          <t>Événements simultanés et branding</t>
        </is>
      </c>
      <c r="E33" s="18" t="inlineStr">
        <is>
          <t>Vérifier la limite évoquée d'un événement à la fois, la portée compte/événement du branding et l'usage d'un abonnement sur plusieurs produits.</t>
        </is>
      </c>
      <c r="F33" s="36" t="inlineStr">
        <is>
          <t>Ouvert</t>
        </is>
      </c>
      <c r="G33" s="18" t="inlineStr">
        <is>
          <t>M. Bruno / fournisseur</t>
        </is>
      </c>
      <c r="H33" s="18" t="inlineStr">
        <is>
          <t>Conditionne réservations et mini-réunions simultanées</t>
        </is>
      </c>
      <c r="I33" s="18" t="inlineStr">
        <is>
          <t>Tester deux événements et deux profils de branding ; archiver les limites réelles</t>
        </is>
      </c>
      <c r="J33" s="54" t="inlineStr">
        <is>
          <t>24/09/2026</t>
        </is>
      </c>
    </row>
    <row r="34">
      <c r="B34" s="54" t="inlineStr">
        <is>
          <t>A19</t>
        </is>
      </c>
      <c r="C34" s="54" t="inlineStr">
        <is>
          <t>12/09/2026</t>
        </is>
      </c>
      <c r="D34" s="18" t="inlineStr">
        <is>
          <t>Serveur dédié et accès</t>
        </is>
      </c>
      <c r="E34" s="18" t="inlineStr">
        <is>
          <t>Valider les spécifications, l'hébergement, les accès et le DNS ; présence d'un serveur Hostinger évoquée, ressources et renouvellement non confirmés.</t>
        </is>
      </c>
      <c r="F34" s="36" t="inlineStr">
        <is>
          <t>Ouvert</t>
        </is>
      </c>
      <c r="G34" s="18" t="inlineStr">
        <is>
          <t>M. Bruno</t>
        </is>
      </c>
      <c r="H34" s="18" t="inlineStr">
        <is>
          <t>Déploiement V1-009 ; partage physique possible avec isolation des services et bases</t>
        </is>
      </c>
      <c r="I34" s="18" t="inlineStr">
        <is>
          <t>Envoyer docs/DEMANDE_INFRA_ACCES.md et confirmer le provisioning</t>
        </is>
      </c>
      <c r="J34" s="54" t="inlineStr">
        <is>
          <t>18/09/2026</t>
        </is>
      </c>
    </row>
    <row r="35">
      <c r="B35" s="54" t="inlineStr">
        <is>
          <t>A20</t>
        </is>
      </c>
      <c r="C35" s="54" t="inlineStr">
        <is>
          <t>12/09/2026</t>
        </is>
      </c>
      <c r="D35" s="18" t="inlineStr">
        <is>
          <t>Contrat TaxeFacile</t>
        </is>
      </c>
      <c r="E35" s="18" t="inlineStr">
        <is>
          <t>Définir catalogue, identité prestataire, demande, suivi, retour, responsabilités et frontières de données ; préciser API/SSO ou renvoi contrôlé et capacité d'hébergement.</t>
        </is>
      </c>
      <c r="F35" s="36" t="inlineStr">
        <is>
          <t>Ouvert</t>
        </is>
      </c>
      <c r="G35" s="18" t="inlineStr">
        <is>
          <t>M. Bruno / responsable TaxeFacile</t>
        </is>
      </c>
      <c r="H35" s="18" t="inlineStr">
        <is>
          <t>Complète A06 ; ne présume pas une API d'attestation fiscale</t>
        </is>
      </c>
      <c r="I35" s="18" t="inlineStr">
        <is>
          <t>Fournir parcours, documentation et accès de test avant V3</t>
        </is>
      </c>
      <c r="J35" s="54" t="inlineStr">
        <is>
          <t>20/11/2026</t>
        </is>
      </c>
    </row>
    <row r="36">
      <c r="B36" s="54" t="inlineStr">
        <is>
          <t>A21</t>
        </is>
      </c>
      <c r="C36" s="54" t="inlineStr">
        <is>
          <t>12/09/2026</t>
        </is>
      </c>
      <c r="D36" s="18" t="inlineStr">
        <is>
          <t>Captation, transcription et résumé</t>
        </is>
      </c>
      <c r="E36" s="18" t="inlineStr">
        <is>
          <t>Valider la connexion de l'agent, la couverture scène/tables, le moteur de transcription/résumé et les conditions d'usage des enregistrements. Un abonnement annoncé ne démontre pas ces capacités.</t>
        </is>
      </c>
      <c r="F36" s="36" t="inlineStr">
        <is>
          <t>Ouvert</t>
        </is>
      </c>
      <c r="G36" s="18" t="inlineStr">
        <is>
          <t>M. Bruno / technique / juridique</t>
        </is>
      </c>
      <c r="H36" s="18" t="inlineStr">
        <is>
          <t>Traitement des réunions V2 distinct de DealLens V5 ; qualification nécessaire avant utilisation réelle</t>
        </is>
      </c>
      <c r="I36" s="18" t="inlineStr">
        <is>
          <t>Prototype synthétique V1-107 ; choix et accès de traitement pour V2-048/049</t>
        </is>
      </c>
      <c r="J36" s="54" t="inlineStr">
        <is>
          <t>16/10/2026</t>
        </is>
      </c>
    </row>
  </sheetData>
  <conditionalFormatting sqref="F6:F86">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86" showDropDown="0" showInputMessage="0" showErrorMessage="0" allowBlank="1" type="list">
      <formula1>=Parametres!$R$6:$R$8</formula1>
    </dataValidation>
  </dataValidations>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18" t="inlineStr">
        <is>
          <t>A. Préparer la transmission</t>
        </is>
      </c>
      <c r="D6" s="18" t="inlineStr">
        <is>
          <t>Pass Transmission : constitution et qualification du dossier cédant</t>
        </is>
      </c>
      <c r="E6" s="18"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18" t="inlineStr">
        <is>
          <t>A. Préparer la transmission</t>
        </is>
      </c>
      <c r="D7" s="18" t="inlineStr">
        <is>
          <t>Évaluation financière sommaire et non opposable</t>
        </is>
      </c>
      <c r="E7" s="18"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18" t="inlineStr">
        <is>
          <t>A. Préparer la transmission</t>
        </is>
      </c>
      <c r="D8" s="18" t="inlineStr">
        <is>
          <t>Deal-Ready : diagnostic, remédiation et certification CCI-Togo</t>
        </is>
      </c>
      <c r="E8" s="18"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18" t="inlineStr">
        <is>
          <t>A. Préparer la transmission</t>
        </is>
      </c>
      <c r="D9" s="18" t="inlineStr">
        <is>
          <t>Qualification du mode de transmission et régime de confidentialité</t>
        </is>
      </c>
      <c r="E9" s="18"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18" t="inlineStr">
        <is>
          <t>B. Qualifier et connecter</t>
        </is>
      </c>
      <c r="D10" s="18" t="inlineStr">
        <is>
          <t>Qualification du repreneur / investisseur</t>
        </is>
      </c>
      <c r="E10" s="18"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18" t="inlineStr">
        <is>
          <t>B. Qualifier et connecter</t>
        </is>
      </c>
      <c r="D11" s="18" t="inlineStr">
        <is>
          <t>Recherche, matching et manifestation d'intérêt</t>
        </is>
      </c>
      <c r="E11" s="18"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18" t="inlineStr">
        <is>
          <t>B. Qualifier et connecter</t>
        </is>
      </c>
      <c r="D12" s="18" t="inlineStr">
        <is>
          <t>Admission et divulgation contrôlée</t>
        </is>
      </c>
      <c r="E12" s="18"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18" t="inlineStr">
        <is>
          <t>B. Qualifier et connecter</t>
        </is>
      </c>
      <c r="D13" s="18" t="inlineStr">
        <is>
          <t>NDA, signature et constitution de la preuve</t>
        </is>
      </c>
      <c r="E13" s="18"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18" t="inlineStr">
        <is>
          <t>B. Qualifier et connecter</t>
        </is>
      </c>
      <c r="D14" s="18" t="inlineStr">
        <is>
          <t>VDR, autorisation d'accès et questions-réponses</t>
        </is>
      </c>
      <c r="E14" s="18"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18" t="inlineStr">
        <is>
          <t>B. Qualifier et connecter</t>
        </is>
      </c>
      <c r="D15" s="18" t="inlineStr">
        <is>
          <t>Mobilisation et gestion d'un expert indépendant</t>
        </is>
      </c>
      <c r="E15" s="18"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18" t="inlineStr">
        <is>
          <t>C. Négocier et réaliser</t>
        </is>
      </c>
      <c r="D16" s="18" t="inlineStr">
        <is>
          <t>Offre, contre-offre, LOI et documentation</t>
        </is>
      </c>
      <c r="E16" s="18"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18" t="inlineStr">
        <is>
          <t>C. Négocier et réaliser</t>
        </is>
      </c>
      <c r="D17" s="18" t="inlineStr">
        <is>
          <t>Audit d'acquisition et résolution des points ouverts</t>
        </is>
      </c>
      <c r="E17" s="18"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18" t="inlineStr">
        <is>
          <t>C. Négocier et réaliser</t>
        </is>
      </c>
      <c r="D18" s="18" t="inlineStr">
        <is>
          <t>Réalisation de l'opération et traçabilité de la transmission</t>
        </is>
      </c>
      <c r="E18" s="18"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18" t="inlineStr">
        <is>
          <t>D. Restructurer et servir</t>
        </is>
      </c>
      <c r="D19" s="18" t="inlineStr">
        <is>
          <t>Alerte &amp; Rebond : diagnostic, confidentialité et orientation</t>
        </is>
      </c>
      <c r="E19" s="18"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18" t="inlineStr">
        <is>
          <t>D. Restructurer et servir</t>
        </is>
      </c>
      <c r="D20" s="18" t="inlineStr">
        <is>
          <t>Cession d'actifs d'entreprises en difficulté</t>
        </is>
      </c>
      <c r="E20" s="18"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18" t="inlineStr">
        <is>
          <t>D. Restructurer et servir</t>
        </is>
      </c>
      <c r="D21" s="18" t="inlineStr">
        <is>
          <t>Legal-Tech OHADA et Conformité &amp; Fiscalité</t>
        </is>
      </c>
      <c r="E21" s="18"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18" t="inlineStr">
        <is>
          <t>D. Restructurer et servir</t>
        </is>
      </c>
      <c r="D22" s="18" t="inlineStr">
        <is>
          <t>Deal-Connect : conception et exécution d'un événement B2B</t>
        </is>
      </c>
      <c r="E22" s="18"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18" t="inlineStr">
        <is>
          <t>D. Restructurer et servir</t>
        </is>
      </c>
      <c r="D23" s="18" t="inlineStr">
        <is>
          <t>Guichet Diaspora et Investissement</t>
        </is>
      </c>
      <c r="E23" s="18"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18" t="inlineStr">
        <is>
          <t>E. Gouverner et opérer</t>
        </is>
      </c>
      <c r="D24" s="18" t="inlineStr">
        <is>
          <t>Gouvernance institutionnelle CCI-Togo et certification</t>
        </is>
      </c>
      <c r="E24" s="18"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18" t="inlineStr">
        <is>
          <t>E. Gouverner et opérer</t>
        </is>
      </c>
      <c r="D25" s="18" t="inlineStr">
        <is>
          <t>Support, administration et accès privilégiés</t>
        </is>
      </c>
      <c r="E25" s="18"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18" t="inlineStr">
        <is>
          <t>E. Gouverner et opérer</t>
        </is>
      </c>
      <c r="D26" s="18" t="inlineStr">
        <is>
          <t>Résultat, facturation, rétrocession et contrôle financier</t>
        </is>
      </c>
      <c r="E26" s="18"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18" t="inlineStr">
        <is>
          <t>E. Gouverner et opérer</t>
        </is>
      </c>
      <c r="D27" s="18" t="inlineStr">
        <is>
          <t>Exploitation, sécurité, incidents, continuité et SLA</t>
        </is>
      </c>
      <c r="E27" s="18"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6.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18" t="inlineStr">
        <is>
          <t>Chef de projet / architecte</t>
        </is>
      </c>
      <c r="C6" s="18" t="inlineStr">
        <is>
          <t>DealPME</t>
        </is>
      </c>
      <c r="D6" s="37" t="inlineStr">
        <is>
          <t>Abdou-Raouf</t>
        </is>
      </c>
      <c r="E6" s="18" t="inlineStr">
        <is>
          <t>Pilotage, architecture, arbitrages techniques, tenue de ce classeur</t>
        </is>
      </c>
    </row>
    <row r="7">
      <c r="B7" s="18" t="inlineStr">
        <is>
          <t>Équipe de développement</t>
        </is>
      </c>
      <c r="C7" s="18" t="inlineStr">
        <is>
          <t>DealPME</t>
        </is>
      </c>
      <c r="D7" s="37" t="inlineStr">
        <is>
          <t>À confirmer</t>
        </is>
      </c>
      <c r="E7" s="18" t="inlineStr">
        <is>
          <t>Réalisation, tests, documentation</t>
        </is>
      </c>
    </row>
    <row r="8">
      <c r="B8" s="18" t="inlineStr">
        <is>
          <t>Propriétaire produit</t>
        </is>
      </c>
      <c r="C8" s="18" t="inlineStr">
        <is>
          <t>DealPME</t>
        </is>
      </c>
      <c r="D8" s="37" t="inlineStr">
        <is>
          <t>M. Bruno H.</t>
        </is>
      </c>
      <c r="E8" s="18" t="inlineStr">
        <is>
          <t>Priorisation, validation des livrables, décisions de périmètre</t>
        </is>
      </c>
    </row>
    <row r="9">
      <c r="B9" s="18" t="inlineStr">
        <is>
          <t>Référent institutionnel</t>
        </is>
      </c>
      <c r="C9" s="18" t="inlineStr">
        <is>
          <t>CCI-Togo</t>
        </is>
      </c>
      <c r="D9" s="37" t="inlineStr">
        <is>
          <t>À désigner</t>
        </is>
      </c>
      <c r="E9" s="18" t="inlineStr">
        <is>
          <t>Confirmation d'adhésion, certification Deal-Ready, promotion, COPIL</t>
        </is>
      </c>
    </row>
    <row r="10">
      <c r="B10" s="18" t="inlineStr">
        <is>
          <t>Designer UI/UX</t>
        </is>
      </c>
      <c r="C10" s="18" t="inlineStr">
        <is>
          <t>Externe</t>
        </is>
      </c>
      <c r="D10" s="37" t="inlineStr">
        <is>
          <t>À confirmer (proposition Bouley)</t>
        </is>
      </c>
      <c r="E10" s="18" t="inlineStr">
        <is>
          <t>Conception des écrans, revue visuelle</t>
        </is>
      </c>
    </row>
    <row r="11">
      <c r="B11" s="18" t="inlineStr">
        <is>
          <t>Conseil juridique / DPO</t>
        </is>
      </c>
      <c r="C11" s="18" t="inlineStr">
        <is>
          <t>Externe</t>
        </is>
      </c>
      <c r="D11" s="37" t="inlineStr">
        <is>
          <t>À désigner</t>
        </is>
      </c>
      <c r="E11" s="18" t="inlineStr">
        <is>
          <t>Avis RPS, revue des modèles, IPDCP, nomination DPO</t>
        </is>
      </c>
    </row>
    <row r="12">
      <c r="B12" s="18" t="inlineStr">
        <is>
          <t>Prestataires techniques</t>
        </is>
      </c>
      <c r="C12" s="18" t="inlineStr">
        <is>
          <t>Externe</t>
        </is>
      </c>
      <c r="D12" s="37" t="inlineStr">
        <is>
          <t>PSC signature, mobile money, PSAE, Remo.co, fournisseur IA</t>
        </is>
      </c>
      <c r="E12" s="18" t="inlineStr">
        <is>
          <t>Intégrations sous contrat</t>
        </is>
      </c>
    </row>
    <row r="13">
      <c r="B13" s="18" t="inlineStr">
        <is>
          <t>Experts indépendants</t>
        </is>
      </c>
      <c r="C13" s="18" t="inlineStr">
        <is>
          <t>Externe</t>
        </is>
      </c>
      <c r="D13" s="37" t="inlineStr">
        <is>
          <t>Registre à constituer</t>
        </is>
      </c>
      <c r="E13" s="18"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18"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18"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18"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18"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18"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18"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18"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18"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18"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18"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18"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18"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18"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18"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18"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18"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18"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18"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18"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18"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7.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18" t="inlineStr">
        <is>
          <t>À faire</t>
        </is>
      </c>
      <c r="C6" s="55" t="n">
        <v>0</v>
      </c>
      <c r="D6" s="18" t="inlineStr">
        <is>
          <t>Oui</t>
        </is>
      </c>
      <c r="F6" s="18" t="inlineStr">
        <is>
          <t>Haute</t>
        </is>
      </c>
      <c r="H6" s="18" t="inlineStr">
        <is>
          <t>V1</t>
        </is>
      </c>
      <c r="J6" s="18" t="inlineStr">
        <is>
          <t>FOND</t>
        </is>
      </c>
      <c r="L6" s="18" t="inlineStr">
        <is>
          <t>Oui</t>
        </is>
      </c>
      <c r="N6" s="18" t="inlineStr">
        <is>
          <t>À venir</t>
        </is>
      </c>
      <c r="P6" s="18" t="inlineStr">
        <is>
          <t>Ouvert</t>
        </is>
      </c>
      <c r="R6" s="18" t="inlineStr">
        <is>
          <t>Ouvert</t>
        </is>
      </c>
    </row>
    <row r="7">
      <c r="B7" s="18" t="inlineStr">
        <is>
          <t>En cours</t>
        </is>
      </c>
      <c r="C7" s="55" t="n">
        <v>0.25</v>
      </c>
      <c r="D7" s="18" t="inlineStr">
        <is>
          <t>Oui</t>
        </is>
      </c>
      <c r="F7" s="18" t="inlineStr">
        <is>
          <t>Moyenne</t>
        </is>
      </c>
      <c r="H7" s="18" t="inlineStr">
        <is>
          <t>V2</t>
        </is>
      </c>
      <c r="J7" s="18" t="inlineStr">
        <is>
          <t>TRV</t>
        </is>
      </c>
      <c r="L7" s="18" t="inlineStr">
        <is>
          <t>Non</t>
        </is>
      </c>
      <c r="N7" s="18" t="inlineStr">
        <is>
          <t>En risque</t>
        </is>
      </c>
      <c r="P7" s="18" t="inlineStr">
        <is>
          <t>Surveillé</t>
        </is>
      </c>
      <c r="R7" s="18" t="inlineStr">
        <is>
          <t>En discussion</t>
        </is>
      </c>
    </row>
    <row r="8">
      <c r="B8" s="18" t="inlineStr">
        <is>
          <t>En revue</t>
        </is>
      </c>
      <c r="C8" s="55" t="n">
        <v>0.9</v>
      </c>
      <c r="D8" s="18" t="inlineStr">
        <is>
          <t>Oui</t>
        </is>
      </c>
      <c r="F8" s="18" t="inlineStr">
        <is>
          <t>Basse</t>
        </is>
      </c>
      <c r="H8" s="18" t="inlineStr">
        <is>
          <t>V3</t>
        </is>
      </c>
      <c r="J8" s="18" t="inlineStr">
        <is>
          <t>IDN</t>
        </is>
      </c>
      <c r="N8" s="18" t="inlineStr">
        <is>
          <t>Atteint</t>
        </is>
      </c>
      <c r="P8" s="18" t="inlineStr">
        <is>
          <t>Clos</t>
        </is>
      </c>
      <c r="R8" s="18" t="inlineStr">
        <is>
          <t>Tranché</t>
        </is>
      </c>
    </row>
    <row r="9">
      <c r="B9" s="18" t="inlineStr">
        <is>
          <t>Bloquée</t>
        </is>
      </c>
      <c r="C9" s="55" t="n">
        <v>0.25</v>
      </c>
      <c r="D9" s="18" t="inlineStr">
        <is>
          <t>Oui</t>
        </is>
      </c>
      <c r="H9" s="18" t="inlineStr">
        <is>
          <t>V4</t>
        </is>
      </c>
      <c r="J9" s="18" t="inlineStr">
        <is>
          <t>GOV</t>
        </is>
      </c>
      <c r="N9" s="18" t="inlineStr">
        <is>
          <t>Abandonné</t>
        </is>
      </c>
    </row>
    <row r="10">
      <c r="B10" s="18" t="inlineStr">
        <is>
          <t>Complétée</t>
        </is>
      </c>
      <c r="C10" s="55" t="n">
        <v>1</v>
      </c>
      <c r="D10" s="18" t="inlineStr">
        <is>
          <t>Oui</t>
        </is>
      </c>
      <c r="H10" s="18" t="inlineStr">
        <is>
          <t>V5</t>
        </is>
      </c>
      <c r="J10" s="18" t="inlineStr">
        <is>
          <t>CCI</t>
        </is>
      </c>
    </row>
    <row r="11">
      <c r="B11" s="18" t="inlineStr">
        <is>
          <t>Backlog</t>
        </is>
      </c>
      <c r="C11" s="55" t="n">
        <v>0</v>
      </c>
      <c r="D11" s="18" t="inlineStr">
        <is>
          <t>Oui</t>
        </is>
      </c>
      <c r="J11" s="18" t="inlineStr">
        <is>
          <t>MKT</t>
        </is>
      </c>
    </row>
    <row r="12">
      <c r="B12" s="18" t="inlineStr">
        <is>
          <t>Abandonnée</t>
        </is>
      </c>
      <c r="C12" s="55" t="n">
        <v>0</v>
      </c>
      <c r="D12" s="18" t="inlineStr">
        <is>
          <t>Non</t>
        </is>
      </c>
      <c r="J12" s="18" t="inlineStr">
        <is>
          <t>RPS</t>
        </is>
      </c>
    </row>
    <row r="13">
      <c r="J13" s="18" t="inlineStr">
        <is>
          <t>SIG</t>
        </is>
      </c>
    </row>
    <row r="14">
      <c r="J14" s="18" t="inlineStr">
        <is>
          <t>VDR</t>
        </is>
      </c>
    </row>
    <row r="15">
      <c r="B15" s="3" t="inlineStr">
        <is>
          <t>Règle d'avancement d'une tâche</t>
        </is>
      </c>
      <c r="J15" s="18" t="inlineStr">
        <is>
          <t>NEG</t>
        </is>
      </c>
    </row>
    <row r="16" ht="32" customHeight="1">
      <c r="B16" s="20" t="inlineStr">
        <is>
          <t>Si le statut est 'Complétée' : 100 %. Si un pourcentage est saisi dans la colonne '% saisi' de l'onglet Taches, il est utilisé. Sinon, l'avancement par défaut du statut ci-dessus s'applique.</t>
        </is>
      </c>
    </row>
    <row r="17" ht="32" customHeight="1">
      <c r="B17" s="20" t="inlineStr">
        <is>
          <t>Une tâche 'Abandonnée' sort des totaux de charge. La charge réalisée = charge retenue x avancement. Les modules, versions, processus et le tableau de bord sont calculés à partir de ces deux colonnes.</t>
        </is>
      </c>
    </row>
    <row r="18">
      <c r="J18" s="18" t="inlineStr">
        <is>
          <t>FIN</t>
        </is>
      </c>
    </row>
    <row r="19">
      <c r="J19" s="18" t="inlineStr">
        <is>
          <t>SUP</t>
        </is>
      </c>
    </row>
    <row r="20">
      <c r="J20" s="18" t="inlineStr">
        <is>
          <t>OPS</t>
        </is>
      </c>
    </row>
    <row r="21">
      <c r="J21" s="18" t="inlineStr">
        <is>
          <t>REB</t>
        </is>
      </c>
    </row>
    <row r="22">
      <c r="J22" s="18" t="inlineStr">
        <is>
          <t>CNX</t>
        </is>
      </c>
    </row>
    <row r="23">
      <c r="J23" s="18" t="inlineStr">
        <is>
          <t>DIA</t>
        </is>
      </c>
    </row>
    <row r="24">
      <c r="J24" s="18" t="inlineStr">
        <is>
          <t>EXP</t>
        </is>
      </c>
    </row>
    <row r="25">
      <c r="J25" s="18"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2026-09-12T20:04:38Z</dcterms:created>
  <dcterms:modified xsi:type="dcterms:W3CDTF">2026-09-12T20:04:40Z</dcterms:modified>
</cp:coreProperties>
</file>