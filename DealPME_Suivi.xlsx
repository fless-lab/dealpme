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L05 : API/SAML et console livrés ; revue de câblage et bascule V1-110/111 à faire sans accès, activation/recettes réelles V1-112 à 115 ouvertes, clôture en V1-116.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 V1-110, V1-111, V1-112, V1-113, V1-114, V1-115, V1-116</t>
        </is>
      </c>
      <c r="F11" s="18" t="inlineStr">
        <is>
          <t>V1-110/111 sans accès ; V1-112 à 115 avec A17/A18 ; captation A21</t>
        </is>
      </c>
      <c r="G11" s="18" t="inlineStr">
        <is>
          <t>Câblage complet éprouvé, compte activé et parcours réels validés ; clôture distincte V1-116</t>
        </is>
      </c>
      <c r="H11" s="15">
        <f>SUMIF(Taches!$B$6:$B$325,"V1-007",Taches!$M$6:$M$325)+SUMIF(Taches!$B$6:$B$325,"V1-068",Taches!$M$6:$M$325)+SUMIF(Taches!$B$6:$B$325,"V1-071",Taches!$M$6:$M$325)+SUMIF(Taches!$B$6:$B$325,"V1-104",Taches!$M$6:$M$325)+SUMIF(Taches!$B$6:$B$325,"V1-105",Taches!$M$6:$M$325)+SUMIF(Taches!$B$6:$B$325,"V1-106",Taches!$M$6:$M$325)+SUMIF(Taches!$B$6:$B$325,"V1-107",Taches!$M$6:$M$325)+SUMIF(Taches!$B$6:$B$325,"V1-110",Taches!$M$6:$M$325)+SUMIF(Taches!$B$6:$B$325,"V1-111",Taches!$M$6:$M$325)+SUMIF(Taches!$B$6:$B$325,"V1-112",Taches!$M$6:$M$325)+SUMIF(Taches!$B$6:$B$325,"V1-113",Taches!$M$6:$M$325)+SUMIF(Taches!$B$6:$B$325,"V1-114",Taches!$M$6:$M$325)+SUMIF(Taches!$B$6:$B$325,"V1-115",Taches!$M$6:$M$325)+SUMIF(Taches!$B$6:$B$325,"V1-116",Taches!$M$6:$M$325)</f>
        <v/>
      </c>
      <c r="I11" s="15">
        <f>SUMIF(Taches!$B$6:$B$325,"V1-007",Taches!$N$6:$N$325)+SUMIF(Taches!$B$6:$B$325,"V1-068",Taches!$N$6:$N$325)+SUMIF(Taches!$B$6:$B$325,"V1-071",Taches!$N$6:$N$325)+SUMIF(Taches!$B$6:$B$325,"V1-104",Taches!$N$6:$N$325)+SUMIF(Taches!$B$6:$B$325,"V1-105",Taches!$N$6:$N$325)+SUMIF(Taches!$B$6:$B$325,"V1-106",Taches!$N$6:$N$325)+SUMIF(Taches!$B$6:$B$325,"V1-107",Taches!$N$6:$N$325)+SUMIF(Taches!$B$6:$B$325,"V1-110",Taches!$N$6:$N$325)+SUMIF(Taches!$B$6:$B$325,"V1-111",Taches!$N$6:$N$325)+SUMIF(Taches!$B$6:$B$325,"V1-112",Taches!$N$6:$N$325)+SUMIF(Taches!$B$6:$B$325,"V1-113",Taches!$N$6:$N$325)+SUMIF(Taches!$B$6:$B$325,"V1-114",Taches!$N$6:$N$325)+SUMIF(Taches!$B$6:$B$325,"V1-115",Taches!$N$6:$N$325)+SUMIF(Taches!$B$6:$B$325,"V1-116",Taches!$N$6:$N$325)</f>
        <v/>
      </c>
      <c r="J11" s="15">
        <f>H11-I11</f>
        <v/>
      </c>
      <c r="K11" s="16">
        <f>IF(H11=0,0,I11/H11)</f>
        <v/>
      </c>
      <c r="L11" s="12">
        <f>IF((COUNTIFS(Taches!$B$6:$B$325,"V1-007",Taches!$J$6:$J$325,"&lt;&gt;Complétée",Taches!$J$6:$J$325,"&lt;&gt;Abandonnée")+COUNTIFS(Taches!$B$6:$B$325,"V1-068",Taches!$J$6:$J$325,"&lt;&gt;Complétée",Taches!$J$6:$J$325,"&lt;&gt;Abandonnée")+COUNTIFS(Taches!$B$6:$B$325,"V1-071",Taches!$J$6:$J$325,"&lt;&gt;Complétée",Taches!$J$6:$J$325,"&lt;&gt;Abandonnée")+COUNTIFS(Taches!$B$6:$B$325,"V1-104",Taches!$J$6:$J$325,"&lt;&gt;Complétée",Taches!$J$6:$J$325,"&lt;&gt;Abandonnée")+COUNTIFS(Taches!$B$6:$B$325,"V1-105",Taches!$J$6:$J$325,"&lt;&gt;Complétée",Taches!$J$6:$J$325,"&lt;&gt;Abandonnée")+COUNTIFS(Taches!$B$6:$B$325,"V1-106",Taches!$J$6:$J$325,"&lt;&gt;Complétée",Taches!$J$6:$J$325,"&lt;&gt;Abandonnée")+COUNTIFS(Taches!$B$6:$B$325,"V1-107",Taches!$J$6:$J$325,"&lt;&gt;Complétée",Taches!$J$6:$J$325,"&lt;&gt;Abandonnée")+COUNTIFS(Taches!$B$6:$B$325,"V1-110",Taches!$J$6:$J$325,"&lt;&gt;Complétée",Taches!$J$6:$J$325,"&lt;&gt;Abandonnée")+COUNTIFS(Taches!$B$6:$B$325,"V1-111",Taches!$J$6:$J$325,"&lt;&gt;Complétée",Taches!$J$6:$J$325,"&lt;&gt;Abandonnée")+COUNTIFS(Taches!$B$6:$B$325,"V1-112",Taches!$J$6:$J$325,"&lt;&gt;Complétée",Taches!$J$6:$J$325,"&lt;&gt;Abandonnée")+COUNTIFS(Taches!$B$6:$B$325,"V1-113",Taches!$J$6:$J$325,"&lt;&gt;Complétée",Taches!$J$6:$J$325,"&lt;&gt;Abandonnée")+COUNTIFS(Taches!$B$6:$B$325,"V1-114",Taches!$J$6:$J$325,"&lt;&gt;Complétée",Taches!$J$6:$J$325,"&lt;&gt;Abandonnée")+COUNTIFS(Taches!$B$6:$B$325,"V1-115",Taches!$J$6:$J$325,"&lt;&gt;Complétée",Taches!$J$6:$J$325,"&lt;&gt;Abandonnée")+COUNTIFS(Taches!$B$6:$B$325,"V1-116",Taches!$J$6:$J$325,"&lt;&gt;Complétée",Taches!$J$6:$J$325,"&lt;&gt;Abandonnée"))=0,"Terminé",IF(I11&gt;0,"Amorcé","À engager"))</f>
        <v/>
      </c>
      <c r="M11" s="18" t="inlineStr">
        <is>
          <t>Matrice API/BFF/UI/tests, précontrôle, recettes SAML/branding/API réelles, captation et corrections</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4"/>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Complément découvert</t>
        </is>
      </c>
      <c r="C7" s="18" t="inlineStr">
        <is>
          <t>Créer immédiatement une nouvelle tâche persistante pour toute exigence, intégration, correction hors portée ou sous-recette distincte découverte pendant l'exécution. Renseigner ID, lot, dépendances, critère, responsable, charge et dates dans devX/build_suivi.py avant de poursuivre. Une note de conversation ou un titre général ne suffit pas ; voir AGENTS.md.</t>
        </is>
      </c>
    </row>
    <row r="8" ht="44" customHeight="1">
      <c r="B8" s="35" t="inlineStr">
        <is>
          <t>L05 : deux fins distinctes</t>
        </is>
      </c>
      <c r="C8" s="18" t="inlineStr">
        <is>
          <t>V1-110/111 vérifient le câblage et la bascule sans accès. V1-112 à 115 portent activation et recettes réelles. V1-116 clôt le lot après corrections et qualification V1-107. La console V1-105 reste acquise ; ni sa clôture ni un mock PASS ne clôturent L05.</t>
        </is>
      </c>
    </row>
    <row r="9" ht="44" customHeight="1">
      <c r="B9" s="35" t="inlineStr">
        <is>
          <t>Plan d'exécution</t>
        </is>
      </c>
      <c r="C9" s="18" t="inlineStr">
        <is>
          <t>Plan_execution regroupe les tâches restantes par lots L00 à L12. Il calcule leurs charges et avancements depuis Taches. Suivre docs/PLAN_EXECUTION.md pour l'ordre technique, les sous-étapes, les dépendances externes et les preuves de sortie.</t>
        </is>
      </c>
    </row>
    <row r="10" ht="44" customHeight="1">
      <c r="B10" s="35" t="inlineStr">
        <is>
          <t>Fin réelle</t>
        </is>
      </c>
      <c r="C10"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11" ht="44" customHeight="1">
      <c r="B11" s="35" t="inlineStr">
        <is>
          <t>Mettre à jour une tâche</t>
        </is>
      </c>
      <c r="C11"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2" ht="44" customHeight="1">
      <c r="B12" s="35" t="inlineStr">
        <is>
          <t>Ajouter une tâche</t>
        </is>
      </c>
      <c r="C12" s="18" t="inlineStr">
        <is>
          <t>Ajouter d'abord le complément dans devX/build_suivi.py, en append avec un nouvel ID stable, puis régénérer le classeur et mettre à jour son lot dans Plan_execution. Les lignes réservées de Taches permettent la saisie de travail, mais toute saisie doit être reportée dans le générateur pour survivre à la régénération.</t>
        </is>
      </c>
    </row>
    <row r="13" ht="44" customHeight="1">
      <c r="B13" s="35" t="inlineStr">
        <is>
          <t>Abandonner une tâche</t>
        </is>
      </c>
      <c r="C13" s="18" t="inlineStr">
        <is>
          <t>Mettre le statut 'Abandonnée' : la tâche sort des totaux de charge sans être supprimée (traçabilité).</t>
        </is>
      </c>
    </row>
    <row r="14" ht="44" customHeight="1">
      <c r="B14" s="35" t="inlineStr">
        <is>
          <t>Codes couleur</t>
        </is>
      </c>
      <c r="C14" s="18" t="inlineStr">
        <is>
          <t>Cellules jaune pâle : à saisir. Cellules grises : calculées, ne pas modifier. Statuts colorés automatiquement (vert complétée, ambre en cours, rouge bloquée).</t>
        </is>
      </c>
    </row>
    <row r="15" ht="44" customHeight="1">
      <c r="B15" s="35" t="inlineStr">
        <is>
          <t>Modules</t>
        </is>
      </c>
      <c r="C15" s="18" t="inlineStr">
        <is>
          <t>Avancement pondéré par la charge des tâches du module. Colonnes Responsable et Commentaire à saisir. Les éléments hors périmètre v0 sont listés pour mémoire, sans tâche.</t>
        </is>
      </c>
    </row>
    <row r="16" ht="44" customHeight="1">
      <c r="B16" s="35" t="inlineStr">
        <is>
          <t>Versions</t>
        </is>
      </c>
      <c r="C16" s="18" t="inlineStr">
        <is>
          <t>Les dates de début et de fin se saisissent ici. L'état passe automatiquement à 'En dépassement' si la date de fin est passée sans 100 %.</t>
        </is>
      </c>
    </row>
    <row r="17" ht="44" customHeight="1">
      <c r="B17" s="35" t="inlineStr">
        <is>
          <t>Jalons</t>
        </is>
      </c>
      <c r="C17" s="18" t="inlineStr">
        <is>
          <t>Saisir la date cible et le statut. La colonne Alerte signale 'Dépassé' ou 'Cette semaine'. Le tableau de bord affiche le prochain jalon non atteint.</t>
        </is>
      </c>
    </row>
    <row r="18" ht="44" customHeight="1">
      <c r="B18" s="35" t="inlineStr">
        <is>
          <t>Risques</t>
        </is>
      </c>
      <c r="C18" s="18" t="inlineStr">
        <is>
          <t>Saisir probabilité et impact de 1 à 5. Le score et le niveau se calculent. Passer le statut à 'Clos' quand le risque est levé.</t>
        </is>
      </c>
    </row>
    <row r="19" ht="44" customHeight="1">
      <c r="B19" s="35" t="inlineStr">
        <is>
          <t>Securite</t>
        </is>
      </c>
      <c r="C19" s="18" t="inlineStr">
        <is>
          <t>Registre des constats de sécurité : chaque ligne renvoie à la tâche qui la traite ; le statut et l'avancement se lisent automatiquement. Un report vers une version ultérieure doit être justifié et accompagné d'une mitigation.</t>
        </is>
      </c>
    </row>
    <row r="20" ht="44" customHeight="1">
      <c r="B20" s="35" t="inlineStr">
        <is>
          <t>Decisions</t>
        </is>
      </c>
      <c r="C20" s="18" t="inlineStr">
        <is>
          <t>Toute demande de changement de périmètre s'inscrit ici avant d'être traduite en tâches. Statut : Ouvert, En discussion, Tranché.</t>
        </is>
      </c>
    </row>
    <row r="21" ht="44" customHeight="1">
      <c r="B21" s="35" t="inlineStr">
        <is>
          <t>Gantt</t>
        </is>
      </c>
      <c r="C21" s="18" t="inlineStr">
        <is>
          <t>Barres hebdomadaires calculées depuis 'Début prévu' et 'Fin prévue' de chaque tâche. Modifier les dates dans Taches, pas dans le Gantt. La colonne de la semaine courante est surlignée.</t>
        </is>
      </c>
    </row>
    <row r="22" ht="44" customHeight="1">
      <c r="B22" s="35" t="inlineStr">
        <is>
          <t>Unités</t>
        </is>
      </c>
      <c r="C22" s="18" t="inlineStr">
        <is>
          <t>Charges en jours-personne (j/p). 5 j/p = 1 semaine-personne. Le calendrier réel dépend du nombre de personnes réellement affectées.</t>
        </is>
      </c>
    </row>
    <row r="23" ht="44" customHeight="1">
      <c r="B23" s="35" t="inlineStr">
        <is>
          <t>Paramètres</t>
        </is>
      </c>
      <c r="C23" s="18" t="inlineStr">
        <is>
          <t>Les listes déroulantes et l'avancement par défaut de chaque statut se modifient dans l'onglet Parametres.</t>
        </is>
      </c>
    </row>
    <row r="24" ht="44" customHeight="1">
      <c r="B24" s="35" t="inlineStr">
        <is>
          <t>Partage</t>
        </is>
      </c>
      <c r="C24"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Contrats d'intégration Remo préparés : API et admission/SSO si disponible, branding global du compte et par événement, profils versionnés, identités et erreurs ; raccordement réel sans refonte UI/métier après confirmation du protocole</t>
        </is>
      </c>
      <c r="H12" s="38" t="n">
        <v>2</v>
      </c>
      <c r="I12" s="36" t="inlineStr">
        <is>
          <t>Haute</t>
        </is>
      </c>
      <c r="J12" s="36" t="inlineStr">
        <is>
          <t>En revue</t>
        </is>
      </c>
      <c r="K12" s="39" t="n">
        <v>0.95</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inlineStr">
        <is>
          <t>Architecture et SAML implémentés : qa/l05-remo-verification.json. Revue exhaustive V1-110, bascule V1-111 et recette SAML réelle V1-113 restent distinctes et ouvertes.</t>
        </is>
      </c>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0.8</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inlineStr">
        <is>
          <t>Audit 12/09 : Artefact CI avec empreinte et référence, unités système et procédure de bascule/retour arrière préparés. Aucun déploiement distant attesté : serveur, DNS et accès A19 attendus.</t>
        </is>
      </c>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revue</t>
        </is>
      </c>
      <c r="K40" s="39" t="n">
        <v>0.95</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inlineStr">
        <is>
          <t>Audit 12/09 : Parcours manuel/mock éprouvés ; identité modifiée invalide preuve et badge sans effacer la décision historique. Contrat CFE réel A02 toujours attendu ; fournisseur réel refusé tant qu'il n'est pas qualifié.</t>
        </is>
      </c>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revue</t>
        </is>
      </c>
      <c r="K73" s="39" t="n">
        <v>0.95</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inlineStr">
        <is>
          <t>Adaptateur du Swagger public éprouvé sur fixture HTTPS. Activation V1-112, recette API réelle V1-115 et corrections/clôture V1-116 ne sont pas réalisées par ces tests locaux.</t>
        </is>
      </c>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revue</t>
        </is>
      </c>
      <c r="K76" s="39" t="n">
        <v>0.95</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inlineStr">
        <is>
          <t>Parcours diaspora local acquis. Admission privée et véritable entretien à vérifier dans V1-113/115 ; pas de validation fournisseur par la seule présence d'un lien.</t>
        </is>
      </c>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Complétée</t>
        </is>
      </c>
      <c r="K230" s="39" t="n">
        <v>1</v>
      </c>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v>46281</v>
      </c>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En revue</t>
        </is>
      </c>
      <c r="K232" s="39" t="n">
        <v>0.9</v>
      </c>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Complétée</t>
        </is>
      </c>
      <c r="K233" s="39" t="n">
        <v>1</v>
      </c>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v>46288</v>
      </c>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Complétée</t>
        </is>
      </c>
      <c r="K242" s="39" t="n">
        <v>1</v>
      </c>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v>46290</v>
      </c>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Complétée</t>
        </is>
      </c>
      <c r="K243" s="39" t="n">
        <v>1</v>
      </c>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v>46297</v>
      </c>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En revue</t>
        </is>
      </c>
      <c r="K244" s="39" t="n">
        <v>0.85</v>
      </c>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En revue</t>
        </is>
      </c>
      <c r="K245" s="39" t="n">
        <v>0.9</v>
      </c>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Complétée</t>
        </is>
      </c>
      <c r="K248" s="39" t="n">
        <v>1</v>
      </c>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v>46288</v>
      </c>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En revue</t>
        </is>
      </c>
      <c r="K249" s="39" t="n">
        <v>0.9</v>
      </c>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Matrice exhaustive des capacités Remo pertinentes et de l'offre possédée : API, SSO, branding global/événement, rôles, quotas, inscriptions, présence, webhooks et exports ; suite de contrats et fiche de branchement prêtes ; qualification réelle à réception des accès</t>
        </is>
      </c>
      <c r="H251" s="38" t="n">
        <v>4</v>
      </c>
      <c r="I251" s="36" t="inlineStr">
        <is>
          <t>Haute</t>
        </is>
      </c>
      <c r="J251" s="36" t="inlineStr">
        <is>
          <t>En revue</t>
        </is>
      </c>
      <c r="K251" s="39" t="n">
        <v>0.9</v>
      </c>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Matrice et sources disponibles. Sous-recettes explicites V1-112 à V1-115 ; V1-107 conserve la qualification captation/export. Clôture d'ensemble en V1-116.</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Console organisateur : créer, personnaliser et gérer les événements ; branding global et surcharges par événement séparés ; états de synchronisation, erreurs et reprise visibles ; parcours conservés lors de la bascule Remo réelle</t>
        </is>
      </c>
      <c r="H252" s="38" t="n">
        <v>5</v>
      </c>
      <c r="I252" s="36" t="inlineStr">
        <is>
          <t>Haute</t>
        </is>
      </c>
      <c r="J252" s="36" t="inlineStr">
        <is>
          <t>Complétée</t>
        </is>
      </c>
      <c r="K252" s="39" t="n">
        <v>1</v>
      </c>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v>46300</v>
      </c>
      <c r="S252" s="37" t="inlineStr">
        <is>
          <t>V1-068 ; V1-104 ; V1-106</t>
        </is>
      </c>
      <c r="T252" s="36" t="inlineStr">
        <is>
          <t>Oui</t>
        </is>
      </c>
      <c r="U252" s="13">
        <f>IF($B252="","",IF(AND(J252&lt;&gt;"Complétée",J252&lt;&gt;"Abandonnée",Q252&lt;&gt;"",TODAY()&gt;Q252),"En retard",""))</f>
        <v/>
      </c>
      <c r="V252" s="37" t="inlineStr">
        <is>
          <t>Acquis conservé : console organisateur livrée et testée, qa/l05-remo-verification.json. Sa clôture ne clôt pas L05 : compléments de câblage V1-110/111, recette branding V1-114 et recette bout en bout V1-115 restent ouverts.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En revue</t>
        </is>
      </c>
      <c r="K253" s="39" t="n">
        <v>0.95</v>
      </c>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Registre partagé éprouvé localement. Le quota de simulation ne valide pas l'offre : paramètres réels V1-112, concurrence et couverture du compte V1-115, écarts V1-116.</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En cours</t>
        </is>
      </c>
      <c r="K254" s="39" t="n">
        <v>0.55</v>
      </c>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Prototype synthétique conservé ; voix réelles, tables/scène, agent et exports natifs restent à qualifier avec A17/A21. Cette tâche reste un prérequis de clôture V1-116 ; le pipeline de rapports V2 n'est pas anticipé.</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Complétée</t>
        </is>
      </c>
      <c r="K264" s="39" t="n">
        <v>1</v>
      </c>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v>46293</v>
      </c>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inlineStr">
        <is>
          <t>V1-110</t>
        </is>
      </c>
      <c r="C265" s="36" t="inlineStr">
        <is>
          <t>V1</t>
        </is>
      </c>
      <c r="D265" s="36" t="inlineStr">
        <is>
          <t>CNX</t>
        </is>
      </c>
      <c r="E265" s="37" t="inlineStr">
        <is>
          <t>Deal-Connect (Remo)</t>
        </is>
      </c>
      <c r="F265" s="37" t="inlineStr">
        <is>
          <t>Revue exhaustive du câblage L05 sans accès fournisseur</t>
        </is>
      </c>
      <c r="G265" s="37" t="inlineStr">
        <is>
          <t>Matrice exigence &gt; opération documentée &gt; service/API &gt; BFF &gt; contrôle UI &gt; test ; scénarios positifs et négatifs rejoués ; trous de câblage corrigés ; limitations hors API sourcées avec traitement explicite ; rapport et commit archivés</t>
        </is>
      </c>
      <c r="H265" s="38" t="n">
        <v>2</v>
      </c>
      <c r="I265" s="36" t="inlineStr">
        <is>
          <t>Haute</t>
        </is>
      </c>
      <c r="J265" s="36" t="inlineStr">
        <is>
          <t>À faire</t>
        </is>
      </c>
      <c r="K265" s="39" t="n">
        <v>0</v>
      </c>
      <c r="L265" s="16">
        <f>IF($B265="","",IF(J265="Complétée",1,IF(J265="Abandonnée",0,IF(K265&lt;&gt;"",K265,IFERROR(VLOOKUP(J265,Parametres!$B$6:$C$12,2,FALSE),0)))))</f>
        <v/>
      </c>
      <c r="M265" s="15">
        <f>IF($B265="","",IF(J265="Abandonnée",0,H265))</f>
        <v/>
      </c>
      <c r="N265" s="15">
        <f>IF($B265="","",M265*L265)</f>
        <v/>
      </c>
      <c r="O265" s="37" t="inlineStr">
        <is>
          <t>Abdou-Raouf</t>
        </is>
      </c>
      <c r="P265" s="40" t="n">
        <v>46289</v>
      </c>
      <c r="Q265" s="40" t="n">
        <v>46297</v>
      </c>
      <c r="R265" s="40" t="n"/>
      <c r="S265" s="37" t="inlineStr">
        <is>
          <t>Acquis locaux V1-007/068/105 ; Swagger public ; ne pas attendre leur clôture fournisseur ni un accès Remo</t>
        </is>
      </c>
      <c r="T265" s="36" t="inlineStr">
        <is>
          <t>Oui</t>
        </is>
      </c>
      <c r="U265" s="13">
        <f>IF($B265="","",IF(AND(J265&lt;&gt;"Complétée",J265&lt;&gt;"Abandonnée",Q265&lt;&gt;"",TODAY()&gt;Q265),"En retard",""))</f>
        <v/>
      </c>
      <c r="V265" s="37" t="inlineStr">
        <is>
          <t>À exécuter sans accès Remo : audit de couverture API/BFF/UI/configuration, correction des trous de câblage et rapport relié au commit. Complément à V1-007/068/105, pas reprise des fonctionnalités déjà acquises.</t>
        </is>
      </c>
    </row>
    <row r="266">
      <c r="B266" s="36" t="inlineStr">
        <is>
          <t>V1-111</t>
        </is>
      </c>
      <c r="C266" s="36" t="inlineStr">
        <is>
          <t>V1</t>
        </is>
      </c>
      <c r="D266" s="36" t="inlineStr">
        <is>
          <t>CNX</t>
        </is>
      </c>
      <c r="E266" s="37" t="inlineStr">
        <is>
          <t>Deal-Connect (Remo)</t>
        </is>
      </c>
      <c r="F266" s="37" t="inlineStr">
        <is>
          <t>Précontrôle automatisé et recette de bascule de configuration Remo</t>
        </is>
      </c>
      <c r="G266" s="37" t="inlineStr">
        <is>
          <t>Précontrôle exécutable sans secrets dans les sorties ; local/remo/disabled, paramètres incomplets ou contradictoires, certificats, changement de compte et reprise après redémarrage éprouvés sur fixtures ; fiche de branchement reliée aux résultats</t>
        </is>
      </c>
      <c r="H266" s="38" t="n">
        <v>2</v>
      </c>
      <c r="I266" s="36" t="inlineStr">
        <is>
          <t>Haute</t>
        </is>
      </c>
      <c r="J266" s="36" t="inlineStr">
        <is>
          <t>À faire</t>
        </is>
      </c>
      <c r="K266" s="39" t="n">
        <v>0</v>
      </c>
      <c r="L266" s="16">
        <f>IF($B266="","",IF(J266="Complétée",1,IF(J266="Abandonnée",0,IF(K266&lt;&gt;"",K266,IFERROR(VLOOKUP(J266,Parametres!$B$6:$C$12,2,FALSE),0)))))</f>
        <v/>
      </c>
      <c r="M266" s="15">
        <f>IF($B266="","",IF(J266="Abandonnée",0,H266))</f>
        <v/>
      </c>
      <c r="N266" s="15">
        <f>IF($B266="","",M266*L266)</f>
        <v/>
      </c>
      <c r="O266" s="37" t="inlineStr">
        <is>
          <t>Abdou-Raouf</t>
        </is>
      </c>
      <c r="P266" s="40" t="n">
        <v>46293</v>
      </c>
      <c r="Q266" s="40" t="n">
        <v>46301</v>
      </c>
      <c r="R266" s="40" t="n"/>
      <c r="S266" s="37" t="inlineStr">
        <is>
          <t>V1-110 ; docs/REMO_RACCORDEMENT.md ; aucun accès fournisseur pour cette préparation</t>
        </is>
      </c>
      <c r="T266" s="36" t="inlineStr">
        <is>
          <t>Oui</t>
        </is>
      </c>
      <c r="U266" s="13">
        <f>IF($B266="","",IF(AND(J266&lt;&gt;"Complétée",J266&lt;&gt;"Abandonnée",Q266&lt;&gt;"",TODAY()&gt;Q266),"En retard",""))</f>
        <v/>
      </c>
      <c r="V266" s="37" t="inlineStr">
        <is>
          <t>À exécuter sans accès Remo : précontrôle automatisé et scénarios de changement de configuration/reprise, avec fixtures et certificats de test ; les accès ne bloquent que l'activation réelle V1-112.</t>
        </is>
      </c>
    </row>
    <row r="267">
      <c r="B267" s="36" t="inlineStr">
        <is>
          <t>V1-112</t>
        </is>
      </c>
      <c r="C267" s="36" t="inlineStr">
        <is>
          <t>V1</t>
        </is>
      </c>
      <c r="D267" s="36" t="inlineStr">
        <is>
          <t>CNX</t>
        </is>
      </c>
      <c r="E267" s="37" t="inlineStr">
        <is>
          <t>Deal-Connect (Remo)</t>
        </is>
      </c>
      <c r="F267" s="37" t="inlineStr">
        <is>
          <t>Activation du compte Remo réel et vérification des droits et quotas</t>
        </is>
      </c>
      <c r="G267" s="37" t="inlineStr">
        <is>
          <t>Accès propriétaire et add-ons vérifiés ; Company ID, App Token, hôte, quota et contexte multi-produits configurés hors dépôt ; précontrôle V1-111 exécuté ; preuve de connexion au compte réel sans exposition de secrets</t>
        </is>
      </c>
      <c r="H267" s="38" t="n">
        <v>1</v>
      </c>
      <c r="I267" s="36" t="inlineStr">
        <is>
          <t>Haute</t>
        </is>
      </c>
      <c r="J267" s="36" t="inlineStr">
        <is>
          <t>Bloquée</t>
        </is>
      </c>
      <c r="K267" s="39" t="n">
        <v>0</v>
      </c>
      <c r="L267" s="16">
        <f>IF($B267="","",IF(J267="Complétée",1,IF(J267="Abandonnée",0,IF(K267&lt;&gt;"",K267,IFERROR(VLOOKUP(J267,Parametres!$B$6:$C$12,2,FALSE),0)))))</f>
        <v/>
      </c>
      <c r="M267" s="15">
        <f>IF($B267="","",IF(J267="Abandonnée",0,H267))</f>
        <v/>
      </c>
      <c r="N267" s="15">
        <f>IF($B267="","",M267*L267)</f>
        <v/>
      </c>
      <c r="O267" s="37" t="inlineStr">
        <is>
          <t>Abdou-Raouf</t>
        </is>
      </c>
      <c r="P267" s="40" t="n">
        <v>46300</v>
      </c>
      <c r="Q267" s="40" t="n">
        <v>46303</v>
      </c>
      <c r="R267" s="40" t="n"/>
      <c r="S267" s="37" t="inlineStr">
        <is>
          <t>Dossier de préparation V1-104 déjà disponible ; V1-111 ; A17 : accès et offre ; A18 : quota confirmé</t>
        </is>
      </c>
      <c r="T267" s="36" t="inlineStr">
        <is>
          <t>Oui</t>
        </is>
      </c>
      <c r="U267" s="13">
        <f>IF($B267="","",IF(AND(J267&lt;&gt;"Complétée",J267&lt;&gt;"Abandonnée",Q267&lt;&gt;"",TODAY()&gt;Q267),"En retard",""))</f>
        <v/>
      </c>
      <c r="V267" s="37" t="inlineStr">
        <is>
          <t>Bloquée par A17/A18 : activer le compte reçu et consigner droits, paramètres, add-ons et quota. Le Swagger public est disponible ; son accès n'est plus un blocage.</t>
        </is>
      </c>
    </row>
    <row r="268">
      <c r="B268" s="36" t="inlineStr">
        <is>
          <t>V1-113</t>
        </is>
      </c>
      <c r="C268" s="36" t="inlineStr">
        <is>
          <t>V1</t>
        </is>
      </c>
      <c r="D268" s="36" t="inlineStr">
        <is>
          <t>IDN</t>
        </is>
      </c>
      <c r="E268" s="37" t="inlineStr">
        <is>
          <t>Deal-Connect (Remo)</t>
        </is>
      </c>
      <c r="F268" s="37" t="inlineStr">
        <is>
          <t>Recette SSO SAML réelle du compte Remo mutualisé</t>
        </is>
      </c>
      <c r="G268" s="37" t="inlineStr">
        <is>
          <t>IdP commun et métadonnées SP configurés ; connexion depuis DealPME, MFA, email NameID, expiration/rejeu, changement de session et rotation éprouvés chez Remo ; accès privé et méthodes alternatives testés ; limites de logout et effets sur les autres produits documentés</t>
        </is>
      </c>
      <c r="H268" s="38" t="n">
        <v>2</v>
      </c>
      <c r="I268" s="36" t="inlineStr">
        <is>
          <t>Haute</t>
        </is>
      </c>
      <c r="J268" s="36" t="inlineStr">
        <is>
          <t>Bloquée</t>
        </is>
      </c>
      <c r="K268" s="39" t="n">
        <v>0</v>
      </c>
      <c r="L268" s="16">
        <f>IF($B268="","",IF(J268="Complétée",1,IF(J268="Abandonnée",0,IF(K268&lt;&gt;"",K268,IFERROR(VLOOKUP(J268,Parametres!$B$6:$C$12,2,FALSE),0)))))</f>
        <v/>
      </c>
      <c r="M268" s="15">
        <f>IF($B268="","",IF(J268="Abandonnée",0,H268))</f>
        <v/>
      </c>
      <c r="N268" s="15">
        <f>IF($B268="","",M268*L268)</f>
        <v/>
      </c>
      <c r="O268" s="37" t="inlineStr">
        <is>
          <t>Abdou-Raouf</t>
        </is>
      </c>
      <c r="P268" s="40" t="n">
        <v>46301</v>
      </c>
      <c r="Q268" s="40" t="n">
        <v>46307</v>
      </c>
      <c r="R268" s="40" t="n"/>
      <c r="S268" s="37" t="inlineStr">
        <is>
          <t>Implémentations locales V1-007/071 acquises ; V1-112 ; A17 : paramètres SAML du compte</t>
        </is>
      </c>
      <c r="T268" s="36" t="inlineStr">
        <is>
          <t>Oui</t>
        </is>
      </c>
      <c r="U268" s="13">
        <f>IF($B268="","",IF(AND(J268&lt;&gt;"Complétée",J268&lt;&gt;"Abandonnée",Q268&lt;&gt;"",TODAY()&gt;Q268),"En retard",""))</f>
        <v/>
      </c>
      <c r="V268" s="37" t="inlineStr">
        <is>
          <t>Bloquée jusqu'à activation réelle : IdP commun, métadonnées, NameID email, MFA, sessions, rotation et admissions privées vérifiés chez Remo ; les résultats locaux restent des preuves distinctes.</t>
        </is>
      </c>
    </row>
    <row r="269">
      <c r="B269" s="36" t="inlineStr">
        <is>
          <t>V1-114</t>
        </is>
      </c>
      <c r="C269" s="36" t="inlineStr">
        <is>
          <t>V1</t>
        </is>
      </c>
      <c r="D269" s="36" t="inlineStr">
        <is>
          <t>CNX</t>
        </is>
      </c>
      <c r="E269" s="37" t="inlineStr">
        <is>
          <t>Deal-Connect (Remo)</t>
        </is>
      </c>
      <c r="F269" s="37" t="inlineStr">
        <is>
          <t>Activation et recette du branding global et par événement chez Remo</t>
        </is>
      </c>
      <c r="G269" s="37" t="inlineStr">
        <is>
          <t>Profil général et surcharges appliqués sur deux événements ; logo, couverture, accueil, connexion, favicon, domaine et emails vérifiés selon l'offre ; initialisation des paramètres non exposés par API effectuée ; absence d'effet indésirable sur les autres produits et captures réelles archivées</t>
        </is>
      </c>
      <c r="H269" s="38" t="n">
        <v>2</v>
      </c>
      <c r="I269" s="36" t="inlineStr">
        <is>
          <t>Haute</t>
        </is>
      </c>
      <c r="J269" s="36" t="inlineStr">
        <is>
          <t>Bloquée</t>
        </is>
      </c>
      <c r="K269" s="39" t="n">
        <v>0</v>
      </c>
      <c r="L269" s="16">
        <f>IF($B269="","",IF(J269="Complétée",1,IF(J269="Abandonnée",0,IF(K269&lt;&gt;"",K269,IFERROR(VLOOKUP(J269,Parametres!$B$6:$C$12,2,FALSE),0)))))</f>
        <v/>
      </c>
      <c r="M269" s="15">
        <f>IF($B269="","",IF(J269="Abandonnée",0,H269))</f>
        <v/>
      </c>
      <c r="N269" s="15">
        <f>IF($B269="","",M269*L269)</f>
        <v/>
      </c>
      <c r="O269" s="37" t="inlineStr">
        <is>
          <t>Abdou-Raouf</t>
        </is>
      </c>
      <c r="P269" s="40" t="n">
        <v>46301</v>
      </c>
      <c r="Q269" s="40" t="n">
        <v>46307</v>
      </c>
      <c r="R269" s="40" t="n"/>
      <c r="S269" s="37" t="inlineStr">
        <is>
          <t>V1-105 ; V1-112 ; A17 : options white label et droits</t>
        </is>
      </c>
      <c r="T269" s="36" t="inlineStr">
        <is>
          <t>Oui</t>
        </is>
      </c>
      <c r="U269" s="13">
        <f>IF($B269="","",IF(AND(J269&lt;&gt;"Complétée",J269&lt;&gt;"Abandonnée",Q269&lt;&gt;"",TODAY()&gt;Q269),"En retard",""))</f>
        <v/>
      </c>
      <c r="V269" s="37" t="inlineStr">
        <is>
          <t>Bloquée jusqu'à activation réelle : compte et événement, héritage/surcharges, logo/couverture/accueil, favicon, domaine et emails. Paramètres hors API configurés initialement chez Remo, effets et limites documentés.</t>
        </is>
      </c>
    </row>
    <row r="270">
      <c r="B270" s="36" t="inlineStr">
        <is>
          <t>V1-115</t>
        </is>
      </c>
      <c r="C270" s="36" t="inlineStr">
        <is>
          <t>V1</t>
        </is>
      </c>
      <c r="D270" s="36" t="inlineStr">
        <is>
          <t>CNX</t>
        </is>
      </c>
      <c r="E270" s="37" t="inlineStr">
        <is>
          <t>Deal-Connect (Remo)</t>
        </is>
      </c>
      <c r="F270" s="37" t="inlineStr">
        <is>
          <t>Recette bout en bout DealPME vers l'API et les salles Remo réelles</t>
        </is>
      </c>
      <c r="G270" s="37" t="inlineStr">
        <is>
          <t>Création, contenu, invitations/intervenants, groupes, présence et entretien diaspora rejoués contre le compte réel ; droits, profils/contacts, email modifié, quota partagé, erreurs/reprise et suppression contrôlée vérifiés ; distinction des effets fournisseur et des fixtures dans les preuves</t>
        </is>
      </c>
      <c r="H270" s="38" t="n">
        <v>2</v>
      </c>
      <c r="I270" s="36" t="inlineStr">
        <is>
          <t>Haute</t>
        </is>
      </c>
      <c r="J270" s="36" t="inlineStr">
        <is>
          <t>Bloquée</t>
        </is>
      </c>
      <c r="K270" s="39" t="n">
        <v>0</v>
      </c>
      <c r="L270" s="16">
        <f>IF($B270="","",IF(J270="Complétée",1,IF(J270="Abandonnée",0,IF(K270&lt;&gt;"",K270,IFERROR(VLOOKUP(J270,Parametres!$B$6:$C$12,2,FALSE),0)))))</f>
        <v/>
      </c>
      <c r="M270" s="15">
        <f>IF($B270="","",IF(J270="Abandonnée",0,H270))</f>
        <v/>
      </c>
      <c r="N270" s="15">
        <f>IF($B270="","",M270*L270)</f>
        <v/>
      </c>
      <c r="O270" s="37" t="inlineStr">
        <is>
          <t>Abdou-Raouf</t>
        </is>
      </c>
      <c r="P270" s="40" t="n">
        <v>46303</v>
      </c>
      <c r="Q270" s="40" t="n">
        <v>46309</v>
      </c>
      <c r="R270" s="40" t="n"/>
      <c r="S270" s="37" t="inlineStr">
        <is>
          <t>Acquis locaux V1-068/071/106 ; V1-112 ; V1-113 ; V1-114 ; A17/A18</t>
        </is>
      </c>
      <c r="T270" s="36" t="inlineStr">
        <is>
          <t>Oui</t>
        </is>
      </c>
      <c r="U270" s="13">
        <f>IF($B270="","",IF(AND(J270&lt;&gt;"Complétée",J270&lt;&gt;"Abandonnée",Q270&lt;&gt;"",TODAY()&gt;Q270),"En retard",""))</f>
        <v/>
      </c>
      <c r="V270" s="37" t="inlineStr">
        <is>
          <t>Bloquée jusqu'à activation réelle : l'organisateur et le participant rejouent les parcours depuis DealPME contre Remo ; confidentialité, visibilité des profils, quotas et incidents documentés.</t>
        </is>
      </c>
    </row>
    <row r="271">
      <c r="B271" s="36" t="inlineStr">
        <is>
          <t>V1-116</t>
        </is>
      </c>
      <c r="C271" s="36" t="inlineStr">
        <is>
          <t>V1</t>
        </is>
      </c>
      <c r="D271" s="36" t="inlineStr">
        <is>
          <t>CNX</t>
        </is>
      </c>
      <c r="E271" s="37" t="inlineStr">
        <is>
          <t>Deal-Connect (Remo)</t>
        </is>
      </c>
      <c r="F271" s="37" t="inlineStr">
        <is>
          <t>Corrections des écarts fournisseur et clôture documentée de L05</t>
        </is>
      </c>
      <c r="G271" s="37" t="inlineStr">
        <is>
          <t>Écarts des recettes réelles corrigés et rejoués ; revue de câblage et bascule closes ; qualification captation/export V1-107 instruite avec preuves ; aucun point bloquant non résolu ou non arbitré ; validation et preuves L05 archivées ; un test fournisseur non exécuté n'est jamais déclaré réussi</t>
        </is>
      </c>
      <c r="H271" s="38" t="n">
        <v>2</v>
      </c>
      <c r="I271" s="36" t="inlineStr">
        <is>
          <t>Haute</t>
        </is>
      </c>
      <c r="J271" s="36" t="inlineStr">
        <is>
          <t>À faire</t>
        </is>
      </c>
      <c r="K271" s="39" t="n">
        <v>0</v>
      </c>
      <c r="L271" s="16">
        <f>IF($B271="","",IF(J271="Complétée",1,IF(J271="Abandonnée",0,IF(K271&lt;&gt;"",K271,IFERROR(VLOOKUP(J271,Parametres!$B$6:$C$12,2,FALSE),0)))))</f>
        <v/>
      </c>
      <c r="M271" s="15">
        <f>IF($B271="","",IF(J271="Abandonnée",0,H271))</f>
        <v/>
      </c>
      <c r="N271" s="15">
        <f>IF($B271="","",M271*L271)</f>
        <v/>
      </c>
      <c r="O271" s="37" t="inlineStr">
        <is>
          <t>Abdou-Raouf</t>
        </is>
      </c>
      <c r="P271" s="40" t="n">
        <v>46307</v>
      </c>
      <c r="Q271" s="40" t="n">
        <v>46310</v>
      </c>
      <c r="R271" s="40" t="n"/>
      <c r="S271" s="37" t="inlineStr">
        <is>
          <t>V1-110 ; V1-111 ; V1-113 ; V1-114 ; V1-115 ; V1-107 ; A21</t>
        </is>
      </c>
      <c r="T271" s="36" t="inlineStr">
        <is>
          <t>Oui</t>
        </is>
      </c>
      <c r="U271" s="13">
        <f>IF($B271="","",IF(AND(J271&lt;&gt;"Complétée",J271&lt;&gt;"Abandonnée",Q271&lt;&gt;"",TODAY()&gt;Q271),"En retard",""))</f>
        <v/>
      </c>
      <c r="V271" s="37" t="inlineStr">
        <is>
          <t>À faire après les recettes : corriger les écarts, rejouer les contrôles et archiver la décision de clôture L05. Un accès reçu, une tâche UI close ou un mock PASS ne suffisent pas.</t>
        </is>
      </c>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2026-09-12T18:23:32Z</dcterms:created>
  <dcterms:modified xsi:type="dcterms:W3CDTF">2026-09-12T18:23:33Z</dcterms:modified>
</cp:coreProperties>
</file>