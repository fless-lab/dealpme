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au_de_bord" sheetId="1" state="visible" r:id="rId1"/>
    <sheet name="Presentation" sheetId="2" state="visible" r:id="rId2"/>
    <sheet name="Feuille_de_route" sheetId="3" state="visible" r:id="rId3"/>
    <sheet name="Guide" sheetId="4" state="visible" r:id="rId4"/>
    <sheet name="Taches" sheetId="5" state="visible" r:id="rId5"/>
    <sheet name="Equipe" sheetId="6" state="visible" r:id="rId6"/>
    <sheet name="Modules" sheetId="7" state="visible" r:id="rId7"/>
    <sheet name="Versions" sheetId="8" state="visible" r:id="rId8"/>
    <sheet name="Gantt" sheetId="9" state="visible" r:id="rId9"/>
    <sheet name="Jalons" sheetId="10" state="visible" r:id="rId10"/>
    <sheet name="Risques" sheetId="11" state="visible" r:id="rId11"/>
    <sheet name="Securite" sheetId="12" state="visible" r:id="rId12"/>
    <sheet name="Decisions" sheetId="13" state="visible" r:id="rId13"/>
    <sheet name="Processus" sheetId="14" state="visible" r:id="rId14"/>
    <sheet name="Acteurs" sheetId="15" state="visible" r:id="rId15"/>
    <sheet name="Parametres" sheetId="16" state="visible" r:id="rId16"/>
  </sheets>
  <definedNames>
    <definedName name="_xlnm._FilterDatabase" localSheetId="4" hidden="1">'Taches'!$B$5:$V$325</definedName>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DD/MM/YYYY"/>
    <numFmt numFmtId="167" formatCode="DD/MM"/>
  </numFmts>
  <fonts count="12">
    <font>
      <name val="Calibri"/>
      <family val="2"/>
      <color theme="1"/>
      <sz val="11"/>
      <scheme val="minor"/>
    </font>
    <font>
      <name val="Calibri"/>
      <b val="1"/>
      <color rgb="001C2751"/>
      <sz val="16"/>
    </font>
    <font>
      <name val="Calibri"/>
      <i val="1"/>
      <color rgb="005980A6"/>
      <sz val="10"/>
    </font>
    <font>
      <name val="Calibri"/>
      <b val="1"/>
      <color rgb="00FFFFFF"/>
      <sz val="10"/>
    </font>
    <font>
      <name val="Calibri"/>
      <color rgb="001D1F20"/>
      <sz val="10"/>
    </font>
    <font>
      <name val="Calibri"/>
      <b val="1"/>
      <color rgb="005980A6"/>
      <sz val="9.5"/>
    </font>
    <font>
      <name val="Calibri"/>
      <b val="1"/>
      <color rgb="001C2751"/>
      <sz val="10"/>
    </font>
    <font>
      <name val="Calibri"/>
      <color rgb="00FFFFFF"/>
      <sz val="1"/>
    </font>
    <font>
      <name val="Calibri"/>
      <b val="1"/>
      <color rgb="001C2751"/>
      <sz val="20"/>
    </font>
    <font>
      <name val="Calibri"/>
      <b val="1"/>
      <color rgb="00FFFFFF"/>
      <sz val="12"/>
    </font>
    <font>
      <name val="Calibri"/>
      <b val="1"/>
      <color rgb="00FFFFFF"/>
      <sz val="13"/>
    </font>
    <font>
      <name val="Calibri"/>
      <color rgb="008C3A3A"/>
      <sz val="10"/>
    </font>
  </fonts>
  <fills count="10">
    <fill>
      <patternFill/>
    </fill>
    <fill>
      <patternFill patternType="gray125"/>
    </fill>
    <fill>
      <patternFill patternType="solid">
        <fgColor rgb="001C2751"/>
      </patternFill>
    </fill>
    <fill>
      <patternFill patternType="solid">
        <fgColor rgb="00FFFDF2"/>
      </patternFill>
    </fill>
    <fill>
      <patternFill patternType="solid">
        <fgColor rgb="00F5F6FA"/>
      </patternFill>
    </fill>
    <fill>
      <patternFill patternType="solid">
        <fgColor rgb="00F2F2F3"/>
      </patternFill>
    </fill>
    <fill>
      <patternFill patternType="solid">
        <fgColor rgb="00E9F2EC"/>
      </patternFill>
    </fill>
    <fill>
      <patternFill patternType="solid">
        <fgColor rgb="00FBF1E3"/>
      </patternFill>
    </fill>
    <fill>
      <patternFill patternType="solid">
        <fgColor rgb="00E7E8F7"/>
      </patternFill>
    </fill>
    <fill>
      <patternFill patternType="solid">
        <fgColor rgb="00F7ECEC"/>
      </patternFill>
    </fill>
  </fills>
  <borders count="3">
    <border>
      <left/>
      <right/>
      <top/>
      <bottom/>
      <diagonal/>
    </border>
    <border>
      <left style="thin">
        <color rgb="00C9CCD9"/>
      </left>
      <right style="thin">
        <color rgb="00C9CCD9"/>
      </right>
      <top style="thin">
        <color rgb="00C9CCD9"/>
      </top>
      <bottom style="thin">
        <color rgb="00C9CCD9"/>
      </bottom>
    </border>
    <border>
      <left style="hair">
        <color rgb="00E3E5EC"/>
      </left>
      <right style="hair">
        <color rgb="00E3E5EC"/>
      </right>
      <top style="hair">
        <color rgb="00E3E5EC"/>
      </top>
      <bottom style="hair">
        <color rgb="00E3E5EC"/>
      </bottom>
    </border>
  </borders>
  <cellStyleXfs count="1">
    <xf numFmtId="0" fontId="0" fillId="0" borderId="0"/>
  </cellStyleXfs>
  <cellXfs count="5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5" fillId="0" borderId="0" pivotButton="0" quotePrefix="0" xfId="0"/>
    <xf numFmtId="166" fontId="6" fillId="0" borderId="0" pivotButton="0" quotePrefix="0" xfId="0"/>
    <xf numFmtId="0" fontId="6" fillId="0" borderId="0" pivotButton="0" quotePrefix="0" xfId="0"/>
    <xf numFmtId="0" fontId="5" fillId="5" borderId="1" applyAlignment="1" pivotButton="0" quotePrefix="0" xfId="0">
      <alignment vertical="top" wrapText="1"/>
    </xf>
    <xf numFmtId="0" fontId="0" fillId="5" borderId="1" pivotButton="0" quotePrefix="0" xfId="0"/>
    <xf numFmtId="9" fontId="8" fillId="5" borderId="1" applyAlignment="1" pivotButton="0" quotePrefix="0" xfId="0">
      <alignment horizontal="left" vertical="center"/>
    </xf>
    <xf numFmtId="1" fontId="8" fillId="5" borderId="1" applyAlignment="1" pivotButton="0" quotePrefix="0" xfId="0">
      <alignment horizontal="left" vertical="center"/>
    </xf>
    <xf numFmtId="165" fontId="8" fillId="5" borderId="1" applyAlignment="1" pivotButton="0" quotePrefix="0" xfId="0">
      <alignment horizontal="left" vertical="center"/>
    </xf>
    <xf numFmtId="0" fontId="3" fillId="2" borderId="1" applyAlignment="1" pivotButton="0" quotePrefix="0" xfId="0">
      <alignment vertical="center" wrapText="1"/>
    </xf>
    <xf numFmtId="0" fontId="4" fillId="4" borderId="1" applyAlignment="1" pivotButton="0" quotePrefix="0" xfId="0">
      <alignment horizontal="center" vertical="center"/>
    </xf>
    <xf numFmtId="0" fontId="4" fillId="4" borderId="1" applyAlignment="1" pivotButton="0" quotePrefix="0" xfId="0">
      <alignment vertical="top" wrapText="1"/>
    </xf>
    <xf numFmtId="166" fontId="4" fillId="4" borderId="1" applyAlignment="1" pivotButton="0" quotePrefix="0" xfId="0">
      <alignment horizontal="center" vertical="center"/>
    </xf>
    <xf numFmtId="165" fontId="4" fillId="4" borderId="1" applyAlignment="1" pivotButton="0" quotePrefix="0" xfId="0">
      <alignment horizontal="center" vertical="center"/>
    </xf>
    <xf numFmtId="9" fontId="4" fillId="4" borderId="1" applyAlignment="1" pivotButton="0" quotePrefix="0" xfId="0">
      <alignment horizontal="center" vertical="center"/>
    </xf>
    <xf numFmtId="0" fontId="2" fillId="0" borderId="0" pivotButton="0" quotePrefix="0" xfId="0"/>
    <xf numFmtId="0" fontId="9" fillId="2" borderId="0" pivotButton="0" quotePrefix="0" xfId="0"/>
    <xf numFmtId="0" fontId="4" fillId="0" borderId="0" applyAlignment="1" pivotButton="0" quotePrefix="0" xfId="0">
      <alignment vertical="top" wrapText="1"/>
    </xf>
    <xf numFmtId="0" fontId="4" fillId="0" borderId="1" applyAlignment="1" pivotButton="0" quotePrefix="0" xfId="0">
      <alignment vertical="top" wrapText="1"/>
    </xf>
    <xf numFmtId="0" fontId="6" fillId="0" borderId="0" applyAlignment="1" pivotButton="0" quotePrefix="0" xfId="0">
      <alignment vertical="top" wrapText="1"/>
    </xf>
    <xf numFmtId="0" fontId="10" fillId="2" borderId="0" pivotButton="0" quotePrefix="0" xfId="0"/>
    <xf numFmtId="0" fontId="5" fillId="0" borderId="1" applyAlignment="1" pivotButton="0" quotePrefix="0" xfId="0">
      <alignment vertical="center" wrapText="1"/>
    </xf>
    <xf numFmtId="166" fontId="6" fillId="4" borderId="1" applyAlignment="1" pivotButton="0" quotePrefix="0" xfId="0">
      <alignment horizontal="center" vertical="center"/>
    </xf>
    <xf numFmtId="1" fontId="6" fillId="4" borderId="1" applyAlignment="1" pivotButton="0" quotePrefix="0" xfId="0">
      <alignment horizontal="center" vertical="center"/>
    </xf>
    <xf numFmtId="165" fontId="6" fillId="4" borderId="1" applyAlignment="1" pivotButton="0" quotePrefix="0" xfId="0">
      <alignment horizontal="center" vertical="center"/>
    </xf>
    <xf numFmtId="9" fontId="6" fillId="4" borderId="1" applyAlignment="1" pivotButton="0" quotePrefix="0" xfId="0">
      <alignment horizontal="center" vertical="center"/>
    </xf>
    <xf numFmtId="49" fontId="6" fillId="4" borderId="1" applyAlignment="1" pivotButton="0" quotePrefix="0" xfId="0">
      <alignment horizontal="center" vertical="center"/>
    </xf>
    <xf numFmtId="0" fontId="11" fillId="0" borderId="0" applyAlignment="1" pivotButton="0" quotePrefix="0" xfId="0">
      <alignment vertical="top" wrapText="1"/>
    </xf>
    <xf numFmtId="0" fontId="6" fillId="5" borderId="1" applyAlignment="1" pivotButton="0" quotePrefix="0" xfId="0">
      <alignment horizontal="center" vertical="center"/>
    </xf>
    <xf numFmtId="165" fontId="6" fillId="5" borderId="1" applyAlignment="1" pivotButton="0" quotePrefix="0" xfId="0">
      <alignment horizontal="center" vertical="center"/>
    </xf>
    <xf numFmtId="9" fontId="6" fillId="5" borderId="1" applyAlignment="1" pivotButton="0" quotePrefix="0" xfId="0">
      <alignment horizontal="center" vertical="center"/>
    </xf>
    <xf numFmtId="0" fontId="4" fillId="7" borderId="0" applyAlignment="1" pivotButton="0" quotePrefix="0" xfId="0">
      <alignment vertical="top" wrapText="1"/>
    </xf>
    <xf numFmtId="0" fontId="0" fillId="7" borderId="0" pivotButton="0" quotePrefix="0" xfId="0"/>
    <xf numFmtId="0" fontId="6" fillId="0" borderId="1" applyAlignment="1" pivotButton="0" quotePrefix="0" xfId="0">
      <alignment vertical="top" wrapText="1"/>
    </xf>
    <xf numFmtId="0" fontId="4" fillId="3" borderId="1" applyAlignment="1" pivotButton="0" quotePrefix="0" xfId="0">
      <alignment horizontal="center" vertical="center"/>
    </xf>
    <xf numFmtId="0" fontId="4" fillId="3" borderId="1" applyAlignment="1" pivotButton="0" quotePrefix="0" xfId="0">
      <alignment vertical="top" wrapText="1"/>
    </xf>
    <xf numFmtId="165" fontId="4" fillId="3" borderId="1" applyAlignment="1" pivotButton="0" quotePrefix="0" xfId="0">
      <alignment horizontal="center" vertical="center"/>
    </xf>
    <xf numFmtId="9" fontId="4" fillId="3" borderId="1" applyAlignment="1" pivotButton="0" quotePrefix="0" xfId="0">
      <alignment horizontal="center" vertical="center"/>
    </xf>
    <xf numFmtId="166" fontId="4" fillId="3" borderId="1" applyAlignment="1" pivotButton="0" quotePrefix="0" xfId="0">
      <alignment horizontal="center" vertical="center"/>
    </xf>
    <xf numFmtId="0" fontId="6" fillId="0" borderId="0" applyAlignment="1" pivotButton="0" quotePrefix="0" xfId="0">
      <alignment horizontal="center" vertical="center"/>
    </xf>
    <xf numFmtId="165" fontId="6" fillId="0" borderId="0" applyAlignment="1" pivotButton="0" quotePrefix="0" xfId="0">
      <alignment horizontal="center" vertical="center"/>
    </xf>
    <xf numFmtId="0" fontId="4" fillId="6" borderId="1" applyAlignment="1" pivotButton="0" quotePrefix="0" xfId="0">
      <alignment vertical="top" wrapText="1"/>
    </xf>
    <xf numFmtId="1" fontId="4" fillId="4" borderId="1" applyAlignment="1" pivotButton="0" quotePrefix="0" xfId="0">
      <alignment horizontal="center" vertical="center"/>
    </xf>
    <xf numFmtId="0" fontId="4" fillId="7" borderId="1" applyAlignment="1" pivotButton="0" quotePrefix="0" xfId="0">
      <alignment vertical="top" wrapText="1"/>
    </xf>
    <xf numFmtId="0" fontId="4" fillId="8" borderId="1" applyAlignment="1" pivotButton="0" quotePrefix="0" xfId="0">
      <alignment vertical="top" wrapText="1"/>
    </xf>
    <xf numFmtId="0" fontId="4" fillId="5" borderId="1" applyAlignment="1" pivotButton="0" quotePrefix="0" xfId="0">
      <alignment vertical="top" wrapText="1"/>
    </xf>
    <xf numFmtId="0" fontId="4" fillId="9" borderId="1" applyAlignment="1" pivotButton="0" quotePrefix="0" xfId="0">
      <alignment vertical="top" wrapText="1"/>
    </xf>
    <xf numFmtId="167" fontId="3" fillId="2" borderId="1" applyAlignment="1" pivotButton="0" quotePrefix="0" xfId="0">
      <alignment horizontal="center" vertical="center" textRotation="90"/>
    </xf>
    <xf numFmtId="0" fontId="4" fillId="4" borderId="1" applyAlignment="1" pivotButton="0" quotePrefix="0" xfId="0">
      <alignment vertical="center"/>
    </xf>
    <xf numFmtId="0" fontId="4" fillId="4" borderId="1" applyAlignment="1" pivotButton="0" quotePrefix="0" xfId="0">
      <alignment vertical="center" wrapText="1"/>
    </xf>
    <xf numFmtId="166" fontId="4" fillId="4" borderId="1" applyAlignment="1" pivotButton="0" quotePrefix="0" xfId="0">
      <alignment vertical="center"/>
    </xf>
    <xf numFmtId="0" fontId="7" fillId="0" borderId="2" pivotButton="0" quotePrefix="0" xfId="0"/>
    <xf numFmtId="0" fontId="4" fillId="0" borderId="1" applyAlignment="1" pivotButton="0" quotePrefix="0" xfId="0">
      <alignment horizontal="center" vertical="center"/>
    </xf>
    <xf numFmtId="9" fontId="4" fillId="0" borderId="1" applyAlignment="1" pivotButton="0" quotePrefix="0" xfId="0">
      <alignment vertical="top" wrapText="1"/>
    </xf>
  </cellXfs>
  <cellStyles count="1">
    <cellStyle name="Normal" xfId="0" builtinId="0" hidden="0"/>
  </cellStyles>
  <dxfs count="15">
    <dxf>
      <font>
        <b val="1"/>
        <color rgb="008C3A3A"/>
        <sz val="20"/>
      </font>
    </dxf>
    <dxf>
      <font>
        <b val="1"/>
        <color rgb="008C3A3A"/>
      </font>
      <fill>
        <patternFill patternType="solid">
          <fgColor rgb="00F7ECEC"/>
        </patternFill>
      </fill>
    </dxf>
    <dxf>
      <font>
        <b val="1"/>
        <color rgb="002F6B4F"/>
      </font>
      <fill>
        <patternFill patternType="solid">
          <fgColor rgb="00E9F2EC"/>
        </patternFill>
      </fill>
    </dxf>
    <dxf>
      <fill>
        <patternFill patternType="solid">
          <fgColor rgb="00FBF1E3"/>
        </patternFill>
      </fill>
    </dxf>
    <dxf>
      <font>
        <b val="1"/>
        <color rgb="008C3A3A"/>
      </font>
    </dxf>
    <dxf>
      <font>
        <b val="1"/>
        <color rgb="00B07A2B"/>
      </font>
      <fill>
        <patternFill patternType="solid">
          <fgColor rgb="00FBF1E3"/>
        </patternFill>
      </fill>
    </dxf>
    <dxf>
      <fill>
        <patternFill patternType="solid">
          <fgColor rgb="00E7E8F7"/>
        </patternFill>
      </fill>
    </dxf>
    <dxf>
      <font>
        <color rgb="005980A6"/>
      </font>
      <fill>
        <patternFill patternType="solid">
          <fgColor rgb="00F2F2F3"/>
        </patternFill>
      </fill>
    </dxf>
    <dxf>
      <fill>
        <patternFill patternType="solid">
          <fgColor rgb="002F6B4F"/>
        </patternFill>
      </fill>
    </dxf>
    <dxf>
      <fill>
        <patternFill patternType="solid">
          <fgColor rgb="00B07A2B"/>
        </patternFill>
      </fill>
    </dxf>
    <dxf>
      <fill>
        <patternFill patternType="solid">
          <fgColor rgb="008C3A3A"/>
        </patternFill>
      </fill>
    </dxf>
    <dxf>
      <fill>
        <patternFill patternType="solid">
          <fgColor rgb="006678F1"/>
        </patternFill>
      </fill>
    </dxf>
    <dxf>
      <fill>
        <patternFill patternType="solid">
          <fgColor rgb="00FFF3C4"/>
        </patternFill>
      </fill>
    </dxf>
    <dxf>
      <font>
        <b val="1"/>
        <color rgb="00FFFFFF"/>
      </font>
      <fill>
        <patternFill patternType="solid">
          <fgColor rgb="001C2751"/>
        </patternFill>
      </fill>
    </dxf>
    <dxf>
      <fill>
        <patternFill patternType="solid">
          <fgColor rgb="00F2F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2751"/>
    <outlinePr summaryBelow="1" summaryRight="1"/>
    <pageSetUpPr/>
  </sheetPr>
  <dimension ref="B2:N6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44" customWidth="1" min="3" max="3"/>
    <col width="13" customWidth="1" min="4" max="4"/>
    <col width="12" customWidth="1" min="5" max="5"/>
    <col width="12" customWidth="1" min="6" max="6"/>
    <col width="12" customWidth="1" min="7" max="7"/>
    <col width="10" customWidth="1" min="8" max="8"/>
    <col width="10" customWidth="1" min="9" max="9"/>
    <col width="10" customWidth="1" min="10" max="10"/>
    <col width="10" customWidth="1" min="11" max="11"/>
    <col width="15" customWidth="1" min="12" max="12"/>
    <col width="4" customWidth="1" min="13" max="13"/>
    <col width="4" customWidth="1" min="14" max="14"/>
  </cols>
  <sheetData>
    <row r="2">
      <c r="B2" s="1" t="inlineStr">
        <is>
          <t>DealPME : tableau de bord du projet</t>
        </is>
      </c>
    </row>
    <row r="3" ht="28" customHeight="1">
      <c r="B3" s="2" t="inlineStr">
        <is>
          <t>Toutes les valeurs de cette page sont calculées. Pour mettre à jour le projet, modifier uniquement l'onglet Taches (statuts, % saisi, dates) et les onglets Jalons, Risques, Decisions.</t>
        </is>
      </c>
    </row>
    <row r="4">
      <c r="B4" s="3" t="inlineStr">
        <is>
          <t>Date du jour</t>
        </is>
      </c>
      <c r="C4" s="4">
        <f>TODAY()</f>
        <v/>
      </c>
      <c r="E4" s="3" t="inlineStr">
        <is>
          <t>Jours avant la démonstration V1</t>
        </is>
      </c>
      <c r="G4" s="5">
        <f>Versions!E6-TODAY()</f>
        <v/>
      </c>
      <c r="I4" s="3" t="inlineStr">
        <is>
          <t>Périmètre cible</t>
        </is>
      </c>
      <c r="J4" s="5" t="inlineStr">
        <is>
          <t>Cahier des charges v0 + Référentiel P04-P25</t>
        </is>
      </c>
    </row>
    <row r="6">
      <c r="B6" s="6" t="inlineStr">
        <is>
          <t>Avancement global</t>
        </is>
      </c>
      <c r="C6" s="7" t="n"/>
      <c r="D6" s="6" t="inlineStr">
        <is>
          <t>Charge totale (j/p)</t>
        </is>
      </c>
      <c r="E6" s="7" t="n"/>
      <c r="F6" s="6" t="inlineStr">
        <is>
          <t>Charge réalisée (j/p)</t>
        </is>
      </c>
      <c r="G6" s="7" t="n"/>
      <c r="H6" s="6" t="inlineStr">
        <is>
          <t>Charge totale (sem.-pers.)</t>
        </is>
      </c>
      <c r="I6" s="7" t="n"/>
      <c r="J6" s="6" t="inlineStr">
        <is>
          <t>Tâches</t>
        </is>
      </c>
      <c r="K6" s="7" t="n"/>
      <c r="L6" s="6" t="inlineStr">
        <is>
          <t>Faites</t>
        </is>
      </c>
      <c r="M6" s="7" t="n"/>
    </row>
    <row r="7" ht="30" customHeight="1">
      <c r="B7" s="8">
        <f>Modules!I26</f>
        <v/>
      </c>
      <c r="C7" s="7" t="n"/>
      <c r="D7" s="9">
        <f>Modules!G26</f>
        <v/>
      </c>
      <c r="E7" s="7" t="n"/>
      <c r="F7" s="10">
        <f>Modules!H26</f>
        <v/>
      </c>
      <c r="G7" s="7" t="n"/>
      <c r="H7" s="10">
        <f>Modules!G26/5</f>
        <v/>
      </c>
      <c r="I7" s="7" t="n"/>
      <c r="J7" s="9">
        <f>Modules!J26</f>
        <v/>
      </c>
      <c r="K7" s="7" t="n"/>
      <c r="L7" s="9">
        <f>Modules!K26</f>
        <v/>
      </c>
      <c r="M7" s="7" t="n"/>
    </row>
    <row r="9">
      <c r="B9" s="6" t="inlineStr">
        <is>
          <t>En cours</t>
        </is>
      </c>
      <c r="C9" s="7" t="n"/>
      <c r="D9" s="6" t="inlineStr">
        <is>
          <t>Bloquées</t>
        </is>
      </c>
      <c r="E9" s="7" t="n"/>
      <c r="F9" s="6" t="inlineStr">
        <is>
          <t>En retard</t>
        </is>
      </c>
      <c r="G9" s="7" t="n"/>
      <c r="H9" s="6" t="inlineStr">
        <is>
          <t>Risques critiques ou élevés ouverts</t>
        </is>
      </c>
      <c r="I9" s="7" t="n"/>
      <c r="J9" s="6" t="inlineStr">
        <is>
          <t>Décisions ouvertes</t>
        </is>
      </c>
      <c r="K9" s="7" t="n"/>
      <c r="L9" s="6" t="inlineStr">
        <is>
          <t>Jalons dépassés</t>
        </is>
      </c>
      <c r="M9" s="7" t="n"/>
    </row>
    <row r="10" ht="30" customHeight="1">
      <c r="B10" s="9">
        <f>Modules!L26</f>
        <v/>
      </c>
      <c r="C10" s="7" t="n"/>
      <c r="D10" s="9">
        <f>Modules!M26</f>
        <v/>
      </c>
      <c r="E10" s="7" t="n"/>
      <c r="F10" s="9">
        <f>Modules!N26</f>
        <v/>
      </c>
      <c r="G10" s="7" t="n"/>
      <c r="H10" s="9">
        <f>COUNTIFS(Risques!$H$6:$H$68,"Critique",Risques!$L$6:$L$68,"&lt;&gt;Clos")+COUNTIFS(Risques!$H$6:$H$68,"Élevé",Risques!$L$6:$L$68,"&lt;&gt;Clos")</f>
        <v/>
      </c>
      <c r="I10" s="7" t="n"/>
      <c r="J10" s="9">
        <f>COUNTIF(Decisions!$F$6:$F$67,"Ouvert")+COUNTIF(Decisions!$F$6:$F$67,"En discussion")</f>
        <v/>
      </c>
      <c r="K10" s="7" t="n"/>
      <c r="L10" s="9">
        <f>COUNTIF(Jalons!$I$6:$I$22,"Dépassé")</f>
        <v/>
      </c>
      <c r="M10" s="7" t="n"/>
    </row>
    <row r="12">
      <c r="B12" s="6" t="inlineStr">
        <is>
          <t>Tâches sans responsable</t>
        </is>
      </c>
      <c r="C12" s="7" t="n"/>
      <c r="D12" s="6" t="inlineStr">
        <is>
          <t>Charge non assignée (j/p)</t>
        </is>
      </c>
      <c r="E12" s="7" t="n"/>
      <c r="F12" s="6" t="inlineStr">
        <is>
          <t>Personnes actives dans l'équipe</t>
        </is>
      </c>
      <c r="G12" s="7" t="n"/>
      <c r="H12" s="6" t="inlineStr">
        <is>
          <t>Charge restante (j/p)</t>
        </is>
      </c>
      <c r="I12" s="7" t="n"/>
      <c r="J12" s="6" t="inlineStr">
        <is>
          <t>Semaines-personne restantes</t>
        </is>
      </c>
      <c r="K12" s="7" t="n"/>
      <c r="L12" s="6" t="inlineStr">
        <is>
          <t>Risques ouverts (tous niveaux)</t>
        </is>
      </c>
      <c r="M12" s="7" t="n"/>
    </row>
    <row r="13" ht="30" customHeight="1">
      <c r="B13" s="9">
        <f>Equipe!$C$48</f>
        <v/>
      </c>
      <c r="C13" s="7" t="n"/>
      <c r="D13" s="10">
        <f>Equipe!$C$49</f>
        <v/>
      </c>
      <c r="E13" s="7" t="n"/>
      <c r="F13" s="9">
        <f>COUNTIF(Equipe!$H$6:$H$45,"Oui")</f>
        <v/>
      </c>
      <c r="G13" s="7" t="n"/>
      <c r="H13" s="10">
        <f>Modules!G26-Modules!H26</f>
        <v/>
      </c>
      <c r="I13" s="7" t="n"/>
      <c r="J13" s="10">
        <f>(Modules!G26-Modules!H26)/5</f>
        <v/>
      </c>
      <c r="K13" s="7" t="n"/>
      <c r="L13" s="9">
        <f>COUNTIF(Risques!$L$6:$L$68,"Ouvert")</f>
        <v/>
      </c>
      <c r="M13" s="7" t="n"/>
    </row>
    <row r="16">
      <c r="B16" s="3" t="inlineStr">
        <is>
          <t>Avancement par version</t>
        </is>
      </c>
    </row>
    <row r="17" ht="28" customHeight="1">
      <c r="B17" s="11" t="inlineStr">
        <is>
          <t>Version</t>
        </is>
      </c>
      <c r="C17" s="11" t="inlineStr">
        <is>
          <t>Objet</t>
        </is>
      </c>
      <c r="D17" s="11" t="inlineStr">
        <is>
          <t>Fin prévue</t>
        </is>
      </c>
      <c r="E17" s="11" t="inlineStr">
        <is>
          <t>Jours restants</t>
        </is>
      </c>
      <c r="F17" s="11" t="inlineStr">
        <is>
          <t>Charge (sem.)</t>
        </is>
      </c>
      <c r="G17" s="11" t="inlineStr">
        <is>
          <t>Avancement</t>
        </is>
      </c>
      <c r="H17" s="11" t="inlineStr">
        <is>
          <t>Tâches</t>
        </is>
      </c>
      <c r="I17" s="11" t="inlineStr">
        <is>
          <t>Faites</t>
        </is>
      </c>
      <c r="J17" s="11" t="inlineStr">
        <is>
          <t>Bloquées</t>
        </is>
      </c>
      <c r="K17" s="11" t="inlineStr">
        <is>
          <t>En retard</t>
        </is>
      </c>
      <c r="L17" s="11" t="inlineStr">
        <is>
          <t>État</t>
        </is>
      </c>
    </row>
    <row r="18" ht="30" customHeight="1">
      <c r="B18" s="12">
        <f>Versions!B6</f>
        <v/>
      </c>
      <c r="C18" s="13">
        <f>Versions!C6</f>
        <v/>
      </c>
      <c r="D18" s="14">
        <f>Versions!E6</f>
        <v/>
      </c>
      <c r="E18" s="12">
        <f>Versions!F6</f>
        <v/>
      </c>
      <c r="F18" s="15">
        <f>Versions!H6</f>
        <v/>
      </c>
      <c r="G18" s="16">
        <f>Versions!J6</f>
        <v/>
      </c>
      <c r="H18" s="12">
        <f>Versions!K6</f>
        <v/>
      </c>
      <c r="I18" s="12">
        <f>Versions!L6</f>
        <v/>
      </c>
      <c r="J18" s="12">
        <f>Versions!N6</f>
        <v/>
      </c>
      <c r="K18" s="12">
        <f>Versions!O6</f>
        <v/>
      </c>
      <c r="L18" s="12">
        <f>Versions!P6</f>
        <v/>
      </c>
    </row>
    <row r="19" ht="30" customHeight="1">
      <c r="B19" s="12">
        <f>Versions!B7</f>
        <v/>
      </c>
      <c r="C19" s="13">
        <f>Versions!C7</f>
        <v/>
      </c>
      <c r="D19" s="14">
        <f>Versions!E7</f>
        <v/>
      </c>
      <c r="E19" s="12">
        <f>Versions!F7</f>
        <v/>
      </c>
      <c r="F19" s="15">
        <f>Versions!H7</f>
        <v/>
      </c>
      <c r="G19" s="16">
        <f>Versions!J7</f>
        <v/>
      </c>
      <c r="H19" s="12">
        <f>Versions!K7</f>
        <v/>
      </c>
      <c r="I19" s="12">
        <f>Versions!L7</f>
        <v/>
      </c>
      <c r="J19" s="12">
        <f>Versions!N7</f>
        <v/>
      </c>
      <c r="K19" s="12">
        <f>Versions!O7</f>
        <v/>
      </c>
      <c r="L19" s="12">
        <f>Versions!P7</f>
        <v/>
      </c>
    </row>
    <row r="20" ht="30" customHeight="1">
      <c r="B20" s="12">
        <f>Versions!B8</f>
        <v/>
      </c>
      <c r="C20" s="13">
        <f>Versions!C8</f>
        <v/>
      </c>
      <c r="D20" s="14">
        <f>Versions!E8</f>
        <v/>
      </c>
      <c r="E20" s="12">
        <f>Versions!F8</f>
        <v/>
      </c>
      <c r="F20" s="15">
        <f>Versions!H8</f>
        <v/>
      </c>
      <c r="G20" s="16">
        <f>Versions!J8</f>
        <v/>
      </c>
      <c r="H20" s="12">
        <f>Versions!K8</f>
        <v/>
      </c>
      <c r="I20" s="12">
        <f>Versions!L8</f>
        <v/>
      </c>
      <c r="J20" s="12">
        <f>Versions!N8</f>
        <v/>
      </c>
      <c r="K20" s="12">
        <f>Versions!O8</f>
        <v/>
      </c>
      <c r="L20" s="12">
        <f>Versions!P8</f>
        <v/>
      </c>
    </row>
    <row r="21" ht="30" customHeight="1">
      <c r="B21" s="12">
        <f>Versions!B9</f>
        <v/>
      </c>
      <c r="C21" s="13">
        <f>Versions!C9</f>
        <v/>
      </c>
      <c r="D21" s="14">
        <f>Versions!E9</f>
        <v/>
      </c>
      <c r="E21" s="12">
        <f>Versions!F9</f>
        <v/>
      </c>
      <c r="F21" s="15">
        <f>Versions!H9</f>
        <v/>
      </c>
      <c r="G21" s="16">
        <f>Versions!J9</f>
        <v/>
      </c>
      <c r="H21" s="12">
        <f>Versions!K9</f>
        <v/>
      </c>
      <c r="I21" s="12">
        <f>Versions!L9</f>
        <v/>
      </c>
      <c r="J21" s="12">
        <f>Versions!N9</f>
        <v/>
      </c>
      <c r="K21" s="12">
        <f>Versions!O9</f>
        <v/>
      </c>
      <c r="L21" s="12">
        <f>Versions!P9</f>
        <v/>
      </c>
    </row>
    <row r="22" ht="30" customHeight="1">
      <c r="B22" s="12">
        <f>Versions!B10</f>
        <v/>
      </c>
      <c r="C22" s="13">
        <f>Versions!C10</f>
        <v/>
      </c>
      <c r="D22" s="14">
        <f>Versions!E10</f>
        <v/>
      </c>
      <c r="E22" s="12">
        <f>Versions!F10</f>
        <v/>
      </c>
      <c r="F22" s="15">
        <f>Versions!H10</f>
        <v/>
      </c>
      <c r="G22" s="16">
        <f>Versions!J10</f>
        <v/>
      </c>
      <c r="H22" s="12">
        <f>Versions!K10</f>
        <v/>
      </c>
      <c r="I22" s="12">
        <f>Versions!L10</f>
        <v/>
      </c>
      <c r="J22" s="12">
        <f>Versions!N10</f>
        <v/>
      </c>
      <c r="K22" s="12">
        <f>Versions!O10</f>
        <v/>
      </c>
      <c r="L22" s="12">
        <f>Versions!P10</f>
        <v/>
      </c>
    </row>
    <row r="25">
      <c r="B25" s="3" t="inlineStr">
        <is>
          <t>Avancement par module</t>
        </is>
      </c>
    </row>
    <row r="26" ht="28" customHeight="1">
      <c r="B26" s="11" t="inlineStr">
        <is>
          <t>Code</t>
        </is>
      </c>
      <c r="C26" s="11" t="inlineStr">
        <is>
          <t>Module</t>
        </is>
      </c>
      <c r="D26" s="11" t="inlineStr">
        <is>
          <t>Version cible</t>
        </is>
      </c>
      <c r="E26" s="11" t="inlineStr">
        <is>
          <t>Charge (j/p)</t>
        </is>
      </c>
      <c r="F26" s="11" t="inlineStr">
        <is>
          <t>Avancement</t>
        </is>
      </c>
      <c r="G26" s="11" t="inlineStr">
        <is>
          <t>Tâches</t>
        </is>
      </c>
      <c r="H26" s="11" t="inlineStr">
        <is>
          <t>Faites</t>
        </is>
      </c>
      <c r="I26" s="11" t="inlineStr">
        <is>
          <t>En cours</t>
        </is>
      </c>
      <c r="J26" s="11" t="inlineStr">
        <is>
          <t>Bloquées</t>
        </is>
      </c>
      <c r="K26" s="11" t="inlineStr">
        <is>
          <t>En retard</t>
        </is>
      </c>
      <c r="L26" s="11" t="inlineStr">
        <is>
          <t>État</t>
        </is>
      </c>
    </row>
    <row r="27">
      <c r="B27" s="12">
        <f>Modules!B6</f>
        <v/>
      </c>
      <c r="C27" s="13">
        <f>Modules!C6</f>
        <v/>
      </c>
      <c r="D27" s="12">
        <f>Modules!F6</f>
        <v/>
      </c>
      <c r="E27" s="12">
        <f>Modules!G6</f>
        <v/>
      </c>
      <c r="F27" s="16">
        <f>Modules!I6</f>
        <v/>
      </c>
      <c r="G27" s="12">
        <f>Modules!J6</f>
        <v/>
      </c>
      <c r="H27" s="12">
        <f>Modules!K6</f>
        <v/>
      </c>
      <c r="I27" s="12">
        <f>Modules!L6</f>
        <v/>
      </c>
      <c r="J27" s="12">
        <f>Modules!M6</f>
        <v/>
      </c>
      <c r="K27" s="12">
        <f>Modules!N6</f>
        <v/>
      </c>
      <c r="L27" s="12">
        <f>Modules!O6</f>
        <v/>
      </c>
    </row>
    <row r="28">
      <c r="B28" s="12">
        <f>Modules!B7</f>
        <v/>
      </c>
      <c r="C28" s="13">
        <f>Modules!C7</f>
        <v/>
      </c>
      <c r="D28" s="12">
        <f>Modules!F7</f>
        <v/>
      </c>
      <c r="E28" s="12">
        <f>Modules!G7</f>
        <v/>
      </c>
      <c r="F28" s="16">
        <f>Modules!I7</f>
        <v/>
      </c>
      <c r="G28" s="12">
        <f>Modules!J7</f>
        <v/>
      </c>
      <c r="H28" s="12">
        <f>Modules!K7</f>
        <v/>
      </c>
      <c r="I28" s="12">
        <f>Modules!L7</f>
        <v/>
      </c>
      <c r="J28" s="12">
        <f>Modules!M7</f>
        <v/>
      </c>
      <c r="K28" s="12">
        <f>Modules!N7</f>
        <v/>
      </c>
      <c r="L28" s="12">
        <f>Modules!O7</f>
        <v/>
      </c>
    </row>
    <row r="29">
      <c r="B29" s="12">
        <f>Modules!B8</f>
        <v/>
      </c>
      <c r="C29" s="13">
        <f>Modules!C8</f>
        <v/>
      </c>
      <c r="D29" s="12">
        <f>Modules!F8</f>
        <v/>
      </c>
      <c r="E29" s="12">
        <f>Modules!G8</f>
        <v/>
      </c>
      <c r="F29" s="16">
        <f>Modules!I8</f>
        <v/>
      </c>
      <c r="G29" s="12">
        <f>Modules!J8</f>
        <v/>
      </c>
      <c r="H29" s="12">
        <f>Modules!K8</f>
        <v/>
      </c>
      <c r="I29" s="12">
        <f>Modules!L8</f>
        <v/>
      </c>
      <c r="J29" s="12">
        <f>Modules!M8</f>
        <v/>
      </c>
      <c r="K29" s="12">
        <f>Modules!N8</f>
        <v/>
      </c>
      <c r="L29" s="12">
        <f>Modules!O8</f>
        <v/>
      </c>
    </row>
    <row r="30">
      <c r="B30" s="12">
        <f>Modules!B9</f>
        <v/>
      </c>
      <c r="C30" s="13">
        <f>Modules!C9</f>
        <v/>
      </c>
      <c r="D30" s="12">
        <f>Modules!F9</f>
        <v/>
      </c>
      <c r="E30" s="12">
        <f>Modules!G9</f>
        <v/>
      </c>
      <c r="F30" s="16">
        <f>Modules!I9</f>
        <v/>
      </c>
      <c r="G30" s="12">
        <f>Modules!J9</f>
        <v/>
      </c>
      <c r="H30" s="12">
        <f>Modules!K9</f>
        <v/>
      </c>
      <c r="I30" s="12">
        <f>Modules!L9</f>
        <v/>
      </c>
      <c r="J30" s="12">
        <f>Modules!M9</f>
        <v/>
      </c>
      <c r="K30" s="12">
        <f>Modules!N9</f>
        <v/>
      </c>
      <c r="L30" s="12">
        <f>Modules!O9</f>
        <v/>
      </c>
    </row>
    <row r="31">
      <c r="B31" s="12">
        <f>Modules!B10</f>
        <v/>
      </c>
      <c r="C31" s="13">
        <f>Modules!C10</f>
        <v/>
      </c>
      <c r="D31" s="12">
        <f>Modules!F10</f>
        <v/>
      </c>
      <c r="E31" s="12">
        <f>Modules!G10</f>
        <v/>
      </c>
      <c r="F31" s="16">
        <f>Modules!I10</f>
        <v/>
      </c>
      <c r="G31" s="12">
        <f>Modules!J10</f>
        <v/>
      </c>
      <c r="H31" s="12">
        <f>Modules!K10</f>
        <v/>
      </c>
      <c r="I31" s="12">
        <f>Modules!L10</f>
        <v/>
      </c>
      <c r="J31" s="12">
        <f>Modules!M10</f>
        <v/>
      </c>
      <c r="K31" s="12">
        <f>Modules!N10</f>
        <v/>
      </c>
      <c r="L31" s="12">
        <f>Modules!O10</f>
        <v/>
      </c>
    </row>
    <row r="32">
      <c r="B32" s="12">
        <f>Modules!B11</f>
        <v/>
      </c>
      <c r="C32" s="13">
        <f>Modules!C11</f>
        <v/>
      </c>
      <c r="D32" s="12">
        <f>Modules!F11</f>
        <v/>
      </c>
      <c r="E32" s="12">
        <f>Modules!G11</f>
        <v/>
      </c>
      <c r="F32" s="16">
        <f>Modules!I11</f>
        <v/>
      </c>
      <c r="G32" s="12">
        <f>Modules!J11</f>
        <v/>
      </c>
      <c r="H32" s="12">
        <f>Modules!K11</f>
        <v/>
      </c>
      <c r="I32" s="12">
        <f>Modules!L11</f>
        <v/>
      </c>
      <c r="J32" s="12">
        <f>Modules!M11</f>
        <v/>
      </c>
      <c r="K32" s="12">
        <f>Modules!N11</f>
        <v/>
      </c>
      <c r="L32" s="12">
        <f>Modules!O11</f>
        <v/>
      </c>
    </row>
    <row r="33">
      <c r="B33" s="12">
        <f>Modules!B12</f>
        <v/>
      </c>
      <c r="C33" s="13">
        <f>Modules!C12</f>
        <v/>
      </c>
      <c r="D33" s="12">
        <f>Modules!F12</f>
        <v/>
      </c>
      <c r="E33" s="12">
        <f>Modules!G12</f>
        <v/>
      </c>
      <c r="F33" s="16">
        <f>Modules!I12</f>
        <v/>
      </c>
      <c r="G33" s="12">
        <f>Modules!J12</f>
        <v/>
      </c>
      <c r="H33" s="12">
        <f>Modules!K12</f>
        <v/>
      </c>
      <c r="I33" s="12">
        <f>Modules!L12</f>
        <v/>
      </c>
      <c r="J33" s="12">
        <f>Modules!M12</f>
        <v/>
      </c>
      <c r="K33" s="12">
        <f>Modules!N12</f>
        <v/>
      </c>
      <c r="L33" s="12">
        <f>Modules!O12</f>
        <v/>
      </c>
    </row>
    <row r="34">
      <c r="B34" s="12">
        <f>Modules!B13</f>
        <v/>
      </c>
      <c r="C34" s="13">
        <f>Modules!C13</f>
        <v/>
      </c>
      <c r="D34" s="12">
        <f>Modules!F13</f>
        <v/>
      </c>
      <c r="E34" s="12">
        <f>Modules!G13</f>
        <v/>
      </c>
      <c r="F34" s="16">
        <f>Modules!I13</f>
        <v/>
      </c>
      <c r="G34" s="12">
        <f>Modules!J13</f>
        <v/>
      </c>
      <c r="H34" s="12">
        <f>Modules!K13</f>
        <v/>
      </c>
      <c r="I34" s="12">
        <f>Modules!L13</f>
        <v/>
      </c>
      <c r="J34" s="12">
        <f>Modules!M13</f>
        <v/>
      </c>
      <c r="K34" s="12">
        <f>Modules!N13</f>
        <v/>
      </c>
      <c r="L34" s="12">
        <f>Modules!O13</f>
        <v/>
      </c>
    </row>
    <row r="35">
      <c r="B35" s="12">
        <f>Modules!B14</f>
        <v/>
      </c>
      <c r="C35" s="13">
        <f>Modules!C14</f>
        <v/>
      </c>
      <c r="D35" s="12">
        <f>Modules!F14</f>
        <v/>
      </c>
      <c r="E35" s="12">
        <f>Modules!G14</f>
        <v/>
      </c>
      <c r="F35" s="16">
        <f>Modules!I14</f>
        <v/>
      </c>
      <c r="G35" s="12">
        <f>Modules!J14</f>
        <v/>
      </c>
      <c r="H35" s="12">
        <f>Modules!K14</f>
        <v/>
      </c>
      <c r="I35" s="12">
        <f>Modules!L14</f>
        <v/>
      </c>
      <c r="J35" s="12">
        <f>Modules!M14</f>
        <v/>
      </c>
      <c r="K35" s="12">
        <f>Modules!N14</f>
        <v/>
      </c>
      <c r="L35" s="12">
        <f>Modules!O14</f>
        <v/>
      </c>
    </row>
    <row r="36">
      <c r="B36" s="12">
        <f>Modules!B15</f>
        <v/>
      </c>
      <c r="C36" s="13">
        <f>Modules!C15</f>
        <v/>
      </c>
      <c r="D36" s="12">
        <f>Modules!F15</f>
        <v/>
      </c>
      <c r="E36" s="12">
        <f>Modules!G15</f>
        <v/>
      </c>
      <c r="F36" s="16">
        <f>Modules!I15</f>
        <v/>
      </c>
      <c r="G36" s="12">
        <f>Modules!J15</f>
        <v/>
      </c>
      <c r="H36" s="12">
        <f>Modules!K15</f>
        <v/>
      </c>
      <c r="I36" s="12">
        <f>Modules!L15</f>
        <v/>
      </c>
      <c r="J36" s="12">
        <f>Modules!M15</f>
        <v/>
      </c>
      <c r="K36" s="12">
        <f>Modules!N15</f>
        <v/>
      </c>
      <c r="L36" s="12">
        <f>Modules!O15</f>
        <v/>
      </c>
    </row>
    <row r="37">
      <c r="B37" s="12">
        <f>Modules!B16</f>
        <v/>
      </c>
      <c r="C37" s="13">
        <f>Modules!C16</f>
        <v/>
      </c>
      <c r="D37" s="12">
        <f>Modules!F16</f>
        <v/>
      </c>
      <c r="E37" s="12">
        <f>Modules!G16</f>
        <v/>
      </c>
      <c r="F37" s="16">
        <f>Modules!I16</f>
        <v/>
      </c>
      <c r="G37" s="12">
        <f>Modules!J16</f>
        <v/>
      </c>
      <c r="H37" s="12">
        <f>Modules!K16</f>
        <v/>
      </c>
      <c r="I37" s="12">
        <f>Modules!L16</f>
        <v/>
      </c>
      <c r="J37" s="12">
        <f>Modules!M16</f>
        <v/>
      </c>
      <c r="K37" s="12">
        <f>Modules!N16</f>
        <v/>
      </c>
      <c r="L37" s="12">
        <f>Modules!O16</f>
        <v/>
      </c>
    </row>
    <row r="38">
      <c r="B38" s="12">
        <f>Modules!B17</f>
        <v/>
      </c>
      <c r="C38" s="13">
        <f>Modules!C17</f>
        <v/>
      </c>
      <c r="D38" s="12">
        <f>Modules!F17</f>
        <v/>
      </c>
      <c r="E38" s="12">
        <f>Modules!G17</f>
        <v/>
      </c>
      <c r="F38" s="16">
        <f>Modules!I17</f>
        <v/>
      </c>
      <c r="G38" s="12">
        <f>Modules!J17</f>
        <v/>
      </c>
      <c r="H38" s="12">
        <f>Modules!K17</f>
        <v/>
      </c>
      <c r="I38" s="12">
        <f>Modules!L17</f>
        <v/>
      </c>
      <c r="J38" s="12">
        <f>Modules!M17</f>
        <v/>
      </c>
      <c r="K38" s="12">
        <f>Modules!N17</f>
        <v/>
      </c>
      <c r="L38" s="12">
        <f>Modules!O17</f>
        <v/>
      </c>
    </row>
    <row r="39">
      <c r="B39" s="12">
        <f>Modules!B18</f>
        <v/>
      </c>
      <c r="C39" s="13">
        <f>Modules!C18</f>
        <v/>
      </c>
      <c r="D39" s="12">
        <f>Modules!F18</f>
        <v/>
      </c>
      <c r="E39" s="12">
        <f>Modules!G18</f>
        <v/>
      </c>
      <c r="F39" s="16">
        <f>Modules!I18</f>
        <v/>
      </c>
      <c r="G39" s="12">
        <f>Modules!J18</f>
        <v/>
      </c>
      <c r="H39" s="12">
        <f>Modules!K18</f>
        <v/>
      </c>
      <c r="I39" s="12">
        <f>Modules!L18</f>
        <v/>
      </c>
      <c r="J39" s="12">
        <f>Modules!M18</f>
        <v/>
      </c>
      <c r="K39" s="12">
        <f>Modules!N18</f>
        <v/>
      </c>
      <c r="L39" s="12">
        <f>Modules!O18</f>
        <v/>
      </c>
    </row>
    <row r="40">
      <c r="B40" s="12">
        <f>Modules!B19</f>
        <v/>
      </c>
      <c r="C40" s="13">
        <f>Modules!C19</f>
        <v/>
      </c>
      <c r="D40" s="12">
        <f>Modules!F19</f>
        <v/>
      </c>
      <c r="E40" s="12">
        <f>Modules!G19</f>
        <v/>
      </c>
      <c r="F40" s="16">
        <f>Modules!I19</f>
        <v/>
      </c>
      <c r="G40" s="12">
        <f>Modules!J19</f>
        <v/>
      </c>
      <c r="H40" s="12">
        <f>Modules!K19</f>
        <v/>
      </c>
      <c r="I40" s="12">
        <f>Modules!L19</f>
        <v/>
      </c>
      <c r="J40" s="12">
        <f>Modules!M19</f>
        <v/>
      </c>
      <c r="K40" s="12">
        <f>Modules!N19</f>
        <v/>
      </c>
      <c r="L40" s="12">
        <f>Modules!O19</f>
        <v/>
      </c>
    </row>
    <row r="41">
      <c r="B41" s="12">
        <f>Modules!B20</f>
        <v/>
      </c>
      <c r="C41" s="13">
        <f>Modules!C20</f>
        <v/>
      </c>
      <c r="D41" s="12">
        <f>Modules!F20</f>
        <v/>
      </c>
      <c r="E41" s="12">
        <f>Modules!G20</f>
        <v/>
      </c>
      <c r="F41" s="16">
        <f>Modules!I20</f>
        <v/>
      </c>
      <c r="G41" s="12">
        <f>Modules!J20</f>
        <v/>
      </c>
      <c r="H41" s="12">
        <f>Modules!K20</f>
        <v/>
      </c>
      <c r="I41" s="12">
        <f>Modules!L20</f>
        <v/>
      </c>
      <c r="J41" s="12">
        <f>Modules!M20</f>
        <v/>
      </c>
      <c r="K41" s="12">
        <f>Modules!N20</f>
        <v/>
      </c>
      <c r="L41" s="12">
        <f>Modules!O20</f>
        <v/>
      </c>
    </row>
    <row r="42">
      <c r="B42" s="12">
        <f>Modules!B21</f>
        <v/>
      </c>
      <c r="C42" s="13">
        <f>Modules!C21</f>
        <v/>
      </c>
      <c r="D42" s="12">
        <f>Modules!F21</f>
        <v/>
      </c>
      <c r="E42" s="12">
        <f>Modules!G21</f>
        <v/>
      </c>
      <c r="F42" s="16">
        <f>Modules!I21</f>
        <v/>
      </c>
      <c r="G42" s="12">
        <f>Modules!J21</f>
        <v/>
      </c>
      <c r="H42" s="12">
        <f>Modules!K21</f>
        <v/>
      </c>
      <c r="I42" s="12">
        <f>Modules!L21</f>
        <v/>
      </c>
      <c r="J42" s="12">
        <f>Modules!M21</f>
        <v/>
      </c>
      <c r="K42" s="12">
        <f>Modules!N21</f>
        <v/>
      </c>
      <c r="L42" s="12">
        <f>Modules!O21</f>
        <v/>
      </c>
    </row>
    <row r="43">
      <c r="B43" s="12">
        <f>Modules!B22</f>
        <v/>
      </c>
      <c r="C43" s="13">
        <f>Modules!C22</f>
        <v/>
      </c>
      <c r="D43" s="12">
        <f>Modules!F22</f>
        <v/>
      </c>
      <c r="E43" s="12">
        <f>Modules!G22</f>
        <v/>
      </c>
      <c r="F43" s="16">
        <f>Modules!I22</f>
        <v/>
      </c>
      <c r="G43" s="12">
        <f>Modules!J22</f>
        <v/>
      </c>
      <c r="H43" s="12">
        <f>Modules!K22</f>
        <v/>
      </c>
      <c r="I43" s="12">
        <f>Modules!L22</f>
        <v/>
      </c>
      <c r="J43" s="12">
        <f>Modules!M22</f>
        <v/>
      </c>
      <c r="K43" s="12">
        <f>Modules!N22</f>
        <v/>
      </c>
      <c r="L43" s="12">
        <f>Modules!O22</f>
        <v/>
      </c>
    </row>
    <row r="44">
      <c r="B44" s="12">
        <f>Modules!B23</f>
        <v/>
      </c>
      <c r="C44" s="13">
        <f>Modules!C23</f>
        <v/>
      </c>
      <c r="D44" s="12">
        <f>Modules!F23</f>
        <v/>
      </c>
      <c r="E44" s="12">
        <f>Modules!G23</f>
        <v/>
      </c>
      <c r="F44" s="16">
        <f>Modules!I23</f>
        <v/>
      </c>
      <c r="G44" s="12">
        <f>Modules!J23</f>
        <v/>
      </c>
      <c r="H44" s="12">
        <f>Modules!K23</f>
        <v/>
      </c>
      <c r="I44" s="12">
        <f>Modules!L23</f>
        <v/>
      </c>
      <c r="J44" s="12">
        <f>Modules!M23</f>
        <v/>
      </c>
      <c r="K44" s="12">
        <f>Modules!N23</f>
        <v/>
      </c>
      <c r="L44" s="12">
        <f>Modules!O23</f>
        <v/>
      </c>
    </row>
    <row r="45">
      <c r="B45" s="12">
        <f>Modules!B24</f>
        <v/>
      </c>
      <c r="C45" s="13">
        <f>Modules!C24</f>
        <v/>
      </c>
      <c r="D45" s="12">
        <f>Modules!F24</f>
        <v/>
      </c>
      <c r="E45" s="12">
        <f>Modules!G24</f>
        <v/>
      </c>
      <c r="F45" s="16">
        <f>Modules!I24</f>
        <v/>
      </c>
      <c r="G45" s="12">
        <f>Modules!J24</f>
        <v/>
      </c>
      <c r="H45" s="12">
        <f>Modules!K24</f>
        <v/>
      </c>
      <c r="I45" s="12">
        <f>Modules!L24</f>
        <v/>
      </c>
      <c r="J45" s="12">
        <f>Modules!M24</f>
        <v/>
      </c>
      <c r="K45" s="12">
        <f>Modules!N24</f>
        <v/>
      </c>
      <c r="L45" s="12">
        <f>Modules!O24</f>
        <v/>
      </c>
    </row>
    <row r="46">
      <c r="B46" s="12">
        <f>Modules!B25</f>
        <v/>
      </c>
      <c r="C46" s="13">
        <f>Modules!C25</f>
        <v/>
      </c>
      <c r="D46" s="12">
        <f>Modules!F25</f>
        <v/>
      </c>
      <c r="E46" s="12">
        <f>Modules!G25</f>
        <v/>
      </c>
      <c r="F46" s="16">
        <f>Modules!I25</f>
        <v/>
      </c>
      <c r="G46" s="12">
        <f>Modules!J25</f>
        <v/>
      </c>
      <c r="H46" s="12">
        <f>Modules!K25</f>
        <v/>
      </c>
      <c r="I46" s="12">
        <f>Modules!L25</f>
        <v/>
      </c>
      <c r="J46" s="12">
        <f>Modules!M25</f>
        <v/>
      </c>
      <c r="K46" s="12">
        <f>Modules!N25</f>
        <v/>
      </c>
      <c r="L46" s="12">
        <f>Modules!O25</f>
        <v/>
      </c>
    </row>
    <row r="49">
      <c r="B49" s="3" t="inlineStr">
        <is>
          <t>Prochain jalon</t>
        </is>
      </c>
      <c r="D49" s="5">
        <f>IFERROR(INDEX(Jalons!$C$6:$C$22,MATCH(MIN(Jalons!$J$6:$J$22),Jalons!$J$6:$J$22,0)),"Aucun")</f>
        <v/>
      </c>
      <c r="J49" s="4">
        <f>IFERROR(MIN(Jalons!$J$6:$J$22),"")</f>
        <v/>
      </c>
    </row>
    <row r="50">
      <c r="B50" s="3" t="inlineStr">
        <is>
          <t>Jalons des 30 prochains jours</t>
        </is>
      </c>
      <c r="D50" s="5">
        <f>COUNTIFS(Jalons!$E$6:$E$22,"&gt;="&amp;TODAY(),Jalons!$E$6:$E$22,"&lt;="&amp;(TODAY()+30),Jalons!$F$6:$F$22,"&lt;&gt;Atteint")</f>
        <v/>
      </c>
    </row>
    <row r="53">
      <c r="B53" s="3" t="inlineStr">
        <is>
          <t>Charge par personne (équipe inscrite)</t>
        </is>
      </c>
    </row>
    <row r="54" ht="28" customHeight="1">
      <c r="B54" s="11" t="inlineStr">
        <is>
          <t>Nom</t>
        </is>
      </c>
      <c r="C54" s="11" t="inlineStr">
        <is>
          <t>Rôle</t>
        </is>
      </c>
      <c r="D54" s="11" t="inlineStr">
        <is>
          <t>Actif</t>
        </is>
      </c>
      <c r="E54" s="11" t="inlineStr">
        <is>
          <t>Tâches</t>
        </is>
      </c>
      <c r="F54" s="11" t="inlineStr">
        <is>
          <t>Charge (j/p)</t>
        </is>
      </c>
      <c r="G54" s="11" t="inlineStr">
        <is>
          <t>Réalisé (j/p)</t>
        </is>
      </c>
      <c r="H54" s="11" t="inlineStr">
        <is>
          <t>Avancement</t>
        </is>
      </c>
      <c r="I54" s="11" t="inlineStr">
        <is>
          <t>En cours</t>
        </is>
      </c>
      <c r="J54" s="11" t="inlineStr">
        <is>
          <t>Bloquées</t>
        </is>
      </c>
      <c r="K54" s="11" t="inlineStr">
        <is>
          <t>En retard</t>
        </is>
      </c>
      <c r="L54" s="11" t="inlineStr">
        <is>
          <t>Restant (j/p)</t>
        </is>
      </c>
    </row>
    <row r="55">
      <c r="B55" s="13">
        <f>IF(Equipe!B6="","",Equipe!B6)</f>
        <v/>
      </c>
      <c r="C55" s="13">
        <f>IF(Equipe!B6="","",Equipe!C6)</f>
        <v/>
      </c>
      <c r="D55" s="12">
        <f>IF(Equipe!B6="","",Equipe!H6)</f>
        <v/>
      </c>
      <c r="E55" s="12">
        <f>IF(Equipe!B6="","",Equipe!I6)</f>
        <v/>
      </c>
      <c r="F55" s="15">
        <f>IF(Equipe!B6="","",Equipe!J6)</f>
        <v/>
      </c>
      <c r="G55" s="15">
        <f>IF(Equipe!B6="","",Equipe!K6)</f>
        <v/>
      </c>
      <c r="H55" s="16">
        <f>IF(Equipe!B6="","",Equipe!L6)</f>
        <v/>
      </c>
      <c r="I55" s="12">
        <f>IF(Equipe!B6="","",Equipe!M6)</f>
        <v/>
      </c>
      <c r="J55" s="12">
        <f>IF(Equipe!B6="","",Equipe!N6)</f>
        <v/>
      </c>
      <c r="K55" s="12">
        <f>IF(Equipe!B6="","",Equipe!O6)</f>
        <v/>
      </c>
      <c r="L55" s="15">
        <f>IF(Equipe!B6="","",Equipe!Q6)</f>
        <v/>
      </c>
    </row>
    <row r="56">
      <c r="B56" s="13">
        <f>IF(Equipe!B7="","",Equipe!B7)</f>
        <v/>
      </c>
      <c r="C56" s="13">
        <f>IF(Equipe!B7="","",Equipe!C7)</f>
        <v/>
      </c>
      <c r="D56" s="12">
        <f>IF(Equipe!B7="","",Equipe!H7)</f>
        <v/>
      </c>
      <c r="E56" s="12">
        <f>IF(Equipe!B7="","",Equipe!I7)</f>
        <v/>
      </c>
      <c r="F56" s="15">
        <f>IF(Equipe!B7="","",Equipe!J7)</f>
        <v/>
      </c>
      <c r="G56" s="15">
        <f>IF(Equipe!B7="","",Equipe!K7)</f>
        <v/>
      </c>
      <c r="H56" s="16">
        <f>IF(Equipe!B7="","",Equipe!L7)</f>
        <v/>
      </c>
      <c r="I56" s="12">
        <f>IF(Equipe!B7="","",Equipe!M7)</f>
        <v/>
      </c>
      <c r="J56" s="12">
        <f>IF(Equipe!B7="","",Equipe!N7)</f>
        <v/>
      </c>
      <c r="K56" s="12">
        <f>IF(Equipe!B7="","",Equipe!O7)</f>
        <v/>
      </c>
      <c r="L56" s="15">
        <f>IF(Equipe!B7="","",Equipe!Q7)</f>
        <v/>
      </c>
    </row>
    <row r="57">
      <c r="B57" s="13">
        <f>IF(Equipe!B8="","",Equipe!B8)</f>
        <v/>
      </c>
      <c r="C57" s="13">
        <f>IF(Equipe!B8="","",Equipe!C8)</f>
        <v/>
      </c>
      <c r="D57" s="12">
        <f>IF(Equipe!B8="","",Equipe!H8)</f>
        <v/>
      </c>
      <c r="E57" s="12">
        <f>IF(Equipe!B8="","",Equipe!I8)</f>
        <v/>
      </c>
      <c r="F57" s="15">
        <f>IF(Equipe!B8="","",Equipe!J8)</f>
        <v/>
      </c>
      <c r="G57" s="15">
        <f>IF(Equipe!B8="","",Equipe!K8)</f>
        <v/>
      </c>
      <c r="H57" s="16">
        <f>IF(Equipe!B8="","",Equipe!L8)</f>
        <v/>
      </c>
      <c r="I57" s="12">
        <f>IF(Equipe!B8="","",Equipe!M8)</f>
        <v/>
      </c>
      <c r="J57" s="12">
        <f>IF(Equipe!B8="","",Equipe!N8)</f>
        <v/>
      </c>
      <c r="K57" s="12">
        <f>IF(Equipe!B8="","",Equipe!O8)</f>
        <v/>
      </c>
      <c r="L57" s="15">
        <f>IF(Equipe!B8="","",Equipe!Q8)</f>
        <v/>
      </c>
    </row>
    <row r="58">
      <c r="B58" s="13">
        <f>IF(Equipe!B9="","",Equipe!B9)</f>
        <v/>
      </c>
      <c r="C58" s="13">
        <f>IF(Equipe!B9="","",Equipe!C9)</f>
        <v/>
      </c>
      <c r="D58" s="12">
        <f>IF(Equipe!B9="","",Equipe!H9)</f>
        <v/>
      </c>
      <c r="E58" s="12">
        <f>IF(Equipe!B9="","",Equipe!I9)</f>
        <v/>
      </c>
      <c r="F58" s="15">
        <f>IF(Equipe!B9="","",Equipe!J9)</f>
        <v/>
      </c>
      <c r="G58" s="15">
        <f>IF(Equipe!B9="","",Equipe!K9)</f>
        <v/>
      </c>
      <c r="H58" s="16">
        <f>IF(Equipe!B9="","",Equipe!L9)</f>
        <v/>
      </c>
      <c r="I58" s="12">
        <f>IF(Equipe!B9="","",Equipe!M9)</f>
        <v/>
      </c>
      <c r="J58" s="12">
        <f>IF(Equipe!B9="","",Equipe!N9)</f>
        <v/>
      </c>
      <c r="K58" s="12">
        <f>IF(Equipe!B9="","",Equipe!O9)</f>
        <v/>
      </c>
      <c r="L58" s="15">
        <f>IF(Equipe!B9="","",Equipe!Q9)</f>
        <v/>
      </c>
    </row>
    <row r="59">
      <c r="B59" s="13">
        <f>IF(Equipe!B10="","",Equipe!B10)</f>
        <v/>
      </c>
      <c r="C59" s="13">
        <f>IF(Equipe!B10="","",Equipe!C10)</f>
        <v/>
      </c>
      <c r="D59" s="12">
        <f>IF(Equipe!B10="","",Equipe!H10)</f>
        <v/>
      </c>
      <c r="E59" s="12">
        <f>IF(Equipe!B10="","",Equipe!I10)</f>
        <v/>
      </c>
      <c r="F59" s="15">
        <f>IF(Equipe!B10="","",Equipe!J10)</f>
        <v/>
      </c>
      <c r="G59" s="15">
        <f>IF(Equipe!B10="","",Equipe!K10)</f>
        <v/>
      </c>
      <c r="H59" s="16">
        <f>IF(Equipe!B10="","",Equipe!L10)</f>
        <v/>
      </c>
      <c r="I59" s="12">
        <f>IF(Equipe!B10="","",Equipe!M10)</f>
        <v/>
      </c>
      <c r="J59" s="12">
        <f>IF(Equipe!B10="","",Equipe!N10)</f>
        <v/>
      </c>
      <c r="K59" s="12">
        <f>IF(Equipe!B10="","",Equipe!O10)</f>
        <v/>
      </c>
      <c r="L59" s="15">
        <f>IF(Equipe!B10="","",Equipe!Q10)</f>
        <v/>
      </c>
    </row>
    <row r="60">
      <c r="B60" s="13">
        <f>IF(Equipe!B11="","",Equipe!B11)</f>
        <v/>
      </c>
      <c r="C60" s="13">
        <f>IF(Equipe!B11="","",Equipe!C11)</f>
        <v/>
      </c>
      <c r="D60" s="12">
        <f>IF(Equipe!B11="","",Equipe!H11)</f>
        <v/>
      </c>
      <c r="E60" s="12">
        <f>IF(Equipe!B11="","",Equipe!I11)</f>
        <v/>
      </c>
      <c r="F60" s="15">
        <f>IF(Equipe!B11="","",Equipe!J11)</f>
        <v/>
      </c>
      <c r="G60" s="15">
        <f>IF(Equipe!B11="","",Equipe!K11)</f>
        <v/>
      </c>
      <c r="H60" s="16">
        <f>IF(Equipe!B11="","",Equipe!L11)</f>
        <v/>
      </c>
      <c r="I60" s="12">
        <f>IF(Equipe!B11="","",Equipe!M11)</f>
        <v/>
      </c>
      <c r="J60" s="12">
        <f>IF(Equipe!B11="","",Equipe!N11)</f>
        <v/>
      </c>
      <c r="K60" s="12">
        <f>IF(Equipe!B11="","",Equipe!O11)</f>
        <v/>
      </c>
      <c r="L60" s="15">
        <f>IF(Equipe!B11="","",Equipe!Q11)</f>
        <v/>
      </c>
    </row>
    <row r="61">
      <c r="B61" s="13">
        <f>IF(Equipe!B12="","",Equipe!B12)</f>
        <v/>
      </c>
      <c r="C61" s="13">
        <f>IF(Equipe!B12="","",Equipe!C12)</f>
        <v/>
      </c>
      <c r="D61" s="12">
        <f>IF(Equipe!B12="","",Equipe!H12)</f>
        <v/>
      </c>
      <c r="E61" s="12">
        <f>IF(Equipe!B12="","",Equipe!I12)</f>
        <v/>
      </c>
      <c r="F61" s="15">
        <f>IF(Equipe!B12="","",Equipe!J12)</f>
        <v/>
      </c>
      <c r="G61" s="15">
        <f>IF(Equipe!B12="","",Equipe!K12)</f>
        <v/>
      </c>
      <c r="H61" s="16">
        <f>IF(Equipe!B12="","",Equipe!L12)</f>
        <v/>
      </c>
      <c r="I61" s="12">
        <f>IF(Equipe!B12="","",Equipe!M12)</f>
        <v/>
      </c>
      <c r="J61" s="12">
        <f>IF(Equipe!B12="","",Equipe!N12)</f>
        <v/>
      </c>
      <c r="K61" s="12">
        <f>IF(Equipe!B12="","",Equipe!O12)</f>
        <v/>
      </c>
      <c r="L61" s="15">
        <f>IF(Equipe!B12="","",Equipe!Q12)</f>
        <v/>
      </c>
    </row>
    <row r="62">
      <c r="B62" s="13">
        <f>IF(Equipe!B13="","",Equipe!B13)</f>
        <v/>
      </c>
      <c r="C62" s="13">
        <f>IF(Equipe!B13="","",Equipe!C13)</f>
        <v/>
      </c>
      <c r="D62" s="12">
        <f>IF(Equipe!B13="","",Equipe!H13)</f>
        <v/>
      </c>
      <c r="E62" s="12">
        <f>IF(Equipe!B13="","",Equipe!I13)</f>
        <v/>
      </c>
      <c r="F62" s="15">
        <f>IF(Equipe!B13="","",Equipe!J13)</f>
        <v/>
      </c>
      <c r="G62" s="15">
        <f>IF(Equipe!B13="","",Equipe!K13)</f>
        <v/>
      </c>
      <c r="H62" s="16">
        <f>IF(Equipe!B13="","",Equipe!L13)</f>
        <v/>
      </c>
      <c r="I62" s="12">
        <f>IF(Equipe!B13="","",Equipe!M13)</f>
        <v/>
      </c>
      <c r="J62" s="12">
        <f>IF(Equipe!B13="","",Equipe!N13)</f>
        <v/>
      </c>
      <c r="K62" s="12">
        <f>IF(Equipe!B13="","",Equipe!O13)</f>
        <v/>
      </c>
      <c r="L62" s="15">
        <f>IF(Equipe!B13="","",Equipe!Q13)</f>
        <v/>
      </c>
    </row>
    <row r="63">
      <c r="B63" s="13">
        <f>IF(Equipe!B14="","",Equipe!B14)</f>
        <v/>
      </c>
      <c r="C63" s="13">
        <f>IF(Equipe!B14="","",Equipe!C14)</f>
        <v/>
      </c>
      <c r="D63" s="12">
        <f>IF(Equipe!B14="","",Equipe!H14)</f>
        <v/>
      </c>
      <c r="E63" s="12">
        <f>IF(Equipe!B14="","",Equipe!I14)</f>
        <v/>
      </c>
      <c r="F63" s="15">
        <f>IF(Equipe!B14="","",Equipe!J14)</f>
        <v/>
      </c>
      <c r="G63" s="15">
        <f>IF(Equipe!B14="","",Equipe!K14)</f>
        <v/>
      </c>
      <c r="H63" s="16">
        <f>IF(Equipe!B14="","",Equipe!L14)</f>
        <v/>
      </c>
      <c r="I63" s="12">
        <f>IF(Equipe!B14="","",Equipe!M14)</f>
        <v/>
      </c>
      <c r="J63" s="12">
        <f>IF(Equipe!B14="","",Equipe!N14)</f>
        <v/>
      </c>
      <c r="K63" s="12">
        <f>IF(Equipe!B14="","",Equipe!O14)</f>
        <v/>
      </c>
      <c r="L63" s="15">
        <f>IF(Equipe!B14="","",Equipe!Q14)</f>
        <v/>
      </c>
    </row>
    <row r="64">
      <c r="B64" s="13">
        <f>IF(Equipe!B15="","",Equipe!B15)</f>
        <v/>
      </c>
      <c r="C64" s="13">
        <f>IF(Equipe!B15="","",Equipe!C15)</f>
        <v/>
      </c>
      <c r="D64" s="12">
        <f>IF(Equipe!B15="","",Equipe!H15)</f>
        <v/>
      </c>
      <c r="E64" s="12">
        <f>IF(Equipe!B15="","",Equipe!I15)</f>
        <v/>
      </c>
      <c r="F64" s="15">
        <f>IF(Equipe!B15="","",Equipe!J15)</f>
        <v/>
      </c>
      <c r="G64" s="15">
        <f>IF(Equipe!B15="","",Equipe!K15)</f>
        <v/>
      </c>
      <c r="H64" s="16">
        <f>IF(Equipe!B15="","",Equipe!L15)</f>
        <v/>
      </c>
      <c r="I64" s="12">
        <f>IF(Equipe!B15="","",Equipe!M15)</f>
        <v/>
      </c>
      <c r="J64" s="12">
        <f>IF(Equipe!B15="","",Equipe!N15)</f>
        <v/>
      </c>
      <c r="K64" s="12">
        <f>IF(Equipe!B15="","",Equipe!O15)</f>
        <v/>
      </c>
      <c r="L64" s="15">
        <f>IF(Equipe!B15="","",Equipe!Q15)</f>
        <v/>
      </c>
    </row>
    <row r="65">
      <c r="B65" s="13">
        <f>IF(Equipe!B16="","",Equipe!B16)</f>
        <v/>
      </c>
      <c r="C65" s="13">
        <f>IF(Equipe!B16="","",Equipe!C16)</f>
        <v/>
      </c>
      <c r="D65" s="12">
        <f>IF(Equipe!B16="","",Equipe!H16)</f>
        <v/>
      </c>
      <c r="E65" s="12">
        <f>IF(Equipe!B16="","",Equipe!I16)</f>
        <v/>
      </c>
      <c r="F65" s="15">
        <f>IF(Equipe!B16="","",Equipe!J16)</f>
        <v/>
      </c>
      <c r="G65" s="15">
        <f>IF(Equipe!B16="","",Equipe!K16)</f>
        <v/>
      </c>
      <c r="H65" s="16">
        <f>IF(Equipe!B16="","",Equipe!L16)</f>
        <v/>
      </c>
      <c r="I65" s="12">
        <f>IF(Equipe!B16="","",Equipe!M16)</f>
        <v/>
      </c>
      <c r="J65" s="12">
        <f>IF(Equipe!B16="","",Equipe!N16)</f>
        <v/>
      </c>
      <c r="K65" s="12">
        <f>IF(Equipe!B16="","",Equipe!O16)</f>
        <v/>
      </c>
      <c r="L65" s="15">
        <f>IF(Equipe!B16="","",Equipe!Q16)</f>
        <v/>
      </c>
    </row>
    <row r="66">
      <c r="B66" s="13">
        <f>IF(Equipe!B17="","",Equipe!B17)</f>
        <v/>
      </c>
      <c r="C66" s="13">
        <f>IF(Equipe!B17="","",Equipe!C17)</f>
        <v/>
      </c>
      <c r="D66" s="12">
        <f>IF(Equipe!B17="","",Equipe!H17)</f>
        <v/>
      </c>
      <c r="E66" s="12">
        <f>IF(Equipe!B17="","",Equipe!I17)</f>
        <v/>
      </c>
      <c r="F66" s="15">
        <f>IF(Equipe!B17="","",Equipe!J17)</f>
        <v/>
      </c>
      <c r="G66" s="15">
        <f>IF(Equipe!B17="","",Equipe!K17)</f>
        <v/>
      </c>
      <c r="H66" s="16">
        <f>IF(Equipe!B17="","",Equipe!L17)</f>
        <v/>
      </c>
      <c r="I66" s="12">
        <f>IF(Equipe!B17="","",Equipe!M17)</f>
        <v/>
      </c>
      <c r="J66" s="12">
        <f>IF(Equipe!B17="","",Equipe!N17)</f>
        <v/>
      </c>
      <c r="K66" s="12">
        <f>IF(Equipe!B17="","",Equipe!O17)</f>
        <v/>
      </c>
      <c r="L66" s="15">
        <f>IF(Equipe!B17="","",Equipe!Q17)</f>
        <v/>
      </c>
    </row>
  </sheetData>
  <mergeCells count="38">
    <mergeCell ref="D49:I49"/>
    <mergeCell ref="L7:M7"/>
    <mergeCell ref="B7:C7"/>
    <mergeCell ref="D10:E10"/>
    <mergeCell ref="F10:G10"/>
    <mergeCell ref="H10:I10"/>
    <mergeCell ref="J10:K10"/>
    <mergeCell ref="F6:G6"/>
    <mergeCell ref="J13:K13"/>
    <mergeCell ref="H9:I9"/>
    <mergeCell ref="L13:M13"/>
    <mergeCell ref="F7:G7"/>
    <mergeCell ref="J9:K9"/>
    <mergeCell ref="B12:C12"/>
    <mergeCell ref="D6:E6"/>
    <mergeCell ref="F12:G12"/>
    <mergeCell ref="L12:M12"/>
    <mergeCell ref="H6:I6"/>
    <mergeCell ref="J6:K6"/>
    <mergeCell ref="D13:E13"/>
    <mergeCell ref="B3:N3"/>
    <mergeCell ref="B13:C13"/>
    <mergeCell ref="D7:E7"/>
    <mergeCell ref="H7:I7"/>
    <mergeCell ref="L10:M10"/>
    <mergeCell ref="J7:K7"/>
    <mergeCell ref="B10:C10"/>
    <mergeCell ref="F13:G13"/>
    <mergeCell ref="B9:C9"/>
    <mergeCell ref="D9:E9"/>
    <mergeCell ref="H13:I13"/>
    <mergeCell ref="F9:G9"/>
    <mergeCell ref="L9:M9"/>
    <mergeCell ref="D12:E12"/>
    <mergeCell ref="B6:C6"/>
    <mergeCell ref="H12:I12"/>
    <mergeCell ref="J12:K12"/>
    <mergeCell ref="L6:M6"/>
  </mergeCells>
  <conditionalFormatting sqref="D10">
    <cfRule type="expression" priority="1" dxfId="0">
      <formula>D10&gt;0</formula>
    </cfRule>
  </conditionalFormatting>
  <conditionalFormatting sqref="F10">
    <cfRule type="expression" priority="2" dxfId="0">
      <formula>F10&gt;0</formula>
    </cfRule>
  </conditionalFormatting>
  <conditionalFormatting sqref="H10">
    <cfRule type="expression" priority="3" dxfId="0">
      <formula>H10&gt;0</formula>
    </cfRule>
  </conditionalFormatting>
  <conditionalFormatting sqref="J10">
    <cfRule type="expression" priority="4" dxfId="0">
      <formula>J10&gt;0</formula>
    </cfRule>
  </conditionalFormatting>
  <conditionalFormatting sqref="L10">
    <cfRule type="expression" priority="5" dxfId="0">
      <formula>L10&gt;0</formula>
    </cfRule>
  </conditionalFormatting>
  <conditionalFormatting sqref="B13">
    <cfRule type="expression" priority="6" dxfId="0">
      <formula>B13&gt;0</formula>
    </cfRule>
  </conditionalFormatting>
  <conditionalFormatting sqref="G18:G22">
    <cfRule type="dataBar" priority="7">
      <dataBar>
        <cfvo type="num" val="0"/>
        <cfvo type="num" val="1"/>
        <color rgb="006678F1"/>
      </dataBar>
    </cfRule>
  </conditionalFormatting>
  <conditionalFormatting sqref="L18:L22">
    <cfRule type="expression" priority="8" dxfId="1">
      <formula>L18="En dépassement"</formula>
    </cfRule>
    <cfRule type="expression" priority="9" dxfId="2">
      <formula>L18="Livrée"</formula>
    </cfRule>
    <cfRule type="expression" priority="10" dxfId="3">
      <formula>L18="En cours"</formula>
    </cfRule>
  </conditionalFormatting>
  <conditionalFormatting sqref="F27:F46">
    <cfRule type="dataBar" priority="11">
      <dataBar>
        <cfvo type="num" val="0"/>
        <cfvo type="num" val="1"/>
        <color rgb="006678F1"/>
      </dataBar>
    </cfRule>
  </conditionalFormatting>
  <conditionalFormatting sqref="L27:L46">
    <cfRule type="expression" priority="12" dxfId="2">
      <formula>L27="Terminé"</formula>
    </cfRule>
    <cfRule type="expression" priority="13" dxfId="1">
      <formula>L27="Bloqué (partiel)"</formula>
    </cfRule>
    <cfRule type="expression" priority="14" dxfId="3">
      <formula>L27="En cours"</formula>
    </cfRule>
  </conditionalFormatting>
  <conditionalFormatting sqref="J27:K46">
    <cfRule type="expression" priority="15" dxfId="4">
      <formula>J27&gt;0</formula>
    </cfRule>
  </conditionalFormatting>
  <conditionalFormatting sqref="H55:H66">
    <cfRule type="dataBar" priority="16">
      <dataBar>
        <cfvo type="num" val="0"/>
        <cfvo type="num" val="1"/>
        <color rgb="006678F1"/>
      </dataBar>
    </cfRule>
  </conditionalFormatting>
  <conditionalFormatting sqref="J55:K66">
    <cfRule type="expression" priority="17" dxfId="4">
      <formula>AND(J55&lt;&gt;"",J55&gt;0)</formula>
    </cfRule>
  </conditionalFormatting>
  <pageMargins left="0.75" right="0.75" top="1" bottom="1" header="0.5" footer="0.5"/>
</worksheet>
</file>

<file path=xl/worksheets/sheet2.xml><?xml version="1.0" encoding="utf-8"?>
<worksheet xmlns="http://schemas.openxmlformats.org/spreadsheetml/2006/main">
  <sheetPr>
    <tabColor rgb="001C2751"/>
    <outlinePr summaryBelow="1" summaryRight="1"/>
    <pageSetUpPr/>
  </sheetPr>
  <dimension ref="B2:I53"/>
  <sheetViews>
    <sheetView showGridLines="0" workbookViewId="0">
      <selection activeCell="A1" sqref="A1"/>
    </sheetView>
  </sheetViews>
  <sheetFormatPr baseColWidth="8" defaultRowHeight="15"/>
  <cols>
    <col width="3" customWidth="1" min="1" max="1"/>
    <col width="30" customWidth="1" min="2" max="2"/>
    <col width="44" customWidth="1" min="3" max="3"/>
    <col width="34" customWidth="1" min="4" max="4"/>
    <col width="12" customWidth="1" min="5" max="5"/>
    <col width="12" customWidth="1" min="6" max="6"/>
    <col width="12" customWidth="1" min="7" max="7"/>
    <col width="12" customWidth="1" min="8" max="8"/>
    <col width="12" customWidth="1" min="9" max="9"/>
  </cols>
  <sheetData>
    <row r="2">
      <c r="B2" s="1" t="inlineStr">
        <is>
          <t>DealPME : présentation du projet</t>
        </is>
      </c>
    </row>
    <row r="3">
      <c r="B3" s="17" t="inlineStr">
        <is>
          <t>Place de marché de transmission et reprise de PME en Afrique francophone (zone OHADA), pilote Togo, en partenariat avec la CCI-Togo.</t>
        </is>
      </c>
    </row>
    <row r="5" ht="22" customHeight="1">
      <c r="B5" s="18" t="inlineStr">
        <is>
          <t>1. Le projet en quelques lignes</t>
        </is>
      </c>
    </row>
    <row r="6" ht="70" customHeight="1">
      <c r="B6" s="19" t="inlineStr">
        <is>
          <t>DealPME est une infrastructure de confiance pour la transmission et la reprise de PME : elle vérifie les acteurs, prépare les dossiers, met en relation sous confidentialité contrôlée, sécurise la divulgation d'information et orchestre la transaction avec des professionnels. DealPME est un fournisseur logiciel : elle ne valorise pas, ne certifie pas, ne détient pas de fonds et n'est jamais partie à la transaction. La certification Deal-Ready est une décision souveraine et nominative de la CCI-Togo.</t>
        </is>
      </c>
    </row>
    <row r="7">
      <c r="B7" s="2" t="inlineStr">
        <is>
          <t>Signature de marque : « Là où les entreprises changent de mains. »</t>
        </is>
      </c>
    </row>
    <row r="9" ht="22" customHeight="1">
      <c r="B9" s="18" t="inlineStr">
        <is>
          <t>2. Documents de référence et autorité</t>
        </is>
      </c>
    </row>
    <row r="10" ht="24" customHeight="1">
      <c r="B10" s="11" t="inlineStr">
        <is>
          <t>Document</t>
        </is>
      </c>
      <c r="C10" s="11" t="inlineStr">
        <is>
          <t>Rôle</t>
        </is>
      </c>
      <c r="D10" s="11" t="inlineStr">
        <is>
          <t>Statut retenu</t>
        </is>
      </c>
    </row>
    <row r="11" ht="30" customHeight="1">
      <c r="B11" s="20" t="inlineStr">
        <is>
          <t>Cahier des charges v0 approuvé (54 p., 25/06/2026)</t>
        </is>
      </c>
      <c r="C11" s="20" t="inlineStr">
        <is>
          <t>Spécification technique et juridique, ancrée AUSCGIE / AUDCG / AUPCAP, vendeurs locaux réels</t>
        </is>
      </c>
      <c r="D11" s="20" t="inlineStr">
        <is>
          <t>Autorité principale</t>
        </is>
      </c>
    </row>
    <row r="12" ht="30" customHeight="1">
      <c r="B12" s="20" t="inlineStr">
        <is>
          <t>Référentiel de processus P04 à P25 (50 p., v1.0, contractuel CCI-Togo)</t>
        </is>
      </c>
      <c r="C12" s="20" t="inlineStr">
        <is>
          <t>22 processus opposables, RACI, contrôles, indicateurs ; dérive directement du v0</t>
        </is>
      </c>
      <c r="D12" s="20" t="inlineStr">
        <is>
          <t>Autorité opérationnelle</t>
        </is>
      </c>
    </row>
    <row r="13" ht="30" customHeight="1">
      <c r="B13" s="20" t="inlineStr">
        <is>
          <t>Note investisseurs et partenaires (28 p., 26/06/2026)</t>
        </is>
      </c>
      <c r="C13" s="20" t="inlineStr">
        <is>
          <t>Thèse, marché, monétisation, feuille de route</t>
        </is>
      </c>
      <c r="D13" s="20" t="inlineStr">
        <is>
          <t>Contexte stratégique</t>
        </is>
      </c>
    </row>
    <row r="14" ht="30" customHeight="1">
      <c r="B14" s="20" t="inlineStr">
        <is>
          <t>Services Blueprint v5.0</t>
        </is>
      </c>
      <c r="C14" s="20" t="inlineStr">
        <is>
          <t>Vision générique (escrow, valorisation automatique, KYC biométrique, hub courtiers) non retrouvée dans le v0 ni le référentiel</t>
        </is>
      </c>
      <c r="D14" s="20" t="inlineStr">
        <is>
          <t>Non retenu</t>
        </is>
      </c>
    </row>
    <row r="15" ht="30" customHeight="1">
      <c r="B15" s="20" t="inlineStr">
        <is>
          <t>Master Developer Handoff V3.1 (12 cas, 24 scénarios, 6 Skills)</t>
        </is>
      </c>
      <c r="C15" s="20" t="inlineStr">
        <is>
          <t>Corpus de référence exécutable : maquettes et fixtures servant d'oracle de test, pas de code de production</t>
        </is>
      </c>
      <c r="D15" s="20" t="inlineStr">
        <is>
          <t>Socle de conception à porter en production</t>
        </is>
      </c>
    </row>
    <row r="17" ht="22" customHeight="1">
      <c r="B17" s="18" t="inlineStr">
        <is>
          <t>3. Socle réglementaire qui gouverne tout le reste</t>
        </is>
      </c>
    </row>
    <row r="18" ht="44" customHeight="1">
      <c r="B18" s="19" t="inlineStr">
        <is>
          <t>Bifurcation des types de cession : chaque dossier est typé dès l'origine ASSET_DEAL (fonds de commerce, librement commercialisable) ou SHARE_DEAL (titres, cercle fermé obligatoire). La forme juridique de la cible est vérifiée au RCCM.</t>
        </is>
      </c>
    </row>
    <row r="19" ht="70" customHeight="1">
      <c r="B19" s="19" t="inlineStr">
        <is>
          <t>Regulatory Perimeter Service (RPS) : service indépendant qui applique trois paliers de divulgation. T0 : existence (secteur, région, taille). T1 : teaser anonymisé, jamais de prix ni d'identité. T2 : identité, prix et data room, uniquement après NDA. Compteur de divulgation par personne, plafond de cercle (défaut 50), filtre de communication, journal append-only haché. L'admission n'est jamais automatique.</t>
        </is>
      </c>
    </row>
    <row r="20" ht="56" customHeight="1">
      <c r="B20" s="19" t="inlineStr">
        <is>
          <t>Dix portes de conformité (G1 à G10) doivent être fermées avant tout lancement commercial : déclaration IPDCP, transfert transfrontalier, prestataire de signature qualifié, revues juridiques, avis écrit sur le RPS, audit du texte d'interface, recalcul de la rétrocession, DPO nommé, pentest indépendant.</t>
        </is>
      </c>
    </row>
    <row r="21" ht="22" customHeight="1">
      <c r="B21" s="18" t="inlineStr">
        <is>
          <t>4. Pipeline transactionnel</t>
        </is>
      </c>
    </row>
    <row r="22" ht="44" customHeight="1">
      <c r="B22" s="21" t="inlineStr">
        <is>
          <t>Compte vérifié  &gt;  Qualifié  &gt;  Admis (RPS)  &gt;  NDA signé  &gt;  T2 autorisé  &gt;  Data room et Q&amp;R  &gt;  LOI et audit d'acquisition  &gt;  Réalisation documentée. Chaque état est un sur-ensemble strict du précédent ; aucune étape ne peut être sautée sans règle documentée.</t>
        </is>
      </c>
    </row>
    <row r="23" ht="22" customHeight="1">
      <c r="B23" s="18" t="inlineStr">
        <is>
          <t>5. Intégrations réelles retenues par le v0</t>
        </is>
      </c>
    </row>
    <row r="24" ht="24" customHeight="1">
      <c r="B24" s="11" t="inlineStr">
        <is>
          <t>Besoin</t>
        </is>
      </c>
      <c r="C24" s="11" t="inlineStr">
        <is>
          <t>Vendeurs retenus</t>
        </is>
      </c>
      <c r="D24" s="11" t="inlineStr">
        <is>
          <t>Note</t>
        </is>
      </c>
    </row>
    <row r="25" ht="30" customHeight="1">
      <c r="B25" s="20" t="inlineStr">
        <is>
          <t>Mobile money</t>
        </is>
      </c>
      <c r="C25" s="20" t="inlineStr">
        <is>
          <t>CinetPay, PayDunya, Hub2, PayGate Global, Gozem Pay</t>
        </is>
      </c>
      <c r="D25" s="20" t="inlineStr">
        <is>
          <t>Rails réels : T-Money, Flooz, Gozem Money ; pas de carte bancaire par défaut</t>
        </is>
      </c>
    </row>
    <row r="26" ht="30" customHeight="1">
      <c r="B26" s="20" t="inlineStr">
        <is>
          <t>Signature électronique</t>
        </is>
      </c>
      <c r="C26" s="20" t="inlineStr">
        <is>
          <t>Prestataire togolais accrédité ARCEP (PSC)</t>
        </is>
      </c>
      <c r="D26" s="20" t="inlineStr">
        <is>
          <t>Présomption légale de fiabilité, critère décisif</t>
        </is>
      </c>
    </row>
    <row r="27" ht="30" customHeight="1">
      <c r="B27" s="20" t="inlineStr">
        <is>
          <t>Vérification d'identité</t>
        </is>
      </c>
      <c r="C27" s="20" t="inlineStr">
        <is>
          <t>Capture documentaire, revue humaine, OTP</t>
        </is>
      </c>
      <c r="D27" s="20" t="inlineStr">
        <is>
          <t>Aucune biométrie en v0</t>
        </is>
      </c>
    </row>
    <row r="28" ht="30" customHeight="1">
      <c r="B28" s="20" t="inlineStr">
        <is>
          <t>Registre des entreprises</t>
        </is>
      </c>
      <c r="C28" s="20" t="inlineStr">
        <is>
          <t>CFE / RCCM</t>
        </is>
      </c>
      <c r="D28" s="20" t="inlineStr">
        <is>
          <t>Si aucune API : échange de fichier supervisé</t>
        </is>
      </c>
    </row>
    <row r="29" ht="30" customHeight="1">
      <c r="B29" s="20" t="inlineStr">
        <is>
          <t>Archivage de preuve</t>
        </is>
      </c>
      <c r="C29" s="20" t="inlineStr">
        <is>
          <t>PSAE accrédité</t>
        </is>
      </c>
      <c r="D29" s="20" t="inlineStr">
        <is>
          <t>Valeur probante du NDA</t>
        </is>
      </c>
    </row>
    <row r="30" ht="30" customHeight="1">
      <c r="B30" s="20" t="inlineStr">
        <is>
          <t>Événements et rendez-vous virtuels</t>
        </is>
      </c>
      <c r="C30" s="20" t="inlineStr">
        <is>
          <t>Remo.co</t>
        </is>
      </c>
      <c r="D30" s="20" t="inlineStr">
        <is>
          <t>Connecteur externe pour Deal-Connect et Guichet Diaspora</t>
        </is>
      </c>
    </row>
    <row r="31" ht="30" customHeight="1">
      <c r="B31" s="20" t="inlineStr">
        <is>
          <t>Fiscalité</t>
        </is>
      </c>
      <c r="C31" s="20" t="inlineStr">
        <is>
          <t>Partenaire tiers à confirmer</t>
        </is>
      </c>
      <c r="D31" s="20" t="inlineStr">
        <is>
          <t>Le nom TaxeFacile n'apparaît que dans le blueprint v5</t>
        </is>
      </c>
    </row>
    <row r="33" ht="22" customHeight="1">
      <c r="B33" s="18" t="inlineStr">
        <is>
          <t>6. Exigences transverses</t>
        </is>
      </c>
    </row>
    <row r="34" ht="24" customHeight="1">
      <c r="B34" s="11" t="inlineStr">
        <is>
          <t>Domaine</t>
        </is>
      </c>
      <c r="C34" s="11" t="inlineStr">
        <is>
          <t>Exigence</t>
        </is>
      </c>
    </row>
    <row r="35" ht="30" customHeight="1">
      <c r="B35" s="20" t="inlineStr">
        <is>
          <t>Disponibilité</t>
        </is>
      </c>
      <c r="C35" s="20" t="inlineStr">
        <is>
          <t>99,5 % mensuel, obligation de résultat contractuelle ; RPO 1 h, RTO 4 h ; priorités P1 à P4 avec délais</t>
        </is>
      </c>
    </row>
    <row r="36" ht="30" customHeight="1">
      <c r="B36" s="20" t="inlineStr">
        <is>
          <t>Capacité pilote</t>
        </is>
      </c>
      <c r="C36" s="20" t="inlineStr">
        <is>
          <t>2 000 comptes, 300 sessions concurrentes, 200 deals actifs, 20 000 documents ; test de charge à 2x ; ne pas sur-construire</t>
        </is>
      </c>
    </row>
    <row r="37" ht="30" customHeight="1">
      <c r="B37" s="20" t="inlineStr">
        <is>
          <t>Sécurité</t>
        </is>
      </c>
      <c r="C37" s="20" t="inlineStr">
        <is>
          <t>TLS 1.3, AES-256, chiffrement applicatif des champs CONFIDENTIAL_DEAL, séparation VDR / marketplace, idempotence des webhooks, pentest</t>
        </is>
      </c>
    </row>
    <row r="38" ht="30" customHeight="1">
      <c r="B38" s="20" t="inlineStr">
        <is>
          <t>Localisation</t>
        </is>
      </c>
      <c r="C38" s="20" t="inlineStr">
        <is>
          <t>Français langue source, formats FCFA sans décimale, termes OHADA jamais traduits, dates DD/MM/YYYY</t>
        </is>
      </c>
    </row>
    <row r="39" ht="30" customHeight="1">
      <c r="B39" s="20" t="inlineStr">
        <is>
          <t>Ingénierie</t>
        </is>
      </c>
      <c r="C39" s="20" t="inlineStr">
        <is>
          <t>Monorepo apps/ et packages/, RPS déployé séparément, REST /v1, UUIDv7, montants en entier XOF, pagination par curseur</t>
        </is>
      </c>
    </row>
    <row r="41" ht="22" customHeight="1">
      <c r="B41" s="18" t="inlineStr">
        <is>
          <t>7. Hors périmètre v0 (à ne pas construire maintenant)</t>
        </is>
      </c>
    </row>
    <row r="42" ht="24" customHeight="1">
      <c r="B42" s="11" t="inlineStr">
        <is>
          <t>Élément</t>
        </is>
      </c>
      <c r="C42" s="11" t="inlineStr">
        <is>
          <t>Statut</t>
        </is>
      </c>
      <c r="D42" s="11" t="inlineStr">
        <is>
          <t>Raison</t>
        </is>
      </c>
    </row>
    <row r="43" ht="30" customHeight="1">
      <c r="B43" s="20" t="inlineStr">
        <is>
          <t>Deal-Pay et séquestre (escrow)</t>
        </is>
      </c>
      <c r="C43" s="20" t="inlineStr">
        <is>
          <t>Hors périmètre v0</t>
        </is>
      </c>
      <c r="D43" s="20" t="inlineStr">
        <is>
          <t>Frontière d'intégration partenaire licencié désactivée ; avenant requis</t>
        </is>
      </c>
    </row>
    <row r="44" ht="30" customHeight="1">
      <c r="B44" s="20" t="inlineStr">
        <is>
          <t>Valorisation algorithmique automatique</t>
        </is>
      </c>
      <c r="C44" s="20" t="inlineStr">
        <is>
          <t>Hors périmètre v0</t>
        </is>
      </c>
      <c r="D44" s="20" t="inlineStr">
        <is>
          <t>Le v0 interdit toute fourchette présentée comme un avis DealPME</t>
        </is>
      </c>
    </row>
    <row r="45" ht="30" customHeight="1">
      <c r="B45" s="20" t="inlineStr">
        <is>
          <t>Certification automatique / score de readiness</t>
        </is>
      </c>
      <c r="C45" s="20" t="inlineStr">
        <is>
          <t>Hors périmètre v0</t>
        </is>
      </c>
      <c r="D45" s="20" t="inlineStr">
        <is>
          <t>Décision nominative CCI-Togo obligatoire</t>
        </is>
      </c>
    </row>
    <row r="46" ht="30" customHeight="1">
      <c r="B46" s="20" t="inlineStr">
        <is>
          <t>KYC biométrique</t>
        </is>
      </c>
      <c r="C46" s="20" t="inlineStr">
        <is>
          <t>Différé (P2)</t>
        </is>
      </c>
      <c r="D46" s="20" t="inlineStr">
        <is>
          <t>Activable après autorisation IPDCP, sous drapeau fonctionnel</t>
        </is>
      </c>
    </row>
    <row r="47" ht="30" customHeight="1">
      <c r="B47" s="20" t="inlineStr">
        <is>
          <t>Broker Agency Hub multi-tenant</t>
        </is>
      </c>
      <c r="C47" s="20" t="inlineStr">
        <is>
          <t>Hors périmètre v0</t>
        </is>
      </c>
      <c r="D47" s="20" t="inlineStr">
        <is>
          <t>Pas de compte maître de cabinet M&amp;A dans le v0</t>
        </is>
      </c>
    </row>
    <row r="48" ht="30" customHeight="1">
      <c r="B48" s="20" t="inlineStr">
        <is>
          <t>Marques globales génériques (Stripe, DocuSign, SumSub, Ecobank)</t>
        </is>
      </c>
      <c r="C48" s="20" t="inlineStr">
        <is>
          <t>Hors périmètre v0</t>
        </is>
      </c>
      <c r="D48" s="20" t="inlineStr">
        <is>
          <t>Remplacées par des vendeurs locaux réels</t>
        </is>
      </c>
    </row>
    <row r="50" ht="22" customHeight="1">
      <c r="B50" s="18" t="inlineStr">
        <is>
          <t>8. Décisions actées</t>
        </is>
      </c>
    </row>
    <row r="51" ht="18" customHeight="1">
      <c r="B51" s="19" t="inlineStr">
        <is>
          <t>- Le cahier des charges v0 et le Référentiel P04 à P25 sont la cible finale ; le blueprint v5 n'est pas retenu.</t>
        </is>
      </c>
    </row>
    <row r="52" ht="18" customHeight="1">
      <c r="B52" s="19" t="inlineStr">
        <is>
          <t>- Remo.co est retenu comme connecteur externe pour les salons et rendez-vous virtuels ; intégration dès V1, billetterie et sponsoring en V4.</t>
        </is>
      </c>
    </row>
    <row r="53" ht="18" customHeight="1">
      <c r="B53" s="19" t="inlineStr">
        <is>
          <t>- V1 inclut une démonstration maquettée du blocage RPS (+20 j/p) ; le circuit réel reste en V2.</t>
        </is>
      </c>
    </row>
  </sheetData>
  <mergeCells count="17">
    <mergeCell ref="B9:I9"/>
    <mergeCell ref="B18:I18"/>
    <mergeCell ref="B52:I52"/>
    <mergeCell ref="B21:I21"/>
    <mergeCell ref="B53:I53"/>
    <mergeCell ref="B7:I7"/>
    <mergeCell ref="B33:I33"/>
    <mergeCell ref="B6:I6"/>
    <mergeCell ref="B51:I51"/>
    <mergeCell ref="B20:I20"/>
    <mergeCell ref="B5:I5"/>
    <mergeCell ref="B19:I19"/>
    <mergeCell ref="B22:I22"/>
    <mergeCell ref="B23:I23"/>
    <mergeCell ref="B41:I41"/>
    <mergeCell ref="B50:I50"/>
    <mergeCell ref="B17:I17"/>
  </mergeCells>
  <pageMargins left="0.75" right="0.75" top="1" bottom="1" header="0.5" footer="0.5"/>
</worksheet>
</file>

<file path=xl/worksheets/sheet3.xml><?xml version="1.0" encoding="utf-8"?>
<worksheet xmlns="http://schemas.openxmlformats.org/spreadsheetml/2006/main">
  <sheetPr>
    <tabColor rgb="001C2751"/>
    <outlinePr summaryBelow="1" summaryRight="1"/>
    <pageSetUpPr/>
  </sheetPr>
  <dimension ref="B2:I1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6" customWidth="1" min="3" max="3"/>
    <col width="16" customWidth="1" min="4" max="4"/>
    <col width="14" customWidth="1" min="5" max="5"/>
    <col width="14" customWidth="1" min="6" max="6"/>
    <col width="14" customWidth="1" min="7" max="7"/>
    <col width="14" customWidth="1" min="8" max="8"/>
    <col width="30" customWidth="1" min="9" max="9"/>
  </cols>
  <sheetData>
    <row r="2">
      <c r="B2" s="1" t="inlineStr">
        <is>
          <t>Feuille de route V1 à V5</t>
        </is>
      </c>
    </row>
    <row r="3">
      <c r="B3" s="17" t="inlineStr">
        <is>
          <t>Détail de chaque version. Les charges et avancements par lot sont calculés depuis l'onglet Taches.</t>
        </is>
      </c>
    </row>
    <row r="5" ht="26" customHeight="1">
      <c r="B5" s="22" t="inlineStr">
        <is>
          <t>V1  Premier produit : cessions d'actifs, espace CCI-Togo, Deal-Ready, démonstration du blocage RPS, Deal-Connect via Remo.co</t>
        </is>
      </c>
    </row>
    <row r="6" ht="28" customHeight="1">
      <c r="B6" s="23" t="inlineStr">
        <is>
          <t>Début prévu</t>
        </is>
      </c>
      <c r="C6" s="23" t="inlineStr">
        <is>
          <t>Fin prévue</t>
        </is>
      </c>
      <c r="D6" s="23" t="inlineStr">
        <is>
          <t>Charge (j/p)</t>
        </is>
      </c>
      <c r="E6" s="23" t="inlineStr">
        <is>
          <t>Charge (sem.-pers.)</t>
        </is>
      </c>
      <c r="F6" s="23" t="inlineStr">
        <is>
          <t>Avancement</t>
        </is>
      </c>
      <c r="G6" s="23" t="inlineStr">
        <is>
          <t>État</t>
        </is>
      </c>
      <c r="H6" s="23" t="inlineStr">
        <is>
          <t>Semaines calendaires</t>
        </is>
      </c>
      <c r="I6" s="23" t="inlineStr">
        <is>
          <t>ETP requis à pleine cadence</t>
        </is>
      </c>
    </row>
    <row r="7">
      <c r="B7" s="24">
        <f>Versions!D6</f>
        <v/>
      </c>
      <c r="C7" s="24">
        <f>Versions!E6</f>
        <v/>
      </c>
      <c r="D7" s="25">
        <f>Versions!G6</f>
        <v/>
      </c>
      <c r="E7" s="26">
        <f>Versions!H6</f>
        <v/>
      </c>
      <c r="F7" s="27">
        <f>Versions!J6</f>
        <v/>
      </c>
      <c r="G7" s="28">
        <f>Versions!P6</f>
        <v/>
      </c>
      <c r="H7" s="26">
        <f>ROUND((Versions!E6-Versions!D6)/7,1)</f>
        <v/>
      </c>
      <c r="I7" s="26">
        <f>IFERROR(ROUND(Versions!H6/((Versions!E6-Versions!D6)/7),1),0)</f>
        <v/>
      </c>
    </row>
    <row r="8" ht="48" customHeight="1">
      <c r="B8" s="19" t="inlineStr">
        <is>
          <t>Premier produit de démonstration, à données synthétiques, pour faire comprendre le fonctionnement de DealPME. Cessions d'actifs uniquement, plus une démonstration maquettée du blocage RPS. La CCI-Togo confirme l'adhésion et décide seule de la certification.</t>
        </is>
      </c>
    </row>
    <row r="9">
      <c r="B9" s="3" t="inlineStr">
        <is>
          <t>Inclus</t>
        </is>
      </c>
      <c r="F9" s="3" t="inlineStr">
        <is>
          <t>Exclu ou reporté</t>
        </is>
      </c>
    </row>
    <row r="10" ht="30" customHeight="1">
      <c r="B10" s="19" t="inlineStr">
        <is>
          <t>+ Authentification et rôles : cédant, investisseur, agent CCI-Togo, administrateur</t>
        </is>
      </c>
      <c r="F10" s="29" t="inlineStr">
        <is>
          <t>- Circuit RPS réel : admission humaine, compteur, plafond, journal réglementaire (V2)</t>
        </is>
      </c>
    </row>
    <row r="11" ht="30" customHeight="1">
      <c r="B11" s="19" t="inlineStr">
        <is>
          <t>+ Espace CCI-Togo : confirmation d'adhésion, vérification RCCM/CFE, décision de certification nominative</t>
        </is>
      </c>
      <c r="F11" s="29" t="inlineStr">
        <is>
          <t>- Data room chiffrée, filigranée, révocable et Q&amp;R (V2)</t>
        </is>
      </c>
    </row>
    <row r="12" ht="30" customHeight="1">
      <c r="B12" s="19" t="inlineStr">
        <is>
          <t>+ Pass Transmission : constitution du dossier cédant</t>
        </is>
      </c>
      <c r="F12" s="29" t="inlineStr">
        <is>
          <t>- Moteur d'honoraires et rétrocession CCI (V3)</t>
        </is>
      </c>
    </row>
    <row r="13" ht="30" customHeight="1">
      <c r="B13" s="19" t="inlineStr">
        <is>
          <t>+ Marketplace de cessions d'actifs : recherche et mise en relation simple</t>
        </is>
      </c>
      <c r="F13" s="29" t="inlineStr">
        <is>
          <t>- Alerte &amp; Rebond, billetterie et sponsoring Deal-Connect, rendez-vous mutuels, rapport post-événement, profil diaspora complet (V4)</t>
        </is>
      </c>
    </row>
    <row r="14" ht="30" customHeight="1">
      <c r="B14" s="19" t="inlineStr">
        <is>
          <t>+ Évaluation financière sommaire et indicative</t>
        </is>
      </c>
    </row>
    <row r="15" ht="30" customHeight="1">
      <c r="B15" s="19" t="inlineStr">
        <is>
          <t>+ Badge Deal-Ready affiché, workflow porté par la CCI-Togo</t>
        </is>
      </c>
    </row>
    <row r="16" ht="30" customHeight="1">
      <c r="B16" s="19" t="inlineStr">
        <is>
          <t>+ Démonstration maquettée du blocage RPS (bannière de nullité, scénario scripté)</t>
        </is>
      </c>
    </row>
    <row r="17" ht="30" customHeight="1">
      <c r="B17" s="19" t="inlineStr">
        <is>
          <t>+ Deal-Connect via Remo.co : événements, inscriptions avec consentement, lien d'accès unique, présence par webhook</t>
        </is>
      </c>
    </row>
    <row r="18" ht="30" customHeight="1">
      <c r="B18" s="19" t="inlineStr">
        <is>
          <t>+ Guichet Diaspora léger : demande de rendez-vous avec avis transfrontalier, entretien vidéo Remo après confirmation humaine</t>
        </is>
      </c>
    </row>
    <row r="19" ht="30" customHeight="1">
      <c r="B19" s="19" t="inlineStr">
        <is>
          <t>+ Lot Sécurité : RLS effective, anti-force-brute, MFA officiers et administrateurs, chiffrement applicatif, en-têtes, idempotence et signatures de webhooks, revue interne</t>
        </is>
      </c>
    </row>
    <row r="21" ht="24" customHeight="1">
      <c r="B21" s="11" t="inlineStr">
        <is>
          <t>Lot</t>
        </is>
      </c>
      <c r="C21" s="11" t="inlineStr">
        <is>
          <t>Charge (j/p)</t>
        </is>
      </c>
      <c r="D21" s="11" t="inlineStr">
        <is>
          <t>Réalisé (j/p)</t>
        </is>
      </c>
      <c r="E21" s="11" t="inlineStr">
        <is>
          <t>Avancement</t>
        </is>
      </c>
      <c r="F21" s="11" t="inlineStr">
        <is>
          <t>Tâches</t>
        </is>
      </c>
      <c r="G21" s="11" t="inlineStr">
        <is>
          <t>Complétées</t>
        </is>
      </c>
      <c r="H21" s="11" t="inlineStr">
        <is>
          <t>Bloquées</t>
        </is>
      </c>
      <c r="I21" s="11" t="inlineStr">
        <is>
          <t>En retard</t>
        </is>
      </c>
    </row>
    <row r="22">
      <c r="B22" s="13" t="inlineStr">
        <is>
          <t>Fondations</t>
        </is>
      </c>
      <c r="C22" s="12">
        <f>SUMIFS(Taches!$M$6:$M$325,Taches!$C$6:$C$325,"V1",Taches!$E$6:$E$325,$B22)</f>
        <v/>
      </c>
      <c r="D22" s="15">
        <f>SUMIFS(Taches!$N$6:$N$325,Taches!$C$6:$C$325,"V1",Taches!$E$6:$E$325,$B22)</f>
        <v/>
      </c>
      <c r="E22" s="16">
        <f>IF(C22=0,0,D22/C22)</f>
        <v/>
      </c>
      <c r="F22" s="12">
        <f>COUNTIFS(Taches!$C$6:$C$325,"V1",Taches!$E$6:$E$325,$B22,Taches!$J$6:$J$325,"&lt;&gt;Abandonnée",Taches!$B$6:$B$325,"&lt;&gt;")</f>
        <v/>
      </c>
      <c r="G22" s="12">
        <f>COUNTIFS(Taches!$C$6:$C$325,"V1",Taches!$E$6:$E$325,$B22,Taches!$J$6:$J$325,"Complétée")</f>
        <v/>
      </c>
      <c r="H22" s="12">
        <f>COUNTIFS(Taches!$C$6:$C$325,"V1",Taches!$E$6:$E$325,$B22,Taches!$J$6:$J$325,"Bloquée")</f>
        <v/>
      </c>
      <c r="I22" s="12">
        <f>COUNTIFS(Taches!$C$6:$C$325,"V1",Taches!$E$6:$E$325,$B22,Taches!$U$6:$U$325,"En retard")</f>
        <v/>
      </c>
    </row>
    <row r="23">
      <c r="B23" s="13" t="inlineStr">
        <is>
          <t>Auth et rôles</t>
        </is>
      </c>
      <c r="C23" s="12">
        <f>SUMIFS(Taches!$M$6:$M$325,Taches!$C$6:$C$325,"V1",Taches!$E$6:$E$325,$B23)</f>
        <v/>
      </c>
      <c r="D23" s="15">
        <f>SUMIFS(Taches!$N$6:$N$325,Taches!$C$6:$C$325,"V1",Taches!$E$6:$E$325,$B23)</f>
        <v/>
      </c>
      <c r="E23" s="16">
        <f>IF(C23=0,0,D23/C23)</f>
        <v/>
      </c>
      <c r="F23" s="12">
        <f>COUNTIFS(Taches!$C$6:$C$325,"V1",Taches!$E$6:$E$325,$B23,Taches!$J$6:$J$325,"&lt;&gt;Abandonnée",Taches!$B$6:$B$325,"&lt;&gt;")</f>
        <v/>
      </c>
      <c r="G23" s="12">
        <f>COUNTIFS(Taches!$C$6:$C$325,"V1",Taches!$E$6:$E$325,$B23,Taches!$J$6:$J$325,"Complétée")</f>
        <v/>
      </c>
      <c r="H23" s="12">
        <f>COUNTIFS(Taches!$C$6:$C$325,"V1",Taches!$E$6:$E$325,$B23,Taches!$J$6:$J$325,"Bloquée")</f>
        <v/>
      </c>
      <c r="I23" s="12">
        <f>COUNTIFS(Taches!$C$6:$C$325,"V1",Taches!$E$6:$E$325,$B23,Taches!$U$6:$U$325,"En retard")</f>
        <v/>
      </c>
    </row>
    <row r="24">
      <c r="B24" s="13" t="inlineStr">
        <is>
          <t>Espace CCI-Togo</t>
        </is>
      </c>
      <c r="C24" s="12">
        <f>SUMIFS(Taches!$M$6:$M$325,Taches!$C$6:$C$325,"V1",Taches!$E$6:$E$325,$B24)</f>
        <v/>
      </c>
      <c r="D24" s="15">
        <f>SUMIFS(Taches!$N$6:$N$325,Taches!$C$6:$C$325,"V1",Taches!$E$6:$E$325,$B24)</f>
        <v/>
      </c>
      <c r="E24" s="16">
        <f>IF(C24=0,0,D24/C24)</f>
        <v/>
      </c>
      <c r="F24" s="12">
        <f>COUNTIFS(Taches!$C$6:$C$325,"V1",Taches!$E$6:$E$325,$B24,Taches!$J$6:$J$325,"&lt;&gt;Abandonnée",Taches!$B$6:$B$325,"&lt;&gt;")</f>
        <v/>
      </c>
      <c r="G24" s="12">
        <f>COUNTIFS(Taches!$C$6:$C$325,"V1",Taches!$E$6:$E$325,$B24,Taches!$J$6:$J$325,"Complétée")</f>
        <v/>
      </c>
      <c r="H24" s="12">
        <f>COUNTIFS(Taches!$C$6:$C$325,"V1",Taches!$E$6:$E$325,$B24,Taches!$J$6:$J$325,"Bloquée")</f>
        <v/>
      </c>
      <c r="I24" s="12">
        <f>COUNTIFS(Taches!$C$6:$C$325,"V1",Taches!$E$6:$E$325,$B24,Taches!$U$6:$U$325,"En retard")</f>
        <v/>
      </c>
    </row>
    <row r="25">
      <c r="B25" s="13" t="inlineStr">
        <is>
          <t>Deal-Ready</t>
        </is>
      </c>
      <c r="C25" s="12">
        <f>SUMIFS(Taches!$M$6:$M$325,Taches!$C$6:$C$325,"V1",Taches!$E$6:$E$325,$B25)</f>
        <v/>
      </c>
      <c r="D25" s="15">
        <f>SUMIFS(Taches!$N$6:$N$325,Taches!$C$6:$C$325,"V1",Taches!$E$6:$E$325,$B25)</f>
        <v/>
      </c>
      <c r="E25" s="16">
        <f>IF(C25=0,0,D25/C25)</f>
        <v/>
      </c>
      <c r="F25" s="12">
        <f>COUNTIFS(Taches!$C$6:$C$325,"V1",Taches!$E$6:$E$325,$B25,Taches!$J$6:$J$325,"&lt;&gt;Abandonnée",Taches!$B$6:$B$325,"&lt;&gt;")</f>
        <v/>
      </c>
      <c r="G25" s="12">
        <f>COUNTIFS(Taches!$C$6:$C$325,"V1",Taches!$E$6:$E$325,$B25,Taches!$J$6:$J$325,"Complétée")</f>
        <v/>
      </c>
      <c r="H25" s="12">
        <f>COUNTIFS(Taches!$C$6:$C$325,"V1",Taches!$E$6:$E$325,$B25,Taches!$J$6:$J$325,"Bloquée")</f>
        <v/>
      </c>
      <c r="I25" s="12">
        <f>COUNTIFS(Taches!$C$6:$C$325,"V1",Taches!$E$6:$E$325,$B25,Taches!$U$6:$U$325,"En retard")</f>
        <v/>
      </c>
    </row>
    <row r="26">
      <c r="B26" s="13" t="inlineStr">
        <is>
          <t>Dossier cédant</t>
        </is>
      </c>
      <c r="C26" s="12">
        <f>SUMIFS(Taches!$M$6:$M$325,Taches!$C$6:$C$325,"V1",Taches!$E$6:$E$325,$B26)</f>
        <v/>
      </c>
      <c r="D26" s="15">
        <f>SUMIFS(Taches!$N$6:$N$325,Taches!$C$6:$C$325,"V1",Taches!$E$6:$E$325,$B26)</f>
        <v/>
      </c>
      <c r="E26" s="16">
        <f>IF(C26=0,0,D26/C26)</f>
        <v/>
      </c>
      <c r="F26" s="12">
        <f>COUNTIFS(Taches!$C$6:$C$325,"V1",Taches!$E$6:$E$325,$B26,Taches!$J$6:$J$325,"&lt;&gt;Abandonnée",Taches!$B$6:$B$325,"&lt;&gt;")</f>
        <v/>
      </c>
      <c r="G26" s="12">
        <f>COUNTIFS(Taches!$C$6:$C$325,"V1",Taches!$E$6:$E$325,$B26,Taches!$J$6:$J$325,"Complétée")</f>
        <v/>
      </c>
      <c r="H26" s="12">
        <f>COUNTIFS(Taches!$C$6:$C$325,"V1",Taches!$E$6:$E$325,$B26,Taches!$J$6:$J$325,"Bloquée")</f>
        <v/>
      </c>
      <c r="I26" s="12">
        <f>COUNTIFS(Taches!$C$6:$C$325,"V1",Taches!$E$6:$E$325,$B26,Taches!$U$6:$U$325,"En retard")</f>
        <v/>
      </c>
    </row>
    <row r="27">
      <c r="B27" s="13" t="inlineStr">
        <is>
          <t>Marketplace actifs</t>
        </is>
      </c>
      <c r="C27" s="12">
        <f>SUMIFS(Taches!$M$6:$M$325,Taches!$C$6:$C$325,"V1",Taches!$E$6:$E$325,$B27)</f>
        <v/>
      </c>
      <c r="D27" s="15">
        <f>SUMIFS(Taches!$N$6:$N$325,Taches!$C$6:$C$325,"V1",Taches!$E$6:$E$325,$B27)</f>
        <v/>
      </c>
      <c r="E27" s="16">
        <f>IF(C27=0,0,D27/C27)</f>
        <v/>
      </c>
      <c r="F27" s="12">
        <f>COUNTIFS(Taches!$C$6:$C$325,"V1",Taches!$E$6:$E$325,$B27,Taches!$J$6:$J$325,"&lt;&gt;Abandonnée",Taches!$B$6:$B$325,"&lt;&gt;")</f>
        <v/>
      </c>
      <c r="G27" s="12">
        <f>COUNTIFS(Taches!$C$6:$C$325,"V1",Taches!$E$6:$E$325,$B27,Taches!$J$6:$J$325,"Complétée")</f>
        <v/>
      </c>
      <c r="H27" s="12">
        <f>COUNTIFS(Taches!$C$6:$C$325,"V1",Taches!$E$6:$E$325,$B27,Taches!$J$6:$J$325,"Bloquée")</f>
        <v/>
      </c>
      <c r="I27" s="12">
        <f>COUNTIFS(Taches!$C$6:$C$325,"V1",Taches!$E$6:$E$325,$B27,Taches!$U$6:$U$325,"En retard")</f>
        <v/>
      </c>
    </row>
    <row r="28">
      <c r="B28" s="13" t="inlineStr">
        <is>
          <t>Évaluation indicative</t>
        </is>
      </c>
      <c r="C28" s="12">
        <f>SUMIFS(Taches!$M$6:$M$325,Taches!$C$6:$C$325,"V1",Taches!$E$6:$E$325,$B28)</f>
        <v/>
      </c>
      <c r="D28" s="15">
        <f>SUMIFS(Taches!$N$6:$N$325,Taches!$C$6:$C$325,"V1",Taches!$E$6:$E$325,$B28)</f>
        <v/>
      </c>
      <c r="E28" s="16">
        <f>IF(C28=0,0,D28/C28)</f>
        <v/>
      </c>
      <c r="F28" s="12">
        <f>COUNTIFS(Taches!$C$6:$C$325,"V1",Taches!$E$6:$E$325,$B28,Taches!$J$6:$J$325,"&lt;&gt;Abandonnée",Taches!$B$6:$B$325,"&lt;&gt;")</f>
        <v/>
      </c>
      <c r="G28" s="12">
        <f>COUNTIFS(Taches!$C$6:$C$325,"V1",Taches!$E$6:$E$325,$B28,Taches!$J$6:$J$325,"Complétée")</f>
        <v/>
      </c>
      <c r="H28" s="12">
        <f>COUNTIFS(Taches!$C$6:$C$325,"V1",Taches!$E$6:$E$325,$B28,Taches!$J$6:$J$325,"Bloquée")</f>
        <v/>
      </c>
      <c r="I28" s="12">
        <f>COUNTIFS(Taches!$C$6:$C$325,"V1",Taches!$E$6:$E$325,$B28,Taches!$U$6:$U$325,"En retard")</f>
        <v/>
      </c>
    </row>
    <row r="29">
      <c r="B29" s="13" t="inlineStr">
        <is>
          <t>Démonstration RPS</t>
        </is>
      </c>
      <c r="C29" s="12">
        <f>SUMIFS(Taches!$M$6:$M$325,Taches!$C$6:$C$325,"V1",Taches!$E$6:$E$325,$B29)</f>
        <v/>
      </c>
      <c r="D29" s="15">
        <f>SUMIFS(Taches!$N$6:$N$325,Taches!$C$6:$C$325,"V1",Taches!$E$6:$E$325,$B29)</f>
        <v/>
      </c>
      <c r="E29" s="16">
        <f>IF(C29=0,0,D29/C29)</f>
        <v/>
      </c>
      <c r="F29" s="12">
        <f>COUNTIFS(Taches!$C$6:$C$325,"V1",Taches!$E$6:$E$325,$B29,Taches!$J$6:$J$325,"&lt;&gt;Abandonnée",Taches!$B$6:$B$325,"&lt;&gt;")</f>
        <v/>
      </c>
      <c r="G29" s="12">
        <f>COUNTIFS(Taches!$C$6:$C$325,"V1",Taches!$E$6:$E$325,$B29,Taches!$J$6:$J$325,"Complétée")</f>
        <v/>
      </c>
      <c r="H29" s="12">
        <f>COUNTIFS(Taches!$C$6:$C$325,"V1",Taches!$E$6:$E$325,$B29,Taches!$J$6:$J$325,"Bloquée")</f>
        <v/>
      </c>
      <c r="I29" s="12">
        <f>COUNTIFS(Taches!$C$6:$C$325,"V1",Taches!$E$6:$E$325,$B29,Taches!$U$6:$U$325,"En retard")</f>
        <v/>
      </c>
    </row>
    <row r="30">
      <c r="B30" s="13" t="inlineStr">
        <is>
          <t>Deal-Connect (Remo)</t>
        </is>
      </c>
      <c r="C30" s="12">
        <f>SUMIFS(Taches!$M$6:$M$325,Taches!$C$6:$C$325,"V1",Taches!$E$6:$E$325,$B30)</f>
        <v/>
      </c>
      <c r="D30" s="15">
        <f>SUMIFS(Taches!$N$6:$N$325,Taches!$C$6:$C$325,"V1",Taches!$E$6:$E$325,$B30)</f>
        <v/>
      </c>
      <c r="E30" s="16">
        <f>IF(C30=0,0,D30/C30)</f>
        <v/>
      </c>
      <c r="F30" s="12">
        <f>COUNTIFS(Taches!$C$6:$C$325,"V1",Taches!$E$6:$E$325,$B30,Taches!$J$6:$J$325,"&lt;&gt;Abandonnée",Taches!$B$6:$B$325,"&lt;&gt;")</f>
        <v/>
      </c>
      <c r="G30" s="12">
        <f>COUNTIFS(Taches!$C$6:$C$325,"V1",Taches!$E$6:$E$325,$B30,Taches!$J$6:$J$325,"Complétée")</f>
        <v/>
      </c>
      <c r="H30" s="12">
        <f>COUNTIFS(Taches!$C$6:$C$325,"V1",Taches!$E$6:$E$325,$B30,Taches!$J$6:$J$325,"Bloquée")</f>
        <v/>
      </c>
      <c r="I30" s="12">
        <f>COUNTIFS(Taches!$C$6:$C$325,"V1",Taches!$E$6:$E$325,$B30,Taches!$U$6:$U$325,"En retard")</f>
        <v/>
      </c>
    </row>
    <row r="31">
      <c r="B31" s="13" t="inlineStr">
        <is>
          <t>Sécurité</t>
        </is>
      </c>
      <c r="C31" s="12">
        <f>SUMIFS(Taches!$M$6:$M$325,Taches!$C$6:$C$325,"V1",Taches!$E$6:$E$325,$B31)</f>
        <v/>
      </c>
      <c r="D31" s="15">
        <f>SUMIFS(Taches!$N$6:$N$325,Taches!$C$6:$C$325,"V1",Taches!$E$6:$E$325,$B31)</f>
        <v/>
      </c>
      <c r="E31" s="16">
        <f>IF(C31=0,0,D31/C31)</f>
        <v/>
      </c>
      <c r="F31" s="12">
        <f>COUNTIFS(Taches!$C$6:$C$325,"V1",Taches!$E$6:$E$325,$B31,Taches!$J$6:$J$325,"&lt;&gt;Abandonnée",Taches!$B$6:$B$325,"&lt;&gt;")</f>
        <v/>
      </c>
      <c r="G31" s="12">
        <f>COUNTIFS(Taches!$C$6:$C$325,"V1",Taches!$E$6:$E$325,$B31,Taches!$J$6:$J$325,"Complétée")</f>
        <v/>
      </c>
      <c r="H31" s="12">
        <f>COUNTIFS(Taches!$C$6:$C$325,"V1",Taches!$E$6:$E$325,$B31,Taches!$J$6:$J$325,"Bloquée")</f>
        <v/>
      </c>
      <c r="I31" s="12">
        <f>COUNTIFS(Taches!$C$6:$C$325,"V1",Taches!$E$6:$E$325,$B31,Taches!$U$6:$U$325,"En retard")</f>
        <v/>
      </c>
    </row>
    <row r="32">
      <c r="B32" s="13" t="inlineStr">
        <is>
          <t>Frontend et design</t>
        </is>
      </c>
      <c r="C32" s="12">
        <f>SUMIFS(Taches!$M$6:$M$325,Taches!$C$6:$C$325,"V1",Taches!$E$6:$E$325,$B32)</f>
        <v/>
      </c>
      <c r="D32" s="15">
        <f>SUMIFS(Taches!$N$6:$N$325,Taches!$C$6:$C$325,"V1",Taches!$E$6:$E$325,$B32)</f>
        <v/>
      </c>
      <c r="E32" s="16">
        <f>IF(C32=0,0,D32/C32)</f>
        <v/>
      </c>
      <c r="F32" s="12">
        <f>COUNTIFS(Taches!$C$6:$C$325,"V1",Taches!$E$6:$E$325,$B32,Taches!$J$6:$J$325,"&lt;&gt;Abandonnée",Taches!$B$6:$B$325,"&lt;&gt;")</f>
        <v/>
      </c>
      <c r="G32" s="12">
        <f>COUNTIFS(Taches!$C$6:$C$325,"V1",Taches!$E$6:$E$325,$B32,Taches!$J$6:$J$325,"Complétée")</f>
        <v/>
      </c>
      <c r="H32" s="12">
        <f>COUNTIFS(Taches!$C$6:$C$325,"V1",Taches!$E$6:$E$325,$B32,Taches!$J$6:$J$325,"Bloquée")</f>
        <v/>
      </c>
      <c r="I32" s="12">
        <f>COUNTIFS(Taches!$C$6:$C$325,"V1",Taches!$E$6:$E$325,$B32,Taches!$U$6:$U$325,"En retard")</f>
        <v/>
      </c>
    </row>
    <row r="33">
      <c r="B33" s="13" t="inlineStr">
        <is>
          <t>QA et livraison</t>
        </is>
      </c>
      <c r="C33" s="12">
        <f>SUMIFS(Taches!$M$6:$M$325,Taches!$C$6:$C$325,"V1",Taches!$E$6:$E$325,$B33)</f>
        <v/>
      </c>
      <c r="D33" s="15">
        <f>SUMIFS(Taches!$N$6:$N$325,Taches!$C$6:$C$325,"V1",Taches!$E$6:$E$325,$B33)</f>
        <v/>
      </c>
      <c r="E33" s="16">
        <f>IF(C33=0,0,D33/C33)</f>
        <v/>
      </c>
      <c r="F33" s="12">
        <f>COUNTIFS(Taches!$C$6:$C$325,"V1",Taches!$E$6:$E$325,$B33,Taches!$J$6:$J$325,"&lt;&gt;Abandonnée",Taches!$B$6:$B$325,"&lt;&gt;")</f>
        <v/>
      </c>
      <c r="G33" s="12">
        <f>COUNTIFS(Taches!$C$6:$C$325,"V1",Taches!$E$6:$E$325,$B33,Taches!$J$6:$J$325,"Complétée")</f>
        <v/>
      </c>
      <c r="H33" s="12">
        <f>COUNTIFS(Taches!$C$6:$C$325,"V1",Taches!$E$6:$E$325,$B33,Taches!$J$6:$J$325,"Bloquée")</f>
        <v/>
      </c>
      <c r="I33" s="12">
        <f>COUNTIFS(Taches!$C$6:$C$325,"V1",Taches!$E$6:$E$325,$B33,Taches!$U$6:$U$325,"En retard")</f>
        <v/>
      </c>
    </row>
    <row r="34">
      <c r="B34" s="30" t="inlineStr">
        <is>
          <t>Total V1</t>
        </is>
      </c>
      <c r="C34" s="30">
        <f>SUM(C22:C33)</f>
        <v/>
      </c>
      <c r="D34" s="31">
        <f>SUM(D22:D33)</f>
        <v/>
      </c>
      <c r="E34" s="32">
        <f>IF(C34=0,0,D34/C34)</f>
        <v/>
      </c>
      <c r="F34" s="30">
        <f>SUM(F22:F33)</f>
        <v/>
      </c>
      <c r="G34" s="30">
        <f>SUM(G22:G33)</f>
        <v/>
      </c>
      <c r="H34" s="30">
        <f>SUM(H22:H33)</f>
        <v/>
      </c>
      <c r="I34" s="30">
        <f>SUM(I22:I33)</f>
        <v/>
      </c>
    </row>
    <row r="36">
      <c r="B36" s="3" t="inlineStr">
        <is>
          <t>Prérequis</t>
        </is>
      </c>
    </row>
    <row r="37" ht="30" customHeight="1">
      <c r="B37" s="19" t="inlineStr">
        <is>
          <t>Équipe de développement confirmée (5 à 6 profils) ; réponse sur l'API CFE/RCCM ; designer UI/UX confirmé.</t>
        </is>
      </c>
    </row>
    <row r="38">
      <c r="B38" s="3" t="inlineStr">
        <is>
          <t>Décision ou règle</t>
        </is>
      </c>
    </row>
    <row r="39" ht="36" customHeight="1">
      <c r="B39" s="33" t="inlineStr">
        <is>
          <t>La démonstration RPS fait partie de V1. Sans équipe à 5 ou 6 profils, la démonstration RPS est le premier lot à retirer, avant le matching automatisé.</t>
        </is>
      </c>
      <c r="C39" s="34" t="n"/>
      <c r="D39" s="34" t="n"/>
      <c r="E39" s="34" t="n"/>
      <c r="F39" s="34" t="n"/>
      <c r="G39" s="34" t="n"/>
      <c r="H39" s="34" t="n"/>
      <c r="I39" s="34" t="n"/>
    </row>
    <row r="42" ht="26" customHeight="1">
      <c r="B42" s="22" t="inlineStr">
        <is>
          <t>V2  Cession de titres en cercle restreint (RPS réel), signature électronique, data room et Q&amp;R</t>
        </is>
      </c>
    </row>
    <row r="43" ht="28" customHeight="1">
      <c r="B43" s="23" t="inlineStr">
        <is>
          <t>Début prévu</t>
        </is>
      </c>
      <c r="C43" s="23" t="inlineStr">
        <is>
          <t>Fin prévue</t>
        </is>
      </c>
      <c r="D43" s="23" t="inlineStr">
        <is>
          <t>Charge (j/p)</t>
        </is>
      </c>
      <c r="E43" s="23" t="inlineStr">
        <is>
          <t>Charge (sem.-pers.)</t>
        </is>
      </c>
      <c r="F43" s="23" t="inlineStr">
        <is>
          <t>Avancement</t>
        </is>
      </c>
      <c r="G43" s="23" t="inlineStr">
        <is>
          <t>État</t>
        </is>
      </c>
      <c r="H43" s="23" t="inlineStr">
        <is>
          <t>Semaines calendaires</t>
        </is>
      </c>
      <c r="I43" s="23" t="inlineStr">
        <is>
          <t>ETP requis à pleine cadence</t>
        </is>
      </c>
    </row>
    <row r="44">
      <c r="B44" s="24">
        <f>Versions!D7</f>
        <v/>
      </c>
      <c r="C44" s="24">
        <f>Versions!E7</f>
        <v/>
      </c>
      <c r="D44" s="25">
        <f>Versions!G7</f>
        <v/>
      </c>
      <c r="E44" s="26">
        <f>Versions!H7</f>
        <v/>
      </c>
      <c r="F44" s="27">
        <f>Versions!J7</f>
        <v/>
      </c>
      <c r="G44" s="28">
        <f>Versions!P7</f>
        <v/>
      </c>
      <c r="H44" s="26">
        <f>ROUND((Versions!E7-Versions!D7)/7,1)</f>
        <v/>
      </c>
      <c r="I44" s="26">
        <f>IFERROR(ROUND(Versions!H7/((Versions!E7-Versions!D7)/7),1),0)</f>
        <v/>
      </c>
    </row>
    <row r="45" ht="48" customHeight="1">
      <c r="B45" s="19" t="inlineStr">
        <is>
          <t>Le cœur du différenciateur produit : le moteur RPS complet pour les cessions de titres et la data room. Prérequis à toute diligence réelle.</t>
        </is>
      </c>
    </row>
    <row r="46">
      <c r="B46" s="3" t="inlineStr">
        <is>
          <t>Inclus</t>
        </is>
      </c>
      <c r="F46" s="3" t="inlineStr">
        <is>
          <t>Exclu ou reporté</t>
        </is>
      </c>
    </row>
    <row r="47" ht="30" customHeight="1">
      <c r="B47" s="19" t="inlineStr">
        <is>
          <t>+ Circuit RPS complet : admission humaine, plafond de cercle (défaut 50), journal réglementaire haché</t>
        </is>
      </c>
      <c r="F47" s="29" t="inlineStr">
        <is>
          <t>- Négociation, LOI, audit d'acquisition et réalisation (V3)</t>
        </is>
      </c>
    </row>
    <row r="48" ht="30" customHeight="1">
      <c r="B48" s="19" t="inlineStr">
        <is>
          <t>+ Signature électronique et preuve : prestataire PSC togolais, repli papier, archivage PSAE</t>
        </is>
      </c>
      <c r="F48" s="29" t="inlineStr">
        <is>
          <t>- Génération documentaire LegalTech (V3)</t>
        </is>
      </c>
    </row>
    <row r="49" ht="30" customHeight="1">
      <c r="B49" s="19" t="inlineStr">
        <is>
          <t>+ Data room : arborescence OHADA, rendu serveur, filigrane dynamique, téléchargement contrôlé, révocation en moins de 60 s</t>
        </is>
      </c>
    </row>
    <row r="50" ht="30" customHeight="1">
      <c r="B50" s="19" t="inlineStr">
        <is>
          <t>+ Fils de questions-réponses par document</t>
        </is>
      </c>
    </row>
    <row r="52" ht="24" customHeight="1">
      <c r="B52" s="11" t="inlineStr">
        <is>
          <t>Lot</t>
        </is>
      </c>
      <c r="C52" s="11" t="inlineStr">
        <is>
          <t>Charge (j/p)</t>
        </is>
      </c>
      <c r="D52" s="11" t="inlineStr">
        <is>
          <t>Réalisé (j/p)</t>
        </is>
      </c>
      <c r="E52" s="11" t="inlineStr">
        <is>
          <t>Avancement</t>
        </is>
      </c>
      <c r="F52" s="11" t="inlineStr">
        <is>
          <t>Tâches</t>
        </is>
      </c>
      <c r="G52" s="11" t="inlineStr">
        <is>
          <t>Complétées</t>
        </is>
      </c>
      <c r="H52" s="11" t="inlineStr">
        <is>
          <t>Bloquées</t>
        </is>
      </c>
      <c r="I52" s="11" t="inlineStr">
        <is>
          <t>En retard</t>
        </is>
      </c>
    </row>
    <row r="53">
      <c r="B53" s="13" t="inlineStr">
        <is>
          <t>Circuit RPS réel</t>
        </is>
      </c>
      <c r="C53" s="12">
        <f>SUMIFS(Taches!$M$6:$M$325,Taches!$C$6:$C$325,"V2",Taches!$E$6:$E$325,$B53)</f>
        <v/>
      </c>
      <c r="D53" s="15">
        <f>SUMIFS(Taches!$N$6:$N$325,Taches!$C$6:$C$325,"V2",Taches!$E$6:$E$325,$B53)</f>
        <v/>
      </c>
      <c r="E53" s="16">
        <f>IF(C53=0,0,D53/C53)</f>
        <v/>
      </c>
      <c r="F53" s="12">
        <f>COUNTIFS(Taches!$C$6:$C$325,"V2",Taches!$E$6:$E$325,$B53,Taches!$J$6:$J$325,"&lt;&gt;Abandonnée",Taches!$B$6:$B$325,"&lt;&gt;")</f>
        <v/>
      </c>
      <c r="G53" s="12">
        <f>COUNTIFS(Taches!$C$6:$C$325,"V2",Taches!$E$6:$E$325,$B53,Taches!$J$6:$J$325,"Complétée")</f>
        <v/>
      </c>
      <c r="H53" s="12">
        <f>COUNTIFS(Taches!$C$6:$C$325,"V2",Taches!$E$6:$E$325,$B53,Taches!$J$6:$J$325,"Bloquée")</f>
        <v/>
      </c>
      <c r="I53" s="12">
        <f>COUNTIFS(Taches!$C$6:$C$325,"V2",Taches!$E$6:$E$325,$B53,Taches!$U$6:$U$325,"En retard")</f>
        <v/>
      </c>
    </row>
    <row r="54">
      <c r="B54" s="13" t="inlineStr">
        <is>
          <t>Signature électronique</t>
        </is>
      </c>
      <c r="C54" s="12">
        <f>SUMIFS(Taches!$M$6:$M$325,Taches!$C$6:$C$325,"V2",Taches!$E$6:$E$325,$B54)</f>
        <v/>
      </c>
      <c r="D54" s="15">
        <f>SUMIFS(Taches!$N$6:$N$325,Taches!$C$6:$C$325,"V2",Taches!$E$6:$E$325,$B54)</f>
        <v/>
      </c>
      <c r="E54" s="16">
        <f>IF(C54=0,0,D54/C54)</f>
        <v/>
      </c>
      <c r="F54" s="12">
        <f>COUNTIFS(Taches!$C$6:$C$325,"V2",Taches!$E$6:$E$325,$B54,Taches!$J$6:$J$325,"&lt;&gt;Abandonnée",Taches!$B$6:$B$325,"&lt;&gt;")</f>
        <v/>
      </c>
      <c r="G54" s="12">
        <f>COUNTIFS(Taches!$C$6:$C$325,"V2",Taches!$E$6:$E$325,$B54,Taches!$J$6:$J$325,"Complétée")</f>
        <v/>
      </c>
      <c r="H54" s="12">
        <f>COUNTIFS(Taches!$C$6:$C$325,"V2",Taches!$E$6:$E$325,$B54,Taches!$J$6:$J$325,"Bloquée")</f>
        <v/>
      </c>
      <c r="I54" s="12">
        <f>COUNTIFS(Taches!$C$6:$C$325,"V2",Taches!$E$6:$E$325,$B54,Taches!$U$6:$U$325,"En retard")</f>
        <v/>
      </c>
    </row>
    <row r="55">
      <c r="B55" s="13" t="inlineStr">
        <is>
          <t>Data room</t>
        </is>
      </c>
      <c r="C55" s="12">
        <f>SUMIFS(Taches!$M$6:$M$325,Taches!$C$6:$C$325,"V2",Taches!$E$6:$E$325,$B55)</f>
        <v/>
      </c>
      <c r="D55" s="15">
        <f>SUMIFS(Taches!$N$6:$N$325,Taches!$C$6:$C$325,"V2",Taches!$E$6:$E$325,$B55)</f>
        <v/>
      </c>
      <c r="E55" s="16">
        <f>IF(C55=0,0,D55/C55)</f>
        <v/>
      </c>
      <c r="F55" s="12">
        <f>COUNTIFS(Taches!$C$6:$C$325,"V2",Taches!$E$6:$E$325,$B55,Taches!$J$6:$J$325,"&lt;&gt;Abandonnée",Taches!$B$6:$B$325,"&lt;&gt;")</f>
        <v/>
      </c>
      <c r="G55" s="12">
        <f>COUNTIFS(Taches!$C$6:$C$325,"V2",Taches!$E$6:$E$325,$B55,Taches!$J$6:$J$325,"Complétée")</f>
        <v/>
      </c>
      <c r="H55" s="12">
        <f>COUNTIFS(Taches!$C$6:$C$325,"V2",Taches!$E$6:$E$325,$B55,Taches!$J$6:$J$325,"Bloquée")</f>
        <v/>
      </c>
      <c r="I55" s="12">
        <f>COUNTIFS(Taches!$C$6:$C$325,"V2",Taches!$E$6:$E$325,$B55,Taches!$U$6:$U$325,"En retard")</f>
        <v/>
      </c>
    </row>
    <row r="56">
      <c r="B56" s="13" t="inlineStr">
        <is>
          <t>Questions-réponses</t>
        </is>
      </c>
      <c r="C56" s="12">
        <f>SUMIFS(Taches!$M$6:$M$325,Taches!$C$6:$C$325,"V2",Taches!$E$6:$E$325,$B56)</f>
        <v/>
      </c>
      <c r="D56" s="15">
        <f>SUMIFS(Taches!$N$6:$N$325,Taches!$C$6:$C$325,"V2",Taches!$E$6:$E$325,$B56)</f>
        <v/>
      </c>
      <c r="E56" s="16">
        <f>IF(C56=0,0,D56/C56)</f>
        <v/>
      </c>
      <c r="F56" s="12">
        <f>COUNTIFS(Taches!$C$6:$C$325,"V2",Taches!$E$6:$E$325,$B56,Taches!$J$6:$J$325,"&lt;&gt;Abandonnée",Taches!$B$6:$B$325,"&lt;&gt;")</f>
        <v/>
      </c>
      <c r="G56" s="12">
        <f>COUNTIFS(Taches!$C$6:$C$325,"V2",Taches!$E$6:$E$325,$B56,Taches!$J$6:$J$325,"Complétée")</f>
        <v/>
      </c>
      <c r="H56" s="12">
        <f>COUNTIFS(Taches!$C$6:$C$325,"V2",Taches!$E$6:$E$325,$B56,Taches!$J$6:$J$325,"Bloquée")</f>
        <v/>
      </c>
      <c r="I56" s="12">
        <f>COUNTIFS(Taches!$C$6:$C$325,"V2",Taches!$E$6:$E$325,$B56,Taches!$U$6:$U$325,"En retard")</f>
        <v/>
      </c>
    </row>
    <row r="57">
      <c r="B57" s="13" t="inlineStr">
        <is>
          <t>QA et sécurité</t>
        </is>
      </c>
      <c r="C57" s="12">
        <f>SUMIFS(Taches!$M$6:$M$325,Taches!$C$6:$C$325,"V2",Taches!$E$6:$E$325,$B57)</f>
        <v/>
      </c>
      <c r="D57" s="15">
        <f>SUMIFS(Taches!$N$6:$N$325,Taches!$C$6:$C$325,"V2",Taches!$E$6:$E$325,$B57)</f>
        <v/>
      </c>
      <c r="E57" s="16">
        <f>IF(C57=0,0,D57/C57)</f>
        <v/>
      </c>
      <c r="F57" s="12">
        <f>COUNTIFS(Taches!$C$6:$C$325,"V2",Taches!$E$6:$E$325,$B57,Taches!$J$6:$J$325,"&lt;&gt;Abandonnée",Taches!$B$6:$B$325,"&lt;&gt;")</f>
        <v/>
      </c>
      <c r="G57" s="12">
        <f>COUNTIFS(Taches!$C$6:$C$325,"V2",Taches!$E$6:$E$325,$B57,Taches!$J$6:$J$325,"Complétée")</f>
        <v/>
      </c>
      <c r="H57" s="12">
        <f>COUNTIFS(Taches!$C$6:$C$325,"V2",Taches!$E$6:$E$325,$B57,Taches!$J$6:$J$325,"Bloquée")</f>
        <v/>
      </c>
      <c r="I57" s="12">
        <f>COUNTIFS(Taches!$C$6:$C$325,"V2",Taches!$E$6:$E$325,$B57,Taches!$U$6:$U$325,"En retard")</f>
        <v/>
      </c>
    </row>
    <row r="58">
      <c r="B58" s="30" t="inlineStr">
        <is>
          <t>Total V2</t>
        </is>
      </c>
      <c r="C58" s="30">
        <f>SUM(C53:C57)</f>
        <v/>
      </c>
      <c r="D58" s="31">
        <f>SUM(D53:D57)</f>
        <v/>
      </c>
      <c r="E58" s="32">
        <f>IF(C58=0,0,D58/C58)</f>
        <v/>
      </c>
      <c r="F58" s="30">
        <f>SUM(F53:F57)</f>
        <v/>
      </c>
      <c r="G58" s="30">
        <f>SUM(G53:G57)</f>
        <v/>
      </c>
      <c r="H58" s="30">
        <f>SUM(H53:H57)</f>
        <v/>
      </c>
      <c r="I58" s="30">
        <f>SUM(I53:I57)</f>
        <v/>
      </c>
    </row>
    <row r="60">
      <c r="B60" s="3" t="inlineStr">
        <is>
          <t>Prérequis</t>
        </is>
      </c>
    </row>
    <row r="61" ht="30" customHeight="1">
      <c r="B61" s="19" t="inlineStr">
        <is>
          <t>Modèle de données Deal et Organisation de V1 ; contrat avec le prestataire de signature qualifiée.</t>
        </is>
      </c>
    </row>
    <row r="64" ht="26" customHeight="1">
      <c r="B64" s="22" t="inlineStr">
        <is>
          <t>V3  Négociation et réalisation, LegalTech OHADA, Finance et rétrocession, support, fermeture des portes de conformité</t>
        </is>
      </c>
    </row>
    <row r="65" ht="28" customHeight="1">
      <c r="B65" s="23" t="inlineStr">
        <is>
          <t>Début prévu</t>
        </is>
      </c>
      <c r="C65" s="23" t="inlineStr">
        <is>
          <t>Fin prévue</t>
        </is>
      </c>
      <c r="D65" s="23" t="inlineStr">
        <is>
          <t>Charge (j/p)</t>
        </is>
      </c>
      <c r="E65" s="23" t="inlineStr">
        <is>
          <t>Charge (sem.-pers.)</t>
        </is>
      </c>
      <c r="F65" s="23" t="inlineStr">
        <is>
          <t>Avancement</t>
        </is>
      </c>
      <c r="G65" s="23" t="inlineStr">
        <is>
          <t>État</t>
        </is>
      </c>
      <c r="H65" s="23" t="inlineStr">
        <is>
          <t>Semaines calendaires</t>
        </is>
      </c>
      <c r="I65" s="23" t="inlineStr">
        <is>
          <t>ETP requis à pleine cadence</t>
        </is>
      </c>
    </row>
    <row r="66">
      <c r="B66" s="24">
        <f>Versions!D8</f>
        <v/>
      </c>
      <c r="C66" s="24">
        <f>Versions!E8</f>
        <v/>
      </c>
      <c r="D66" s="25">
        <f>Versions!G8</f>
        <v/>
      </c>
      <c r="E66" s="26">
        <f>Versions!H8</f>
        <v/>
      </c>
      <c r="F66" s="27">
        <f>Versions!J8</f>
        <v/>
      </c>
      <c r="G66" s="28">
        <f>Versions!P8</f>
        <v/>
      </c>
      <c r="H66" s="26">
        <f>ROUND((Versions!E8-Versions!D8)/7,1)</f>
        <v/>
      </c>
      <c r="I66" s="26">
        <f>IFERROR(ROUND(Versions!H8/((Versions!E8-Versions!D8)/7),1),0)</f>
        <v/>
      </c>
    </row>
    <row r="67" ht="48" customHeight="1">
      <c r="B67" s="19" t="inlineStr">
        <is>
          <t>Ce qui rend une transaction réelle facturable et légalement défendable : négociation et réalisation, LegalTech OHADA, moteur de frais et rétrocession, support, fermeture des dix portes de conformité et durcissement de l'exploitation.</t>
        </is>
      </c>
    </row>
    <row r="68">
      <c r="B68" s="3" t="inlineStr">
        <is>
          <t>Inclus</t>
        </is>
      </c>
      <c r="F68" s="3" t="inlineStr">
        <is>
          <t>Exclu ou reporté</t>
        </is>
      </c>
    </row>
    <row r="69" ht="30" customHeight="1">
      <c r="B69" s="19" t="inlineStr">
        <is>
          <t>+ Offre, contre-offre, LOI et registre des points ouverts d'audit d'acquisition</t>
        </is>
      </c>
      <c r="F69" s="29" t="inlineStr">
        <is>
          <t>- Deal-Experts (V4, sous réserve d'arbitrage)</t>
        </is>
      </c>
    </row>
    <row r="70" ht="30" customHeight="1">
      <c r="B70" s="19" t="inlineStr">
        <is>
          <t>+ Réalisation documentée sans Deal-Pay natif, création automatique du FeeEvent</t>
        </is>
      </c>
      <c r="F70" s="29" t="inlineStr">
        <is>
          <t>- Modules réseau : Alerte &amp; Rebond, Deal-Connect, Guichet Diaspora (V4)</t>
        </is>
      </c>
    </row>
    <row r="71" ht="30" customHeight="1">
      <c r="B71" s="19" t="inlineStr">
        <is>
          <t>+ LegalTech OHADA : NDA, LOI, pacte simplifié, SPA, cession d'actifs, contrat de travail (droit togolais)</t>
        </is>
      </c>
    </row>
    <row r="72" ht="30" customHeight="1">
      <c r="B72" s="19" t="inlineStr">
        <is>
          <t>+ Finance : barème de frais sous drapeau juridique, rétrocession CCI, journal de calcul recalculable, rapport trimestriel</t>
        </is>
      </c>
    </row>
    <row r="73" ht="30" customHeight="1">
      <c r="B73" s="19" t="inlineStr">
        <is>
          <t>+ Support et accès privilégiés, mode break-glass journalisé</t>
        </is>
      </c>
    </row>
    <row r="74" ht="30" customHeight="1">
      <c r="B74" s="19" t="inlineStr">
        <is>
          <t>+ Portes de conformité G1 à G10 : IPDCP, revues juridiques, DPO, pentest indépendant</t>
        </is>
      </c>
    </row>
    <row r="75" ht="30" customHeight="1">
      <c r="B75" s="19" t="inlineStr">
        <is>
          <t>+ Exploitation : supervision SLA 99,5 %, sauvegardes testées, procédure d'incident</t>
        </is>
      </c>
    </row>
    <row r="77" ht="24" customHeight="1">
      <c r="B77" s="11" t="inlineStr">
        <is>
          <t>Lot</t>
        </is>
      </c>
      <c r="C77" s="11" t="inlineStr">
        <is>
          <t>Charge (j/p)</t>
        </is>
      </c>
      <c r="D77" s="11" t="inlineStr">
        <is>
          <t>Réalisé (j/p)</t>
        </is>
      </c>
      <c r="E77" s="11" t="inlineStr">
        <is>
          <t>Avancement</t>
        </is>
      </c>
      <c r="F77" s="11" t="inlineStr">
        <is>
          <t>Tâches</t>
        </is>
      </c>
      <c r="G77" s="11" t="inlineStr">
        <is>
          <t>Complétées</t>
        </is>
      </c>
      <c r="H77" s="11" t="inlineStr">
        <is>
          <t>Bloquées</t>
        </is>
      </c>
      <c r="I77" s="11" t="inlineStr">
        <is>
          <t>En retard</t>
        </is>
      </c>
    </row>
    <row r="78">
      <c r="B78" s="13" t="inlineStr">
        <is>
          <t>LegalTech OHADA</t>
        </is>
      </c>
      <c r="C78" s="12">
        <f>SUMIFS(Taches!$M$6:$M$325,Taches!$C$6:$C$325,"V3",Taches!$E$6:$E$325,$B78)</f>
        <v/>
      </c>
      <c r="D78" s="15">
        <f>SUMIFS(Taches!$N$6:$N$325,Taches!$C$6:$C$325,"V3",Taches!$E$6:$E$325,$B78)</f>
        <v/>
      </c>
      <c r="E78" s="16">
        <f>IF(C78=0,0,D78/C78)</f>
        <v/>
      </c>
      <c r="F78" s="12">
        <f>COUNTIFS(Taches!$C$6:$C$325,"V3",Taches!$E$6:$E$325,$B78,Taches!$J$6:$J$325,"&lt;&gt;Abandonnée",Taches!$B$6:$B$325,"&lt;&gt;")</f>
        <v/>
      </c>
      <c r="G78" s="12">
        <f>COUNTIFS(Taches!$C$6:$C$325,"V3",Taches!$E$6:$E$325,$B78,Taches!$J$6:$J$325,"Complétée")</f>
        <v/>
      </c>
      <c r="H78" s="12">
        <f>COUNTIFS(Taches!$C$6:$C$325,"V3",Taches!$E$6:$E$325,$B78,Taches!$J$6:$J$325,"Bloquée")</f>
        <v/>
      </c>
      <c r="I78" s="12">
        <f>COUNTIFS(Taches!$C$6:$C$325,"V3",Taches!$E$6:$E$325,$B78,Taches!$U$6:$U$325,"En retard")</f>
        <v/>
      </c>
    </row>
    <row r="79">
      <c r="B79" s="13" t="inlineStr">
        <is>
          <t>Conformité fiscale</t>
        </is>
      </c>
      <c r="C79" s="12">
        <f>SUMIFS(Taches!$M$6:$M$325,Taches!$C$6:$C$325,"V3",Taches!$E$6:$E$325,$B79)</f>
        <v/>
      </c>
      <c r="D79" s="15">
        <f>SUMIFS(Taches!$N$6:$N$325,Taches!$C$6:$C$325,"V3",Taches!$E$6:$E$325,$B79)</f>
        <v/>
      </c>
      <c r="E79" s="16">
        <f>IF(C79=0,0,D79/C79)</f>
        <v/>
      </c>
      <c r="F79" s="12">
        <f>COUNTIFS(Taches!$C$6:$C$325,"V3",Taches!$E$6:$E$325,$B79,Taches!$J$6:$J$325,"&lt;&gt;Abandonnée",Taches!$B$6:$B$325,"&lt;&gt;")</f>
        <v/>
      </c>
      <c r="G79" s="12">
        <f>COUNTIFS(Taches!$C$6:$C$325,"V3",Taches!$E$6:$E$325,$B79,Taches!$J$6:$J$325,"Complétée")</f>
        <v/>
      </c>
      <c r="H79" s="12">
        <f>COUNTIFS(Taches!$C$6:$C$325,"V3",Taches!$E$6:$E$325,$B79,Taches!$J$6:$J$325,"Bloquée")</f>
        <v/>
      </c>
      <c r="I79" s="12">
        <f>COUNTIFS(Taches!$C$6:$C$325,"V3",Taches!$E$6:$E$325,$B79,Taches!$U$6:$U$325,"En retard")</f>
        <v/>
      </c>
    </row>
    <row r="80">
      <c r="B80" s="13" t="inlineStr">
        <is>
          <t>Négociation</t>
        </is>
      </c>
      <c r="C80" s="12">
        <f>SUMIFS(Taches!$M$6:$M$325,Taches!$C$6:$C$325,"V3",Taches!$E$6:$E$325,$B80)</f>
        <v/>
      </c>
      <c r="D80" s="15">
        <f>SUMIFS(Taches!$N$6:$N$325,Taches!$C$6:$C$325,"V3",Taches!$E$6:$E$325,$B80)</f>
        <v/>
      </c>
      <c r="E80" s="16">
        <f>IF(C80=0,0,D80/C80)</f>
        <v/>
      </c>
      <c r="F80" s="12">
        <f>COUNTIFS(Taches!$C$6:$C$325,"V3",Taches!$E$6:$E$325,$B80,Taches!$J$6:$J$325,"&lt;&gt;Abandonnée",Taches!$B$6:$B$325,"&lt;&gt;")</f>
        <v/>
      </c>
      <c r="G80" s="12">
        <f>COUNTIFS(Taches!$C$6:$C$325,"V3",Taches!$E$6:$E$325,$B80,Taches!$J$6:$J$325,"Complétée")</f>
        <v/>
      </c>
      <c r="H80" s="12">
        <f>COUNTIFS(Taches!$C$6:$C$325,"V3",Taches!$E$6:$E$325,$B80,Taches!$J$6:$J$325,"Bloquée")</f>
        <v/>
      </c>
      <c r="I80" s="12">
        <f>COUNTIFS(Taches!$C$6:$C$325,"V3",Taches!$E$6:$E$325,$B80,Taches!$U$6:$U$325,"En retard")</f>
        <v/>
      </c>
    </row>
    <row r="81">
      <c r="B81" s="13" t="inlineStr">
        <is>
          <t>Audit d'acquisition</t>
        </is>
      </c>
      <c r="C81" s="12">
        <f>SUMIFS(Taches!$M$6:$M$325,Taches!$C$6:$C$325,"V3",Taches!$E$6:$E$325,$B81)</f>
        <v/>
      </c>
      <c r="D81" s="15">
        <f>SUMIFS(Taches!$N$6:$N$325,Taches!$C$6:$C$325,"V3",Taches!$E$6:$E$325,$B81)</f>
        <v/>
      </c>
      <c r="E81" s="16">
        <f>IF(C81=0,0,D81/C81)</f>
        <v/>
      </c>
      <c r="F81" s="12">
        <f>COUNTIFS(Taches!$C$6:$C$325,"V3",Taches!$E$6:$E$325,$B81,Taches!$J$6:$J$325,"&lt;&gt;Abandonnée",Taches!$B$6:$B$325,"&lt;&gt;")</f>
        <v/>
      </c>
      <c r="G81" s="12">
        <f>COUNTIFS(Taches!$C$6:$C$325,"V3",Taches!$E$6:$E$325,$B81,Taches!$J$6:$J$325,"Complétée")</f>
        <v/>
      </c>
      <c r="H81" s="12">
        <f>COUNTIFS(Taches!$C$6:$C$325,"V3",Taches!$E$6:$E$325,$B81,Taches!$J$6:$J$325,"Bloquée")</f>
        <v/>
      </c>
      <c r="I81" s="12">
        <f>COUNTIFS(Taches!$C$6:$C$325,"V3",Taches!$E$6:$E$325,$B81,Taches!$U$6:$U$325,"En retard")</f>
        <v/>
      </c>
    </row>
    <row r="82">
      <c r="B82" s="13" t="inlineStr">
        <is>
          <t>Réalisation</t>
        </is>
      </c>
      <c r="C82" s="12">
        <f>SUMIFS(Taches!$M$6:$M$325,Taches!$C$6:$C$325,"V3",Taches!$E$6:$E$325,$B82)</f>
        <v/>
      </c>
      <c r="D82" s="15">
        <f>SUMIFS(Taches!$N$6:$N$325,Taches!$C$6:$C$325,"V3",Taches!$E$6:$E$325,$B82)</f>
        <v/>
      </c>
      <c r="E82" s="16">
        <f>IF(C82=0,0,D82/C82)</f>
        <v/>
      </c>
      <c r="F82" s="12">
        <f>COUNTIFS(Taches!$C$6:$C$325,"V3",Taches!$E$6:$E$325,$B82,Taches!$J$6:$J$325,"&lt;&gt;Abandonnée",Taches!$B$6:$B$325,"&lt;&gt;")</f>
        <v/>
      </c>
      <c r="G82" s="12">
        <f>COUNTIFS(Taches!$C$6:$C$325,"V3",Taches!$E$6:$E$325,$B82,Taches!$J$6:$J$325,"Complétée")</f>
        <v/>
      </c>
      <c r="H82" s="12">
        <f>COUNTIFS(Taches!$C$6:$C$325,"V3",Taches!$E$6:$E$325,$B82,Taches!$J$6:$J$325,"Bloquée")</f>
        <v/>
      </c>
      <c r="I82" s="12">
        <f>COUNTIFS(Taches!$C$6:$C$325,"V3",Taches!$E$6:$E$325,$B82,Taches!$U$6:$U$325,"En retard")</f>
        <v/>
      </c>
    </row>
    <row r="83">
      <c r="B83" s="13" t="inlineStr">
        <is>
          <t>Finance</t>
        </is>
      </c>
      <c r="C83" s="12">
        <f>SUMIFS(Taches!$M$6:$M$325,Taches!$C$6:$C$325,"V3",Taches!$E$6:$E$325,$B83)</f>
        <v/>
      </c>
      <c r="D83" s="15">
        <f>SUMIFS(Taches!$N$6:$N$325,Taches!$C$6:$C$325,"V3",Taches!$E$6:$E$325,$B83)</f>
        <v/>
      </c>
      <c r="E83" s="16">
        <f>IF(C83=0,0,D83/C83)</f>
        <v/>
      </c>
      <c r="F83" s="12">
        <f>COUNTIFS(Taches!$C$6:$C$325,"V3",Taches!$E$6:$E$325,$B83,Taches!$J$6:$J$325,"&lt;&gt;Abandonnée",Taches!$B$6:$B$325,"&lt;&gt;")</f>
        <v/>
      </c>
      <c r="G83" s="12">
        <f>COUNTIFS(Taches!$C$6:$C$325,"V3",Taches!$E$6:$E$325,$B83,Taches!$J$6:$J$325,"Complétée")</f>
        <v/>
      </c>
      <c r="H83" s="12">
        <f>COUNTIFS(Taches!$C$6:$C$325,"V3",Taches!$E$6:$E$325,$B83,Taches!$J$6:$J$325,"Bloquée")</f>
        <v/>
      </c>
      <c r="I83" s="12">
        <f>COUNTIFS(Taches!$C$6:$C$325,"V3",Taches!$E$6:$E$325,$B83,Taches!$U$6:$U$325,"En retard")</f>
        <v/>
      </c>
    </row>
    <row r="84">
      <c r="B84" s="13" t="inlineStr">
        <is>
          <t>Support</t>
        </is>
      </c>
      <c r="C84" s="12">
        <f>SUMIFS(Taches!$M$6:$M$325,Taches!$C$6:$C$325,"V3",Taches!$E$6:$E$325,$B84)</f>
        <v/>
      </c>
      <c r="D84" s="15">
        <f>SUMIFS(Taches!$N$6:$N$325,Taches!$C$6:$C$325,"V3",Taches!$E$6:$E$325,$B84)</f>
        <v/>
      </c>
      <c r="E84" s="16">
        <f>IF(C84=0,0,D84/C84)</f>
        <v/>
      </c>
      <c r="F84" s="12">
        <f>COUNTIFS(Taches!$C$6:$C$325,"V3",Taches!$E$6:$E$325,$B84,Taches!$J$6:$J$325,"&lt;&gt;Abandonnée",Taches!$B$6:$B$325,"&lt;&gt;")</f>
        <v/>
      </c>
      <c r="G84" s="12">
        <f>COUNTIFS(Taches!$C$6:$C$325,"V3",Taches!$E$6:$E$325,$B84,Taches!$J$6:$J$325,"Complétée")</f>
        <v/>
      </c>
      <c r="H84" s="12">
        <f>COUNTIFS(Taches!$C$6:$C$325,"V3",Taches!$E$6:$E$325,$B84,Taches!$J$6:$J$325,"Bloquée")</f>
        <v/>
      </c>
      <c r="I84" s="12">
        <f>COUNTIFS(Taches!$C$6:$C$325,"V3",Taches!$E$6:$E$325,$B84,Taches!$U$6:$U$325,"En retard")</f>
        <v/>
      </c>
    </row>
    <row r="85">
      <c r="B85" s="13" t="inlineStr">
        <is>
          <t>Portes de conformité</t>
        </is>
      </c>
      <c r="C85" s="12">
        <f>SUMIFS(Taches!$M$6:$M$325,Taches!$C$6:$C$325,"V3",Taches!$E$6:$E$325,$B85)</f>
        <v/>
      </c>
      <c r="D85" s="15">
        <f>SUMIFS(Taches!$N$6:$N$325,Taches!$C$6:$C$325,"V3",Taches!$E$6:$E$325,$B85)</f>
        <v/>
      </c>
      <c r="E85" s="16">
        <f>IF(C85=0,0,D85/C85)</f>
        <v/>
      </c>
      <c r="F85" s="12">
        <f>COUNTIFS(Taches!$C$6:$C$325,"V3",Taches!$E$6:$E$325,$B85,Taches!$J$6:$J$325,"&lt;&gt;Abandonnée",Taches!$B$6:$B$325,"&lt;&gt;")</f>
        <v/>
      </c>
      <c r="G85" s="12">
        <f>COUNTIFS(Taches!$C$6:$C$325,"V3",Taches!$E$6:$E$325,$B85,Taches!$J$6:$J$325,"Complétée")</f>
        <v/>
      </c>
      <c r="H85" s="12">
        <f>COUNTIFS(Taches!$C$6:$C$325,"V3",Taches!$E$6:$E$325,$B85,Taches!$J$6:$J$325,"Bloquée")</f>
        <v/>
      </c>
      <c r="I85" s="12">
        <f>COUNTIFS(Taches!$C$6:$C$325,"V3",Taches!$E$6:$E$325,$B85,Taches!$U$6:$U$325,"En retard")</f>
        <v/>
      </c>
    </row>
    <row r="86">
      <c r="B86" s="13" t="inlineStr">
        <is>
          <t>Exploitation</t>
        </is>
      </c>
      <c r="C86" s="12">
        <f>SUMIFS(Taches!$M$6:$M$325,Taches!$C$6:$C$325,"V3",Taches!$E$6:$E$325,$B86)</f>
        <v/>
      </c>
      <c r="D86" s="15">
        <f>SUMIFS(Taches!$N$6:$N$325,Taches!$C$6:$C$325,"V3",Taches!$E$6:$E$325,$B86)</f>
        <v/>
      </c>
      <c r="E86" s="16">
        <f>IF(C86=0,0,D86/C86)</f>
        <v/>
      </c>
      <c r="F86" s="12">
        <f>COUNTIFS(Taches!$C$6:$C$325,"V3",Taches!$E$6:$E$325,$B86,Taches!$J$6:$J$325,"&lt;&gt;Abandonnée",Taches!$B$6:$B$325,"&lt;&gt;")</f>
        <v/>
      </c>
      <c r="G86" s="12">
        <f>COUNTIFS(Taches!$C$6:$C$325,"V3",Taches!$E$6:$E$325,$B86,Taches!$J$6:$J$325,"Complétée")</f>
        <v/>
      </c>
      <c r="H86" s="12">
        <f>COUNTIFS(Taches!$C$6:$C$325,"V3",Taches!$E$6:$E$325,$B86,Taches!$J$6:$J$325,"Bloquée")</f>
        <v/>
      </c>
      <c r="I86" s="12">
        <f>COUNTIFS(Taches!$C$6:$C$325,"V3",Taches!$E$6:$E$325,$B86,Taches!$U$6:$U$325,"En retard")</f>
        <v/>
      </c>
    </row>
    <row r="87">
      <c r="B87" s="30" t="inlineStr">
        <is>
          <t>Total V3</t>
        </is>
      </c>
      <c r="C87" s="30">
        <f>SUM(C78:C86)</f>
        <v/>
      </c>
      <c r="D87" s="31">
        <f>SUM(D78:D86)</f>
        <v/>
      </c>
      <c r="E87" s="32">
        <f>IF(C87=0,0,D87/C87)</f>
        <v/>
      </c>
      <c r="F87" s="30">
        <f>SUM(F78:F86)</f>
        <v/>
      </c>
      <c r="G87" s="30">
        <f>SUM(G78:G86)</f>
        <v/>
      </c>
      <c r="H87" s="30">
        <f>SUM(H78:H86)</f>
        <v/>
      </c>
      <c r="I87" s="30">
        <f>SUM(I78:I86)</f>
        <v/>
      </c>
    </row>
    <row r="89">
      <c r="B89" s="3" t="inlineStr">
        <is>
          <t>Prérequis</t>
        </is>
      </c>
    </row>
    <row r="90" ht="30" customHeight="1">
      <c r="B90" s="19" t="inlineStr">
        <is>
          <t>Des transactions peuvent atteindre CLOSED_REPORTED (V2) ; avis juridique écrit sur le barème de frais.</t>
        </is>
      </c>
    </row>
    <row r="91">
      <c r="B91" s="3" t="inlineStr">
        <is>
          <t>Décision ou règle</t>
        </is>
      </c>
    </row>
    <row r="92" ht="36" customHeight="1">
      <c r="B92" s="33" t="inlineStr">
        <is>
          <t>Le barème de frais et la rétrocession ne s'activent qu'après avis juridique écrit, jamais par simple décision produit.</t>
        </is>
      </c>
      <c r="C92" s="34" t="n"/>
      <c r="D92" s="34" t="n"/>
      <c r="E92" s="34" t="n"/>
      <c r="F92" s="34" t="n"/>
      <c r="G92" s="34" t="n"/>
      <c r="H92" s="34" t="n"/>
      <c r="I92" s="34" t="n"/>
    </row>
    <row r="95" ht="26" customHeight="1">
      <c r="B95" s="22" t="inlineStr">
        <is>
          <t>V4  Alerte &amp; Rebond, Deal-Connect (Remo.co), Guichet Diaspora, Deal-Experts</t>
        </is>
      </c>
    </row>
    <row r="96" ht="28" customHeight="1">
      <c r="B96" s="23" t="inlineStr">
        <is>
          <t>Début prévu</t>
        </is>
      </c>
      <c r="C96" s="23" t="inlineStr">
        <is>
          <t>Fin prévue</t>
        </is>
      </c>
      <c r="D96" s="23" t="inlineStr">
        <is>
          <t>Charge (j/p)</t>
        </is>
      </c>
      <c r="E96" s="23" t="inlineStr">
        <is>
          <t>Charge (sem.-pers.)</t>
        </is>
      </c>
      <c r="F96" s="23" t="inlineStr">
        <is>
          <t>Avancement</t>
        </is>
      </c>
      <c r="G96" s="23" t="inlineStr">
        <is>
          <t>État</t>
        </is>
      </c>
      <c r="H96" s="23" t="inlineStr">
        <is>
          <t>Semaines calendaires</t>
        </is>
      </c>
      <c r="I96" s="23" t="inlineStr">
        <is>
          <t>ETP requis à pleine cadence</t>
        </is>
      </c>
    </row>
    <row r="97">
      <c r="B97" s="24">
        <f>Versions!D9</f>
        <v/>
      </c>
      <c r="C97" s="24">
        <f>Versions!E9</f>
        <v/>
      </c>
      <c r="D97" s="25">
        <f>Versions!G9</f>
        <v/>
      </c>
      <c r="E97" s="26">
        <f>Versions!H9</f>
        <v/>
      </c>
      <c r="F97" s="27">
        <f>Versions!J9</f>
        <v/>
      </c>
      <c r="G97" s="28">
        <f>Versions!P9</f>
        <v/>
      </c>
      <c r="H97" s="26">
        <f>ROUND((Versions!E9-Versions!D9)/7,1)</f>
        <v/>
      </c>
      <c r="I97" s="26">
        <f>IFERROR(ROUND(Versions!H9/((Versions!E9-Versions!D9)/7),1),0)</f>
        <v/>
      </c>
    </row>
    <row r="98" ht="48" customHeight="1">
      <c r="B98" s="19" t="inlineStr">
        <is>
          <t>Les modules réseau. Seul changement d'architecture notable : la brique de salons et rendez-vous virtuels est externalisée vers Remo.co plutôt que construite en propre.</t>
        </is>
      </c>
    </row>
    <row r="99">
      <c r="B99" s="3" t="inlineStr">
        <is>
          <t>Inclus</t>
        </is>
      </c>
      <c r="F99" s="3" t="inlineStr">
        <is>
          <t>Exclu ou reporté</t>
        </is>
      </c>
    </row>
    <row r="100" ht="30" customHeight="1">
      <c r="B100" s="19" t="inlineStr">
        <is>
          <t>+ Alerte &amp; Rebond : auto-diagnostic, cellule de crise confidentielle, listings d'actifs en difficulté, coupe-circuit</t>
        </is>
      </c>
      <c r="F100" s="29" t="inlineStr">
        <is>
          <t>- Mécanismes d'enchère en temps réel (non présumés contractuels)</t>
        </is>
      </c>
    </row>
    <row r="101" ht="30" customHeight="1">
      <c r="B101" s="19" t="inlineStr">
        <is>
          <t>+ Deal-Connect : événements B2B via connecteur Remo.co ; DealPME gère inscriptions, billetterie, attribution et reporting</t>
        </is>
      </c>
      <c r="F101" s="29" t="inlineStr">
        <is>
          <t>- Tout conseil de change ou d'investissement fourni par la plateforme</t>
        </is>
      </c>
    </row>
    <row r="102" ht="30" customHeight="1">
      <c r="B102" s="19" t="inlineStr">
        <is>
          <t>+ Guichet Diaspora : liste de suivi, rendez-vous sécurisé via Remo.co, contraintes transfrontalières, renvoi vers banque et conseil</t>
        </is>
      </c>
    </row>
    <row r="103" ht="30" customHeight="1">
      <c r="B103" s="19" t="inlineStr">
        <is>
          <t>+ Deal-Experts : registre d'experts, routage, accès temporaire scopé (sous réserve de l'arbitrage P13)</t>
        </is>
      </c>
    </row>
    <row r="105" ht="24" customHeight="1">
      <c r="B105" s="11" t="inlineStr">
        <is>
          <t>Lot</t>
        </is>
      </c>
      <c r="C105" s="11" t="inlineStr">
        <is>
          <t>Charge (j/p)</t>
        </is>
      </c>
      <c r="D105" s="11" t="inlineStr">
        <is>
          <t>Réalisé (j/p)</t>
        </is>
      </c>
      <c r="E105" s="11" t="inlineStr">
        <is>
          <t>Avancement</t>
        </is>
      </c>
      <c r="F105" s="11" t="inlineStr">
        <is>
          <t>Tâches</t>
        </is>
      </c>
      <c r="G105" s="11" t="inlineStr">
        <is>
          <t>Complétées</t>
        </is>
      </c>
      <c r="H105" s="11" t="inlineStr">
        <is>
          <t>Bloquées</t>
        </is>
      </c>
      <c r="I105" s="11" t="inlineStr">
        <is>
          <t>En retard</t>
        </is>
      </c>
    </row>
    <row r="106">
      <c r="B106" s="13" t="inlineStr">
        <is>
          <t>Alerte &amp; Rebond</t>
        </is>
      </c>
      <c r="C106" s="12">
        <f>SUMIFS(Taches!$M$6:$M$325,Taches!$C$6:$C$325,"V4",Taches!$E$6:$E$325,$B106)</f>
        <v/>
      </c>
      <c r="D106" s="15">
        <f>SUMIFS(Taches!$N$6:$N$325,Taches!$C$6:$C$325,"V4",Taches!$E$6:$E$325,$B106)</f>
        <v/>
      </c>
      <c r="E106" s="16">
        <f>IF(C106=0,0,D106/C106)</f>
        <v/>
      </c>
      <c r="F106" s="12">
        <f>COUNTIFS(Taches!$C$6:$C$325,"V4",Taches!$E$6:$E$325,$B106,Taches!$J$6:$J$325,"&lt;&gt;Abandonnée",Taches!$B$6:$B$325,"&lt;&gt;")</f>
        <v/>
      </c>
      <c r="G106" s="12">
        <f>COUNTIFS(Taches!$C$6:$C$325,"V4",Taches!$E$6:$E$325,$B106,Taches!$J$6:$J$325,"Complétée")</f>
        <v/>
      </c>
      <c r="H106" s="12">
        <f>COUNTIFS(Taches!$C$6:$C$325,"V4",Taches!$E$6:$E$325,$B106,Taches!$J$6:$J$325,"Bloquée")</f>
        <v/>
      </c>
      <c r="I106" s="12">
        <f>COUNTIFS(Taches!$C$6:$C$325,"V4",Taches!$E$6:$E$325,$B106,Taches!$U$6:$U$325,"En retard")</f>
        <v/>
      </c>
    </row>
    <row r="107">
      <c r="B107" s="13" t="inlineStr">
        <is>
          <t>Actifs en difficulté</t>
        </is>
      </c>
      <c r="C107" s="12">
        <f>SUMIFS(Taches!$M$6:$M$325,Taches!$C$6:$C$325,"V4",Taches!$E$6:$E$325,$B107)</f>
        <v/>
      </c>
      <c r="D107" s="15">
        <f>SUMIFS(Taches!$N$6:$N$325,Taches!$C$6:$C$325,"V4",Taches!$E$6:$E$325,$B107)</f>
        <v/>
      </c>
      <c r="E107" s="16">
        <f>IF(C107=0,0,D107/C107)</f>
        <v/>
      </c>
      <c r="F107" s="12">
        <f>COUNTIFS(Taches!$C$6:$C$325,"V4",Taches!$E$6:$E$325,$B107,Taches!$J$6:$J$325,"&lt;&gt;Abandonnée",Taches!$B$6:$B$325,"&lt;&gt;")</f>
        <v/>
      </c>
      <c r="G107" s="12">
        <f>COUNTIFS(Taches!$C$6:$C$325,"V4",Taches!$E$6:$E$325,$B107,Taches!$J$6:$J$325,"Complétée")</f>
        <v/>
      </c>
      <c r="H107" s="12">
        <f>COUNTIFS(Taches!$C$6:$C$325,"V4",Taches!$E$6:$E$325,$B107,Taches!$J$6:$J$325,"Bloquée")</f>
        <v/>
      </c>
      <c r="I107" s="12">
        <f>COUNTIFS(Taches!$C$6:$C$325,"V4",Taches!$E$6:$E$325,$B107,Taches!$U$6:$U$325,"En retard")</f>
        <v/>
      </c>
    </row>
    <row r="108">
      <c r="B108" s="13" t="inlineStr">
        <is>
          <t>Deal-Connect</t>
        </is>
      </c>
      <c r="C108" s="12">
        <f>SUMIFS(Taches!$M$6:$M$325,Taches!$C$6:$C$325,"V4",Taches!$E$6:$E$325,$B108)</f>
        <v/>
      </c>
      <c r="D108" s="15">
        <f>SUMIFS(Taches!$N$6:$N$325,Taches!$C$6:$C$325,"V4",Taches!$E$6:$E$325,$B108)</f>
        <v/>
      </c>
      <c r="E108" s="16">
        <f>IF(C108=0,0,D108/C108)</f>
        <v/>
      </c>
      <c r="F108" s="12">
        <f>COUNTIFS(Taches!$C$6:$C$325,"V4",Taches!$E$6:$E$325,$B108,Taches!$J$6:$J$325,"&lt;&gt;Abandonnée",Taches!$B$6:$B$325,"&lt;&gt;")</f>
        <v/>
      </c>
      <c r="G108" s="12">
        <f>COUNTIFS(Taches!$C$6:$C$325,"V4",Taches!$E$6:$E$325,$B108,Taches!$J$6:$J$325,"Complétée")</f>
        <v/>
      </c>
      <c r="H108" s="12">
        <f>COUNTIFS(Taches!$C$6:$C$325,"V4",Taches!$E$6:$E$325,$B108,Taches!$J$6:$J$325,"Bloquée")</f>
        <v/>
      </c>
      <c r="I108" s="12">
        <f>COUNTIFS(Taches!$C$6:$C$325,"V4",Taches!$E$6:$E$325,$B108,Taches!$U$6:$U$325,"En retard")</f>
        <v/>
      </c>
    </row>
    <row r="109">
      <c r="B109" s="13" t="inlineStr">
        <is>
          <t>Guichet Diaspora</t>
        </is>
      </c>
      <c r="C109" s="12">
        <f>SUMIFS(Taches!$M$6:$M$325,Taches!$C$6:$C$325,"V4",Taches!$E$6:$E$325,$B109)</f>
        <v/>
      </c>
      <c r="D109" s="15">
        <f>SUMIFS(Taches!$N$6:$N$325,Taches!$C$6:$C$325,"V4",Taches!$E$6:$E$325,$B109)</f>
        <v/>
      </c>
      <c r="E109" s="16">
        <f>IF(C109=0,0,D109/C109)</f>
        <v/>
      </c>
      <c r="F109" s="12">
        <f>COUNTIFS(Taches!$C$6:$C$325,"V4",Taches!$E$6:$E$325,$B109,Taches!$J$6:$J$325,"&lt;&gt;Abandonnée",Taches!$B$6:$B$325,"&lt;&gt;")</f>
        <v/>
      </c>
      <c r="G109" s="12">
        <f>COUNTIFS(Taches!$C$6:$C$325,"V4",Taches!$E$6:$E$325,$B109,Taches!$J$6:$J$325,"Complétée")</f>
        <v/>
      </c>
      <c r="H109" s="12">
        <f>COUNTIFS(Taches!$C$6:$C$325,"V4",Taches!$E$6:$E$325,$B109,Taches!$J$6:$J$325,"Bloquée")</f>
        <v/>
      </c>
      <c r="I109" s="12">
        <f>COUNTIFS(Taches!$C$6:$C$325,"V4",Taches!$E$6:$E$325,$B109,Taches!$U$6:$U$325,"En retard")</f>
        <v/>
      </c>
    </row>
    <row r="110">
      <c r="B110" s="13" t="inlineStr">
        <is>
          <t>Deal-Experts</t>
        </is>
      </c>
      <c r="C110" s="12">
        <f>SUMIFS(Taches!$M$6:$M$325,Taches!$C$6:$C$325,"V4",Taches!$E$6:$E$325,$B110)</f>
        <v/>
      </c>
      <c r="D110" s="15">
        <f>SUMIFS(Taches!$N$6:$N$325,Taches!$C$6:$C$325,"V4",Taches!$E$6:$E$325,$B110)</f>
        <v/>
      </c>
      <c r="E110" s="16">
        <f>IF(C110=0,0,D110/C110)</f>
        <v/>
      </c>
      <c r="F110" s="12">
        <f>COUNTIFS(Taches!$C$6:$C$325,"V4",Taches!$E$6:$E$325,$B110,Taches!$J$6:$J$325,"&lt;&gt;Abandonnée",Taches!$B$6:$B$325,"&lt;&gt;")</f>
        <v/>
      </c>
      <c r="G110" s="12">
        <f>COUNTIFS(Taches!$C$6:$C$325,"V4",Taches!$E$6:$E$325,$B110,Taches!$J$6:$J$325,"Complétée")</f>
        <v/>
      </c>
      <c r="H110" s="12">
        <f>COUNTIFS(Taches!$C$6:$C$325,"V4",Taches!$E$6:$E$325,$B110,Taches!$J$6:$J$325,"Bloquée")</f>
        <v/>
      </c>
      <c r="I110" s="12">
        <f>COUNTIFS(Taches!$C$6:$C$325,"V4",Taches!$E$6:$E$325,$B110,Taches!$U$6:$U$325,"En retard")</f>
        <v/>
      </c>
    </row>
    <row r="111">
      <c r="B111" s="30" t="inlineStr">
        <is>
          <t>Total V4</t>
        </is>
      </c>
      <c r="C111" s="30">
        <f>SUM(C106:C110)</f>
        <v/>
      </c>
      <c r="D111" s="31">
        <f>SUM(D106:D110)</f>
        <v/>
      </c>
      <c r="E111" s="32">
        <f>IF(C111=0,0,D111/C111)</f>
        <v/>
      </c>
      <c r="F111" s="30">
        <f>SUM(F106:F110)</f>
        <v/>
      </c>
      <c r="G111" s="30">
        <f>SUM(G106:G110)</f>
        <v/>
      </c>
      <c r="H111" s="30">
        <f>SUM(H106:H110)</f>
        <v/>
      </c>
      <c r="I111" s="30">
        <f>SUM(I106:I110)</f>
        <v/>
      </c>
    </row>
    <row r="113">
      <c r="B113" s="3" t="inlineStr">
        <is>
          <t>Prérequis</t>
        </is>
      </c>
    </row>
    <row r="114" ht="30" customHeight="1">
      <c r="B114" s="19" t="inlineStr">
        <is>
          <t>Portes de conformité fermées (V3) ; cadrage écrit de l'intégration Remo.co.</t>
        </is>
      </c>
    </row>
    <row r="115">
      <c r="B115" s="3" t="inlineStr">
        <is>
          <t>Décision ou règle</t>
        </is>
      </c>
    </row>
    <row r="116" ht="36" customHeight="1">
      <c r="B116" s="33" t="inlineStr">
        <is>
          <t>Remo.co est retenu. Le périmètre exact (SSO natif, webhooks de présence, marque blanche) dépend du plan Remo.co choisi.</t>
        </is>
      </c>
      <c r="C116" s="34" t="n"/>
      <c r="D116" s="34" t="n"/>
      <c r="E116" s="34" t="n"/>
      <c r="F116" s="34" t="n"/>
      <c r="G116" s="34" t="n"/>
      <c r="H116" s="34" t="n"/>
      <c r="I116" s="34" t="n"/>
    </row>
    <row r="119" ht="26" customHeight="1">
      <c r="B119" s="22" t="inlineStr">
        <is>
          <t>V5  VDR Intelligence : DealLens, Evidence Map, Issue Radar, Clean Team</t>
        </is>
      </c>
    </row>
    <row r="120" ht="28" customHeight="1">
      <c r="B120" s="23" t="inlineStr">
        <is>
          <t>Début prévu</t>
        </is>
      </c>
      <c r="C120" s="23" t="inlineStr">
        <is>
          <t>Fin prévue</t>
        </is>
      </c>
      <c r="D120" s="23" t="inlineStr">
        <is>
          <t>Charge (j/p)</t>
        </is>
      </c>
      <c r="E120" s="23" t="inlineStr">
        <is>
          <t>Charge (sem.-pers.)</t>
        </is>
      </c>
      <c r="F120" s="23" t="inlineStr">
        <is>
          <t>Avancement</t>
        </is>
      </c>
      <c r="G120" s="23" t="inlineStr">
        <is>
          <t>État</t>
        </is>
      </c>
      <c r="H120" s="23" t="inlineStr">
        <is>
          <t>Semaines calendaires</t>
        </is>
      </c>
      <c r="I120" s="23" t="inlineStr">
        <is>
          <t>ETP requis à pleine cadence</t>
        </is>
      </c>
    </row>
    <row r="121">
      <c r="B121" s="24">
        <f>Versions!D10</f>
        <v/>
      </c>
      <c r="C121" s="24">
        <f>Versions!E10</f>
        <v/>
      </c>
      <c r="D121" s="25">
        <f>Versions!G10</f>
        <v/>
      </c>
      <c r="E121" s="26">
        <f>Versions!H10</f>
        <v/>
      </c>
      <c r="F121" s="27">
        <f>Versions!J10</f>
        <v/>
      </c>
      <c r="G121" s="28">
        <f>Versions!P10</f>
        <v/>
      </c>
      <c r="H121" s="26">
        <f>ROUND((Versions!E10-Versions!D10)/7,1)</f>
        <v/>
      </c>
      <c r="I121" s="26">
        <f>IFERROR(ROUND(Versions!H10/((Versions!E10-Versions!D10)/7),1),0)</f>
        <v/>
      </c>
    </row>
    <row r="122" ht="48" customHeight="1">
      <c r="B122" s="19" t="inlineStr">
        <is>
          <t>Le module le plus spécifié du corpus existant et pourtant le plus éloigné de la production : aucun fournisseur IA n'est engagé. Placé en dernier car le moins urgent contractuellement et le plus risqué techniquement.</t>
        </is>
      </c>
    </row>
    <row r="123">
      <c r="B123" s="3" t="inlineStr">
        <is>
          <t>Inclus</t>
        </is>
      </c>
      <c r="F123" s="3" t="inlineStr">
        <is>
          <t>Exclu ou reporté</t>
        </is>
      </c>
    </row>
    <row r="124" ht="30" customHeight="1">
      <c r="B124" s="19" t="inlineStr">
        <is>
          <t>+ Contrat fournisseur IA et pare-feu de permission : filtrage avant récupération, jamais après</t>
        </is>
      </c>
      <c r="F124" s="29" t="inlineStr">
        <is>
          <t>- Toute action autonome de l'IA : publication, changement de permission, certification, réponse au cédant</t>
        </is>
      </c>
    </row>
    <row r="125" ht="30" customHeight="1">
      <c r="B125" s="19" t="inlineStr">
        <is>
          <t>+ Neuf surfaces : Cockpit, DealLens document et salle, Issue Radar, Evidence Map, Atelier Q&amp;R, Engagement Pulse, Audit, Accès et Clean Team</t>
        </is>
      </c>
    </row>
    <row r="126" ht="30" customHeight="1">
      <c r="B126" s="19" t="inlineStr">
        <is>
          <t>+ Rapprochement financier, intelligence de version, caviardage assisté avec revue humaine</t>
        </is>
      </c>
    </row>
    <row r="127" ht="30" customHeight="1">
      <c r="B127" s="19" t="inlineStr">
        <is>
          <t>+ Tests AI-01 à AI-06, DOC-01 à DOC-03, Q&amp;A-01, UI-01</t>
        </is>
      </c>
    </row>
    <row r="129" ht="24" customHeight="1">
      <c r="B129" s="11" t="inlineStr">
        <is>
          <t>Lot</t>
        </is>
      </c>
      <c r="C129" s="11" t="inlineStr">
        <is>
          <t>Charge (j/p)</t>
        </is>
      </c>
      <c r="D129" s="11" t="inlineStr">
        <is>
          <t>Réalisé (j/p)</t>
        </is>
      </c>
      <c r="E129" s="11" t="inlineStr">
        <is>
          <t>Avancement</t>
        </is>
      </c>
      <c r="F129" s="11" t="inlineStr">
        <is>
          <t>Tâches</t>
        </is>
      </c>
      <c r="G129" s="11" t="inlineStr">
        <is>
          <t>Complétées</t>
        </is>
      </c>
      <c r="H129" s="11" t="inlineStr">
        <is>
          <t>Bloquées</t>
        </is>
      </c>
      <c r="I129" s="11" t="inlineStr">
        <is>
          <t>En retard</t>
        </is>
      </c>
    </row>
    <row r="130">
      <c r="B130" s="13" t="inlineStr">
        <is>
          <t>Fournisseur IA</t>
        </is>
      </c>
      <c r="C130" s="12">
        <f>SUMIFS(Taches!$M$6:$M$325,Taches!$C$6:$C$325,"V5",Taches!$E$6:$E$325,$B130)</f>
        <v/>
      </c>
      <c r="D130" s="15">
        <f>SUMIFS(Taches!$N$6:$N$325,Taches!$C$6:$C$325,"V5",Taches!$E$6:$E$325,$B130)</f>
        <v/>
      </c>
      <c r="E130" s="16">
        <f>IF(C130=0,0,D130/C130)</f>
        <v/>
      </c>
      <c r="F130" s="12">
        <f>COUNTIFS(Taches!$C$6:$C$325,"V5",Taches!$E$6:$E$325,$B130,Taches!$J$6:$J$325,"&lt;&gt;Abandonnée",Taches!$B$6:$B$325,"&lt;&gt;")</f>
        <v/>
      </c>
      <c r="G130" s="12">
        <f>COUNTIFS(Taches!$C$6:$C$325,"V5",Taches!$E$6:$E$325,$B130,Taches!$J$6:$J$325,"Complétée")</f>
        <v/>
      </c>
      <c r="H130" s="12">
        <f>COUNTIFS(Taches!$C$6:$C$325,"V5",Taches!$E$6:$E$325,$B130,Taches!$J$6:$J$325,"Bloquée")</f>
        <v/>
      </c>
      <c r="I130" s="12">
        <f>COUNTIFS(Taches!$C$6:$C$325,"V5",Taches!$E$6:$E$325,$B130,Taches!$U$6:$U$325,"En retard")</f>
        <v/>
      </c>
    </row>
    <row r="131">
      <c r="B131" s="13" t="inlineStr">
        <is>
          <t>Ingestion</t>
        </is>
      </c>
      <c r="C131" s="12">
        <f>SUMIFS(Taches!$M$6:$M$325,Taches!$C$6:$C$325,"V5",Taches!$E$6:$E$325,$B131)</f>
        <v/>
      </c>
      <c r="D131" s="15">
        <f>SUMIFS(Taches!$N$6:$N$325,Taches!$C$6:$C$325,"V5",Taches!$E$6:$E$325,$B131)</f>
        <v/>
      </c>
      <c r="E131" s="16">
        <f>IF(C131=0,0,D131/C131)</f>
        <v/>
      </c>
      <c r="F131" s="12">
        <f>COUNTIFS(Taches!$C$6:$C$325,"V5",Taches!$E$6:$E$325,$B131,Taches!$J$6:$J$325,"&lt;&gt;Abandonnée",Taches!$B$6:$B$325,"&lt;&gt;")</f>
        <v/>
      </c>
      <c r="G131" s="12">
        <f>COUNTIFS(Taches!$C$6:$C$325,"V5",Taches!$E$6:$E$325,$B131,Taches!$J$6:$J$325,"Complétée")</f>
        <v/>
      </c>
      <c r="H131" s="12">
        <f>COUNTIFS(Taches!$C$6:$C$325,"V5",Taches!$E$6:$E$325,$B131,Taches!$J$6:$J$325,"Bloquée")</f>
        <v/>
      </c>
      <c r="I131" s="12">
        <f>COUNTIFS(Taches!$C$6:$C$325,"V5",Taches!$E$6:$E$325,$B131,Taches!$U$6:$U$325,"En retard")</f>
        <v/>
      </c>
    </row>
    <row r="132">
      <c r="B132" s="13" t="inlineStr">
        <is>
          <t>DealLens</t>
        </is>
      </c>
      <c r="C132" s="12">
        <f>SUMIFS(Taches!$M$6:$M$325,Taches!$C$6:$C$325,"V5",Taches!$E$6:$E$325,$B132)</f>
        <v/>
      </c>
      <c r="D132" s="15">
        <f>SUMIFS(Taches!$N$6:$N$325,Taches!$C$6:$C$325,"V5",Taches!$E$6:$E$325,$B132)</f>
        <v/>
      </c>
      <c r="E132" s="16">
        <f>IF(C132=0,0,D132/C132)</f>
        <v/>
      </c>
      <c r="F132" s="12">
        <f>COUNTIFS(Taches!$C$6:$C$325,"V5",Taches!$E$6:$E$325,$B132,Taches!$J$6:$J$325,"&lt;&gt;Abandonnée",Taches!$B$6:$B$325,"&lt;&gt;")</f>
        <v/>
      </c>
      <c r="G132" s="12">
        <f>COUNTIFS(Taches!$C$6:$C$325,"V5",Taches!$E$6:$E$325,$B132,Taches!$J$6:$J$325,"Complétée")</f>
        <v/>
      </c>
      <c r="H132" s="12">
        <f>COUNTIFS(Taches!$C$6:$C$325,"V5",Taches!$E$6:$E$325,$B132,Taches!$J$6:$J$325,"Bloquée")</f>
        <v/>
      </c>
      <c r="I132" s="12">
        <f>COUNTIFS(Taches!$C$6:$C$325,"V5",Taches!$E$6:$E$325,$B132,Taches!$U$6:$U$325,"En retard")</f>
        <v/>
      </c>
    </row>
    <row r="133">
      <c r="B133" s="13" t="inlineStr">
        <is>
          <t>Surfaces</t>
        </is>
      </c>
      <c r="C133" s="12">
        <f>SUMIFS(Taches!$M$6:$M$325,Taches!$C$6:$C$325,"V5",Taches!$E$6:$E$325,$B133)</f>
        <v/>
      </c>
      <c r="D133" s="15">
        <f>SUMIFS(Taches!$N$6:$N$325,Taches!$C$6:$C$325,"V5",Taches!$E$6:$E$325,$B133)</f>
        <v/>
      </c>
      <c r="E133" s="16">
        <f>IF(C133=0,0,D133/C133)</f>
        <v/>
      </c>
      <c r="F133" s="12">
        <f>COUNTIFS(Taches!$C$6:$C$325,"V5",Taches!$E$6:$E$325,$B133,Taches!$J$6:$J$325,"&lt;&gt;Abandonnée",Taches!$B$6:$B$325,"&lt;&gt;")</f>
        <v/>
      </c>
      <c r="G133" s="12">
        <f>COUNTIFS(Taches!$C$6:$C$325,"V5",Taches!$E$6:$E$325,$B133,Taches!$J$6:$J$325,"Complétée")</f>
        <v/>
      </c>
      <c r="H133" s="12">
        <f>COUNTIFS(Taches!$C$6:$C$325,"V5",Taches!$E$6:$E$325,$B133,Taches!$J$6:$J$325,"Bloquée")</f>
        <v/>
      </c>
      <c r="I133" s="12">
        <f>COUNTIFS(Taches!$C$6:$C$325,"V5",Taches!$E$6:$E$325,$B133,Taches!$U$6:$U$325,"En retard")</f>
        <v/>
      </c>
    </row>
    <row r="134">
      <c r="B134" s="13" t="inlineStr">
        <is>
          <t>Accès</t>
        </is>
      </c>
      <c r="C134" s="12">
        <f>SUMIFS(Taches!$M$6:$M$325,Taches!$C$6:$C$325,"V5",Taches!$E$6:$E$325,$B134)</f>
        <v/>
      </c>
      <c r="D134" s="15">
        <f>SUMIFS(Taches!$N$6:$N$325,Taches!$C$6:$C$325,"V5",Taches!$E$6:$E$325,$B134)</f>
        <v/>
      </c>
      <c r="E134" s="16">
        <f>IF(C134=0,0,D134/C134)</f>
        <v/>
      </c>
      <c r="F134" s="12">
        <f>COUNTIFS(Taches!$C$6:$C$325,"V5",Taches!$E$6:$E$325,$B134,Taches!$J$6:$J$325,"&lt;&gt;Abandonnée",Taches!$B$6:$B$325,"&lt;&gt;")</f>
        <v/>
      </c>
      <c r="G134" s="12">
        <f>COUNTIFS(Taches!$C$6:$C$325,"V5",Taches!$E$6:$E$325,$B134,Taches!$J$6:$J$325,"Complétée")</f>
        <v/>
      </c>
      <c r="H134" s="12">
        <f>COUNTIFS(Taches!$C$6:$C$325,"V5",Taches!$E$6:$E$325,$B134,Taches!$J$6:$J$325,"Bloquée")</f>
        <v/>
      </c>
      <c r="I134" s="12">
        <f>COUNTIFS(Taches!$C$6:$C$325,"V5",Taches!$E$6:$E$325,$B134,Taches!$U$6:$U$325,"En retard")</f>
        <v/>
      </c>
    </row>
    <row r="135">
      <c r="B135" s="13" t="inlineStr">
        <is>
          <t>QA IA</t>
        </is>
      </c>
      <c r="C135" s="12">
        <f>SUMIFS(Taches!$M$6:$M$325,Taches!$C$6:$C$325,"V5",Taches!$E$6:$E$325,$B135)</f>
        <v/>
      </c>
      <c r="D135" s="15">
        <f>SUMIFS(Taches!$N$6:$N$325,Taches!$C$6:$C$325,"V5",Taches!$E$6:$E$325,$B135)</f>
        <v/>
      </c>
      <c r="E135" s="16">
        <f>IF(C135=0,0,D135/C135)</f>
        <v/>
      </c>
      <c r="F135" s="12">
        <f>COUNTIFS(Taches!$C$6:$C$325,"V5",Taches!$E$6:$E$325,$B135,Taches!$J$6:$J$325,"&lt;&gt;Abandonnée",Taches!$B$6:$B$325,"&lt;&gt;")</f>
        <v/>
      </c>
      <c r="G135" s="12">
        <f>COUNTIFS(Taches!$C$6:$C$325,"V5",Taches!$E$6:$E$325,$B135,Taches!$J$6:$J$325,"Complétée")</f>
        <v/>
      </c>
      <c r="H135" s="12">
        <f>COUNTIFS(Taches!$C$6:$C$325,"V5",Taches!$E$6:$E$325,$B135,Taches!$J$6:$J$325,"Bloquée")</f>
        <v/>
      </c>
      <c r="I135" s="12">
        <f>COUNTIFS(Taches!$C$6:$C$325,"V5",Taches!$E$6:$E$325,$B135,Taches!$U$6:$U$325,"En retard")</f>
        <v/>
      </c>
    </row>
    <row r="136">
      <c r="B136" s="30" t="inlineStr">
        <is>
          <t>Total V5</t>
        </is>
      </c>
      <c r="C136" s="30">
        <f>SUM(C130:C135)</f>
        <v/>
      </c>
      <c r="D136" s="31">
        <f>SUM(D130:D135)</f>
        <v/>
      </c>
      <c r="E136" s="32">
        <f>IF(C136=0,0,D136/C136)</f>
        <v/>
      </c>
      <c r="F136" s="30">
        <f>SUM(F130:F135)</f>
        <v/>
      </c>
      <c r="G136" s="30">
        <f>SUM(G130:G135)</f>
        <v/>
      </c>
      <c r="H136" s="30">
        <f>SUM(H130:H135)</f>
        <v/>
      </c>
      <c r="I136" s="30">
        <f>SUM(I130:I135)</f>
        <v/>
      </c>
    </row>
    <row r="138">
      <c r="B138" s="3" t="inlineStr">
        <is>
          <t>Prérequis</t>
        </is>
      </c>
    </row>
    <row r="139" ht="30" customHeight="1">
      <c r="B139" s="19" t="inlineStr">
        <is>
          <t>Data room de production stable (V2) ; contrat fournisseur IA avec clauses de confidentialité.</t>
        </is>
      </c>
    </row>
    <row r="140">
      <c r="B140" s="3" t="inlineStr">
        <is>
          <t>Décision ou règle</t>
        </is>
      </c>
    </row>
    <row r="141" ht="36" customHeight="1">
      <c r="B141" s="33" t="inlineStr">
        <is>
          <t>DealLens reste assistif et lecture seule : il explique, résume, extrait et propose, il ne décide jamais.</t>
        </is>
      </c>
      <c r="C141" s="34" t="n"/>
      <c r="D141" s="34" t="n"/>
      <c r="E141" s="34" t="n"/>
      <c r="F141" s="34" t="n"/>
      <c r="G141" s="34" t="n"/>
      <c r="H141" s="34" t="n"/>
      <c r="I141" s="34" t="n"/>
    </row>
  </sheetData>
  <mergeCells count="59">
    <mergeCell ref="F13:I13"/>
    <mergeCell ref="B49:E49"/>
    <mergeCell ref="B127:E127"/>
    <mergeCell ref="B74:E74"/>
    <mergeCell ref="B141:I141"/>
    <mergeCell ref="B15:E15"/>
    <mergeCell ref="F48:I48"/>
    <mergeCell ref="B90:I90"/>
    <mergeCell ref="B124:E124"/>
    <mergeCell ref="B122:I122"/>
    <mergeCell ref="B50:E50"/>
    <mergeCell ref="B39:I39"/>
    <mergeCell ref="B75:E75"/>
    <mergeCell ref="B126:E126"/>
    <mergeCell ref="F11:I11"/>
    <mergeCell ref="B16:E16"/>
    <mergeCell ref="B42:I42"/>
    <mergeCell ref="F69:I69"/>
    <mergeCell ref="B100:E100"/>
    <mergeCell ref="B72:E72"/>
    <mergeCell ref="B98:I98"/>
    <mergeCell ref="B47:E47"/>
    <mergeCell ref="B67:I67"/>
    <mergeCell ref="B61:I61"/>
    <mergeCell ref="B125:E125"/>
    <mergeCell ref="F10:I10"/>
    <mergeCell ref="B8:I8"/>
    <mergeCell ref="B119:I119"/>
    <mergeCell ref="B18:E18"/>
    <mergeCell ref="B71:E71"/>
    <mergeCell ref="B102:E102"/>
    <mergeCell ref="B116:I116"/>
    <mergeCell ref="F124:I124"/>
    <mergeCell ref="B12:E12"/>
    <mergeCell ref="B70:E70"/>
    <mergeCell ref="F12:I12"/>
    <mergeCell ref="B48:E48"/>
    <mergeCell ref="B11:E11"/>
    <mergeCell ref="B37:I37"/>
    <mergeCell ref="B101:E101"/>
    <mergeCell ref="B14:E14"/>
    <mergeCell ref="B17:E17"/>
    <mergeCell ref="B92:I92"/>
    <mergeCell ref="F101:I101"/>
    <mergeCell ref="F70:I70"/>
    <mergeCell ref="B64:I64"/>
    <mergeCell ref="B139:I139"/>
    <mergeCell ref="B73:E73"/>
    <mergeCell ref="B13:E13"/>
    <mergeCell ref="B69:E69"/>
    <mergeCell ref="B95:I95"/>
    <mergeCell ref="F47:I47"/>
    <mergeCell ref="F100:I100"/>
    <mergeCell ref="B5:I5"/>
    <mergeCell ref="B114:I114"/>
    <mergeCell ref="B19:E19"/>
    <mergeCell ref="B45:I45"/>
    <mergeCell ref="B103:E103"/>
    <mergeCell ref="B10:E10"/>
  </mergeCells>
  <conditionalFormatting sqref="E22:E33">
    <cfRule type="dataBar" priority="1">
      <dataBar>
        <cfvo type="num" val="0"/>
        <cfvo type="num" val="1"/>
        <color rgb="006678F1"/>
      </dataBar>
    </cfRule>
  </conditionalFormatting>
  <conditionalFormatting sqref="H22:I33">
    <cfRule type="expression" priority="2" dxfId="4">
      <formula>H22&gt;0</formula>
    </cfRule>
  </conditionalFormatting>
  <conditionalFormatting sqref="E53:E57">
    <cfRule type="dataBar" priority="3">
      <dataBar>
        <cfvo type="num" val="0"/>
        <cfvo type="num" val="1"/>
        <color rgb="006678F1"/>
      </dataBar>
    </cfRule>
  </conditionalFormatting>
  <conditionalFormatting sqref="H53:I57">
    <cfRule type="expression" priority="4" dxfId="4">
      <formula>H53&gt;0</formula>
    </cfRule>
  </conditionalFormatting>
  <conditionalFormatting sqref="E78:E86">
    <cfRule type="dataBar" priority="5">
      <dataBar>
        <cfvo type="num" val="0"/>
        <cfvo type="num" val="1"/>
        <color rgb="006678F1"/>
      </dataBar>
    </cfRule>
  </conditionalFormatting>
  <conditionalFormatting sqref="H78:I86">
    <cfRule type="expression" priority="6" dxfId="4">
      <formula>H78&gt;0</formula>
    </cfRule>
  </conditionalFormatting>
  <conditionalFormatting sqref="E106:E110">
    <cfRule type="dataBar" priority="7">
      <dataBar>
        <cfvo type="num" val="0"/>
        <cfvo type="num" val="1"/>
        <color rgb="006678F1"/>
      </dataBar>
    </cfRule>
  </conditionalFormatting>
  <conditionalFormatting sqref="H106:I110">
    <cfRule type="expression" priority="8" dxfId="4">
      <formula>H106&gt;0</formula>
    </cfRule>
  </conditionalFormatting>
  <conditionalFormatting sqref="E130:E135">
    <cfRule type="dataBar" priority="9">
      <dataBar>
        <cfvo type="num" val="0"/>
        <cfvo type="num" val="1"/>
        <color rgb="006678F1"/>
      </dataBar>
    </cfRule>
  </conditionalFormatting>
  <conditionalFormatting sqref="H130:I135">
    <cfRule type="expression" priority="10" dxfId="4">
      <formula>H130&gt;0</formula>
    </cfRule>
  </conditionalFormatting>
  <pageMargins left="0.75" right="0.75" top="1" bottom="1" header="0.5" footer="0.5"/>
</worksheet>
</file>

<file path=xl/worksheets/sheet4.xml><?xml version="1.0" encoding="utf-8"?>
<worksheet xmlns="http://schemas.openxmlformats.org/spreadsheetml/2006/main">
  <sheetPr>
    <tabColor rgb="005980A6"/>
    <outlinePr summaryBelow="1" summaryRight="1"/>
    <pageSetUpPr/>
  </sheetPr>
  <dimension ref="B2:C19"/>
  <sheetViews>
    <sheetView showGridLines="0" workbookViewId="0">
      <selection activeCell="A1" sqref="A1"/>
    </sheetView>
  </sheetViews>
  <sheetFormatPr baseColWidth="8" defaultRowHeight="15"/>
  <cols>
    <col width="3" customWidth="1" min="1" max="1"/>
    <col width="22" customWidth="1" min="2" max="2"/>
    <col width="110" customWidth="1" min="3" max="3"/>
  </cols>
  <sheetData>
    <row r="2">
      <c r="B2" s="1" t="inlineStr">
        <is>
          <t>Mode d'emploi du classeur</t>
        </is>
      </c>
    </row>
    <row r="5" ht="44" customHeight="1">
      <c r="B5" s="35" t="inlineStr">
        <is>
          <t>Principe</t>
        </is>
      </c>
      <c r="C5" s="20" t="inlineStr">
        <is>
          <t>L'onglet Taches est la seule source de vérité. Tout le reste (Modules, Versions, Processus, Jalons, Tableau de bord, Gantt) se recalcule automatiquement à partir des tâches.</t>
        </is>
      </c>
    </row>
    <row r="6" ht="44" customHeight="1">
      <c r="B6" s="35" t="inlineStr">
        <is>
          <t>Mettre à jour une tâche</t>
        </is>
      </c>
      <c r="C6" s="20" t="inlineStr">
        <is>
          <t>Changer le Statut (liste déroulante). 'Complétée' = 100 %. Choisir le Responsable dans la liste des personnes inscrites dans l'onglet Equipe. Pour une tâche 'En cours', saisir un pourcentage dans '% saisi' si l'on veut être précis ; sinon 25 % s'applique par défaut (90 % pour 'En revue').</t>
        </is>
      </c>
    </row>
    <row r="7" ht="44" customHeight="1">
      <c r="B7" s="35" t="inlineStr">
        <is>
          <t>Ajouter une tâche</t>
        </is>
      </c>
      <c r="C7" s="20" t="inlineStr">
        <is>
          <t>Écrire sur la première ligne vide de l'onglet Taches en renseignant au minimum ID, Version, Module, Tâche, Charge et Statut. Les formules des colonnes grises sont déjà en place jusqu'à la ligne 325. Le Gantt et tous les totaux la prennent en compte immédiatement.</t>
        </is>
      </c>
    </row>
    <row r="8" ht="44" customHeight="1">
      <c r="B8" s="35" t="inlineStr">
        <is>
          <t>Abandonner une tâche</t>
        </is>
      </c>
      <c r="C8" s="20" t="inlineStr">
        <is>
          <t>Mettre le statut 'Abandonnée' : la tâche sort des totaux de charge sans être supprimée (traçabilité).</t>
        </is>
      </c>
    </row>
    <row r="9" ht="44" customHeight="1">
      <c r="B9" s="35" t="inlineStr">
        <is>
          <t>Codes couleur</t>
        </is>
      </c>
      <c r="C9" s="20" t="inlineStr">
        <is>
          <t>Cellules jaune pâle : à saisir. Cellules grises : calculées, ne pas modifier. Statuts colorés automatiquement (vert complétée, ambre en cours, rouge bloquée).</t>
        </is>
      </c>
    </row>
    <row r="10" ht="44" customHeight="1">
      <c r="B10" s="35" t="inlineStr">
        <is>
          <t>Modules</t>
        </is>
      </c>
      <c r="C10" s="20" t="inlineStr">
        <is>
          <t>Avancement pondéré par la charge des tâches du module. Colonnes Responsable et Commentaire à saisir. Les éléments hors périmètre v0 sont listés pour mémoire, sans tâche.</t>
        </is>
      </c>
    </row>
    <row r="11" ht="44" customHeight="1">
      <c r="B11" s="35" t="inlineStr">
        <is>
          <t>Versions</t>
        </is>
      </c>
      <c r="C11" s="20" t="inlineStr">
        <is>
          <t>Les dates de début et de fin se saisissent ici. L'état passe automatiquement à 'En dépassement' si la date de fin est passée sans 100 %.</t>
        </is>
      </c>
    </row>
    <row r="12" ht="44" customHeight="1">
      <c r="B12" s="35" t="inlineStr">
        <is>
          <t>Jalons</t>
        </is>
      </c>
      <c r="C12" s="20" t="inlineStr">
        <is>
          <t>Saisir la date cible et le statut. La colonne Alerte signale 'Dépassé' ou 'Cette semaine'. Le tableau de bord affiche le prochain jalon non atteint.</t>
        </is>
      </c>
    </row>
    <row r="13" ht="44" customHeight="1">
      <c r="B13" s="35" t="inlineStr">
        <is>
          <t>Risques</t>
        </is>
      </c>
      <c r="C13" s="20" t="inlineStr">
        <is>
          <t>Saisir probabilité et impact de 1 à 5. Le score et le niveau se calculent. Passer le statut à 'Clos' quand le risque est levé.</t>
        </is>
      </c>
    </row>
    <row r="14" ht="44" customHeight="1">
      <c r="B14" s="35" t="inlineStr">
        <is>
          <t>Securite</t>
        </is>
      </c>
      <c r="C14" s="20" t="inlineStr">
        <is>
          <t>Registre des constats de sécurité : chaque ligne renvoie à la tâche qui la traite ; le statut et l'avancement se lisent automatiquement. Un report vers une version ultérieure doit être justifié et accompagné d'une mitigation.</t>
        </is>
      </c>
    </row>
    <row r="15" ht="44" customHeight="1">
      <c r="B15" s="35" t="inlineStr">
        <is>
          <t>Decisions</t>
        </is>
      </c>
      <c r="C15" s="20" t="inlineStr">
        <is>
          <t>Toute demande de changement de périmètre s'inscrit ici avant d'être traduite en tâches. Statut : Ouvert, En discussion, Tranché.</t>
        </is>
      </c>
    </row>
    <row r="16" ht="44" customHeight="1">
      <c r="B16" s="35" t="inlineStr">
        <is>
          <t>Gantt</t>
        </is>
      </c>
      <c r="C16" s="20" t="inlineStr">
        <is>
          <t>Barres hebdomadaires calculées depuis 'Début prévu' et 'Fin prévue' de chaque tâche. Modifier les dates dans Taches, pas dans le Gantt. La colonne de la semaine courante est surlignée.</t>
        </is>
      </c>
    </row>
    <row r="17" ht="44" customHeight="1">
      <c r="B17" s="35" t="inlineStr">
        <is>
          <t>Unités</t>
        </is>
      </c>
      <c r="C17" s="20" t="inlineStr">
        <is>
          <t>Charges en jours-personne (j/p). 5 j/p = 1 semaine-personne. Le calendrier réel dépend du nombre de personnes réellement affectées.</t>
        </is>
      </c>
    </row>
    <row r="18" ht="44" customHeight="1">
      <c r="B18" s="35" t="inlineStr">
        <is>
          <t>Paramètres</t>
        </is>
      </c>
      <c r="C18" s="20" t="inlineStr">
        <is>
          <t>Les listes déroulantes et l'avancement par défaut de chaque statut se modifient dans l'onglet Parametres.</t>
        </is>
      </c>
    </row>
    <row r="19" ht="44" customHeight="1">
      <c r="B19" s="35" t="inlineStr">
        <is>
          <t>Partage</t>
        </is>
      </c>
      <c r="C19" s="20" t="inlineStr">
        <is>
          <t>Ce classeur est conçu pour être le point de rencontre de tous les acteurs : les développeurs mettent à jour Taches, la CCI-Togo et M. Bruno lisent le Tableau de bord, les Jalons et les Decisions.</t>
        </is>
      </c>
    </row>
  </sheetData>
  <pageMargins left="0.75" right="0.75" top="1" bottom="1" header="0.5" footer="0.5"/>
</worksheet>
</file>

<file path=xl/worksheets/sheet5.xml><?xml version="1.0" encoding="utf-8"?>
<worksheet xmlns="http://schemas.openxmlformats.org/spreadsheetml/2006/main">
  <sheetPr>
    <tabColor rgb="006678F1"/>
    <outlinePr summaryBelow="1" summaryRight="1"/>
    <pageSetUpPr/>
  </sheetPr>
  <dimension ref="B2:V325"/>
  <sheetViews>
    <sheetView showGridLines="0" workbookViewId="0">
      <pane xSplit="6" ySplit="5" topLeftCell="G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8" customWidth="1" min="3" max="3"/>
    <col width="8" customWidth="1" min="4" max="4"/>
    <col width="18" customWidth="1" min="5" max="5"/>
    <col width="52" customWidth="1" min="6" max="6"/>
    <col width="44" customWidth="1" min="7" max="7"/>
    <col width="9" customWidth="1" min="8" max="8"/>
    <col width="9" customWidth="1" min="9" max="9"/>
    <col width="10" customWidth="1" min="10" max="10"/>
    <col width="10" customWidth="1" min="11" max="11"/>
    <col width="10" customWidth="1" min="12" max="12"/>
    <col width="9" customWidth="1" min="13" max="13"/>
    <col width="9" customWidth="1" min="14" max="14"/>
    <col width="14" customWidth="1" min="15" max="15"/>
    <col width="11" customWidth="1" min="16" max="16"/>
    <col width="11" customWidth="1" min="17" max="17"/>
    <col width="11" customWidth="1" min="18" max="18"/>
    <col width="22" customWidth="1" min="19" max="19"/>
    <col width="9" customWidth="1" min="20" max="20"/>
    <col width="10" customWidth="1" min="21" max="21"/>
    <col width="30" customWidth="1" min="22" max="22"/>
  </cols>
  <sheetData>
    <row r="2">
      <c r="B2" s="1" t="inlineStr">
        <is>
          <t>Tâches détaillées</t>
        </is>
      </c>
    </row>
    <row r="3">
      <c r="B3" s="17" t="inlineStr">
        <is>
          <t>Source unique de vérité. Colonnes jaunes : à saisir. Colonnes grises : calculées, ne pas modifier. Filtrer avec les en-têtes.</t>
        </is>
      </c>
    </row>
    <row r="5" ht="32" customHeight="1">
      <c r="B5" s="11" t="inlineStr">
        <is>
          <t>ID</t>
        </is>
      </c>
      <c r="C5" s="11" t="inlineStr">
        <is>
          <t>Version</t>
        </is>
      </c>
      <c r="D5" s="11" t="inlineStr">
        <is>
          <t>Module</t>
        </is>
      </c>
      <c r="E5" s="11" t="inlineStr">
        <is>
          <t>Lot</t>
        </is>
      </c>
      <c r="F5" s="11" t="inlineStr">
        <is>
          <t>Tâche</t>
        </is>
      </c>
      <c r="G5" s="11" t="inlineStr">
        <is>
          <t>Critère de fin</t>
        </is>
      </c>
      <c r="H5" s="11" t="inlineStr">
        <is>
          <t>Charge (j/p)</t>
        </is>
      </c>
      <c r="I5" s="11" t="inlineStr">
        <is>
          <t>Priorité</t>
        </is>
      </c>
      <c r="J5" s="11" t="inlineStr">
        <is>
          <t>Statut</t>
        </is>
      </c>
      <c r="K5" s="11" t="inlineStr">
        <is>
          <t>% saisi (optionnel)</t>
        </is>
      </c>
      <c r="L5" s="11" t="inlineStr">
        <is>
          <t>Avancement</t>
        </is>
      </c>
      <c r="M5" s="11" t="inlineStr">
        <is>
          <t>Charge retenue</t>
        </is>
      </c>
      <c r="N5" s="11" t="inlineStr">
        <is>
          <t>Charge réalisée</t>
        </is>
      </c>
      <c r="O5" s="11" t="inlineStr">
        <is>
          <t>Responsable</t>
        </is>
      </c>
      <c r="P5" s="11" t="inlineStr">
        <is>
          <t>Début prévu</t>
        </is>
      </c>
      <c r="Q5" s="11" t="inlineStr">
        <is>
          <t>Fin prévue</t>
        </is>
      </c>
      <c r="R5" s="11" t="inlineStr">
        <is>
          <t>Fin réelle</t>
        </is>
      </c>
      <c r="S5" s="11" t="inlineStr">
        <is>
          <t>Dépendances</t>
        </is>
      </c>
      <c r="T5" s="11" t="inlineStr">
        <is>
          <t>Bloquant</t>
        </is>
      </c>
      <c r="U5" s="11" t="inlineStr">
        <is>
          <t>Retard</t>
        </is>
      </c>
      <c r="V5" s="11" t="inlineStr">
        <is>
          <t>Commentaire</t>
        </is>
      </c>
    </row>
    <row r="6">
      <c r="B6" s="36" t="inlineStr">
        <is>
          <t>V1-001</t>
        </is>
      </c>
      <c r="C6" s="36" t="inlineStr">
        <is>
          <t>V1</t>
        </is>
      </c>
      <c r="D6" s="36" t="inlineStr">
        <is>
          <t>TRV</t>
        </is>
      </c>
      <c r="E6" s="37" t="inlineStr">
        <is>
          <t>Fondations</t>
        </is>
      </c>
      <c r="F6" s="37" t="inlineStr">
        <is>
          <t>Dépôt monorepo (apps/, packages/), conventions de code, CI de base</t>
        </is>
      </c>
      <c r="G6" s="37" t="inlineStr">
        <is>
          <t>Pipeline CI vert sur une branche vide, lint et tests exécutés</t>
        </is>
      </c>
      <c r="H6" s="38" t="n">
        <v>3</v>
      </c>
      <c r="I6" s="36" t="inlineStr">
        <is>
          <t>Haute</t>
        </is>
      </c>
      <c r="J6" s="36" t="inlineStr">
        <is>
          <t>Complétée</t>
        </is>
      </c>
      <c r="K6" s="39" t="n"/>
      <c r="L6" s="16">
        <f>IF($B6="","",IF(J6="Complétée",1,IF(J6="Abandonnée",0,IF(K6&lt;&gt;"",K6,IFERROR(VLOOKUP(J6,Parametres!$B$6:$C$12,2,FALSE),0)))))</f>
        <v/>
      </c>
      <c r="M6" s="15">
        <f>IF($B6="","",IF(J6="Abandonnée",0,H6))</f>
        <v/>
      </c>
      <c r="N6" s="15">
        <f>IF($B6="","",M6*L6)</f>
        <v/>
      </c>
      <c r="O6" s="37" t="inlineStr">
        <is>
          <t>Abdou-Raouf</t>
        </is>
      </c>
      <c r="P6" s="40" t="n">
        <v>46268</v>
      </c>
      <c r="Q6" s="40" t="n">
        <v>46273</v>
      </c>
      <c r="R6" s="40" t="n">
        <v>46274</v>
      </c>
      <c r="S6" s="37" t="inlineStr"/>
      <c r="T6" s="36" t="inlineStr">
        <is>
          <t>Non</t>
        </is>
      </c>
      <c r="U6" s="13">
        <f>IF($B6="","",IF(AND(J6&lt;&gt;"Complétée",J6&lt;&gt;"Abandonnée",Q6&lt;&gt;"",TODAY()&gt;Q6),"En retard",""))</f>
        <v/>
      </c>
      <c r="V6" s="37" t="n"/>
    </row>
    <row r="7">
      <c r="B7" s="36" t="inlineStr">
        <is>
          <t>V1-002</t>
        </is>
      </c>
      <c r="C7" s="36" t="inlineStr">
        <is>
          <t>V1</t>
        </is>
      </c>
      <c r="D7" s="36" t="inlineStr">
        <is>
          <t>TRV</t>
        </is>
      </c>
      <c r="E7" s="37" t="inlineStr">
        <is>
          <t>Fondations</t>
        </is>
      </c>
      <c r="F7" s="37" t="inlineStr">
        <is>
          <t>Environnements dev / staging, gestion des secrets, déploiement de base</t>
        </is>
      </c>
      <c r="G7" s="37" t="inlineStr">
        <is>
          <t>Déploiement automatique de staging depuis la branche principale</t>
        </is>
      </c>
      <c r="H7" s="38" t="n">
        <v>4</v>
      </c>
      <c r="I7" s="36" t="inlineStr">
        <is>
          <t>Haute</t>
        </is>
      </c>
      <c r="J7" s="36" t="inlineStr">
        <is>
          <t>En cours</t>
        </is>
      </c>
      <c r="K7" s="39" t="n">
        <v>0.7</v>
      </c>
      <c r="L7" s="16">
        <f>IF($B7="","",IF(J7="Complétée",1,IF(J7="Abandonnée",0,IF(K7&lt;&gt;"",K7,IFERROR(VLOOKUP(J7,Parametres!$B$6:$C$12,2,FALSE),0)))))</f>
        <v/>
      </c>
      <c r="M7" s="15">
        <f>IF($B7="","",IF(J7="Abandonnée",0,H7))</f>
        <v/>
      </c>
      <c r="N7" s="15">
        <f>IF($B7="","",M7*L7)</f>
        <v/>
      </c>
      <c r="O7" s="37" t="inlineStr">
        <is>
          <t>Abdou-Raouf</t>
        </is>
      </c>
      <c r="P7" s="40" t="n">
        <v>46268</v>
      </c>
      <c r="Q7" s="40" t="n">
        <v>46274</v>
      </c>
      <c r="R7" s="40" t="n"/>
      <c r="S7" s="37" t="inlineStr"/>
      <c r="T7" s="36" t="inlineStr">
        <is>
          <t>Non</t>
        </is>
      </c>
      <c r="U7" s="13">
        <f>IF($B7="","",IF(AND(J7&lt;&gt;"Complétée",J7&lt;&gt;"Abandonnée",Q7&lt;&gt;"",TODAY()&gt;Q7),"En retard",""))</f>
        <v/>
      </c>
      <c r="V7" s="37" t="n"/>
    </row>
    <row r="8">
      <c r="B8" s="36" t="inlineStr">
        <is>
          <t>V1-003</t>
        </is>
      </c>
      <c r="C8" s="36" t="inlineStr">
        <is>
          <t>V1</t>
        </is>
      </c>
      <c r="D8" s="36" t="inlineStr">
        <is>
          <t>FOND</t>
        </is>
      </c>
      <c r="E8" s="37" t="inlineStr">
        <is>
          <t>Fondations</t>
        </is>
      </c>
      <c r="F8" s="37" t="inlineStr">
        <is>
          <t>Modèle de données socle : Organisation, User, Person, Company</t>
        </is>
      </c>
      <c r="G8" s="37" t="inlineStr">
        <is>
          <t>Migrations appliquées, classification de chaque champ renseignée</t>
        </is>
      </c>
      <c r="H8" s="38" t="n">
        <v>4</v>
      </c>
      <c r="I8" s="36" t="inlineStr">
        <is>
          <t>Haute</t>
        </is>
      </c>
      <c r="J8" s="36" t="inlineStr">
        <is>
          <t>Complétée</t>
        </is>
      </c>
      <c r="K8" s="39" t="n"/>
      <c r="L8" s="16">
        <f>IF($B8="","",IF(J8="Complétée",1,IF(J8="Abandonnée",0,IF(K8&lt;&gt;"",K8,IFERROR(VLOOKUP(J8,Parametres!$B$6:$C$12,2,FALSE),0)))))</f>
        <v/>
      </c>
      <c r="M8" s="15">
        <f>IF($B8="","",IF(J8="Abandonnée",0,H8))</f>
        <v/>
      </c>
      <c r="N8" s="15">
        <f>IF($B8="","",M8*L8)</f>
        <v/>
      </c>
      <c r="O8" s="37" t="inlineStr">
        <is>
          <t>Abdou-Raouf</t>
        </is>
      </c>
      <c r="P8" s="40" t="n">
        <v>46269</v>
      </c>
      <c r="Q8" s="40" t="n">
        <v>46275</v>
      </c>
      <c r="R8" s="40" t="n">
        <v>46274</v>
      </c>
      <c r="S8" s="37" t="inlineStr"/>
      <c r="T8" s="36" t="inlineStr">
        <is>
          <t>Non</t>
        </is>
      </c>
      <c r="U8" s="13">
        <f>IF($B8="","",IF(AND(J8&lt;&gt;"Complétée",J8&lt;&gt;"Abandonnée",Q8&lt;&gt;"",TODAY()&gt;Q8),"En retard",""))</f>
        <v/>
      </c>
      <c r="V8" s="37" t="n"/>
    </row>
    <row r="9">
      <c r="B9" s="36" t="inlineStr">
        <is>
          <t>V1-004</t>
        </is>
      </c>
      <c r="C9" s="36" t="inlineStr">
        <is>
          <t>V1</t>
        </is>
      </c>
      <c r="D9" s="36" t="inlineStr">
        <is>
          <t>FOND</t>
        </is>
      </c>
      <c r="E9" s="37" t="inlineStr">
        <is>
          <t>Fondations</t>
        </is>
      </c>
      <c r="F9" s="37" t="inlineStr">
        <is>
          <t>Modèle Deal et AssetDealDetail, typage ASSET_DEAL / SHARE_DEAL immuable</t>
        </is>
      </c>
      <c r="G9" s="37" t="inlineStr">
        <is>
          <t>Impossible de modifier dealType après création (test négatif)</t>
        </is>
      </c>
      <c r="H9" s="38" t="n">
        <v>4</v>
      </c>
      <c r="I9" s="36" t="inlineStr">
        <is>
          <t>Haute</t>
        </is>
      </c>
      <c r="J9" s="36" t="inlineStr">
        <is>
          <t>Complétée</t>
        </is>
      </c>
      <c r="K9" s="39" t="n"/>
      <c r="L9" s="16">
        <f>IF($B9="","",IF(J9="Complétée",1,IF(J9="Abandonnée",0,IF(K9&lt;&gt;"",K9,IFERROR(VLOOKUP(J9,Parametres!$B$6:$C$12,2,FALSE),0)))))</f>
        <v/>
      </c>
      <c r="M9" s="15">
        <f>IF($B9="","",IF(J9="Abandonnée",0,H9))</f>
        <v/>
      </c>
      <c r="N9" s="15">
        <f>IF($B9="","",M9*L9)</f>
        <v/>
      </c>
      <c r="O9" s="37" t="inlineStr">
        <is>
          <t>Abdou-Raouf</t>
        </is>
      </c>
      <c r="P9" s="40" t="n">
        <v>46270</v>
      </c>
      <c r="Q9" s="40" t="n">
        <v>46276</v>
      </c>
      <c r="R9" s="40" t="n">
        <v>46275</v>
      </c>
      <c r="S9" s="37" t="inlineStr"/>
      <c r="T9" s="36" t="inlineStr">
        <is>
          <t>Non</t>
        </is>
      </c>
      <c r="U9" s="13">
        <f>IF($B9="","",IF(AND(J9&lt;&gt;"Complétée",J9&lt;&gt;"Abandonnée",Q9&lt;&gt;"",TODAY()&gt;Q9),"En retard",""))</f>
        <v/>
      </c>
      <c r="V9" s="37" t="n"/>
    </row>
    <row r="10">
      <c r="B10" s="36" t="inlineStr">
        <is>
          <t>V1-005</t>
        </is>
      </c>
      <c r="C10" s="36" t="inlineStr">
        <is>
          <t>V1</t>
        </is>
      </c>
      <c r="D10" s="36" t="inlineStr">
        <is>
          <t>FOND</t>
        </is>
      </c>
      <c r="E10" s="37" t="inlineStr">
        <is>
          <t>Fondations</t>
        </is>
      </c>
      <c r="F10" s="37" t="inlineStr">
        <is>
          <t>Classification des champs (PUBLIC, INTERNAL, PERSONAL, CONFIDENTIAL_DEAL) dans les migrations</t>
        </is>
      </c>
      <c r="G10" s="37" t="inlineStr">
        <is>
          <t>Chaque colonne porte sa classification en commentaire de migration</t>
        </is>
      </c>
      <c r="H10" s="38" t="n">
        <v>2</v>
      </c>
      <c r="I10" s="36" t="inlineStr">
        <is>
          <t>Haute</t>
        </is>
      </c>
      <c r="J10" s="36" t="inlineStr">
        <is>
          <t>En cours</t>
        </is>
      </c>
      <c r="K10" s="39" t="n">
        <v>0.7</v>
      </c>
      <c r="L10" s="16">
        <f>IF($B10="","",IF(J10="Complétée",1,IF(J10="Abandonnée",0,IF(K10&lt;&gt;"",K10,IFERROR(VLOOKUP(J10,Parametres!$B$6:$C$12,2,FALSE),0)))))</f>
        <v/>
      </c>
      <c r="M10" s="15">
        <f>IF($B10="","",IF(J10="Abandonnée",0,H10))</f>
        <v/>
      </c>
      <c r="N10" s="15">
        <f>IF($B10="","",M10*L10)</f>
        <v/>
      </c>
      <c r="O10" s="37" t="inlineStr">
        <is>
          <t>Abdou-Raouf</t>
        </is>
      </c>
      <c r="P10" s="40" t="n">
        <v>46270</v>
      </c>
      <c r="Q10" s="40" t="n">
        <v>46273</v>
      </c>
      <c r="R10" s="40" t="n"/>
      <c r="S10" s="37" t="inlineStr"/>
      <c r="T10" s="36" t="inlineStr">
        <is>
          <t>Non</t>
        </is>
      </c>
      <c r="U10" s="13">
        <f>IF($B10="","",IF(AND(J10&lt;&gt;"Complétée",J10&lt;&gt;"Abandonnée",Q10&lt;&gt;"",TODAY()&gt;Q10),"En retard",""))</f>
        <v/>
      </c>
      <c r="V10" s="37" t="n"/>
    </row>
    <row r="11">
      <c r="B11" s="36" t="inlineStr">
        <is>
          <t>V1-006</t>
        </is>
      </c>
      <c r="C11" s="36" t="inlineStr">
        <is>
          <t>V1</t>
        </is>
      </c>
      <c r="D11" s="36" t="inlineStr">
        <is>
          <t>FOND</t>
        </is>
      </c>
      <c r="E11" s="37" t="inlineStr">
        <is>
          <t>Fondations</t>
        </is>
      </c>
      <c r="F11" s="37" t="inlineStr">
        <is>
          <t>Enregistrement d'attribution immuable à la création de compte (canal, campagne, référence CCI)</t>
        </is>
      </c>
      <c r="G11" s="37" t="inlineStr">
        <is>
          <t>Attribution non modifiable après création (test négatif)</t>
        </is>
      </c>
      <c r="H11" s="38" t="n">
        <v>2</v>
      </c>
      <c r="I11" s="36" t="inlineStr">
        <is>
          <t>Haute</t>
        </is>
      </c>
      <c r="J11" s="36" t="inlineStr">
        <is>
          <t>Complétée</t>
        </is>
      </c>
      <c r="K11" s="39" t="n"/>
      <c r="L11" s="16">
        <f>IF($B11="","",IF(J11="Complétée",1,IF(J11="Abandonnée",0,IF(K11&lt;&gt;"",K11,IFERROR(VLOOKUP(J11,Parametres!$B$6:$C$12,2,FALSE),0)))))</f>
        <v/>
      </c>
      <c r="M11" s="15">
        <f>IF($B11="","",IF(J11="Abandonnée",0,H11))</f>
        <v/>
      </c>
      <c r="N11" s="15">
        <f>IF($B11="","",M11*L11)</f>
        <v/>
      </c>
      <c r="O11" s="37" t="inlineStr">
        <is>
          <t>Abdou-Raouf</t>
        </is>
      </c>
      <c r="P11" s="40" t="n">
        <v>46270</v>
      </c>
      <c r="Q11" s="40" t="n">
        <v>46273</v>
      </c>
      <c r="R11" s="40" t="n">
        <v>46275</v>
      </c>
      <c r="S11" s="37" t="inlineStr"/>
      <c r="T11" s="36" t="inlineStr">
        <is>
          <t>Non</t>
        </is>
      </c>
      <c r="U11" s="13">
        <f>IF($B11="","",IF(AND(J11&lt;&gt;"Complétée",J11&lt;&gt;"Abandonnée",Q11&lt;&gt;"",TODAY()&gt;Q11),"En retard",""))</f>
        <v/>
      </c>
      <c r="V11" s="37" t="n"/>
    </row>
    <row r="12">
      <c r="B12" s="36" t="inlineStr">
        <is>
          <t>V1-007</t>
        </is>
      </c>
      <c r="C12" s="36" t="inlineStr">
        <is>
          <t>V1</t>
        </is>
      </c>
      <c r="D12" s="36" t="inlineStr">
        <is>
          <t>FOND</t>
        </is>
      </c>
      <c r="E12" s="37" t="inlineStr">
        <is>
          <t>Fondations</t>
        </is>
      </c>
      <c r="F12" s="37" t="inlineStr">
        <is>
          <t>Journal DealEvent et machine à états du deal (version réduite V1)</t>
        </is>
      </c>
      <c r="G12" s="37" t="inlineStr">
        <is>
          <t>Transition invalide renvoie 409, chaque transition journalisée</t>
        </is>
      </c>
      <c r="H12" s="38" t="n">
        <v>4</v>
      </c>
      <c r="I12" s="36" t="inlineStr">
        <is>
          <t>Haute</t>
        </is>
      </c>
      <c r="J12" s="36" t="inlineStr">
        <is>
          <t>Complétée</t>
        </is>
      </c>
      <c r="K12" s="39" t="n"/>
      <c r="L12" s="16">
        <f>IF($B12="","",IF(J12="Complétée",1,IF(J12="Abandonnée",0,IF(K12&lt;&gt;"",K12,IFERROR(VLOOKUP(J12,Parametres!$B$6:$C$12,2,FALSE),0)))))</f>
        <v/>
      </c>
      <c r="M12" s="15">
        <f>IF($B12="","",IF(J12="Abandonnée",0,H12))</f>
        <v/>
      </c>
      <c r="N12" s="15">
        <f>IF($B12="","",M12*L12)</f>
        <v/>
      </c>
      <c r="O12" s="37" t="inlineStr">
        <is>
          <t>Abdou-Raouf</t>
        </is>
      </c>
      <c r="P12" s="40" t="n">
        <v>46271</v>
      </c>
      <c r="Q12" s="40" t="n">
        <v>46277</v>
      </c>
      <c r="R12" s="40" t="n">
        <v>46274</v>
      </c>
      <c r="S12" s="37" t="inlineStr"/>
      <c r="T12" s="36" t="inlineStr">
        <is>
          <t>Non</t>
        </is>
      </c>
      <c r="U12" s="13">
        <f>IF($B12="","",IF(AND(J12&lt;&gt;"Complétée",J12&lt;&gt;"Abandonnée",Q12&lt;&gt;"",TODAY()&gt;Q12),"En retard",""))</f>
        <v/>
      </c>
      <c r="V12" s="37" t="n"/>
    </row>
    <row r="13">
      <c r="B13" s="36" t="inlineStr">
        <is>
          <t>V1-008</t>
        </is>
      </c>
      <c r="C13" s="36" t="inlineStr">
        <is>
          <t>V1</t>
        </is>
      </c>
      <c r="D13" s="36" t="inlineStr">
        <is>
          <t>TRV</t>
        </is>
      </c>
      <c r="E13" s="37" t="inlineStr">
        <is>
          <t>Fondations</t>
        </is>
      </c>
      <c r="F13" s="37" t="inlineStr">
        <is>
          <t>Socle i18n français-source, formats FCFA (entier, sans décimale), dates, typographie</t>
        </is>
      </c>
      <c r="G13" s="37" t="inlineStr">
        <is>
          <t>Aucune chaîne anglaise dans l'interface, montants en XOF entiers</t>
        </is>
      </c>
      <c r="H13" s="38" t="n">
        <v>3</v>
      </c>
      <c r="I13" s="36" t="inlineStr">
        <is>
          <t>Moyenne</t>
        </is>
      </c>
      <c r="J13" s="36" t="inlineStr">
        <is>
          <t>En cours</t>
        </is>
      </c>
      <c r="K13" s="39" t="n">
        <v>0.6</v>
      </c>
      <c r="L13" s="16">
        <f>IF($B13="","",IF(J13="Complétée",1,IF(J13="Abandonnée",0,IF(K13&lt;&gt;"",K13,IFERROR(VLOOKUP(J13,Parametres!$B$6:$C$12,2,FALSE),0)))))</f>
        <v/>
      </c>
      <c r="M13" s="15">
        <f>IF($B13="","",IF(J13="Abandonnée",0,H13))</f>
        <v/>
      </c>
      <c r="N13" s="15">
        <f>IF($B13="","",M13*L13)</f>
        <v/>
      </c>
      <c r="O13" s="37" t="inlineStr">
        <is>
          <t>Abdou-Raouf</t>
        </is>
      </c>
      <c r="P13" s="40" t="n">
        <v>46271</v>
      </c>
      <c r="Q13" s="40" t="n">
        <v>46276</v>
      </c>
      <c r="R13" s="40" t="n"/>
      <c r="S13" s="37" t="inlineStr"/>
      <c r="T13" s="36" t="inlineStr">
        <is>
          <t>Non</t>
        </is>
      </c>
      <c r="U13" s="13">
        <f>IF($B13="","",IF(AND(J13&lt;&gt;"Complétée",J13&lt;&gt;"Abandonnée",Q13&lt;&gt;"",TODAY()&gt;Q13),"En retard",""))</f>
        <v/>
      </c>
      <c r="V13" s="37" t="n"/>
    </row>
    <row r="14">
      <c r="B14" s="36" t="inlineStr">
        <is>
          <t>V1-009</t>
        </is>
      </c>
      <c r="C14" s="36" t="inlineStr">
        <is>
          <t>V1</t>
        </is>
      </c>
      <c r="D14" s="36" t="inlineStr">
        <is>
          <t>OPS</t>
        </is>
      </c>
      <c r="E14" s="37" t="inlineStr">
        <is>
          <t>Fondations</t>
        </is>
      </c>
      <c r="F14" s="37" t="inlineStr">
        <is>
          <t>Supervision et journaux applicatifs de base</t>
        </is>
      </c>
      <c r="G14" s="37" t="inlineStr">
        <is>
          <t>Journaux centralisés, alerte sur erreur 5xx</t>
        </is>
      </c>
      <c r="H14" s="38" t="n">
        <v>3</v>
      </c>
      <c r="I14" s="36" t="inlineStr">
        <is>
          <t>Moyenne</t>
        </is>
      </c>
      <c r="J14" s="36" t="inlineStr">
        <is>
          <t>À faire</t>
        </is>
      </c>
      <c r="K14" s="39" t="n"/>
      <c r="L14" s="16">
        <f>IF($B14="","",IF(J14="Complétée",1,IF(J14="Abandonnée",0,IF(K14&lt;&gt;"",K14,IFERROR(VLOOKUP(J14,Parametres!$B$6:$C$12,2,FALSE),0)))))</f>
        <v/>
      </c>
      <c r="M14" s="15">
        <f>IF($B14="","",IF(J14="Abandonnée",0,H14))</f>
        <v/>
      </c>
      <c r="N14" s="15">
        <f>IF($B14="","",M14*L14)</f>
        <v/>
      </c>
      <c r="O14" s="37" t="n"/>
      <c r="P14" s="40" t="n">
        <v>46272</v>
      </c>
      <c r="Q14" s="40" t="n">
        <v>46277</v>
      </c>
      <c r="R14" s="40" t="n"/>
      <c r="S14" s="37" t="inlineStr"/>
      <c r="T14" s="36" t="inlineStr">
        <is>
          <t>Non</t>
        </is>
      </c>
      <c r="U14" s="13">
        <f>IF($B14="","",IF(AND(J14&lt;&gt;"Complétée",J14&lt;&gt;"Abandonnée",Q14&lt;&gt;"",TODAY()&gt;Q14),"En retard",""))</f>
        <v/>
      </c>
      <c r="V14" s="37" t="n"/>
    </row>
    <row r="15">
      <c r="B15" s="36" t="inlineStr">
        <is>
          <t>V1-010</t>
        </is>
      </c>
      <c r="C15" s="36" t="inlineStr">
        <is>
          <t>V1</t>
        </is>
      </c>
      <c r="D15" s="36" t="inlineStr">
        <is>
          <t>OPS</t>
        </is>
      </c>
      <c r="E15" s="37" t="inlineStr">
        <is>
          <t>Fondations</t>
        </is>
      </c>
      <c r="F15" s="37" t="inlineStr">
        <is>
          <t>Sauvegardes de base de la base de données</t>
        </is>
      </c>
      <c r="G15" s="37" t="inlineStr">
        <is>
          <t>Sauvegarde quotidienne, restauration testée une fois</t>
        </is>
      </c>
      <c r="H15" s="38" t="n">
        <v>2</v>
      </c>
      <c r="I15" s="36" t="inlineStr">
        <is>
          <t>Moyenne</t>
        </is>
      </c>
      <c r="J15" s="36" t="inlineStr">
        <is>
          <t>À faire</t>
        </is>
      </c>
      <c r="K15" s="39" t="n"/>
      <c r="L15" s="16">
        <f>IF($B15="","",IF(J15="Complétée",1,IF(J15="Abandonnée",0,IF(K15&lt;&gt;"",K15,IFERROR(VLOOKUP(J15,Parametres!$B$6:$C$12,2,FALSE),0)))))</f>
        <v/>
      </c>
      <c r="M15" s="15">
        <f>IF($B15="","",IF(J15="Abandonnée",0,H15))</f>
        <v/>
      </c>
      <c r="N15" s="15">
        <f>IF($B15="","",M15*L15)</f>
        <v/>
      </c>
      <c r="O15" s="37" t="n"/>
      <c r="P15" s="40" t="n">
        <v>46272</v>
      </c>
      <c r="Q15" s="40" t="n">
        <v>46275</v>
      </c>
      <c r="R15" s="40" t="n"/>
      <c r="S15" s="37" t="inlineStr"/>
      <c r="T15" s="36" t="inlineStr">
        <is>
          <t>Non</t>
        </is>
      </c>
      <c r="U15" s="13">
        <f>IF($B15="","",IF(AND(J15&lt;&gt;"Complétée",J15&lt;&gt;"Abandonnée",Q15&lt;&gt;"",TODAY()&gt;Q15),"En retard",""))</f>
        <v/>
      </c>
      <c r="V15" s="37" t="n"/>
    </row>
    <row r="16">
      <c r="B16" s="36" t="inlineStr">
        <is>
          <t>V1-011</t>
        </is>
      </c>
      <c r="C16" s="36" t="inlineStr">
        <is>
          <t>V1</t>
        </is>
      </c>
      <c r="D16" s="36" t="inlineStr">
        <is>
          <t>OPS</t>
        </is>
      </c>
      <c r="E16" s="37" t="inlineStr">
        <is>
          <t>Sécurité</t>
        </is>
      </c>
      <c r="F16" s="37" t="inlineStr">
        <is>
          <t>RLS effective : rôle applicatif sans contournement, contexte app.organisation_id et app.roles par transaction</t>
        </is>
      </c>
      <c r="G16" s="37" t="inlineStr">
        <is>
          <t>Test négatif : un cédant ne lit pas le dossier d'un autre cédant</t>
        </is>
      </c>
      <c r="H16" s="38" t="n">
        <v>4</v>
      </c>
      <c r="I16" s="36" t="inlineStr">
        <is>
          <t>Haute</t>
        </is>
      </c>
      <c r="J16" s="36" t="inlineStr">
        <is>
          <t>Complétée</t>
        </is>
      </c>
      <c r="K16" s="39" t="n"/>
      <c r="L16" s="16">
        <f>IF($B16="","",IF(J16="Complétée",1,IF(J16="Abandonnée",0,IF(K16&lt;&gt;"",K16,IFERROR(VLOOKUP(J16,Parametres!$B$6:$C$12,2,FALSE),0)))))</f>
        <v/>
      </c>
      <c r="M16" s="15">
        <f>IF($B16="","",IF(J16="Abandonnée",0,H16))</f>
        <v/>
      </c>
      <c r="N16" s="15">
        <f>IF($B16="","",M16*L16)</f>
        <v/>
      </c>
      <c r="O16" s="37" t="inlineStr">
        <is>
          <t>Abdou-Raouf</t>
        </is>
      </c>
      <c r="P16" s="40" t="n">
        <v>46272</v>
      </c>
      <c r="Q16" s="40" t="n">
        <v>46278</v>
      </c>
      <c r="R16" s="40" t="n">
        <v>46275</v>
      </c>
      <c r="S16" s="37" t="inlineStr"/>
      <c r="T16" s="36" t="inlineStr">
        <is>
          <t>Oui</t>
        </is>
      </c>
      <c r="U16" s="13">
        <f>IF($B16="","",IF(AND(J16&lt;&gt;"Complétée",J16&lt;&gt;"Abandonnée",Q16&lt;&gt;"",TODAY()&gt;Q16),"En retard",""))</f>
        <v/>
      </c>
      <c r="V16" s="37" t="n"/>
    </row>
    <row r="17">
      <c r="B17" s="36" t="inlineStr">
        <is>
          <t>V1-012</t>
        </is>
      </c>
      <c r="C17" s="36" t="inlineStr">
        <is>
          <t>V1</t>
        </is>
      </c>
      <c r="D17" s="36" t="inlineStr">
        <is>
          <t>OPS</t>
        </is>
      </c>
      <c r="E17" s="37" t="inlineStr">
        <is>
          <t>Sécurité</t>
        </is>
      </c>
      <c r="F17" s="37" t="inlineStr">
        <is>
          <t>Anti-force-brute : limitation de débit par IP et par compte, verrouillage progressif, journal des échecs</t>
        </is>
      </c>
      <c r="G17" s="37" t="inlineStr">
        <is>
          <t>Cinquième échec en une minute renvoie 429 et laisse une trace</t>
        </is>
      </c>
      <c r="H17" s="38" t="n">
        <v>2</v>
      </c>
      <c r="I17" s="36" t="inlineStr">
        <is>
          <t>Haute</t>
        </is>
      </c>
      <c r="J17" s="36" t="inlineStr">
        <is>
          <t>Complétée</t>
        </is>
      </c>
      <c r="K17" s="39" t="n"/>
      <c r="L17" s="16">
        <f>IF($B17="","",IF(J17="Complétée",1,IF(J17="Abandonnée",0,IF(K17&lt;&gt;"",K17,IFERROR(VLOOKUP(J17,Parametres!$B$6:$C$12,2,FALSE),0)))))</f>
        <v/>
      </c>
      <c r="M17" s="15">
        <f>IF($B17="","",IF(J17="Abandonnée",0,H17))</f>
        <v/>
      </c>
      <c r="N17" s="15">
        <f>IF($B17="","",M17*L17)</f>
        <v/>
      </c>
      <c r="O17" s="37" t="inlineStr">
        <is>
          <t>Abdou-Raouf</t>
        </is>
      </c>
      <c r="P17" s="40" t="n">
        <v>46273</v>
      </c>
      <c r="Q17" s="40" t="n">
        <v>46276</v>
      </c>
      <c r="R17" s="40" t="n">
        <v>46275</v>
      </c>
      <c r="S17" s="37" t="inlineStr"/>
      <c r="T17" s="36" t="inlineStr">
        <is>
          <t>Non</t>
        </is>
      </c>
      <c r="U17" s="13">
        <f>IF($B17="","",IF(AND(J17&lt;&gt;"Complétée",J17&lt;&gt;"Abandonnée",Q17&lt;&gt;"",TODAY()&gt;Q17),"En retard",""))</f>
        <v/>
      </c>
      <c r="V17" s="37" t="n"/>
    </row>
    <row r="18">
      <c r="B18" s="36" t="inlineStr">
        <is>
          <t>V1-013</t>
        </is>
      </c>
      <c r="C18" s="36" t="inlineStr">
        <is>
          <t>V1</t>
        </is>
      </c>
      <c r="D18" s="36" t="inlineStr">
        <is>
          <t>OPS</t>
        </is>
      </c>
      <c r="E18" s="37" t="inlineStr">
        <is>
          <t>Sécurité</t>
        </is>
      </c>
      <c r="F18" s="37" t="inlineStr">
        <is>
          <t>Vérification email, MFA obligatoire pour les officiers CCI-Togo et les administrateurs, liaison OTP</t>
        </is>
      </c>
      <c r="G18" s="37" t="inlineStr">
        <is>
          <t>Officier sans second facteur ne peut pas certifier</t>
        </is>
      </c>
      <c r="H18" s="38" t="n">
        <v>3</v>
      </c>
      <c r="I18" s="36" t="inlineStr">
        <is>
          <t>Haute</t>
        </is>
      </c>
      <c r="J18" s="36" t="inlineStr">
        <is>
          <t>Complétée</t>
        </is>
      </c>
      <c r="K18" s="39" t="n"/>
      <c r="L18" s="16">
        <f>IF($B18="","",IF(J18="Complétée",1,IF(J18="Abandonnée",0,IF(K18&lt;&gt;"",K18,IFERROR(VLOOKUP(J18,Parametres!$B$6:$C$12,2,FALSE),0)))))</f>
        <v/>
      </c>
      <c r="M18" s="15">
        <f>IF($B18="","",IF(J18="Abandonnée",0,H18))</f>
        <v/>
      </c>
      <c r="N18" s="15">
        <f>IF($B18="","",M18*L18)</f>
        <v/>
      </c>
      <c r="O18" s="37" t="inlineStr">
        <is>
          <t>Abdou-Raouf</t>
        </is>
      </c>
      <c r="P18" s="40" t="n">
        <v>46273</v>
      </c>
      <c r="Q18" s="40" t="n">
        <v>46278</v>
      </c>
      <c r="R18" s="40" t="n">
        <v>46275</v>
      </c>
      <c r="S18" s="37" t="inlineStr">
        <is>
          <t>OTP SMS</t>
        </is>
      </c>
      <c r="T18" s="36" t="inlineStr">
        <is>
          <t>Non</t>
        </is>
      </c>
      <c r="U18" s="13">
        <f>IF($B18="","",IF(AND(J18&lt;&gt;"Complétée",J18&lt;&gt;"Abandonnée",Q18&lt;&gt;"",TODAY()&gt;Q18),"En retard",""))</f>
        <v/>
      </c>
      <c r="V18" s="37" t="n"/>
    </row>
    <row r="19">
      <c r="B19" s="36" t="inlineStr">
        <is>
          <t>V1-014</t>
        </is>
      </c>
      <c r="C19" s="36" t="inlineStr">
        <is>
          <t>V1</t>
        </is>
      </c>
      <c r="D19" s="36" t="inlineStr">
        <is>
          <t>OPS</t>
        </is>
      </c>
      <c r="E19" s="37" t="inlineStr">
        <is>
          <t>Sécurité</t>
        </is>
      </c>
      <c r="F19" s="37" t="inlineStr">
        <is>
          <t>Chiffrement applicatif des champs CONFIDENTIAL_DEAL, clé gérée hors base, rotation documentée</t>
        </is>
      </c>
      <c r="G19" s="37" t="inlineStr">
        <is>
          <t>Prix illisible dans un dump de la base</t>
        </is>
      </c>
      <c r="H19" s="38" t="n">
        <v>3</v>
      </c>
      <c r="I19" s="36" t="inlineStr">
        <is>
          <t>Haute</t>
        </is>
      </c>
      <c r="J19" s="36" t="inlineStr">
        <is>
          <t>Complétée</t>
        </is>
      </c>
      <c r="K19" s="39" t="n"/>
      <c r="L19" s="16">
        <f>IF($B19="","",IF(J19="Complétée",1,IF(J19="Abandonnée",0,IF(K19&lt;&gt;"",K19,IFERROR(VLOOKUP(J19,Parametres!$B$6:$C$12,2,FALSE),0)))))</f>
        <v/>
      </c>
      <c r="M19" s="15">
        <f>IF($B19="","",IF(J19="Abandonnée",0,H19))</f>
        <v/>
      </c>
      <c r="N19" s="15">
        <f>IF($B19="","",M19*L19)</f>
        <v/>
      </c>
      <c r="O19" s="37" t="inlineStr">
        <is>
          <t>Abdou-Raouf</t>
        </is>
      </c>
      <c r="P19" s="40" t="n">
        <v>46274</v>
      </c>
      <c r="Q19" s="40" t="n">
        <v>46279</v>
      </c>
      <c r="R19" s="40" t="n">
        <v>46275</v>
      </c>
      <c r="S19" s="37" t="inlineStr"/>
      <c r="T19" s="36" t="inlineStr">
        <is>
          <t>Non</t>
        </is>
      </c>
      <c r="U19" s="13">
        <f>IF($B19="","",IF(AND(J19&lt;&gt;"Complétée",J19&lt;&gt;"Abandonnée",Q19&lt;&gt;"",TODAY()&gt;Q19),"En retard",""))</f>
        <v/>
      </c>
      <c r="V19" s="37" t="n"/>
    </row>
    <row r="20">
      <c r="B20" s="36" t="inlineStr">
        <is>
          <t>V1-015</t>
        </is>
      </c>
      <c r="C20" s="36" t="inlineStr">
        <is>
          <t>V1</t>
        </is>
      </c>
      <c r="D20" s="36" t="inlineStr">
        <is>
          <t>OPS</t>
        </is>
      </c>
      <c r="E20" s="37" t="inlineStr">
        <is>
          <t>Sécurité</t>
        </is>
      </c>
      <c r="F20" s="37" t="inlineStr">
        <is>
          <t>En-têtes de sécurité HTTP, CORS strict, cookies sécurisés, taille maximale des corps de requête</t>
        </is>
      </c>
      <c r="G20" s="37" t="inlineStr">
        <is>
          <t>Scan d'en-têtes sans constat, origine inconnue refusée</t>
        </is>
      </c>
      <c r="H20" s="38" t="n">
        <v>1</v>
      </c>
      <c r="I20" s="36" t="inlineStr">
        <is>
          <t>Moyenne</t>
        </is>
      </c>
      <c r="J20" s="36" t="inlineStr">
        <is>
          <t>Complétée</t>
        </is>
      </c>
      <c r="K20" s="39" t="n"/>
      <c r="L20" s="16">
        <f>IF($B20="","",IF(J20="Complétée",1,IF(J20="Abandonnée",0,IF(K20&lt;&gt;"",K20,IFERROR(VLOOKUP(J20,Parametres!$B$6:$C$12,2,FALSE),0)))))</f>
        <v/>
      </c>
      <c r="M20" s="15">
        <f>IF($B20="","",IF(J20="Abandonnée",0,H20))</f>
        <v/>
      </c>
      <c r="N20" s="15">
        <f>IF($B20="","",M20*L20)</f>
        <v/>
      </c>
      <c r="O20" s="37" t="inlineStr">
        <is>
          <t>Abdou-Raouf</t>
        </is>
      </c>
      <c r="P20" s="40" t="n">
        <v>46274</v>
      </c>
      <c r="Q20" s="40" t="n">
        <v>46276</v>
      </c>
      <c r="R20" s="40" t="n">
        <v>46275</v>
      </c>
      <c r="S20" s="37" t="inlineStr"/>
      <c r="T20" s="36" t="inlineStr">
        <is>
          <t>Non</t>
        </is>
      </c>
      <c r="U20" s="13">
        <f>IF($B20="","",IF(AND(J20&lt;&gt;"Complétée",J20&lt;&gt;"Abandonnée",Q20&lt;&gt;"",TODAY()&gt;Q20),"En retard",""))</f>
        <v/>
      </c>
      <c r="V20" s="37" t="n"/>
    </row>
    <row r="21">
      <c r="B21" s="36" t="inlineStr">
        <is>
          <t>V1-016</t>
        </is>
      </c>
      <c r="C21" s="36" t="inlineStr">
        <is>
          <t>V1</t>
        </is>
      </c>
      <c r="D21" s="36" t="inlineStr">
        <is>
          <t>OPS</t>
        </is>
      </c>
      <c r="E21" s="37" t="inlineStr">
        <is>
          <t>Sécurité</t>
        </is>
      </c>
      <c r="F21" s="37" t="inlineStr">
        <is>
          <t>Idempotence persistée en base et vérification de signature HMAC sur tous les webhooks</t>
        </is>
      </c>
      <c r="G21" s="37" t="inlineStr">
        <is>
          <t>Rejeu d'un webhook sans double effet ; signature invalide rejetée</t>
        </is>
      </c>
      <c r="H21" s="38" t="n">
        <v>2</v>
      </c>
      <c r="I21" s="36" t="inlineStr">
        <is>
          <t>Haute</t>
        </is>
      </c>
      <c r="J21" s="36" t="inlineStr">
        <is>
          <t>Complétée</t>
        </is>
      </c>
      <c r="K21" s="39" t="n"/>
      <c r="L21" s="16">
        <f>IF($B21="","",IF(J21="Complétée",1,IF(J21="Abandonnée",0,IF(K21&lt;&gt;"",K21,IFERROR(VLOOKUP(J21,Parametres!$B$6:$C$12,2,FALSE),0)))))</f>
        <v/>
      </c>
      <c r="M21" s="15">
        <f>IF($B21="","",IF(J21="Abandonnée",0,H21))</f>
        <v/>
      </c>
      <c r="N21" s="15">
        <f>IF($B21="","",M21*L21)</f>
        <v/>
      </c>
      <c r="O21" s="37" t="inlineStr">
        <is>
          <t>Abdou-Raouf</t>
        </is>
      </c>
      <c r="P21" s="40" t="n">
        <v>46274</v>
      </c>
      <c r="Q21" s="40" t="n">
        <v>46277</v>
      </c>
      <c r="R21" s="40" t="n">
        <v>46275</v>
      </c>
      <c r="S21" s="37" t="inlineStr"/>
      <c r="T21" s="36" t="inlineStr">
        <is>
          <t>Non</t>
        </is>
      </c>
      <c r="U21" s="13">
        <f>IF($B21="","",IF(AND(J21&lt;&gt;"Complétée",J21&lt;&gt;"Abandonnée",Q21&lt;&gt;"",TODAY()&gt;Q21),"En retard",""))</f>
        <v/>
      </c>
      <c r="V21" s="37" t="n"/>
    </row>
    <row r="22">
      <c r="B22" s="36" t="inlineStr">
        <is>
          <t>V1-017</t>
        </is>
      </c>
      <c r="C22" s="36" t="inlineStr">
        <is>
          <t>V1</t>
        </is>
      </c>
      <c r="D22" s="36" t="inlineStr">
        <is>
          <t>OPS</t>
        </is>
      </c>
      <c r="E22" s="37" t="inlineStr">
        <is>
          <t>Sécurité</t>
        </is>
      </c>
      <c r="F22" s="37" t="inlineStr">
        <is>
          <t>Revue de sécurité interne (liste de contrôle v0 : paliers, URL pré-signées, compteur RPS) et scan de dépendances bloquant en CI</t>
        </is>
      </c>
      <c r="G22" s="37" t="inlineStr">
        <is>
          <t>Rapport de revue archivé, CI rouge sur vulnérabilité critique</t>
        </is>
      </c>
      <c r="H22" s="38" t="n">
        <v>3</v>
      </c>
      <c r="I22" s="36" t="inlineStr">
        <is>
          <t>Haute</t>
        </is>
      </c>
      <c r="J22" s="36" t="inlineStr">
        <is>
          <t>À faire</t>
        </is>
      </c>
      <c r="K22" s="39" t="n"/>
      <c r="L22" s="16">
        <f>IF($B22="","",IF(J22="Complétée",1,IF(J22="Abandonnée",0,IF(K22&lt;&gt;"",K22,IFERROR(VLOOKUP(J22,Parametres!$B$6:$C$12,2,FALSE),0)))))</f>
        <v/>
      </c>
      <c r="M22" s="15">
        <f>IF($B22="","",IF(J22="Abandonnée",0,H22))</f>
        <v/>
      </c>
      <c r="N22" s="15">
        <f>IF($B22="","",M22*L22)</f>
        <v/>
      </c>
      <c r="O22" s="37" t="n"/>
      <c r="P22" s="40" t="n">
        <v>46274</v>
      </c>
      <c r="Q22" s="40" t="n">
        <v>46279</v>
      </c>
      <c r="R22" s="40" t="n"/>
      <c r="S22" s="37" t="inlineStr"/>
      <c r="T22" s="36" t="inlineStr">
        <is>
          <t>Non</t>
        </is>
      </c>
      <c r="U22" s="13">
        <f>IF($B22="","",IF(AND(J22&lt;&gt;"Complétée",J22&lt;&gt;"Abandonnée",Q22&lt;&gt;"",TODAY()&gt;Q22),"En retard",""))</f>
        <v/>
      </c>
      <c r="V22" s="37" t="n"/>
    </row>
    <row r="23">
      <c r="B23" s="36" t="inlineStr">
        <is>
          <t>V1-018</t>
        </is>
      </c>
      <c r="C23" s="36" t="inlineStr">
        <is>
          <t>V1</t>
        </is>
      </c>
      <c r="D23" s="36" t="inlineStr">
        <is>
          <t>OPS</t>
        </is>
      </c>
      <c r="E23" s="37" t="inlineStr">
        <is>
          <t>Sécurité</t>
        </is>
      </c>
      <c r="F23" s="37" t="inlineStr">
        <is>
          <t>Mots de passe de démonstration uniques par compte, jeu de démonstration interdit hors environnement local</t>
        </is>
      </c>
      <c r="G23" s="37" t="inlineStr">
        <is>
          <t>Le chargement refuse de s'exécuter si NODE_ENV n'est pas development</t>
        </is>
      </c>
      <c r="H23" s="38" t="n">
        <v>1</v>
      </c>
      <c r="I23" s="36" t="inlineStr">
        <is>
          <t>Moyenne</t>
        </is>
      </c>
      <c r="J23" s="36" t="inlineStr">
        <is>
          <t>Complétée</t>
        </is>
      </c>
      <c r="K23" s="39" t="n"/>
      <c r="L23" s="16">
        <f>IF($B23="","",IF(J23="Complétée",1,IF(J23="Abandonnée",0,IF(K23&lt;&gt;"",K23,IFERROR(VLOOKUP(J23,Parametres!$B$6:$C$12,2,FALSE),0)))))</f>
        <v/>
      </c>
      <c r="M23" s="15">
        <f>IF($B23="","",IF(J23="Abandonnée",0,H23))</f>
        <v/>
      </c>
      <c r="N23" s="15">
        <f>IF($B23="","",M23*L23)</f>
        <v/>
      </c>
      <c r="O23" s="37" t="inlineStr">
        <is>
          <t>Abdou-Raouf</t>
        </is>
      </c>
      <c r="P23" s="40" t="n">
        <v>46275</v>
      </c>
      <c r="Q23" s="40" t="n">
        <v>46277</v>
      </c>
      <c r="R23" s="40" t="n">
        <v>46275</v>
      </c>
      <c r="S23" s="37" t="inlineStr"/>
      <c r="T23" s="36" t="inlineStr">
        <is>
          <t>Non</t>
        </is>
      </c>
      <c r="U23" s="13">
        <f>IF($B23="","",IF(AND(J23&lt;&gt;"Complétée",J23&lt;&gt;"Abandonnée",Q23&lt;&gt;"",TODAY()&gt;Q23),"En retard",""))</f>
        <v/>
      </c>
      <c r="V23" s="37" t="n"/>
    </row>
    <row r="24">
      <c r="B24" s="36" t="inlineStr">
        <is>
          <t>V1-019</t>
        </is>
      </c>
      <c r="C24" s="36" t="inlineStr">
        <is>
          <t>V1</t>
        </is>
      </c>
      <c r="D24" s="36" t="inlineStr">
        <is>
          <t>IDN</t>
        </is>
      </c>
      <c r="E24" s="37" t="inlineStr">
        <is>
          <t>Auth et rôles</t>
        </is>
      </c>
      <c r="F24" s="37" t="inlineStr">
        <is>
          <t>Inscription email + mot de passe (Argon2id), vérification email</t>
        </is>
      </c>
      <c r="G24" s="37" t="inlineStr">
        <is>
          <t>Compte créé, email vérifié, mot de passe jamais en clair</t>
        </is>
      </c>
      <c r="H24" s="38" t="n">
        <v>3</v>
      </c>
      <c r="I24" s="36" t="inlineStr">
        <is>
          <t>Haute</t>
        </is>
      </c>
      <c r="J24" s="36" t="inlineStr">
        <is>
          <t>En cours</t>
        </is>
      </c>
      <c r="K24" s="39" t="n">
        <v>0.7</v>
      </c>
      <c r="L24" s="16">
        <f>IF($B24="","",IF(J24="Complétée",1,IF(J24="Abandonnée",0,IF(K24&lt;&gt;"",K24,IFERROR(VLOOKUP(J24,Parametres!$B$6:$C$12,2,FALSE),0)))))</f>
        <v/>
      </c>
      <c r="M24" s="15">
        <f>IF($B24="","",IF(J24="Abandonnée",0,H24))</f>
        <v/>
      </c>
      <c r="N24" s="15">
        <f>IF($B24="","",M24*L24)</f>
        <v/>
      </c>
      <c r="O24" s="37" t="inlineStr">
        <is>
          <t>Abdou-Raouf</t>
        </is>
      </c>
      <c r="P24" s="40" t="n">
        <v>46275</v>
      </c>
      <c r="Q24" s="40" t="n">
        <v>46280</v>
      </c>
      <c r="R24" s="40" t="n"/>
      <c r="S24" s="37" t="inlineStr"/>
      <c r="T24" s="36" t="inlineStr">
        <is>
          <t>Non</t>
        </is>
      </c>
      <c r="U24" s="13">
        <f>IF($B24="","",IF(AND(J24&lt;&gt;"Complétée",J24&lt;&gt;"Abandonnée",Q24&lt;&gt;"",TODAY()&gt;Q24),"En retard",""))</f>
        <v/>
      </c>
      <c r="V24" s="37" t="n"/>
    </row>
    <row r="25">
      <c r="B25" s="36" t="inlineStr">
        <is>
          <t>V1-020</t>
        </is>
      </c>
      <c r="C25" s="36" t="inlineStr">
        <is>
          <t>V1</t>
        </is>
      </c>
      <c r="D25" s="36" t="inlineStr">
        <is>
          <t>IDN</t>
        </is>
      </c>
      <c r="E25" s="37" t="inlineStr">
        <is>
          <t>Auth et rôles</t>
        </is>
      </c>
      <c r="F25" s="37" t="inlineStr">
        <is>
          <t>OTP SMS (intégration fournisseur SMS)</t>
        </is>
      </c>
      <c r="G25" s="37" t="inlineStr">
        <is>
          <t>Code reçu et validé en moins de 60 s en test</t>
        </is>
      </c>
      <c r="H25" s="38" t="n">
        <v>3</v>
      </c>
      <c r="I25" s="36" t="inlineStr">
        <is>
          <t>Haute</t>
        </is>
      </c>
      <c r="J25" s="36" t="inlineStr">
        <is>
          <t>En cours</t>
        </is>
      </c>
      <c r="K25" s="39" t="n">
        <v>0.6</v>
      </c>
      <c r="L25" s="16">
        <f>IF($B25="","",IF(J25="Complétée",1,IF(J25="Abandonnée",0,IF(K25&lt;&gt;"",K25,IFERROR(VLOOKUP(J25,Parametres!$B$6:$C$12,2,FALSE),0)))))</f>
        <v/>
      </c>
      <c r="M25" s="15">
        <f>IF($B25="","",IF(J25="Abandonnée",0,H25))</f>
        <v/>
      </c>
      <c r="N25" s="15">
        <f>IF($B25="","",M25*L25)</f>
        <v/>
      </c>
      <c r="O25" s="37" t="inlineStr">
        <is>
          <t>Abdou-Raouf</t>
        </is>
      </c>
      <c r="P25" s="40" t="n">
        <v>46275</v>
      </c>
      <c r="Q25" s="40" t="n">
        <v>46280</v>
      </c>
      <c r="R25" s="40" t="n"/>
      <c r="S25" s="37" t="inlineStr"/>
      <c r="T25" s="36" t="inlineStr">
        <is>
          <t>Non</t>
        </is>
      </c>
      <c r="U25" s="13">
        <f>IF($B25="","",IF(AND(J25&lt;&gt;"Complétée",J25&lt;&gt;"Abandonnée",Q25&lt;&gt;"",TODAY()&gt;Q25),"En retard",""))</f>
        <v/>
      </c>
      <c r="V25" s="37" t="n"/>
    </row>
    <row r="26">
      <c r="B26" s="36" t="inlineStr">
        <is>
          <t>V1-021</t>
        </is>
      </c>
      <c r="C26" s="36" t="inlineStr">
        <is>
          <t>V1</t>
        </is>
      </c>
      <c r="D26" s="36" t="inlineStr">
        <is>
          <t>IDN</t>
        </is>
      </c>
      <c r="E26" s="37" t="inlineStr">
        <is>
          <t>Auth et rôles</t>
        </is>
      </c>
      <c r="F26" s="37" t="inlineStr">
        <is>
          <t>Rôles et permissions évalués côté serveur (cédant, investisseur, agent CCI-Togo, admin)</t>
        </is>
      </c>
      <c r="G26" s="37" t="inlineStr">
        <is>
          <t>Chaque endpoint refuse un rôle non autorisé (tests négatifs)</t>
        </is>
      </c>
      <c r="H26" s="38" t="n">
        <v>4</v>
      </c>
      <c r="I26" s="36" t="inlineStr">
        <is>
          <t>Haute</t>
        </is>
      </c>
      <c r="J26" s="36" t="inlineStr">
        <is>
          <t>Complétée</t>
        </is>
      </c>
      <c r="K26" s="39" t="n"/>
      <c r="L26" s="16">
        <f>IF($B26="","",IF(J26="Complétée",1,IF(J26="Abandonnée",0,IF(K26&lt;&gt;"",K26,IFERROR(VLOOKUP(J26,Parametres!$B$6:$C$12,2,FALSE),0)))))</f>
        <v/>
      </c>
      <c r="M26" s="15">
        <f>IF($B26="","",IF(J26="Abandonnée",0,H26))</f>
        <v/>
      </c>
      <c r="N26" s="15">
        <f>IF($B26="","",M26*L26)</f>
        <v/>
      </c>
      <c r="O26" s="37" t="inlineStr">
        <is>
          <t>Abdou-Raouf</t>
        </is>
      </c>
      <c r="P26" s="40" t="n">
        <v>46276</v>
      </c>
      <c r="Q26" s="40" t="n">
        <v>46282</v>
      </c>
      <c r="R26" s="40" t="n">
        <v>46275</v>
      </c>
      <c r="S26" s="37" t="inlineStr"/>
      <c r="T26" s="36" t="inlineStr">
        <is>
          <t>Non</t>
        </is>
      </c>
      <c r="U26" s="13">
        <f>IF($B26="","",IF(AND(J26&lt;&gt;"Complétée",J26&lt;&gt;"Abandonnée",Q26&lt;&gt;"",TODAY()&gt;Q26),"En retard",""))</f>
        <v/>
      </c>
      <c r="V26" s="37" t="n"/>
    </row>
    <row r="27">
      <c r="B27" s="36" t="inlineStr">
        <is>
          <t>V1-022</t>
        </is>
      </c>
      <c r="C27" s="36" t="inlineStr">
        <is>
          <t>V1</t>
        </is>
      </c>
      <c r="D27" s="36" t="inlineStr">
        <is>
          <t>IDN</t>
        </is>
      </c>
      <c r="E27" s="37" t="inlineStr">
        <is>
          <t>Auth et rôles</t>
        </is>
      </c>
      <c r="F27" s="37" t="inlineStr">
        <is>
          <t>Gestion de session : expiration, liste des appareils, révocation à distance</t>
        </is>
      </c>
      <c r="G27" s="37" t="inlineStr">
        <is>
          <t>Session révoquée inutilisable immédiatement</t>
        </is>
      </c>
      <c r="H27" s="38" t="n">
        <v>2</v>
      </c>
      <c r="I27" s="36" t="inlineStr">
        <is>
          <t>Moyenne</t>
        </is>
      </c>
      <c r="J27" s="36" t="inlineStr">
        <is>
          <t>En cours</t>
        </is>
      </c>
      <c r="K27" s="39" t="n">
        <v>0.7</v>
      </c>
      <c r="L27" s="16">
        <f>IF($B27="","",IF(J27="Complétée",1,IF(J27="Abandonnée",0,IF(K27&lt;&gt;"",K27,IFERROR(VLOOKUP(J27,Parametres!$B$6:$C$12,2,FALSE),0)))))</f>
        <v/>
      </c>
      <c r="M27" s="15">
        <f>IF($B27="","",IF(J27="Abandonnée",0,H27))</f>
        <v/>
      </c>
      <c r="N27" s="15">
        <f>IF($B27="","",M27*L27)</f>
        <v/>
      </c>
      <c r="O27" s="37" t="inlineStr">
        <is>
          <t>Abdou-Raouf</t>
        </is>
      </c>
      <c r="P27" s="40" t="n">
        <v>46276</v>
      </c>
      <c r="Q27" s="40" t="n">
        <v>46279</v>
      </c>
      <c r="R27" s="40" t="n"/>
      <c r="S27" s="37" t="inlineStr"/>
      <c r="T27" s="36" t="inlineStr">
        <is>
          <t>Non</t>
        </is>
      </c>
      <c r="U27" s="13">
        <f>IF($B27="","",IF(AND(J27&lt;&gt;"Complétée",J27&lt;&gt;"Abandonnée",Q27&lt;&gt;"",TODAY()&gt;Q27),"En retard",""))</f>
        <v/>
      </c>
      <c r="V27" s="37" t="n"/>
    </row>
    <row r="28">
      <c r="B28" s="36" t="inlineStr">
        <is>
          <t>V1-023</t>
        </is>
      </c>
      <c r="C28" s="36" t="inlineStr">
        <is>
          <t>V1</t>
        </is>
      </c>
      <c r="D28" s="36" t="inlineStr">
        <is>
          <t>IDN</t>
        </is>
      </c>
      <c r="E28" s="37" t="inlineStr">
        <is>
          <t>Auth et rôles</t>
        </is>
      </c>
      <c r="F28" s="37" t="inlineStr">
        <is>
          <t>Consentements séparés (CGU, confidentialité, marketing)</t>
        </is>
      </c>
      <c r="G28" s="37" t="inlineStr">
        <is>
          <t>Trois cases distinctes, marketing non pré-coché</t>
        </is>
      </c>
      <c r="H28" s="38" t="n">
        <v>2</v>
      </c>
      <c r="I28" s="36" t="inlineStr">
        <is>
          <t>Moyenne</t>
        </is>
      </c>
      <c r="J28" s="36" t="inlineStr">
        <is>
          <t>Complétée</t>
        </is>
      </c>
      <c r="K28" s="39" t="n"/>
      <c r="L28" s="16">
        <f>IF($B28="","",IF(J28="Complétée",1,IF(J28="Abandonnée",0,IF(K28&lt;&gt;"",K28,IFERROR(VLOOKUP(J28,Parametres!$B$6:$C$12,2,FALSE),0)))))</f>
        <v/>
      </c>
      <c r="M28" s="15">
        <f>IF($B28="","",IF(J28="Abandonnée",0,H28))</f>
        <v/>
      </c>
      <c r="N28" s="15">
        <f>IF($B28="","",M28*L28)</f>
        <v/>
      </c>
      <c r="O28" s="37" t="inlineStr">
        <is>
          <t>Abdou-Raouf</t>
        </is>
      </c>
      <c r="P28" s="40" t="n">
        <v>46277</v>
      </c>
      <c r="Q28" s="40" t="n">
        <v>46280</v>
      </c>
      <c r="R28" s="40" t="n">
        <v>46274</v>
      </c>
      <c r="S28" s="37" t="inlineStr"/>
      <c r="T28" s="36" t="inlineStr">
        <is>
          <t>Non</t>
        </is>
      </c>
      <c r="U28" s="13">
        <f>IF($B28="","",IF(AND(J28&lt;&gt;"Complétée",J28&lt;&gt;"Abandonnée",Q28&lt;&gt;"",TODAY()&gt;Q28),"En retard",""))</f>
        <v/>
      </c>
      <c r="V28" s="37" t="n"/>
    </row>
    <row r="29">
      <c r="B29" s="36" t="inlineStr">
        <is>
          <t>V1-024</t>
        </is>
      </c>
      <c r="C29" s="36" t="inlineStr">
        <is>
          <t>V1</t>
        </is>
      </c>
      <c r="D29" s="36" t="inlineStr">
        <is>
          <t>IDN</t>
        </is>
      </c>
      <c r="E29" s="37" t="inlineStr">
        <is>
          <t>Auth et rôles</t>
        </is>
      </c>
      <c r="F29" s="37" t="inlineStr">
        <is>
          <t>Paliers d'abonnement : modèle et entitlements (sans paiement en V1)</t>
        </is>
      </c>
      <c r="G29" s="37" t="inlineStr">
        <is>
          <t>Entitlement résolu depuis un service unique versionné</t>
        </is>
      </c>
      <c r="H29" s="38" t="n">
        <v>4</v>
      </c>
      <c r="I29" s="36" t="inlineStr">
        <is>
          <t>Moyenne</t>
        </is>
      </c>
      <c r="J29" s="36" t="inlineStr">
        <is>
          <t>En cours</t>
        </is>
      </c>
      <c r="K29" s="39" t="n">
        <v>0.5</v>
      </c>
      <c r="L29" s="16">
        <f>IF($B29="","",IF(J29="Complétée",1,IF(J29="Abandonnée",0,IF(K29&lt;&gt;"",K29,IFERROR(VLOOKUP(J29,Parametres!$B$6:$C$12,2,FALSE),0)))))</f>
        <v/>
      </c>
      <c r="M29" s="15">
        <f>IF($B29="","",IF(J29="Abandonnée",0,H29))</f>
        <v/>
      </c>
      <c r="N29" s="15">
        <f>IF($B29="","",M29*L29)</f>
        <v/>
      </c>
      <c r="O29" s="37" t="inlineStr">
        <is>
          <t>Abdou-Raouf</t>
        </is>
      </c>
      <c r="P29" s="40" t="n">
        <v>46277</v>
      </c>
      <c r="Q29" s="40" t="n">
        <v>46283</v>
      </c>
      <c r="R29" s="40" t="n"/>
      <c r="S29" s="37" t="inlineStr"/>
      <c r="T29" s="36" t="inlineStr">
        <is>
          <t>Non</t>
        </is>
      </c>
      <c r="U29" s="13">
        <f>IF($B29="","",IF(AND(J29&lt;&gt;"Complétée",J29&lt;&gt;"Abandonnée",Q29&lt;&gt;"",TODAY()&gt;Q29),"En retard",""))</f>
        <v/>
      </c>
      <c r="V29" s="37" t="n"/>
    </row>
    <row r="30">
      <c r="B30" s="36" t="inlineStr">
        <is>
          <t>V1-025</t>
        </is>
      </c>
      <c r="C30" s="36" t="inlineStr">
        <is>
          <t>V1</t>
        </is>
      </c>
      <c r="D30" s="36" t="inlineStr">
        <is>
          <t>IDN</t>
        </is>
      </c>
      <c r="E30" s="37" t="inlineStr">
        <is>
          <t>Auth et rôles</t>
        </is>
      </c>
      <c r="F30" s="37" t="inlineStr">
        <is>
          <t>Écrans authentification (connexion, inscription, OTP, profil)</t>
        </is>
      </c>
      <c r="G30" s="37" t="inlineStr">
        <is>
          <t>Parcours complet sur mobile et desktop</t>
        </is>
      </c>
      <c r="H30" s="38" t="n">
        <v>4</v>
      </c>
      <c r="I30" s="36" t="inlineStr">
        <is>
          <t>Haute</t>
        </is>
      </c>
      <c r="J30" s="36" t="inlineStr">
        <is>
          <t>À faire</t>
        </is>
      </c>
      <c r="K30" s="39" t="n"/>
      <c r="L30" s="16">
        <f>IF($B30="","",IF(J30="Complétée",1,IF(J30="Abandonnée",0,IF(K30&lt;&gt;"",K30,IFERROR(VLOOKUP(J30,Parametres!$B$6:$C$12,2,FALSE),0)))))</f>
        <v/>
      </c>
      <c r="M30" s="15">
        <f>IF($B30="","",IF(J30="Abandonnée",0,H30))</f>
        <v/>
      </c>
      <c r="N30" s="15">
        <f>IF($B30="","",M30*L30)</f>
        <v/>
      </c>
      <c r="O30" s="37" t="n"/>
      <c r="P30" s="40" t="n">
        <v>46278</v>
      </c>
      <c r="Q30" s="40" t="n">
        <v>46284</v>
      </c>
      <c r="R30" s="40" t="n"/>
      <c r="S30" s="37" t="inlineStr"/>
      <c r="T30" s="36" t="inlineStr">
        <is>
          <t>Non</t>
        </is>
      </c>
      <c r="U30" s="13">
        <f>IF($B30="","",IF(AND(J30&lt;&gt;"Complétée",J30&lt;&gt;"Abandonnée",Q30&lt;&gt;"",TODAY()&gt;Q30),"En retard",""))</f>
        <v/>
      </c>
      <c r="V30" s="37" t="n"/>
    </row>
    <row r="31">
      <c r="B31" s="36" t="inlineStr">
        <is>
          <t>V1-026</t>
        </is>
      </c>
      <c r="C31" s="36" t="inlineStr">
        <is>
          <t>V1</t>
        </is>
      </c>
      <c r="D31" s="36" t="inlineStr">
        <is>
          <t>GOV</t>
        </is>
      </c>
      <c r="E31" s="37" t="inlineStr">
        <is>
          <t>Espace CCI-Togo</t>
        </is>
      </c>
      <c r="F31" s="37" t="inlineStr">
        <is>
          <t>Workflow de confirmation d'adhésion (demande, décision, référence stockée)</t>
        </is>
      </c>
      <c r="G31" s="37" t="inlineStr">
        <is>
          <t>Seule la référence de confirmation est stockée, jamais la base des membres</t>
        </is>
      </c>
      <c r="H31" s="38" t="n">
        <v>4</v>
      </c>
      <c r="I31" s="36" t="inlineStr">
        <is>
          <t>Haute</t>
        </is>
      </c>
      <c r="J31" s="36" t="inlineStr">
        <is>
          <t>En cours</t>
        </is>
      </c>
      <c r="K31" s="39" t="n">
        <v>0.8</v>
      </c>
      <c r="L31" s="16">
        <f>IF($B31="","",IF(J31="Complétée",1,IF(J31="Abandonnée",0,IF(K31&lt;&gt;"",K31,IFERROR(VLOOKUP(J31,Parametres!$B$6:$C$12,2,FALSE),0)))))</f>
        <v/>
      </c>
      <c r="M31" s="15">
        <f>IF($B31="","",IF(J31="Abandonnée",0,H31))</f>
        <v/>
      </c>
      <c r="N31" s="15">
        <f>IF($B31="","",M31*L31)</f>
        <v/>
      </c>
      <c r="O31" s="37" t="inlineStr">
        <is>
          <t>Abdou-Raouf</t>
        </is>
      </c>
      <c r="P31" s="40" t="n">
        <v>46278</v>
      </c>
      <c r="Q31" s="40" t="n">
        <v>46284</v>
      </c>
      <c r="R31" s="40" t="n"/>
      <c r="S31" s="37" t="inlineStr"/>
      <c r="T31" s="36" t="inlineStr">
        <is>
          <t>Non</t>
        </is>
      </c>
      <c r="U31" s="13">
        <f>IF($B31="","",IF(AND(J31&lt;&gt;"Complétée",J31&lt;&gt;"Abandonnée",Q31&lt;&gt;"",TODAY()&gt;Q31),"En retard",""))</f>
        <v/>
      </c>
      <c r="V31" s="37" t="n"/>
    </row>
    <row r="32">
      <c r="B32" s="36" t="inlineStr">
        <is>
          <t>V1-027</t>
        </is>
      </c>
      <c r="C32" s="36" t="inlineStr">
        <is>
          <t>V1</t>
        </is>
      </c>
      <c r="D32" s="36" t="inlineStr">
        <is>
          <t>GOV</t>
        </is>
      </c>
      <c r="E32" s="37" t="inlineStr">
        <is>
          <t>Espace CCI-Togo</t>
        </is>
      </c>
      <c r="F32" s="37" t="inlineStr">
        <is>
          <t>Vérification RCCM / CFE : adaptateur (API si disponible, sinon saisie manuelle supervisée)</t>
        </is>
      </c>
      <c r="G32" s="37" t="inlineStr">
        <is>
          <t>Source et horodatage de vérification stockés</t>
        </is>
      </c>
      <c r="H32" s="38" t="n">
        <v>5</v>
      </c>
      <c r="I32" s="36" t="inlineStr">
        <is>
          <t>Haute</t>
        </is>
      </c>
      <c r="J32" s="36" t="inlineStr">
        <is>
          <t>En cours</t>
        </is>
      </c>
      <c r="K32" s="39" t="n">
        <v>0.7</v>
      </c>
      <c r="L32" s="16">
        <f>IF($B32="","",IF(J32="Complétée",1,IF(J32="Abandonnée",0,IF(K32&lt;&gt;"",K32,IFERROR(VLOOKUP(J32,Parametres!$B$6:$C$12,2,FALSE),0)))))</f>
        <v/>
      </c>
      <c r="M32" s="15">
        <f>IF($B32="","",IF(J32="Abandonnée",0,H32))</f>
        <v/>
      </c>
      <c r="N32" s="15">
        <f>IF($B32="","",M32*L32)</f>
        <v/>
      </c>
      <c r="O32" s="37" t="inlineStr">
        <is>
          <t>Abdou-Raouf</t>
        </is>
      </c>
      <c r="P32" s="40" t="n">
        <v>46279</v>
      </c>
      <c r="Q32" s="40" t="n">
        <v>46286</v>
      </c>
      <c r="R32" s="40" t="n"/>
      <c r="S32" s="37" t="inlineStr">
        <is>
          <t>Réponse sur l'API CFE/RCCM</t>
        </is>
      </c>
      <c r="T32" s="36" t="inlineStr">
        <is>
          <t>Oui</t>
        </is>
      </c>
      <c r="U32" s="13">
        <f>IF($B32="","",IF(AND(J32&lt;&gt;"Complétée",J32&lt;&gt;"Abandonnée",Q32&lt;&gt;"",TODAY()&gt;Q32),"En retard",""))</f>
        <v/>
      </c>
      <c r="V32" s="37" t="n"/>
    </row>
    <row r="33">
      <c r="B33" s="36" t="inlineStr">
        <is>
          <t>V1-028</t>
        </is>
      </c>
      <c r="C33" s="36" t="inlineStr">
        <is>
          <t>V1</t>
        </is>
      </c>
      <c r="D33" s="36" t="inlineStr">
        <is>
          <t>GOV</t>
        </is>
      </c>
      <c r="E33" s="37" t="inlineStr">
        <is>
          <t>Espace CCI-Togo</t>
        </is>
      </c>
      <c r="F33" s="37" t="inlineStr">
        <is>
          <t>RegistryRecord stocké séparément des données déclarées par le cédant</t>
        </is>
      </c>
      <c r="G33" s="37" t="inlineStr">
        <is>
          <t>Deux tables distinctes, aucune fusion à l'affichage</t>
        </is>
      </c>
      <c r="H33" s="38" t="n">
        <v>2</v>
      </c>
      <c r="I33" s="36" t="inlineStr">
        <is>
          <t>Haute</t>
        </is>
      </c>
      <c r="J33" s="36" t="inlineStr">
        <is>
          <t>Complétée</t>
        </is>
      </c>
      <c r="K33" s="39" t="n"/>
      <c r="L33" s="16">
        <f>IF($B33="","",IF(J33="Complétée",1,IF(J33="Abandonnée",0,IF(K33&lt;&gt;"",K33,IFERROR(VLOOKUP(J33,Parametres!$B$6:$C$12,2,FALSE),0)))))</f>
        <v/>
      </c>
      <c r="M33" s="15">
        <f>IF($B33="","",IF(J33="Abandonnée",0,H33))</f>
        <v/>
      </c>
      <c r="N33" s="15">
        <f>IF($B33="","",M33*L33)</f>
        <v/>
      </c>
      <c r="O33" s="37" t="inlineStr">
        <is>
          <t>Abdou-Raouf</t>
        </is>
      </c>
      <c r="P33" s="40" t="n">
        <v>46279</v>
      </c>
      <c r="Q33" s="40" t="n">
        <v>46282</v>
      </c>
      <c r="R33" s="40" t="n">
        <v>46274</v>
      </c>
      <c r="S33" s="37" t="inlineStr"/>
      <c r="T33" s="36" t="inlineStr">
        <is>
          <t>Non</t>
        </is>
      </c>
      <c r="U33" s="13">
        <f>IF($B33="","",IF(AND(J33&lt;&gt;"Complétée",J33&lt;&gt;"Abandonnée",Q33&lt;&gt;"",TODAY()&gt;Q33),"En retard",""))</f>
        <v/>
      </c>
      <c r="V33" s="37" t="n"/>
    </row>
    <row r="34">
      <c r="B34" s="36" t="inlineStr">
        <is>
          <t>V1-029</t>
        </is>
      </c>
      <c r="C34" s="36" t="inlineStr">
        <is>
          <t>V1</t>
        </is>
      </c>
      <c r="D34" s="36" t="inlineStr">
        <is>
          <t>GOV</t>
        </is>
      </c>
      <c r="E34" s="37" t="inlineStr">
        <is>
          <t>Espace CCI-Togo</t>
        </is>
      </c>
      <c r="F34" s="37" t="inlineStr">
        <is>
          <t>Tableau de bord institutionnel agrégé (version minimale)</t>
        </is>
      </c>
      <c r="G34" s="37" t="inlineStr">
        <is>
          <t>Aucune vue sur le contenu confidentiel d'un dossier</t>
        </is>
      </c>
      <c r="H34" s="38" t="n">
        <v>3</v>
      </c>
      <c r="I34" s="36" t="inlineStr">
        <is>
          <t>Moyenne</t>
        </is>
      </c>
      <c r="J34" s="36" t="inlineStr">
        <is>
          <t>À faire</t>
        </is>
      </c>
      <c r="K34" s="39" t="n"/>
      <c r="L34" s="16">
        <f>IF($B34="","",IF(J34="Complétée",1,IF(J34="Abandonnée",0,IF(K34&lt;&gt;"",K34,IFERROR(VLOOKUP(J34,Parametres!$B$6:$C$12,2,FALSE),0)))))</f>
        <v/>
      </c>
      <c r="M34" s="15">
        <f>IF($B34="","",IF(J34="Abandonnée",0,H34))</f>
        <v/>
      </c>
      <c r="N34" s="15">
        <f>IF($B34="","",M34*L34)</f>
        <v/>
      </c>
      <c r="O34" s="37" t="n"/>
      <c r="P34" s="40" t="n">
        <v>46280</v>
      </c>
      <c r="Q34" s="40" t="n">
        <v>46285</v>
      </c>
      <c r="R34" s="40" t="n"/>
      <c r="S34" s="37" t="inlineStr"/>
      <c r="T34" s="36" t="inlineStr">
        <is>
          <t>Non</t>
        </is>
      </c>
      <c r="U34" s="13">
        <f>IF($B34="","",IF(AND(J34&lt;&gt;"Complétée",J34&lt;&gt;"Abandonnée",Q34&lt;&gt;"",TODAY()&gt;Q34),"En retard",""))</f>
        <v/>
      </c>
      <c r="V34" s="37" t="n"/>
    </row>
    <row r="35">
      <c r="B35" s="36" t="inlineStr">
        <is>
          <t>V1-030</t>
        </is>
      </c>
      <c r="C35" s="36" t="inlineStr">
        <is>
          <t>V1</t>
        </is>
      </c>
      <c r="D35" s="36" t="inlineStr">
        <is>
          <t>GOV</t>
        </is>
      </c>
      <c r="E35" s="37" t="inlineStr">
        <is>
          <t>Espace CCI-Togo</t>
        </is>
      </c>
      <c r="F35" s="37" t="inlineStr">
        <is>
          <t>Écrans console CCI-Togo</t>
        </is>
      </c>
      <c r="G35" s="37" t="inlineStr">
        <is>
          <t>Rôles et journal d'audit séparés du back-office plateforme</t>
        </is>
      </c>
      <c r="H35" s="38" t="n">
        <v>5</v>
      </c>
      <c r="I35" s="36" t="inlineStr">
        <is>
          <t>Haute</t>
        </is>
      </c>
      <c r="J35" s="36" t="inlineStr">
        <is>
          <t>À faire</t>
        </is>
      </c>
      <c r="K35" s="39" t="n"/>
      <c r="L35" s="16">
        <f>IF($B35="","",IF(J35="Complétée",1,IF(J35="Abandonnée",0,IF(K35&lt;&gt;"",K35,IFERROR(VLOOKUP(J35,Parametres!$B$6:$C$12,2,FALSE),0)))))</f>
        <v/>
      </c>
      <c r="M35" s="15">
        <f>IF($B35="","",IF(J35="Abandonnée",0,H35))</f>
        <v/>
      </c>
      <c r="N35" s="15">
        <f>IF($B35="","",M35*L35)</f>
        <v/>
      </c>
      <c r="O35" s="37" t="n"/>
      <c r="P35" s="40" t="n">
        <v>46280</v>
      </c>
      <c r="Q35" s="40" t="n">
        <v>46287</v>
      </c>
      <c r="R35" s="40" t="n"/>
      <c r="S35" s="37" t="inlineStr"/>
      <c r="T35" s="36" t="inlineStr">
        <is>
          <t>Non</t>
        </is>
      </c>
      <c r="U35" s="13">
        <f>IF($B35="","",IF(AND(J35&lt;&gt;"Complétée",J35&lt;&gt;"Abandonnée",Q35&lt;&gt;"",TODAY()&gt;Q35),"En retard",""))</f>
        <v/>
      </c>
      <c r="V35" s="37" t="n"/>
    </row>
    <row r="36">
      <c r="B36" s="36" t="inlineStr">
        <is>
          <t>V1-031</t>
        </is>
      </c>
      <c r="C36" s="36" t="inlineStr">
        <is>
          <t>V1</t>
        </is>
      </c>
      <c r="D36" s="36" t="inlineStr">
        <is>
          <t>CCI</t>
        </is>
      </c>
      <c r="E36" s="37" t="inlineStr">
        <is>
          <t>Deal-Ready</t>
        </is>
      </c>
      <c r="F36" s="37" t="inlineStr">
        <is>
          <t>Modèle Certification : portée, décision, officier, expiration, révocation</t>
        </is>
      </c>
      <c r="G36" s="37" t="inlineStr">
        <is>
          <t>Chaque décision porte un officier nommé</t>
        </is>
      </c>
      <c r="H36" s="38" t="n">
        <v>2</v>
      </c>
      <c r="I36" s="36" t="inlineStr">
        <is>
          <t>Haute</t>
        </is>
      </c>
      <c r="J36" s="36" t="inlineStr">
        <is>
          <t>Complétée</t>
        </is>
      </c>
      <c r="K36" s="39" t="n"/>
      <c r="L36" s="16">
        <f>IF($B36="","",IF(J36="Complétée",1,IF(J36="Abandonnée",0,IF(K36&lt;&gt;"",K36,IFERROR(VLOOKUP(J36,Parametres!$B$6:$C$12,2,FALSE),0)))))</f>
        <v/>
      </c>
      <c r="M36" s="15">
        <f>IF($B36="","",IF(J36="Abandonnée",0,H36))</f>
        <v/>
      </c>
      <c r="N36" s="15">
        <f>IF($B36="","",M36*L36)</f>
        <v/>
      </c>
      <c r="O36" s="37" t="inlineStr">
        <is>
          <t>Abdou-Raouf</t>
        </is>
      </c>
      <c r="P36" s="40" t="n">
        <v>46281</v>
      </c>
      <c r="Q36" s="40" t="n">
        <v>46284</v>
      </c>
      <c r="R36" s="40" t="n">
        <v>46274</v>
      </c>
      <c r="S36" s="37" t="inlineStr"/>
      <c r="T36" s="36" t="inlineStr">
        <is>
          <t>Non</t>
        </is>
      </c>
      <c r="U36" s="13">
        <f>IF($B36="","",IF(AND(J36&lt;&gt;"Complétée",J36&lt;&gt;"Abandonnée",Q36&lt;&gt;"",TODAY()&gt;Q36),"En retard",""))</f>
        <v/>
      </c>
      <c r="V36" s="37" t="n"/>
    </row>
    <row r="37">
      <c r="B37" s="36" t="inlineStr">
        <is>
          <t>V1-032</t>
        </is>
      </c>
      <c r="C37" s="36" t="inlineStr">
        <is>
          <t>V1</t>
        </is>
      </c>
      <c r="D37" s="36" t="inlineStr">
        <is>
          <t>CCI</t>
        </is>
      </c>
      <c r="E37" s="37" t="inlineStr">
        <is>
          <t>Deal-Ready</t>
        </is>
      </c>
      <c r="F37" s="37" t="inlineStr">
        <is>
          <t>Workflow de décision nominative (octroi, refus, retrait) et déclaration de conflit d'intérêts</t>
        </is>
      </c>
      <c r="G37" s="37" t="inlineStr">
        <is>
          <t>Octroi automatique impossible par construction (test négatif)</t>
        </is>
      </c>
      <c r="H37" s="38" t="n">
        <v>4</v>
      </c>
      <c r="I37" s="36" t="inlineStr">
        <is>
          <t>Haute</t>
        </is>
      </c>
      <c r="J37" s="36" t="inlineStr">
        <is>
          <t>Complétée</t>
        </is>
      </c>
      <c r="K37" s="39" t="n"/>
      <c r="L37" s="16">
        <f>IF($B37="","",IF(J37="Complétée",1,IF(J37="Abandonnée",0,IF(K37&lt;&gt;"",K37,IFERROR(VLOOKUP(J37,Parametres!$B$6:$C$12,2,FALSE),0)))))</f>
        <v/>
      </c>
      <c r="M37" s="15">
        <f>IF($B37="","",IF(J37="Abandonnée",0,H37))</f>
        <v/>
      </c>
      <c r="N37" s="15">
        <f>IF($B37="","",M37*L37)</f>
        <v/>
      </c>
      <c r="O37" s="37" t="inlineStr">
        <is>
          <t>Abdou-Raouf</t>
        </is>
      </c>
      <c r="P37" s="40" t="n">
        <v>46281</v>
      </c>
      <c r="Q37" s="40" t="n">
        <v>46287</v>
      </c>
      <c r="R37" s="40" t="n">
        <v>46275</v>
      </c>
      <c r="S37" s="37" t="inlineStr"/>
      <c r="T37" s="36" t="inlineStr">
        <is>
          <t>Non</t>
        </is>
      </c>
      <c r="U37" s="13">
        <f>IF($B37="","",IF(AND(J37&lt;&gt;"Complétée",J37&lt;&gt;"Abandonnée",Q37&lt;&gt;"",TODAY()&gt;Q37),"En retard",""))</f>
        <v/>
      </c>
      <c r="V37" s="37" t="n"/>
    </row>
    <row r="38">
      <c r="B38" s="36" t="inlineStr">
        <is>
          <t>V1-033</t>
        </is>
      </c>
      <c r="C38" s="36" t="inlineStr">
        <is>
          <t>V1</t>
        </is>
      </c>
      <c r="D38" s="36" t="inlineStr">
        <is>
          <t>CCI</t>
        </is>
      </c>
      <c r="E38" s="37" t="inlineStr">
        <is>
          <t>Deal-Ready</t>
        </is>
      </c>
      <c r="F38" s="37" t="inlineStr">
        <is>
          <t>Checklist Deal-Ready et pièces attendues</t>
        </is>
      </c>
      <c r="G38" s="37" t="inlineStr">
        <is>
          <t>Liste des manques visible par l'entreprise</t>
        </is>
      </c>
      <c r="H38" s="38" t="n">
        <v>3</v>
      </c>
      <c r="I38" s="36" t="inlineStr">
        <is>
          <t>Moyenne</t>
        </is>
      </c>
      <c r="J38" s="36" t="inlineStr">
        <is>
          <t>À faire</t>
        </is>
      </c>
      <c r="K38" s="39" t="n"/>
      <c r="L38" s="16">
        <f>IF($B38="","",IF(J38="Complétée",1,IF(J38="Abandonnée",0,IF(K38&lt;&gt;"",K38,IFERROR(VLOOKUP(J38,Parametres!$B$6:$C$12,2,FALSE),0)))))</f>
        <v/>
      </c>
      <c r="M38" s="15">
        <f>IF($B38="","",IF(J38="Abandonnée",0,H38))</f>
        <v/>
      </c>
      <c r="N38" s="15">
        <f>IF($B38="","",M38*L38)</f>
        <v/>
      </c>
      <c r="O38" s="37" t="n"/>
      <c r="P38" s="40" t="n">
        <v>46282</v>
      </c>
      <c r="Q38" s="40" t="n">
        <v>46287</v>
      </c>
      <c r="R38" s="40" t="n"/>
      <c r="S38" s="37" t="inlineStr"/>
      <c r="T38" s="36" t="inlineStr">
        <is>
          <t>Non</t>
        </is>
      </c>
      <c r="U38" s="13">
        <f>IF($B38="","",IF(AND(J38&lt;&gt;"Complétée",J38&lt;&gt;"Abandonnée",Q38&lt;&gt;"",TODAY()&gt;Q38),"En retard",""))</f>
        <v/>
      </c>
      <c r="V38" s="37" t="n"/>
    </row>
    <row r="39">
      <c r="B39" s="36" t="inlineStr">
        <is>
          <t>V1-034</t>
        </is>
      </c>
      <c r="C39" s="36" t="inlineStr">
        <is>
          <t>V1</t>
        </is>
      </c>
      <c r="D39" s="36" t="inlineStr">
        <is>
          <t>CCI</t>
        </is>
      </c>
      <c r="E39" s="37" t="inlineStr">
        <is>
          <t>Deal-Ready</t>
        </is>
      </c>
      <c r="F39" s="37" t="inlineStr">
        <is>
          <t>Écrans côté entreprise : demande, suivi de remédiation</t>
        </is>
      </c>
      <c r="G39" s="37" t="inlineStr">
        <is>
          <t>Statut et pièces manquantes visibles</t>
        </is>
      </c>
      <c r="H39" s="38" t="n">
        <v>4</v>
      </c>
      <c r="I39" s="36" t="inlineStr">
        <is>
          <t>Moyenne</t>
        </is>
      </c>
      <c r="J39" s="36" t="inlineStr">
        <is>
          <t>À faire</t>
        </is>
      </c>
      <c r="K39" s="39" t="n"/>
      <c r="L39" s="16">
        <f>IF($B39="","",IF(J39="Complétée",1,IF(J39="Abandonnée",0,IF(K39&lt;&gt;"",K39,IFERROR(VLOOKUP(J39,Parametres!$B$6:$C$12,2,FALSE),0)))))</f>
        <v/>
      </c>
      <c r="M39" s="15">
        <f>IF($B39="","",IF(J39="Abandonnée",0,H39))</f>
        <v/>
      </c>
      <c r="N39" s="15">
        <f>IF($B39="","",M39*L39)</f>
        <v/>
      </c>
      <c r="O39" s="37" t="n"/>
      <c r="P39" s="40" t="n">
        <v>46282</v>
      </c>
      <c r="Q39" s="40" t="n">
        <v>46288</v>
      </c>
      <c r="R39" s="40" t="n"/>
      <c r="S39" s="37" t="inlineStr"/>
      <c r="T39" s="36" t="inlineStr">
        <is>
          <t>Non</t>
        </is>
      </c>
      <c r="U39" s="13">
        <f>IF($B39="","",IF(AND(J39&lt;&gt;"Complétée",J39&lt;&gt;"Abandonnée",Q39&lt;&gt;"",TODAY()&gt;Q39),"En retard",""))</f>
        <v/>
      </c>
      <c r="V39" s="37" t="n"/>
    </row>
    <row r="40">
      <c r="B40" s="36" t="inlineStr">
        <is>
          <t>V1-035</t>
        </is>
      </c>
      <c r="C40" s="36" t="inlineStr">
        <is>
          <t>V1</t>
        </is>
      </c>
      <c r="D40" s="36" t="inlineStr">
        <is>
          <t>CCI</t>
        </is>
      </c>
      <c r="E40" s="37" t="inlineStr">
        <is>
          <t>Deal-Ready</t>
        </is>
      </c>
      <c r="F40" s="37" t="inlineStr">
        <is>
          <t>Badge Deal-Ready : affichage avec périmètre et limites explicites</t>
        </is>
      </c>
      <c r="G40" s="37" t="inlineStr">
        <is>
          <t>Texte du badge précise ce qui est vérifié et ce qui ne l'est pas</t>
        </is>
      </c>
      <c r="H40" s="38" t="n">
        <v>2</v>
      </c>
      <c r="I40" s="36" t="inlineStr">
        <is>
          <t>Haute</t>
        </is>
      </c>
      <c r="J40" s="36" t="inlineStr">
        <is>
          <t>En cours</t>
        </is>
      </c>
      <c r="K40" s="39" t="n">
        <v>0.6</v>
      </c>
      <c r="L40" s="16">
        <f>IF($B40="","",IF(J40="Complétée",1,IF(J40="Abandonnée",0,IF(K40&lt;&gt;"",K40,IFERROR(VLOOKUP(J40,Parametres!$B$6:$C$12,2,FALSE),0)))))</f>
        <v/>
      </c>
      <c r="M40" s="15">
        <f>IF($B40="","",IF(J40="Abandonnée",0,H40))</f>
        <v/>
      </c>
      <c r="N40" s="15">
        <f>IF($B40="","",M40*L40)</f>
        <v/>
      </c>
      <c r="O40" s="37" t="inlineStr">
        <is>
          <t>Abdou-Raouf</t>
        </is>
      </c>
      <c r="P40" s="40" t="n">
        <v>46283</v>
      </c>
      <c r="Q40" s="40" t="n">
        <v>46286</v>
      </c>
      <c r="R40" s="40" t="n"/>
      <c r="S40" s="37" t="inlineStr"/>
      <c r="T40" s="36" t="inlineStr">
        <is>
          <t>Non</t>
        </is>
      </c>
      <c r="U40" s="13">
        <f>IF($B40="","",IF(AND(J40&lt;&gt;"Complétée",J40&lt;&gt;"Abandonnée",Q40&lt;&gt;"",TODAY()&gt;Q40),"En retard",""))</f>
        <v/>
      </c>
      <c r="V40" s="37" t="n"/>
    </row>
    <row r="41">
      <c r="B41" s="36" t="inlineStr">
        <is>
          <t>V1-036</t>
        </is>
      </c>
      <c r="C41" s="36" t="inlineStr">
        <is>
          <t>V1</t>
        </is>
      </c>
      <c r="D41" s="36" t="inlineStr">
        <is>
          <t>CCI</t>
        </is>
      </c>
      <c r="E41" s="37" t="inlineStr">
        <is>
          <t>Deal-Ready</t>
        </is>
      </c>
      <c r="F41" s="37" t="inlineStr">
        <is>
          <t>Journal d'audit des décisions de certification</t>
        </is>
      </c>
      <c r="G41" s="37" t="inlineStr">
        <is>
          <t>Chaque décision exportable avec horodatage et officier</t>
        </is>
      </c>
      <c r="H41" s="38" t="n">
        <v>2</v>
      </c>
      <c r="I41" s="36" t="inlineStr">
        <is>
          <t>Moyenne</t>
        </is>
      </c>
      <c r="J41" s="36" t="inlineStr">
        <is>
          <t>En cours</t>
        </is>
      </c>
      <c r="K41" s="39" t="n">
        <v>0.6</v>
      </c>
      <c r="L41" s="16">
        <f>IF($B41="","",IF(J41="Complétée",1,IF(J41="Abandonnée",0,IF(K41&lt;&gt;"",K41,IFERROR(VLOOKUP(J41,Parametres!$B$6:$C$12,2,FALSE),0)))))</f>
        <v/>
      </c>
      <c r="M41" s="15">
        <f>IF($B41="","",IF(J41="Abandonnée",0,H41))</f>
        <v/>
      </c>
      <c r="N41" s="15">
        <f>IF($B41="","",M41*L41)</f>
        <v/>
      </c>
      <c r="O41" s="37" t="inlineStr">
        <is>
          <t>Abdou-Raouf</t>
        </is>
      </c>
      <c r="P41" s="40" t="n">
        <v>46283</v>
      </c>
      <c r="Q41" s="40" t="n">
        <v>46286</v>
      </c>
      <c r="R41" s="40" t="n"/>
      <c r="S41" s="37" t="inlineStr"/>
      <c r="T41" s="36" t="inlineStr">
        <is>
          <t>Non</t>
        </is>
      </c>
      <c r="U41" s="13">
        <f>IF($B41="","",IF(AND(J41&lt;&gt;"Complétée",J41&lt;&gt;"Abandonnée",Q41&lt;&gt;"",TODAY()&gt;Q41),"En retard",""))</f>
        <v/>
      </c>
      <c r="V41" s="37" t="n"/>
    </row>
    <row r="42">
      <c r="B42" s="36" t="inlineStr">
        <is>
          <t>V1-037</t>
        </is>
      </c>
      <c r="C42" s="36" t="inlineStr">
        <is>
          <t>V1</t>
        </is>
      </c>
      <c r="D42" s="36" t="inlineStr">
        <is>
          <t>MKT</t>
        </is>
      </c>
      <c r="E42" s="37" t="inlineStr">
        <is>
          <t>Dossier cédant</t>
        </is>
      </c>
      <c r="F42" s="37" t="inlineStr">
        <is>
          <t>Assistant de constitution de dossier : étapes, branchement par type de cession dès l'étape 1</t>
        </is>
      </c>
      <c r="G42" s="37" t="inlineStr">
        <is>
          <t>Parcours actif complet, branche titres présente mais bloquée en V1</t>
        </is>
      </c>
      <c r="H42" s="38" t="n">
        <v>6</v>
      </c>
      <c r="I42" s="36" t="inlineStr">
        <is>
          <t>Haute</t>
        </is>
      </c>
      <c r="J42" s="36" t="inlineStr">
        <is>
          <t>En cours</t>
        </is>
      </c>
      <c r="K42" s="39" t="n">
        <v>0.15</v>
      </c>
      <c r="L42" s="16">
        <f>IF($B42="","",IF(J42="Complétée",1,IF(J42="Abandonnée",0,IF(K42&lt;&gt;"",K42,IFERROR(VLOOKUP(J42,Parametres!$B$6:$C$12,2,FALSE),0)))))</f>
        <v/>
      </c>
      <c r="M42" s="15">
        <f>IF($B42="","",IF(J42="Abandonnée",0,H42))</f>
        <v/>
      </c>
      <c r="N42" s="15">
        <f>IF($B42="","",M42*L42)</f>
        <v/>
      </c>
      <c r="O42" s="37" t="inlineStr">
        <is>
          <t>Abdou-Raouf</t>
        </is>
      </c>
      <c r="P42" s="40" t="n">
        <v>46283</v>
      </c>
      <c r="Q42" s="40" t="n">
        <v>46292</v>
      </c>
      <c r="R42" s="40" t="n"/>
      <c r="S42" s="37" t="inlineStr"/>
      <c r="T42" s="36" t="inlineStr">
        <is>
          <t>Non</t>
        </is>
      </c>
      <c r="U42" s="13">
        <f>IF($B42="","",IF(AND(J42&lt;&gt;"Complétée",J42&lt;&gt;"Abandonnée",Q42&lt;&gt;"",TODAY()&gt;Q42),"En retard",""))</f>
        <v/>
      </c>
      <c r="V42" s="37" t="n"/>
    </row>
    <row r="43">
      <c r="B43" s="36" t="inlineStr">
        <is>
          <t>V1-038</t>
        </is>
      </c>
      <c r="C43" s="36" t="inlineStr">
        <is>
          <t>V1</t>
        </is>
      </c>
      <c r="D43" s="36" t="inlineStr">
        <is>
          <t>MKT</t>
        </is>
      </c>
      <c r="E43" s="37" t="inlineStr">
        <is>
          <t>Dossier cédant</t>
        </is>
      </c>
      <c r="F43" s="37" t="inlineStr">
        <is>
          <t>Upload de documents : scan antivirus, stockage chiffré, jamais d'URL publique</t>
        </is>
      </c>
      <c r="G43" s="37" t="inlineStr">
        <is>
          <t>Fichier infecté rejeté, URL directe inaccessible (test négatif)</t>
        </is>
      </c>
      <c r="H43" s="38" t="n">
        <v>4</v>
      </c>
      <c r="I43" s="36" t="inlineStr">
        <is>
          <t>Haute</t>
        </is>
      </c>
      <c r="J43" s="36" t="inlineStr">
        <is>
          <t>À faire</t>
        </is>
      </c>
      <c r="K43" s="39" t="n"/>
      <c r="L43" s="16">
        <f>IF($B43="","",IF(J43="Complétée",1,IF(J43="Abandonnée",0,IF(K43&lt;&gt;"",K43,IFERROR(VLOOKUP(J43,Parametres!$B$6:$C$12,2,FALSE),0)))))</f>
        <v/>
      </c>
      <c r="M43" s="15">
        <f>IF($B43="","",IF(J43="Abandonnée",0,H43))</f>
        <v/>
      </c>
      <c r="N43" s="15">
        <f>IF($B43="","",M43*L43)</f>
        <v/>
      </c>
      <c r="O43" s="37" t="n"/>
      <c r="P43" s="40" t="n">
        <v>46284</v>
      </c>
      <c r="Q43" s="40" t="n">
        <v>46290</v>
      </c>
      <c r="R43" s="40" t="n"/>
      <c r="S43" s="37" t="inlineStr"/>
      <c r="T43" s="36" t="inlineStr">
        <is>
          <t>Non</t>
        </is>
      </c>
      <c r="U43" s="13">
        <f>IF($B43="","",IF(AND(J43&lt;&gt;"Complétée",J43&lt;&gt;"Abandonnée",Q43&lt;&gt;"",TODAY()&gt;Q43),"En retard",""))</f>
        <v/>
      </c>
      <c r="V43" s="37" t="n"/>
    </row>
    <row r="44">
      <c r="B44" s="36" t="inlineStr">
        <is>
          <t>V1-039</t>
        </is>
      </c>
      <c r="C44" s="36" t="inlineStr">
        <is>
          <t>V1</t>
        </is>
      </c>
      <c r="D44" s="36" t="inlineStr">
        <is>
          <t>MKT</t>
        </is>
      </c>
      <c r="E44" s="37" t="inlineStr">
        <is>
          <t>Dossier cédant</t>
        </is>
      </c>
      <c r="F44" s="37" t="inlineStr">
        <is>
          <t>Provenance et versionnage des données déclarées</t>
        </is>
      </c>
      <c r="G44" s="37" t="inlineStr">
        <is>
          <t>Chaque valeur porte source et date, mention 'déclaré, non audité'</t>
        </is>
      </c>
      <c r="H44" s="38" t="n">
        <v>3</v>
      </c>
      <c r="I44" s="36" t="inlineStr">
        <is>
          <t>Haute</t>
        </is>
      </c>
      <c r="J44" s="36" t="inlineStr">
        <is>
          <t>À faire</t>
        </is>
      </c>
      <c r="K44" s="39" t="n"/>
      <c r="L44" s="16">
        <f>IF($B44="","",IF(J44="Complétée",1,IF(J44="Abandonnée",0,IF(K44&lt;&gt;"",K44,IFERROR(VLOOKUP(J44,Parametres!$B$6:$C$12,2,FALSE),0)))))</f>
        <v/>
      </c>
      <c r="M44" s="15">
        <f>IF($B44="","",IF(J44="Abandonnée",0,H44))</f>
        <v/>
      </c>
      <c r="N44" s="15">
        <f>IF($B44="","",M44*L44)</f>
        <v/>
      </c>
      <c r="O44" s="37" t="n"/>
      <c r="P44" s="40" t="n">
        <v>46285</v>
      </c>
      <c r="Q44" s="40" t="n">
        <v>46290</v>
      </c>
      <c r="R44" s="40" t="n"/>
      <c r="S44" s="37" t="inlineStr"/>
      <c r="T44" s="36" t="inlineStr">
        <is>
          <t>Non</t>
        </is>
      </c>
      <c r="U44" s="13">
        <f>IF($B44="","",IF(AND(J44&lt;&gt;"Complétée",J44&lt;&gt;"Abandonnée",Q44&lt;&gt;"",TODAY()&gt;Q44),"En retard",""))</f>
        <v/>
      </c>
      <c r="V44" s="37" t="n"/>
    </row>
    <row r="45">
      <c r="B45" s="36" t="inlineStr">
        <is>
          <t>V1-040</t>
        </is>
      </c>
      <c r="C45" s="36" t="inlineStr">
        <is>
          <t>V1</t>
        </is>
      </c>
      <c r="D45" s="36" t="inlineStr">
        <is>
          <t>MKT</t>
        </is>
      </c>
      <c r="E45" s="37" t="inlineStr">
        <is>
          <t>Dossier cédant</t>
        </is>
      </c>
      <c r="F45" s="37" t="inlineStr">
        <is>
          <t>Contrôle de complétude et liste des manques</t>
        </is>
      </c>
      <c r="G45" s="37" t="inlineStr">
        <is>
          <t>Dossier incomplet reste en DRAFT</t>
        </is>
      </c>
      <c r="H45" s="38" t="n">
        <v>3</v>
      </c>
      <c r="I45" s="36" t="inlineStr">
        <is>
          <t>Moyenne</t>
        </is>
      </c>
      <c r="J45" s="36" t="inlineStr">
        <is>
          <t>À faire</t>
        </is>
      </c>
      <c r="K45" s="39" t="n"/>
      <c r="L45" s="16">
        <f>IF($B45="","",IF(J45="Complétée",1,IF(J45="Abandonnée",0,IF(K45&lt;&gt;"",K45,IFERROR(VLOOKUP(J45,Parametres!$B$6:$C$12,2,FALSE),0)))))</f>
        <v/>
      </c>
      <c r="M45" s="15">
        <f>IF($B45="","",IF(J45="Abandonnée",0,H45))</f>
        <v/>
      </c>
      <c r="N45" s="15">
        <f>IF($B45="","",M45*L45)</f>
        <v/>
      </c>
      <c r="O45" s="37" t="n"/>
      <c r="P45" s="40" t="n">
        <v>46285</v>
      </c>
      <c r="Q45" s="40" t="n">
        <v>46290</v>
      </c>
      <c r="R45" s="40" t="n"/>
      <c r="S45" s="37" t="inlineStr"/>
      <c r="T45" s="36" t="inlineStr">
        <is>
          <t>Non</t>
        </is>
      </c>
      <c r="U45" s="13">
        <f>IF($B45="","",IF(AND(J45&lt;&gt;"Complétée",J45&lt;&gt;"Abandonnée",Q45&lt;&gt;"",TODAY()&gt;Q45),"En retard",""))</f>
        <v/>
      </c>
      <c r="V45" s="37" t="n"/>
    </row>
    <row r="46">
      <c r="B46" s="36" t="inlineStr">
        <is>
          <t>V1-041</t>
        </is>
      </c>
      <c r="C46" s="36" t="inlineStr">
        <is>
          <t>V1</t>
        </is>
      </c>
      <c r="D46" s="36" t="inlineStr">
        <is>
          <t>MKT</t>
        </is>
      </c>
      <c r="E46" s="37" t="inlineStr">
        <is>
          <t>Dossier cédant</t>
        </is>
      </c>
      <c r="F46" s="37" t="inlineStr">
        <is>
          <t>Écrans Pass Transmission (assistant, récapitulatif)</t>
        </is>
      </c>
      <c r="G46" s="37" t="inlineStr">
        <is>
          <t>Récapitulatif fidèle aux données saisies</t>
        </is>
      </c>
      <c r="H46" s="38" t="n">
        <v>5</v>
      </c>
      <c r="I46" s="36" t="inlineStr">
        <is>
          <t>Haute</t>
        </is>
      </c>
      <c r="J46" s="36" t="inlineStr">
        <is>
          <t>À faire</t>
        </is>
      </c>
      <c r="K46" s="39" t="n"/>
      <c r="L46" s="16">
        <f>IF($B46="","",IF(J46="Complétée",1,IF(J46="Abandonnée",0,IF(K46&lt;&gt;"",K46,IFERROR(VLOOKUP(J46,Parametres!$B$6:$C$12,2,FALSE),0)))))</f>
        <v/>
      </c>
      <c r="M46" s="15">
        <f>IF($B46="","",IF(J46="Abandonnée",0,H46))</f>
        <v/>
      </c>
      <c r="N46" s="15">
        <f>IF($B46="","",M46*L46)</f>
        <v/>
      </c>
      <c r="O46" s="37" t="n"/>
      <c r="P46" s="40" t="n">
        <v>46285</v>
      </c>
      <c r="Q46" s="40" t="n">
        <v>46292</v>
      </c>
      <c r="R46" s="40" t="n"/>
      <c r="S46" s="37" t="inlineStr"/>
      <c r="T46" s="36" t="inlineStr">
        <is>
          <t>Non</t>
        </is>
      </c>
      <c r="U46" s="13">
        <f>IF($B46="","",IF(AND(J46&lt;&gt;"Complétée",J46&lt;&gt;"Abandonnée",Q46&lt;&gt;"",TODAY()&gt;Q46),"En retard",""))</f>
        <v/>
      </c>
      <c r="V46" s="37" t="n"/>
    </row>
    <row r="47">
      <c r="B47" s="36" t="inlineStr">
        <is>
          <t>V1-042</t>
        </is>
      </c>
      <c r="C47" s="36" t="inlineStr">
        <is>
          <t>V1</t>
        </is>
      </c>
      <c r="D47" s="36" t="inlineStr">
        <is>
          <t>MKT</t>
        </is>
      </c>
      <c r="E47" s="37" t="inlineStr">
        <is>
          <t>Marketplace actifs</t>
        </is>
      </c>
      <c r="F47" s="37" t="inlineStr">
        <is>
          <t>Fiche opportunité T0 (secteur, région, tranche de CA) et publication</t>
        </is>
      </c>
      <c r="G47" s="37" t="inlineStr">
        <is>
          <t>Aucun champ au-delà de T0 sérialisé (allow-list serveur)</t>
        </is>
      </c>
      <c r="H47" s="38" t="n">
        <v>4</v>
      </c>
      <c r="I47" s="36" t="inlineStr">
        <is>
          <t>Haute</t>
        </is>
      </c>
      <c r="J47" s="36" t="inlineStr">
        <is>
          <t>En cours</t>
        </is>
      </c>
      <c r="K47" s="39" t="n">
        <v>0.85</v>
      </c>
      <c r="L47" s="16">
        <f>IF($B47="","",IF(J47="Complétée",1,IF(J47="Abandonnée",0,IF(K47&lt;&gt;"",K47,IFERROR(VLOOKUP(J47,Parametres!$B$6:$C$12,2,FALSE),0)))))</f>
        <v/>
      </c>
      <c r="M47" s="15">
        <f>IF($B47="","",IF(J47="Abandonnée",0,H47))</f>
        <v/>
      </c>
      <c r="N47" s="15">
        <f>IF($B47="","",M47*L47)</f>
        <v/>
      </c>
      <c r="O47" s="37" t="inlineStr">
        <is>
          <t>Abdou-Raouf</t>
        </is>
      </c>
      <c r="P47" s="40" t="n">
        <v>46286</v>
      </c>
      <c r="Q47" s="40" t="n">
        <v>46292</v>
      </c>
      <c r="R47" s="40" t="n"/>
      <c r="S47" s="37" t="inlineStr"/>
      <c r="T47" s="36" t="inlineStr">
        <is>
          <t>Non</t>
        </is>
      </c>
      <c r="U47" s="13">
        <f>IF($B47="","",IF(AND(J47&lt;&gt;"Complétée",J47&lt;&gt;"Abandonnée",Q47&lt;&gt;"",TODAY()&gt;Q47),"En retard",""))</f>
        <v/>
      </c>
      <c r="V47" s="37" t="n"/>
    </row>
    <row r="48">
      <c r="B48" s="36" t="inlineStr">
        <is>
          <t>V1-043</t>
        </is>
      </c>
      <c r="C48" s="36" t="inlineStr">
        <is>
          <t>V1</t>
        </is>
      </c>
      <c r="D48" s="36" t="inlineStr">
        <is>
          <t>MKT</t>
        </is>
      </c>
      <c r="E48" s="37" t="inlineStr">
        <is>
          <t>Marketplace actifs</t>
        </is>
      </c>
      <c r="F48" s="37" t="inlineStr">
        <is>
          <t>Recherche et filtres (secteur, région, tranche, statut de certification)</t>
        </is>
      </c>
      <c r="G48" s="37" t="inlineStr">
        <is>
          <t>Résultats limités aux champs T0</t>
        </is>
      </c>
      <c r="H48" s="38" t="n">
        <v>4</v>
      </c>
      <c r="I48" s="36" t="inlineStr">
        <is>
          <t>Haute</t>
        </is>
      </c>
      <c r="J48" s="36" t="inlineStr">
        <is>
          <t>En cours</t>
        </is>
      </c>
      <c r="K48" s="39" t="n">
        <v>0.8</v>
      </c>
      <c r="L48" s="16">
        <f>IF($B48="","",IF(J48="Complétée",1,IF(J48="Abandonnée",0,IF(K48&lt;&gt;"",K48,IFERROR(VLOOKUP(J48,Parametres!$B$6:$C$12,2,FALSE),0)))))</f>
        <v/>
      </c>
      <c r="M48" s="15">
        <f>IF($B48="","",IF(J48="Abandonnée",0,H48))</f>
        <v/>
      </c>
      <c r="N48" s="15">
        <f>IF($B48="","",M48*L48)</f>
        <v/>
      </c>
      <c r="O48" s="37" t="inlineStr">
        <is>
          <t>Abdou-Raouf</t>
        </is>
      </c>
      <c r="P48" s="40" t="n">
        <v>46287</v>
      </c>
      <c r="Q48" s="40" t="n">
        <v>46293</v>
      </c>
      <c r="R48" s="40" t="n"/>
      <c r="S48" s="37" t="inlineStr"/>
      <c r="T48" s="36" t="inlineStr">
        <is>
          <t>Non</t>
        </is>
      </c>
      <c r="U48" s="13">
        <f>IF($B48="","",IF(AND(J48&lt;&gt;"Complétée",J48&lt;&gt;"Abandonnée",Q48&lt;&gt;"",TODAY()&gt;Q48),"En retard",""))</f>
        <v/>
      </c>
      <c r="V48" s="37" t="n"/>
    </row>
    <row r="49">
      <c r="B49" s="36" t="inlineStr">
        <is>
          <t>V1-044</t>
        </is>
      </c>
      <c r="C49" s="36" t="inlineStr">
        <is>
          <t>V1</t>
        </is>
      </c>
      <c r="D49" s="36" t="inlineStr">
        <is>
          <t>MKT</t>
        </is>
      </c>
      <c r="E49" s="37" t="inlineStr">
        <is>
          <t>Marketplace actifs</t>
        </is>
      </c>
      <c r="F49" s="37" t="inlineStr">
        <is>
          <t>Mise en relation : manifestation d'intérêt et messagerie simple (pièces jointes bloquées)</t>
        </is>
      </c>
      <c r="G49" s="37" t="inlineStr">
        <is>
          <t>Intérêt tracé, message reçu, pièce jointe refusée</t>
        </is>
      </c>
      <c r="H49" s="38" t="n">
        <v>5</v>
      </c>
      <c r="I49" s="36" t="inlineStr">
        <is>
          <t>Haute</t>
        </is>
      </c>
      <c r="J49" s="36" t="inlineStr">
        <is>
          <t>En cours</t>
        </is>
      </c>
      <c r="K49" s="39" t="n">
        <v>0.6</v>
      </c>
      <c r="L49" s="16">
        <f>IF($B49="","",IF(J49="Complétée",1,IF(J49="Abandonnée",0,IF(K49&lt;&gt;"",K49,IFERROR(VLOOKUP(J49,Parametres!$B$6:$C$12,2,FALSE),0)))))</f>
        <v/>
      </c>
      <c r="M49" s="15">
        <f>IF($B49="","",IF(J49="Abandonnée",0,H49))</f>
        <v/>
      </c>
      <c r="N49" s="15">
        <f>IF($B49="","",M49*L49)</f>
        <v/>
      </c>
      <c r="O49" s="37" t="inlineStr">
        <is>
          <t>Abdou-Raouf</t>
        </is>
      </c>
      <c r="P49" s="40" t="n">
        <v>46287</v>
      </c>
      <c r="Q49" s="40" t="n">
        <v>46294</v>
      </c>
      <c r="R49" s="40" t="n"/>
      <c r="S49" s="37" t="inlineStr"/>
      <c r="T49" s="36" t="inlineStr">
        <is>
          <t>Non</t>
        </is>
      </c>
      <c r="U49" s="13">
        <f>IF($B49="","",IF(AND(J49&lt;&gt;"Complétée",J49&lt;&gt;"Abandonnée",Q49&lt;&gt;"",TODAY()&gt;Q49),"En retard",""))</f>
        <v/>
      </c>
      <c r="V49" s="37" t="n"/>
    </row>
    <row r="50">
      <c r="B50" s="36" t="inlineStr">
        <is>
          <t>V1-045</t>
        </is>
      </c>
      <c r="C50" s="36" t="inlineStr">
        <is>
          <t>V1</t>
        </is>
      </c>
      <c r="D50" s="36" t="inlineStr">
        <is>
          <t>MKT</t>
        </is>
      </c>
      <c r="E50" s="37" t="inlineStr">
        <is>
          <t>Marketplace actifs</t>
        </is>
      </c>
      <c r="F50" s="37" t="inlineStr">
        <is>
          <t>Alertes sauvegardées opt-in (version simple)</t>
        </is>
      </c>
      <c r="G50" s="37" t="inlineStr">
        <is>
          <t>Aucune alerte sans opt-in explicite</t>
        </is>
      </c>
      <c r="H50" s="38" t="n">
        <v>3</v>
      </c>
      <c r="I50" s="36" t="inlineStr">
        <is>
          <t>Basse</t>
        </is>
      </c>
      <c r="J50" s="36" t="inlineStr">
        <is>
          <t>À faire</t>
        </is>
      </c>
      <c r="K50" s="39" t="n"/>
      <c r="L50" s="16">
        <f>IF($B50="","",IF(J50="Complétée",1,IF(J50="Abandonnée",0,IF(K50&lt;&gt;"",K50,IFERROR(VLOOKUP(J50,Parametres!$B$6:$C$12,2,FALSE),0)))))</f>
        <v/>
      </c>
      <c r="M50" s="15">
        <f>IF($B50="","",IF(J50="Abandonnée",0,H50))</f>
        <v/>
      </c>
      <c r="N50" s="15">
        <f>IF($B50="","",M50*L50)</f>
        <v/>
      </c>
      <c r="O50" s="37" t="n"/>
      <c r="P50" s="40" t="n">
        <v>46288</v>
      </c>
      <c r="Q50" s="40" t="n">
        <v>46293</v>
      </c>
      <c r="R50" s="40" t="n"/>
      <c r="S50" s="37" t="inlineStr"/>
      <c r="T50" s="36" t="inlineStr">
        <is>
          <t>Non</t>
        </is>
      </c>
      <c r="U50" s="13">
        <f>IF($B50="","",IF(AND(J50&lt;&gt;"Complétée",J50&lt;&gt;"Abandonnée",Q50&lt;&gt;"",TODAY()&gt;Q50),"En retard",""))</f>
        <v/>
      </c>
      <c r="V50" s="37" t="n"/>
    </row>
    <row r="51">
      <c r="B51" s="36" t="inlineStr">
        <is>
          <t>V1-046</t>
        </is>
      </c>
      <c r="C51" s="36" t="inlineStr">
        <is>
          <t>V1</t>
        </is>
      </c>
      <c r="D51" s="36" t="inlineStr">
        <is>
          <t>MKT</t>
        </is>
      </c>
      <c r="E51" s="37" t="inlineStr">
        <is>
          <t>Marketplace actifs</t>
        </is>
      </c>
      <c r="F51" s="37" t="inlineStr">
        <is>
          <t>Tableau de bord cédant (vues, intérêts reçus)</t>
        </is>
      </c>
      <c r="G51" s="37" t="inlineStr">
        <is>
          <t>Compteurs cohérents avec le journal</t>
        </is>
      </c>
      <c r="H51" s="38" t="n">
        <v>3</v>
      </c>
      <c r="I51" s="36" t="inlineStr">
        <is>
          <t>Moyenne</t>
        </is>
      </c>
      <c r="J51" s="36" t="inlineStr">
        <is>
          <t>À faire</t>
        </is>
      </c>
      <c r="K51" s="39" t="n"/>
      <c r="L51" s="16">
        <f>IF($B51="","",IF(J51="Complétée",1,IF(J51="Abandonnée",0,IF(K51&lt;&gt;"",K51,IFERROR(VLOOKUP(J51,Parametres!$B$6:$C$12,2,FALSE),0)))))</f>
        <v/>
      </c>
      <c r="M51" s="15">
        <f>IF($B51="","",IF(J51="Abandonnée",0,H51))</f>
        <v/>
      </c>
      <c r="N51" s="15">
        <f>IF($B51="","",M51*L51)</f>
        <v/>
      </c>
      <c r="O51" s="37" t="n"/>
      <c r="P51" s="40" t="n">
        <v>46288</v>
      </c>
      <c r="Q51" s="40" t="n">
        <v>46293</v>
      </c>
      <c r="R51" s="40" t="n"/>
      <c r="S51" s="37" t="inlineStr"/>
      <c r="T51" s="36" t="inlineStr">
        <is>
          <t>Non</t>
        </is>
      </c>
      <c r="U51" s="13">
        <f>IF($B51="","",IF(AND(J51&lt;&gt;"Complétée",J51&lt;&gt;"Abandonnée",Q51&lt;&gt;"",TODAY()&gt;Q51),"En retard",""))</f>
        <v/>
      </c>
      <c r="V51" s="37" t="n"/>
    </row>
    <row r="52">
      <c r="B52" s="36" t="inlineStr">
        <is>
          <t>V1-047</t>
        </is>
      </c>
      <c r="C52" s="36" t="inlineStr">
        <is>
          <t>V1</t>
        </is>
      </c>
      <c r="D52" s="36" t="inlineStr">
        <is>
          <t>MKT</t>
        </is>
      </c>
      <c r="E52" s="37" t="inlineStr">
        <is>
          <t>Marketplace actifs</t>
        </is>
      </c>
      <c r="F52" s="37" t="inlineStr">
        <is>
          <t>Écrans marketplace (liste, détail, recherche)</t>
        </is>
      </c>
      <c r="G52" s="37" t="inlineStr">
        <is>
          <t>Six onglets de la fiche opportunité conformes à la Tranche 3</t>
        </is>
      </c>
      <c r="H52" s="38" t="n">
        <v>5</v>
      </c>
      <c r="I52" s="36" t="inlineStr">
        <is>
          <t>Haute</t>
        </is>
      </c>
      <c r="J52" s="36" t="inlineStr">
        <is>
          <t>À faire</t>
        </is>
      </c>
      <c r="K52" s="39" t="n"/>
      <c r="L52" s="16">
        <f>IF($B52="","",IF(J52="Complétée",1,IF(J52="Abandonnée",0,IF(K52&lt;&gt;"",K52,IFERROR(VLOOKUP(J52,Parametres!$B$6:$C$12,2,FALSE),0)))))</f>
        <v/>
      </c>
      <c r="M52" s="15">
        <f>IF($B52="","",IF(J52="Abandonnée",0,H52))</f>
        <v/>
      </c>
      <c r="N52" s="15">
        <f>IF($B52="","",M52*L52)</f>
        <v/>
      </c>
      <c r="O52" s="37" t="n"/>
      <c r="P52" s="40" t="n">
        <v>46289</v>
      </c>
      <c r="Q52" s="40" t="n">
        <v>46296</v>
      </c>
      <c r="R52" s="40" t="n"/>
      <c r="S52" s="37" t="inlineStr"/>
      <c r="T52" s="36" t="inlineStr">
        <is>
          <t>Non</t>
        </is>
      </c>
      <c r="U52" s="13">
        <f>IF($B52="","",IF(AND(J52&lt;&gt;"Complétée",J52&lt;&gt;"Abandonnée",Q52&lt;&gt;"",TODAY()&gt;Q52),"En retard",""))</f>
        <v/>
      </c>
      <c r="V52" s="37" t="n"/>
    </row>
    <row r="53">
      <c r="B53" s="36" t="inlineStr">
        <is>
          <t>V1-048</t>
        </is>
      </c>
      <c r="C53" s="36" t="inlineStr">
        <is>
          <t>V1</t>
        </is>
      </c>
      <c r="D53" s="36" t="inlineStr">
        <is>
          <t>MKT</t>
        </is>
      </c>
      <c r="E53" s="37" t="inlineStr">
        <is>
          <t>Évaluation indicative</t>
        </is>
      </c>
      <c r="F53" s="37" t="inlineStr">
        <is>
          <t>Saisie des données financières minimales et retraitements documentés</t>
        </is>
      </c>
      <c r="G53" s="37" t="inlineStr">
        <is>
          <t>Retraitement tracé avec justification</t>
        </is>
      </c>
      <c r="H53" s="38" t="n">
        <v>3</v>
      </c>
      <c r="I53" s="36" t="inlineStr">
        <is>
          <t>Moyenne</t>
        </is>
      </c>
      <c r="J53" s="36" t="inlineStr">
        <is>
          <t>En cours</t>
        </is>
      </c>
      <c r="K53" s="39" t="n">
        <v>0.4</v>
      </c>
      <c r="L53" s="16">
        <f>IF($B53="","",IF(J53="Complétée",1,IF(J53="Abandonnée",0,IF(K53&lt;&gt;"",K53,IFERROR(VLOOKUP(J53,Parametres!$B$6:$C$12,2,FALSE),0)))))</f>
        <v/>
      </c>
      <c r="M53" s="15">
        <f>IF($B53="","",IF(J53="Abandonnée",0,H53))</f>
        <v/>
      </c>
      <c r="N53" s="15">
        <f>IF($B53="","",M53*L53)</f>
        <v/>
      </c>
      <c r="O53" s="37" t="inlineStr">
        <is>
          <t>Abdou-Raouf</t>
        </is>
      </c>
      <c r="P53" s="40" t="n">
        <v>46289</v>
      </c>
      <c r="Q53" s="40" t="n">
        <v>46294</v>
      </c>
      <c r="R53" s="40" t="n"/>
      <c r="S53" s="37" t="inlineStr"/>
      <c r="T53" s="36" t="inlineStr">
        <is>
          <t>Non</t>
        </is>
      </c>
      <c r="U53" s="13">
        <f>IF($B53="","",IF(AND(J53&lt;&gt;"Complétée",J53&lt;&gt;"Abandonnée",Q53&lt;&gt;"",TODAY()&gt;Q53),"En retard",""))</f>
        <v/>
      </c>
      <c r="V53" s="37" t="n"/>
    </row>
    <row r="54">
      <c r="B54" s="36" t="inlineStr">
        <is>
          <t>V1-049</t>
        </is>
      </c>
      <c r="C54" s="36" t="inlineStr">
        <is>
          <t>V1</t>
        </is>
      </c>
      <c r="D54" s="36" t="inlineStr">
        <is>
          <t>MKT</t>
        </is>
      </c>
      <c r="E54" s="37" t="inlineStr">
        <is>
          <t>Évaluation indicative</t>
        </is>
      </c>
      <c r="F54" s="37" t="inlineStr">
        <is>
          <t>Calcul de fourchette indicative, méthode et sources affichées</t>
        </is>
      </c>
      <c r="G54" s="37" t="inlineStr">
        <is>
          <t>Méthode, date et sources visibles à côté du résultat</t>
        </is>
      </c>
      <c r="H54" s="38" t="n">
        <v>3</v>
      </c>
      <c r="I54" s="36" t="inlineStr">
        <is>
          <t>Moyenne</t>
        </is>
      </c>
      <c r="J54" s="36" t="inlineStr">
        <is>
          <t>Complétée</t>
        </is>
      </c>
      <c r="K54" s="39" t="n"/>
      <c r="L54" s="16">
        <f>IF($B54="","",IF(J54="Complétée",1,IF(J54="Abandonnée",0,IF(K54&lt;&gt;"",K54,IFERROR(VLOOKUP(J54,Parametres!$B$6:$C$12,2,FALSE),0)))))</f>
        <v/>
      </c>
      <c r="M54" s="15">
        <f>IF($B54="","",IF(J54="Abandonnée",0,H54))</f>
        <v/>
      </c>
      <c r="N54" s="15">
        <f>IF($B54="","",M54*L54)</f>
        <v/>
      </c>
      <c r="O54" s="37" t="inlineStr">
        <is>
          <t>Abdou-Raouf</t>
        </is>
      </c>
      <c r="P54" s="40" t="n">
        <v>46290</v>
      </c>
      <c r="Q54" s="40" t="n">
        <v>46295</v>
      </c>
      <c r="R54" s="40" t="n">
        <v>46274</v>
      </c>
      <c r="S54" s="37" t="inlineStr"/>
      <c r="T54" s="36" t="inlineStr">
        <is>
          <t>Non</t>
        </is>
      </c>
      <c r="U54" s="13">
        <f>IF($B54="","",IF(AND(J54&lt;&gt;"Complétée",J54&lt;&gt;"Abandonnée",Q54&lt;&gt;"",TODAY()&gt;Q54),"En retard",""))</f>
        <v/>
      </c>
      <c r="V54" s="37" t="n"/>
    </row>
    <row r="55">
      <c r="B55" s="36" t="inlineStr">
        <is>
          <t>V1-050</t>
        </is>
      </c>
      <c r="C55" s="36" t="inlineStr">
        <is>
          <t>V1</t>
        </is>
      </c>
      <c r="D55" s="36" t="inlineStr">
        <is>
          <t>MKT</t>
        </is>
      </c>
      <c r="E55" s="37" t="inlineStr">
        <is>
          <t>Évaluation indicative</t>
        </is>
      </c>
      <c r="F55" s="37" t="inlineStr">
        <is>
          <t>Mentions 'indicative, non opposable' et journal de calcul versionné</t>
        </is>
      </c>
      <c r="G55" s="37" t="inlineStr">
        <is>
          <t>Mention non masquable, calcul rejouable</t>
        </is>
      </c>
      <c r="H55" s="38" t="n">
        <v>2</v>
      </c>
      <c r="I55" s="36" t="inlineStr">
        <is>
          <t>Haute</t>
        </is>
      </c>
      <c r="J55" s="36" t="inlineStr">
        <is>
          <t>Complétée</t>
        </is>
      </c>
      <c r="K55" s="39" t="n"/>
      <c r="L55" s="16">
        <f>IF($B55="","",IF(J55="Complétée",1,IF(J55="Abandonnée",0,IF(K55&lt;&gt;"",K55,IFERROR(VLOOKUP(J55,Parametres!$B$6:$C$12,2,FALSE),0)))))</f>
        <v/>
      </c>
      <c r="M55" s="15">
        <f>IF($B55="","",IF(J55="Abandonnée",0,H55))</f>
        <v/>
      </c>
      <c r="N55" s="15">
        <f>IF($B55="","",M55*L55)</f>
        <v/>
      </c>
      <c r="O55" s="37" t="inlineStr">
        <is>
          <t>Abdou-Raouf</t>
        </is>
      </c>
      <c r="P55" s="40" t="n">
        <v>46290</v>
      </c>
      <c r="Q55" s="40" t="n">
        <v>46293</v>
      </c>
      <c r="R55" s="40" t="n">
        <v>46274</v>
      </c>
      <c r="S55" s="37" t="inlineStr"/>
      <c r="T55" s="36" t="inlineStr">
        <is>
          <t>Non</t>
        </is>
      </c>
      <c r="U55" s="13">
        <f>IF($B55="","",IF(AND(J55&lt;&gt;"Complétée",J55&lt;&gt;"Abandonnée",Q55&lt;&gt;"",TODAY()&gt;Q55),"En retard",""))</f>
        <v/>
      </c>
      <c r="V55" s="37" t="n"/>
    </row>
    <row r="56">
      <c r="B56" s="36" t="inlineStr">
        <is>
          <t>V1-051</t>
        </is>
      </c>
      <c r="C56" s="36" t="inlineStr">
        <is>
          <t>V1</t>
        </is>
      </c>
      <c r="D56" s="36" t="inlineStr">
        <is>
          <t>RPS</t>
        </is>
      </c>
      <c r="E56" s="37" t="inlineStr">
        <is>
          <t>Démonstration RPS</t>
        </is>
      </c>
      <c r="F56" s="37" t="inlineStr">
        <is>
          <t>Scénario scripté : dossier titres, tentative de publication trop large</t>
        </is>
      </c>
      <c r="G56" s="37" t="inlineStr">
        <is>
          <t>Scénario rejouable en moins de 3 minutes</t>
        </is>
      </c>
      <c r="H56" s="38" t="n">
        <v>4</v>
      </c>
      <c r="I56" s="36" t="inlineStr">
        <is>
          <t>Moyenne</t>
        </is>
      </c>
      <c r="J56" s="36" t="inlineStr">
        <is>
          <t>En cours</t>
        </is>
      </c>
      <c r="K56" s="39" t="n">
        <v>0.3</v>
      </c>
      <c r="L56" s="16">
        <f>IF($B56="","",IF(J56="Complétée",1,IF(J56="Abandonnée",0,IF(K56&lt;&gt;"",K56,IFERROR(VLOOKUP(J56,Parametres!$B$6:$C$12,2,FALSE),0)))))</f>
        <v/>
      </c>
      <c r="M56" s="15">
        <f>IF($B56="","",IF(J56="Abandonnée",0,H56))</f>
        <v/>
      </c>
      <c r="N56" s="15">
        <f>IF($B56="","",M56*L56)</f>
        <v/>
      </c>
      <c r="O56" s="37" t="inlineStr">
        <is>
          <t>Abdou-Raouf</t>
        </is>
      </c>
      <c r="P56" s="40" t="n">
        <v>46291</v>
      </c>
      <c r="Q56" s="40" t="n">
        <v>46297</v>
      </c>
      <c r="R56" s="40" t="n"/>
      <c r="S56" s="37" t="inlineStr"/>
      <c r="T56" s="36" t="inlineStr">
        <is>
          <t>Non</t>
        </is>
      </c>
      <c r="U56" s="13">
        <f>IF($B56="","",IF(AND(J56&lt;&gt;"Complétée",J56&lt;&gt;"Abandonnée",Q56&lt;&gt;"",TODAY()&gt;Q56),"En retard",""))</f>
        <v/>
      </c>
      <c r="V56" s="37" t="n"/>
    </row>
    <row r="57">
      <c r="B57" s="36" t="inlineStr">
        <is>
          <t>V1-052</t>
        </is>
      </c>
      <c r="C57" s="36" t="inlineStr">
        <is>
          <t>V1</t>
        </is>
      </c>
      <c r="D57" s="36" t="inlineStr">
        <is>
          <t>RPS</t>
        </is>
      </c>
      <c r="E57" s="37" t="inlineStr">
        <is>
          <t>Démonstration RPS</t>
        </is>
      </c>
      <c r="F57" s="37" t="inlineStr">
        <is>
          <t>Bannière de blocage et texte explicatif (risque de nullité, paliers T0/T1)</t>
        </is>
      </c>
      <c r="G57" s="37" t="inlineStr">
        <is>
          <t>Texte validé par M. Bruno</t>
        </is>
      </c>
      <c r="H57" s="38" t="n">
        <v>3</v>
      </c>
      <c r="I57" s="36" t="inlineStr">
        <is>
          <t>Moyenne</t>
        </is>
      </c>
      <c r="J57" s="36" t="inlineStr">
        <is>
          <t>À faire</t>
        </is>
      </c>
      <c r="K57" s="39" t="n"/>
      <c r="L57" s="16">
        <f>IF($B57="","",IF(J57="Complétée",1,IF(J57="Abandonnée",0,IF(K57&lt;&gt;"",K57,IFERROR(VLOOKUP(J57,Parametres!$B$6:$C$12,2,FALSE),0)))))</f>
        <v/>
      </c>
      <c r="M57" s="15">
        <f>IF($B57="","",IF(J57="Abandonnée",0,H57))</f>
        <v/>
      </c>
      <c r="N57" s="15">
        <f>IF($B57="","",M57*L57)</f>
        <v/>
      </c>
      <c r="O57" s="37" t="n"/>
      <c r="P57" s="40" t="n">
        <v>46291</v>
      </c>
      <c r="Q57" s="40" t="n">
        <v>46296</v>
      </c>
      <c r="R57" s="40" t="n"/>
      <c r="S57" s="37" t="inlineStr"/>
      <c r="T57" s="36" t="inlineStr">
        <is>
          <t>Non</t>
        </is>
      </c>
      <c r="U57" s="13">
        <f>IF($B57="","",IF(AND(J57&lt;&gt;"Complétée",J57&lt;&gt;"Abandonnée",Q57&lt;&gt;"",TODAY()&gt;Q57),"En retard",""))</f>
        <v/>
      </c>
      <c r="V57" s="37" t="n"/>
    </row>
    <row r="58">
      <c r="B58" s="36" t="inlineStr">
        <is>
          <t>V1-053</t>
        </is>
      </c>
      <c r="C58" s="36" t="inlineStr">
        <is>
          <t>V1</t>
        </is>
      </c>
      <c r="D58" s="36" t="inlineStr">
        <is>
          <t>RPS</t>
        </is>
      </c>
      <c r="E58" s="37" t="inlineStr">
        <is>
          <t>Démonstration RPS</t>
        </is>
      </c>
      <c r="F58" s="37" t="inlineStr">
        <is>
          <t>Fixture synthétique dédiée, étiquetée 'démonstration'</t>
        </is>
      </c>
      <c r="G58" s="37" t="inlineStr">
        <is>
          <t>Étiquette visible sur chaque écran du scénario</t>
        </is>
      </c>
      <c r="H58" s="38" t="n">
        <v>2</v>
      </c>
      <c r="I58" s="36" t="inlineStr">
        <is>
          <t>Moyenne</t>
        </is>
      </c>
      <c r="J58" s="36" t="inlineStr">
        <is>
          <t>À faire</t>
        </is>
      </c>
      <c r="K58" s="39" t="n"/>
      <c r="L58" s="16">
        <f>IF($B58="","",IF(J58="Complétée",1,IF(J58="Abandonnée",0,IF(K58&lt;&gt;"",K58,IFERROR(VLOOKUP(J58,Parametres!$B$6:$C$12,2,FALSE),0)))))</f>
        <v/>
      </c>
      <c r="M58" s="15">
        <f>IF($B58="","",IF(J58="Abandonnée",0,H58))</f>
        <v/>
      </c>
      <c r="N58" s="15">
        <f>IF($B58="","",M58*L58)</f>
        <v/>
      </c>
      <c r="O58" s="37" t="n"/>
      <c r="P58" s="40" t="n">
        <v>46292</v>
      </c>
      <c r="Q58" s="40" t="n">
        <v>46295</v>
      </c>
      <c r="R58" s="40" t="n"/>
      <c r="S58" s="37" t="inlineStr"/>
      <c r="T58" s="36" t="inlineStr">
        <is>
          <t>Non</t>
        </is>
      </c>
      <c r="U58" s="13">
        <f>IF($B58="","",IF(AND(J58&lt;&gt;"Complétée",J58&lt;&gt;"Abandonnée",Q58&lt;&gt;"",TODAY()&gt;Q58),"En retard",""))</f>
        <v/>
      </c>
      <c r="V58" s="37" t="n"/>
    </row>
    <row r="59">
      <c r="B59" s="36" t="inlineStr">
        <is>
          <t>V1-054</t>
        </is>
      </c>
      <c r="C59" s="36" t="inlineStr">
        <is>
          <t>V1</t>
        </is>
      </c>
      <c r="D59" s="36" t="inlineStr">
        <is>
          <t>RPS</t>
        </is>
      </c>
      <c r="E59" s="37" t="inlineStr">
        <is>
          <t>Démonstration RPS</t>
        </is>
      </c>
      <c r="F59" s="37" t="inlineStr">
        <is>
          <t>Écran T1 anonymisé de démonstration</t>
        </is>
      </c>
      <c r="G59" s="37" t="inlineStr">
        <is>
          <t>Aucune identité, prix ni conditions affichés</t>
        </is>
      </c>
      <c r="H59" s="38" t="n">
        <v>5</v>
      </c>
      <c r="I59" s="36" t="inlineStr">
        <is>
          <t>Moyenne</t>
        </is>
      </c>
      <c r="J59" s="36" t="inlineStr">
        <is>
          <t>À faire</t>
        </is>
      </c>
      <c r="K59" s="39" t="n"/>
      <c r="L59" s="16">
        <f>IF($B59="","",IF(J59="Complétée",1,IF(J59="Abandonnée",0,IF(K59&lt;&gt;"",K59,IFERROR(VLOOKUP(J59,Parametres!$B$6:$C$12,2,FALSE),0)))))</f>
        <v/>
      </c>
      <c r="M59" s="15">
        <f>IF($B59="","",IF(J59="Abandonnée",0,H59))</f>
        <v/>
      </c>
      <c r="N59" s="15">
        <f>IF($B59="","",M59*L59)</f>
        <v/>
      </c>
      <c r="O59" s="37" t="n"/>
      <c r="P59" s="40" t="n">
        <v>46292</v>
      </c>
      <c r="Q59" s="40" t="n">
        <v>46299</v>
      </c>
      <c r="R59" s="40" t="n"/>
      <c r="S59" s="37" t="inlineStr"/>
      <c r="T59" s="36" t="inlineStr">
        <is>
          <t>Non</t>
        </is>
      </c>
      <c r="U59" s="13">
        <f>IF($B59="","",IF(AND(J59&lt;&gt;"Complétée",J59&lt;&gt;"Abandonnée",Q59&lt;&gt;"",TODAY()&gt;Q59),"En retard",""))</f>
        <v/>
      </c>
      <c r="V59" s="37" t="n"/>
    </row>
    <row r="60">
      <c r="B60" s="36" t="inlineStr">
        <is>
          <t>V1-055</t>
        </is>
      </c>
      <c r="C60" s="36" t="inlineStr">
        <is>
          <t>V1</t>
        </is>
      </c>
      <c r="D60" s="36" t="inlineStr">
        <is>
          <t>RPS</t>
        </is>
      </c>
      <c r="E60" s="37" t="inlineStr">
        <is>
          <t>Démonstration RPS</t>
        </is>
      </c>
      <c r="F60" s="37" t="inlineStr">
        <is>
          <t>Journal de démonstration : trace lisible des décisions simulées</t>
        </is>
      </c>
      <c r="G60" s="37" t="inlineStr">
        <is>
          <t>Journal consultable pendant la démo</t>
        </is>
      </c>
      <c r="H60" s="38" t="n">
        <v>3</v>
      </c>
      <c r="I60" s="36" t="inlineStr">
        <is>
          <t>Basse</t>
        </is>
      </c>
      <c r="J60" s="36" t="inlineStr">
        <is>
          <t>À faire</t>
        </is>
      </c>
      <c r="K60" s="39" t="n"/>
      <c r="L60" s="16">
        <f>IF($B60="","",IF(J60="Complétée",1,IF(J60="Abandonnée",0,IF(K60&lt;&gt;"",K60,IFERROR(VLOOKUP(J60,Parametres!$B$6:$C$12,2,FALSE),0)))))</f>
        <v/>
      </c>
      <c r="M60" s="15">
        <f>IF($B60="","",IF(J60="Abandonnée",0,H60))</f>
        <v/>
      </c>
      <c r="N60" s="15">
        <f>IF($B60="","",M60*L60)</f>
        <v/>
      </c>
      <c r="O60" s="37" t="n"/>
      <c r="P60" s="40" t="n">
        <v>46293</v>
      </c>
      <c r="Q60" s="40" t="n">
        <v>46298</v>
      </c>
      <c r="R60" s="40" t="n"/>
      <c r="S60" s="37" t="inlineStr"/>
      <c r="T60" s="36" t="inlineStr">
        <is>
          <t>Non</t>
        </is>
      </c>
      <c r="U60" s="13">
        <f>IF($B60="","",IF(AND(J60&lt;&gt;"Complétée",J60&lt;&gt;"Abandonnée",Q60&lt;&gt;"",TODAY()&gt;Q60),"En retard",""))</f>
        <v/>
      </c>
      <c r="V60" s="37" t="n"/>
    </row>
    <row r="61">
      <c r="B61" s="36" t="inlineStr">
        <is>
          <t>V1-056</t>
        </is>
      </c>
      <c r="C61" s="36" t="inlineStr">
        <is>
          <t>V1</t>
        </is>
      </c>
      <c r="D61" s="36" t="inlineStr">
        <is>
          <t>RPS</t>
        </is>
      </c>
      <c r="E61" s="37" t="inlineStr">
        <is>
          <t>Démonstration RPS</t>
        </is>
      </c>
      <c r="F61" s="37" t="inlineStr">
        <is>
          <t>Recette du scénario avec M. Bruno</t>
        </is>
      </c>
      <c r="G61" s="37" t="inlineStr">
        <is>
          <t>Validation écrite du déroulé</t>
        </is>
      </c>
      <c r="H61" s="38" t="n">
        <v>1</v>
      </c>
      <c r="I61" s="36" t="inlineStr">
        <is>
          <t>Haute</t>
        </is>
      </c>
      <c r="J61" s="36" t="inlineStr">
        <is>
          <t>À faire</t>
        </is>
      </c>
      <c r="K61" s="39" t="n"/>
      <c r="L61" s="16">
        <f>IF($B61="","",IF(J61="Complétée",1,IF(J61="Abandonnée",0,IF(K61&lt;&gt;"",K61,IFERROR(VLOOKUP(J61,Parametres!$B$6:$C$12,2,FALSE),0)))))</f>
        <v/>
      </c>
      <c r="M61" s="15">
        <f>IF($B61="","",IF(J61="Abandonnée",0,H61))</f>
        <v/>
      </c>
      <c r="N61" s="15">
        <f>IF($B61="","",M61*L61)</f>
        <v/>
      </c>
      <c r="O61" s="37" t="n"/>
      <c r="P61" s="40" t="n">
        <v>46293</v>
      </c>
      <c r="Q61" s="40" t="n">
        <v>46295</v>
      </c>
      <c r="R61" s="40" t="n"/>
      <c r="S61" s="37" t="inlineStr"/>
      <c r="T61" s="36" t="inlineStr">
        <is>
          <t>Non</t>
        </is>
      </c>
      <c r="U61" s="13">
        <f>IF($B61="","",IF(AND(J61&lt;&gt;"Complétée",J61&lt;&gt;"Abandonnée",Q61&lt;&gt;"",TODAY()&gt;Q61),"En retard",""))</f>
        <v/>
      </c>
      <c r="V61" s="37" t="n"/>
    </row>
    <row r="62">
      <c r="B62" s="36" t="inlineStr">
        <is>
          <t>V1-057</t>
        </is>
      </c>
      <c r="C62" s="36" t="inlineStr">
        <is>
          <t>V1</t>
        </is>
      </c>
      <c r="D62" s="36" t="inlineStr">
        <is>
          <t>CNX</t>
        </is>
      </c>
      <c r="E62" s="37" t="inlineStr">
        <is>
          <t>Deal-Connect (Remo)</t>
        </is>
      </c>
      <c r="F62" s="37" t="inlineStr">
        <is>
          <t>Cadrage de l'intégration Remo.co : plan retenu, API, SSO, webhooks, marque blanche</t>
        </is>
      </c>
      <c r="G62" s="37" t="inlineStr">
        <is>
          <t>Périmètre d'intégration validé par M. Bruno sur la documentation Remo</t>
        </is>
      </c>
      <c r="H62" s="38" t="n">
        <v>3</v>
      </c>
      <c r="I62" s="36" t="inlineStr">
        <is>
          <t>Haute</t>
        </is>
      </c>
      <c r="J62" s="36" t="inlineStr">
        <is>
          <t>À faire</t>
        </is>
      </c>
      <c r="K62" s="39" t="n"/>
      <c r="L62" s="16">
        <f>IF($B62="","",IF(J62="Complétée",1,IF(J62="Abandonnée",0,IF(K62&lt;&gt;"",K62,IFERROR(VLOOKUP(J62,Parametres!$B$6:$C$12,2,FALSE),0)))))</f>
        <v/>
      </c>
      <c r="M62" s="15">
        <f>IF($B62="","",IF(J62="Abandonnée",0,H62))</f>
        <v/>
      </c>
      <c r="N62" s="15">
        <f>IF($B62="","",M62*L62)</f>
        <v/>
      </c>
      <c r="O62" s="37" t="n"/>
      <c r="P62" s="40" t="n">
        <v>46293</v>
      </c>
      <c r="Q62" s="40" t="n">
        <v>46298</v>
      </c>
      <c r="R62" s="40" t="n"/>
      <c r="S62" s="37" t="inlineStr"/>
      <c r="T62" s="36" t="inlineStr">
        <is>
          <t>Oui</t>
        </is>
      </c>
      <c r="U62" s="13">
        <f>IF($B62="","",IF(AND(J62&lt;&gt;"Complétée",J62&lt;&gt;"Abandonnée",Q62&lt;&gt;"",TODAY()&gt;Q62),"En retard",""))</f>
        <v/>
      </c>
      <c r="V62" s="37" t="n"/>
    </row>
    <row r="63">
      <c r="B63" s="36" t="inlineStr">
        <is>
          <t>V1-058</t>
        </is>
      </c>
      <c r="C63" s="36" t="inlineStr">
        <is>
          <t>V1</t>
        </is>
      </c>
      <c r="D63" s="36" t="inlineStr">
        <is>
          <t>CNX</t>
        </is>
      </c>
      <c r="E63" s="37" t="inlineStr">
        <is>
          <t>Deal-Connect (Remo)</t>
        </is>
      </c>
      <c r="F63" s="37" t="inlineStr">
        <is>
          <t>Connecteur Remo.co : création d'événements, lien d'accès unique, webhooks de présence</t>
        </is>
      </c>
      <c r="G63" s="37" t="inlineStr">
        <is>
          <t>Présence remontée et rattachée à l'inscription DealPME</t>
        </is>
      </c>
      <c r="H63" s="38" t="n">
        <v>8</v>
      </c>
      <c r="I63" s="36" t="inlineStr">
        <is>
          <t>Haute</t>
        </is>
      </c>
      <c r="J63" s="36" t="inlineStr">
        <is>
          <t>En cours</t>
        </is>
      </c>
      <c r="K63" s="39" t="n">
        <v>0.4</v>
      </c>
      <c r="L63" s="16">
        <f>IF($B63="","",IF(J63="Complétée",1,IF(J63="Abandonnée",0,IF(K63&lt;&gt;"",K63,IFERROR(VLOOKUP(J63,Parametres!$B$6:$C$12,2,FALSE),0)))))</f>
        <v/>
      </c>
      <c r="M63" s="15">
        <f>IF($B63="","",IF(J63="Abandonnée",0,H63))</f>
        <v/>
      </c>
      <c r="N63" s="15">
        <f>IF($B63="","",M63*L63)</f>
        <v/>
      </c>
      <c r="O63" s="37" t="inlineStr">
        <is>
          <t>Abdou-Raouf</t>
        </is>
      </c>
      <c r="P63" s="40" t="n">
        <v>46294</v>
      </c>
      <c r="Q63" s="40" t="n">
        <v>46306</v>
      </c>
      <c r="R63" s="40" t="n"/>
      <c r="S63" s="37" t="inlineStr">
        <is>
          <t>Cadrage Remo.co</t>
        </is>
      </c>
      <c r="T63" s="36" t="inlineStr">
        <is>
          <t>Non</t>
        </is>
      </c>
      <c r="U63" s="13">
        <f>IF($B63="","",IF(AND(J63&lt;&gt;"Complétée",J63&lt;&gt;"Abandonnée",Q63&lt;&gt;"",TODAY()&gt;Q63),"En retard",""))</f>
        <v/>
      </c>
      <c r="V63" s="37" t="n"/>
    </row>
    <row r="64">
      <c r="B64" s="36" t="inlineStr">
        <is>
          <t>V1-059</t>
        </is>
      </c>
      <c r="C64" s="36" t="inlineStr">
        <is>
          <t>V1</t>
        </is>
      </c>
      <c r="D64" s="36" t="inlineStr">
        <is>
          <t>CNX</t>
        </is>
      </c>
      <c r="E64" s="37" t="inlineStr">
        <is>
          <t>Deal-Connect (Remo)</t>
        </is>
      </c>
      <c r="F64" s="37" t="inlineStr">
        <is>
          <t>Inscriptions DEALPME_FIRST : consentement d'échange de contacts, attribution de campagne</t>
        </is>
      </c>
      <c r="G64" s="37" t="inlineStr">
        <is>
          <t>Aucun contact échangé sans consentement explicite</t>
        </is>
      </c>
      <c r="H64" s="38" t="n">
        <v>3</v>
      </c>
      <c r="I64" s="36" t="inlineStr">
        <is>
          <t>Haute</t>
        </is>
      </c>
      <c r="J64" s="36" t="inlineStr">
        <is>
          <t>En cours</t>
        </is>
      </c>
      <c r="K64" s="39" t="n">
        <v>0.5</v>
      </c>
      <c r="L64" s="16">
        <f>IF($B64="","",IF(J64="Complétée",1,IF(J64="Abandonnée",0,IF(K64&lt;&gt;"",K64,IFERROR(VLOOKUP(J64,Parametres!$B$6:$C$12,2,FALSE),0)))))</f>
        <v/>
      </c>
      <c r="M64" s="15">
        <f>IF($B64="","",IF(J64="Abandonnée",0,H64))</f>
        <v/>
      </c>
      <c r="N64" s="15">
        <f>IF($B64="","",M64*L64)</f>
        <v/>
      </c>
      <c r="O64" s="37" t="inlineStr">
        <is>
          <t>Abdou-Raouf</t>
        </is>
      </c>
      <c r="P64" s="40" t="n">
        <v>46295</v>
      </c>
      <c r="Q64" s="40" t="n">
        <v>46300</v>
      </c>
      <c r="R64" s="40" t="n"/>
      <c r="S64" s="37" t="inlineStr"/>
      <c r="T64" s="36" t="inlineStr">
        <is>
          <t>Non</t>
        </is>
      </c>
      <c r="U64" s="13">
        <f>IF($B64="","",IF(AND(J64&lt;&gt;"Complétée",J64&lt;&gt;"Abandonnée",Q64&lt;&gt;"",TODAY()&gt;Q64),"En retard",""))</f>
        <v/>
      </c>
      <c r="V64" s="37" t="n"/>
    </row>
    <row r="65">
      <c r="B65" s="36" t="inlineStr">
        <is>
          <t>V1-060</t>
        </is>
      </c>
      <c r="C65" s="36" t="inlineStr">
        <is>
          <t>V1</t>
        </is>
      </c>
      <c r="D65" s="36" t="inlineStr">
        <is>
          <t>CNX</t>
        </is>
      </c>
      <c r="E65" s="37" t="inlineStr">
        <is>
          <t>Deal-Connect (Remo)</t>
        </is>
      </c>
      <c r="F65" s="37" t="inlineStr">
        <is>
          <t>Écran Deal-Connect V1 : liste des événements, inscription, bouton d'accès Remo</t>
        </is>
      </c>
      <c r="G65" s="37" t="inlineStr">
        <is>
          <t>Parcours inscription puis accès en moins de trois clics</t>
        </is>
      </c>
      <c r="H65" s="38" t="n">
        <v>4</v>
      </c>
      <c r="I65" s="36" t="inlineStr">
        <is>
          <t>Moyenne</t>
        </is>
      </c>
      <c r="J65" s="36" t="inlineStr">
        <is>
          <t>À faire</t>
        </is>
      </c>
      <c r="K65" s="39" t="n"/>
      <c r="L65" s="16">
        <f>IF($B65="","",IF(J65="Complétée",1,IF(J65="Abandonnée",0,IF(K65&lt;&gt;"",K65,IFERROR(VLOOKUP(J65,Parametres!$B$6:$C$12,2,FALSE),0)))))</f>
        <v/>
      </c>
      <c r="M65" s="15">
        <f>IF($B65="","",IF(J65="Abandonnée",0,H65))</f>
        <v/>
      </c>
      <c r="N65" s="15">
        <f>IF($B65="","",M65*L65)</f>
        <v/>
      </c>
      <c r="O65" s="37" t="n"/>
      <c r="P65" s="40" t="n">
        <v>46295</v>
      </c>
      <c r="Q65" s="40" t="n">
        <v>46301</v>
      </c>
      <c r="R65" s="40" t="n"/>
      <c r="S65" s="37" t="inlineStr"/>
      <c r="T65" s="36" t="inlineStr">
        <is>
          <t>Non</t>
        </is>
      </c>
      <c r="U65" s="13">
        <f>IF($B65="","",IF(AND(J65&lt;&gt;"Complétée",J65&lt;&gt;"Abandonnée",Q65&lt;&gt;"",TODAY()&gt;Q65),"En retard",""))</f>
        <v/>
      </c>
      <c r="V65" s="37" t="n"/>
    </row>
    <row r="66">
      <c r="B66" s="36" t="inlineStr">
        <is>
          <t>V1-061</t>
        </is>
      </c>
      <c r="C66" s="36" t="inlineStr">
        <is>
          <t>V1</t>
        </is>
      </c>
      <c r="D66" s="36" t="inlineStr">
        <is>
          <t>DIA</t>
        </is>
      </c>
      <c r="E66" s="37" t="inlineStr">
        <is>
          <t>Deal-Connect (Remo)</t>
        </is>
      </c>
      <c r="F66" s="37" t="inlineStr">
        <is>
          <t>Demande de rendez-vous diaspora avec avis transfrontalier, entretien vidéo via Remo après confirmation humaine</t>
        </is>
      </c>
      <c r="G66" s="37" t="inlineStr">
        <is>
          <t>Aucune demande sans reconnaissance de l'avis transfrontalier</t>
        </is>
      </c>
      <c r="H66" s="38" t="n">
        <v>4</v>
      </c>
      <c r="I66" s="36" t="inlineStr">
        <is>
          <t>Moyenne</t>
        </is>
      </c>
      <c r="J66" s="36" t="inlineStr">
        <is>
          <t>En cours</t>
        </is>
      </c>
      <c r="K66" s="39" t="n">
        <v>0.3</v>
      </c>
      <c r="L66" s="16">
        <f>IF($B66="","",IF(J66="Complétée",1,IF(J66="Abandonnée",0,IF(K66&lt;&gt;"",K66,IFERROR(VLOOKUP(J66,Parametres!$B$6:$C$12,2,FALSE),0)))))</f>
        <v/>
      </c>
      <c r="M66" s="15">
        <f>IF($B66="","",IF(J66="Abandonnée",0,H66))</f>
        <v/>
      </c>
      <c r="N66" s="15">
        <f>IF($B66="","",M66*L66)</f>
        <v/>
      </c>
      <c r="O66" s="37" t="inlineStr">
        <is>
          <t>Abdou-Raouf</t>
        </is>
      </c>
      <c r="P66" s="40" t="n">
        <v>46296</v>
      </c>
      <c r="Q66" s="40" t="n">
        <v>46302</v>
      </c>
      <c r="R66" s="40" t="n"/>
      <c r="S66" s="37" t="inlineStr">
        <is>
          <t>Connecteur Remo.co</t>
        </is>
      </c>
      <c r="T66" s="36" t="inlineStr">
        <is>
          <t>Non</t>
        </is>
      </c>
      <c r="U66" s="13">
        <f>IF($B66="","",IF(AND(J66&lt;&gt;"Complétée",J66&lt;&gt;"Abandonnée",Q66&lt;&gt;"",TODAY()&gt;Q66),"En retard",""))</f>
        <v/>
      </c>
      <c r="V66" s="37" t="n"/>
    </row>
    <row r="67">
      <c r="B67" s="36" t="inlineStr">
        <is>
          <t>V1-062</t>
        </is>
      </c>
      <c r="C67" s="36" t="inlineStr">
        <is>
          <t>V1</t>
        </is>
      </c>
      <c r="D67" s="36" t="inlineStr">
        <is>
          <t>TRV</t>
        </is>
      </c>
      <c r="E67" s="37" t="inlineStr">
        <is>
          <t>Frontend et design</t>
        </is>
      </c>
      <c r="F67" s="37" t="inlineStr">
        <is>
          <t>Intégration du design system (tokens et composants de base issus de la Tranche 3)</t>
        </is>
      </c>
      <c r="G67" s="37" t="inlineStr">
        <is>
          <t>Tokens couleurs et typographie conformes à la charte</t>
        </is>
      </c>
      <c r="H67" s="38" t="n">
        <v>5</v>
      </c>
      <c r="I67" s="36" t="inlineStr">
        <is>
          <t>Haute</t>
        </is>
      </c>
      <c r="J67" s="36" t="inlineStr">
        <is>
          <t>En cours</t>
        </is>
      </c>
      <c r="K67" s="39" t="n">
        <v>0.5</v>
      </c>
      <c r="L67" s="16">
        <f>IF($B67="","",IF(J67="Complétée",1,IF(J67="Abandonnée",0,IF(K67&lt;&gt;"",K67,IFERROR(VLOOKUP(J67,Parametres!$B$6:$C$12,2,FALSE),0)))))</f>
        <v/>
      </c>
      <c r="M67" s="15">
        <f>IF($B67="","",IF(J67="Abandonnée",0,H67))</f>
        <v/>
      </c>
      <c r="N67" s="15">
        <f>IF($B67="","",M67*L67)</f>
        <v/>
      </c>
      <c r="O67" s="37" t="inlineStr">
        <is>
          <t>Abdou-Raouf</t>
        </is>
      </c>
      <c r="P67" s="40" t="n">
        <v>46296</v>
      </c>
      <c r="Q67" s="40" t="n">
        <v>46303</v>
      </c>
      <c r="R67" s="40" t="n"/>
      <c r="S67" s="37" t="inlineStr"/>
      <c r="T67" s="36" t="inlineStr">
        <is>
          <t>Non</t>
        </is>
      </c>
      <c r="U67" s="13">
        <f>IF($B67="","",IF(AND(J67&lt;&gt;"Complétée",J67&lt;&gt;"Abandonnée",Q67&lt;&gt;"",TODAY()&gt;Q67),"En retard",""))</f>
        <v/>
      </c>
      <c r="V67" s="37" t="n"/>
    </row>
    <row r="68">
      <c r="B68" s="36" t="inlineStr">
        <is>
          <t>V1-063</t>
        </is>
      </c>
      <c r="C68" s="36" t="inlineStr">
        <is>
          <t>V1</t>
        </is>
      </c>
      <c r="D68" s="36" t="inlineStr">
        <is>
          <t>TRV</t>
        </is>
      </c>
      <c r="E68" s="37" t="inlineStr">
        <is>
          <t>Frontend et design</t>
        </is>
      </c>
      <c r="F68" s="37" t="inlineStr">
        <is>
          <t>Gabarit applicatif : AppShell, navigation, états vide / chargement / erreur</t>
        </is>
      </c>
      <c r="G68" s="37" t="inlineStr">
        <is>
          <t>Chaque écran possède ses trois états</t>
        </is>
      </c>
      <c r="H68" s="38" t="n">
        <v>4</v>
      </c>
      <c r="I68" s="36" t="inlineStr">
        <is>
          <t>Haute</t>
        </is>
      </c>
      <c r="J68" s="36" t="inlineStr">
        <is>
          <t>En cours</t>
        </is>
      </c>
      <c r="K68" s="39" t="n">
        <v>0.5</v>
      </c>
      <c r="L68" s="16">
        <f>IF($B68="","",IF(J68="Complétée",1,IF(J68="Abandonnée",0,IF(K68&lt;&gt;"",K68,IFERROR(VLOOKUP(J68,Parametres!$B$6:$C$12,2,FALSE),0)))))</f>
        <v/>
      </c>
      <c r="M68" s="15">
        <f>IF($B68="","",IF(J68="Abandonnée",0,H68))</f>
        <v/>
      </c>
      <c r="N68" s="15">
        <f>IF($B68="","",M68*L68)</f>
        <v/>
      </c>
      <c r="O68" s="37" t="inlineStr">
        <is>
          <t>Abdou-Raouf</t>
        </is>
      </c>
      <c r="P68" s="40" t="n">
        <v>46297</v>
      </c>
      <c r="Q68" s="40" t="n">
        <v>46303</v>
      </c>
      <c r="R68" s="40" t="n"/>
      <c r="S68" s="37" t="inlineStr"/>
      <c r="T68" s="36" t="inlineStr">
        <is>
          <t>Non</t>
        </is>
      </c>
      <c r="U68" s="13">
        <f>IF($B68="","",IF(AND(J68&lt;&gt;"Complétée",J68&lt;&gt;"Abandonnée",Q68&lt;&gt;"",TODAY()&gt;Q68),"En retard",""))</f>
        <v/>
      </c>
      <c r="V68" s="37" t="n"/>
    </row>
    <row r="69">
      <c r="B69" s="36" t="inlineStr">
        <is>
          <t>V1-064</t>
        </is>
      </c>
      <c r="C69" s="36" t="inlineStr">
        <is>
          <t>V1</t>
        </is>
      </c>
      <c r="D69" s="36" t="inlineStr">
        <is>
          <t>TRV</t>
        </is>
      </c>
      <c r="E69" s="37" t="inlineStr">
        <is>
          <t>Frontend et design</t>
        </is>
      </c>
      <c r="F69" s="37" t="inlineStr">
        <is>
          <t>Responsive mobile sur les parcours V1</t>
        </is>
      </c>
      <c r="G69" s="37" t="inlineStr">
        <is>
          <t>Aucune casse de mise en page entre 360 et 1920 px</t>
        </is>
      </c>
      <c r="H69" s="38" t="n">
        <v>4</v>
      </c>
      <c r="I69" s="36" t="inlineStr">
        <is>
          <t>Moyenne</t>
        </is>
      </c>
      <c r="J69" s="36" t="inlineStr">
        <is>
          <t>À faire</t>
        </is>
      </c>
      <c r="K69" s="39" t="n"/>
      <c r="L69" s="16">
        <f>IF($B69="","",IF(J69="Complétée",1,IF(J69="Abandonnée",0,IF(K69&lt;&gt;"",K69,IFERROR(VLOOKUP(J69,Parametres!$B$6:$C$12,2,FALSE),0)))))</f>
        <v/>
      </c>
      <c r="M69" s="15">
        <f>IF($B69="","",IF(J69="Abandonnée",0,H69))</f>
        <v/>
      </c>
      <c r="N69" s="15">
        <f>IF($B69="","",M69*L69)</f>
        <v/>
      </c>
      <c r="O69" s="37" t="n"/>
      <c r="P69" s="40" t="n">
        <v>46297</v>
      </c>
      <c r="Q69" s="40" t="n">
        <v>46303</v>
      </c>
      <c r="R69" s="40" t="n"/>
      <c r="S69" s="37" t="inlineStr"/>
      <c r="T69" s="36" t="inlineStr">
        <is>
          <t>Non</t>
        </is>
      </c>
      <c r="U69" s="13">
        <f>IF($B69="","",IF(AND(J69&lt;&gt;"Complétée",J69&lt;&gt;"Abandonnée",Q69&lt;&gt;"",TODAY()&gt;Q69),"En retard",""))</f>
        <v/>
      </c>
      <c r="V69" s="37" t="n"/>
    </row>
    <row r="70">
      <c r="B70" s="36" t="inlineStr">
        <is>
          <t>V1-065</t>
        </is>
      </c>
      <c r="C70" s="36" t="inlineStr">
        <is>
          <t>V1</t>
        </is>
      </c>
      <c r="D70" s="36" t="inlineStr">
        <is>
          <t>TRV</t>
        </is>
      </c>
      <c r="E70" s="37" t="inlineStr">
        <is>
          <t>Frontend et design</t>
        </is>
      </c>
      <c r="F70" s="37" t="inlineStr">
        <is>
          <t>Revue visuelle avec le designer UI/UX</t>
        </is>
      </c>
      <c r="G70" s="37" t="inlineStr">
        <is>
          <t>Liste des écarts traitée</t>
        </is>
      </c>
      <c r="H70" s="38" t="n">
        <v>2</v>
      </c>
      <c r="I70" s="36" t="inlineStr">
        <is>
          <t>Moyenne</t>
        </is>
      </c>
      <c r="J70" s="36" t="inlineStr">
        <is>
          <t>À faire</t>
        </is>
      </c>
      <c r="K70" s="39" t="n"/>
      <c r="L70" s="16">
        <f>IF($B70="","",IF(J70="Complétée",1,IF(J70="Abandonnée",0,IF(K70&lt;&gt;"",K70,IFERROR(VLOOKUP(J70,Parametres!$B$6:$C$12,2,FALSE),0)))))</f>
        <v/>
      </c>
      <c r="M70" s="15">
        <f>IF($B70="","",IF(J70="Abandonnée",0,H70))</f>
        <v/>
      </c>
      <c r="N70" s="15">
        <f>IF($B70="","",M70*L70)</f>
        <v/>
      </c>
      <c r="O70" s="37" t="n"/>
      <c r="P70" s="40" t="n">
        <v>46298</v>
      </c>
      <c r="Q70" s="40" t="n">
        <v>46301</v>
      </c>
      <c r="R70" s="40" t="n"/>
      <c r="S70" s="37" t="inlineStr">
        <is>
          <t>Designer UI/UX confirmé</t>
        </is>
      </c>
      <c r="T70" s="36" t="inlineStr">
        <is>
          <t>Non</t>
        </is>
      </c>
      <c r="U70" s="13">
        <f>IF($B70="","",IF(AND(J70&lt;&gt;"Complétée",J70&lt;&gt;"Abandonnée",Q70&lt;&gt;"",TODAY()&gt;Q70),"En retard",""))</f>
        <v/>
      </c>
      <c r="V70" s="37" t="n"/>
    </row>
    <row r="71">
      <c r="B71" s="36" t="inlineStr">
        <is>
          <t>V1-066</t>
        </is>
      </c>
      <c r="C71" s="36" t="inlineStr">
        <is>
          <t>V1</t>
        </is>
      </c>
      <c r="D71" s="36" t="inlineStr">
        <is>
          <t>TRV</t>
        </is>
      </c>
      <c r="E71" s="37" t="inlineStr">
        <is>
          <t>QA et livraison</t>
        </is>
      </c>
      <c r="F71" s="37" t="inlineStr">
        <is>
          <t>Tests automatisés : unitaires et bout en bout sur les parcours critiques</t>
        </is>
      </c>
      <c r="G71" s="37" t="inlineStr">
        <is>
          <t>Couverture des parcours inscription, dossier, publication, certification</t>
        </is>
      </c>
      <c r="H71" s="38" t="n">
        <v>5</v>
      </c>
      <c r="I71" s="36" t="inlineStr">
        <is>
          <t>Haute</t>
        </is>
      </c>
      <c r="J71" s="36" t="inlineStr">
        <is>
          <t>En cours</t>
        </is>
      </c>
      <c r="K71" s="39" t="n">
        <v>0.35</v>
      </c>
      <c r="L71" s="16">
        <f>IF($B71="","",IF(J71="Complétée",1,IF(J71="Abandonnée",0,IF(K71&lt;&gt;"",K71,IFERROR(VLOOKUP(J71,Parametres!$B$6:$C$12,2,FALSE),0)))))</f>
        <v/>
      </c>
      <c r="M71" s="15">
        <f>IF($B71="","",IF(J71="Abandonnée",0,H71))</f>
        <v/>
      </c>
      <c r="N71" s="15">
        <f>IF($B71="","",M71*L71)</f>
        <v/>
      </c>
      <c r="O71" s="37" t="inlineStr">
        <is>
          <t>Abdou-Raouf</t>
        </is>
      </c>
      <c r="P71" s="40" t="n">
        <v>46308</v>
      </c>
      <c r="Q71" s="40" t="n">
        <v>46310</v>
      </c>
      <c r="R71" s="40" t="n"/>
      <c r="S71" s="37" t="inlineStr"/>
      <c r="T71" s="36" t="inlineStr">
        <is>
          <t>Non</t>
        </is>
      </c>
      <c r="U71" s="13">
        <f>IF($B71="","",IF(AND(J71&lt;&gt;"Complétée",J71&lt;&gt;"Abandonnée",Q71&lt;&gt;"",TODAY()&gt;Q71),"En retard",""))</f>
        <v/>
      </c>
      <c r="V71" s="37" t="n"/>
    </row>
    <row r="72">
      <c r="B72" s="36" t="inlineStr">
        <is>
          <t>V1-067</t>
        </is>
      </c>
      <c r="C72" s="36" t="inlineStr">
        <is>
          <t>V1</t>
        </is>
      </c>
      <c r="D72" s="36" t="inlineStr">
        <is>
          <t>TRV</t>
        </is>
      </c>
      <c r="E72" s="37" t="inlineStr">
        <is>
          <t>QA et livraison</t>
        </is>
      </c>
      <c r="F72" s="37" t="inlineStr">
        <is>
          <t>Tests négatifs : permissions serveur, accès non autorisés, contrôles morts</t>
        </is>
      </c>
      <c r="G72" s="37" t="inlineStr">
        <is>
          <t>Aucun contrôle visible sans réaction définie</t>
        </is>
      </c>
      <c r="H72" s="38" t="n">
        <v>3</v>
      </c>
      <c r="I72" s="36" t="inlineStr">
        <is>
          <t>Haute</t>
        </is>
      </c>
      <c r="J72" s="36" t="inlineStr">
        <is>
          <t>À faire</t>
        </is>
      </c>
      <c r="K72" s="39" t="n"/>
      <c r="L72" s="16">
        <f>IF($B72="","",IF(J72="Complétée",1,IF(J72="Abandonnée",0,IF(K72&lt;&gt;"",K72,IFERROR(VLOOKUP(J72,Parametres!$B$6:$C$12,2,FALSE),0)))))</f>
        <v/>
      </c>
      <c r="M72" s="15">
        <f>IF($B72="","",IF(J72="Abandonnée",0,H72))</f>
        <v/>
      </c>
      <c r="N72" s="15">
        <f>IF($B72="","",M72*L72)</f>
        <v/>
      </c>
      <c r="O72" s="37" t="n"/>
      <c r="P72" s="40" t="n">
        <v>46308</v>
      </c>
      <c r="Q72" s="40" t="n">
        <v>46310</v>
      </c>
      <c r="R72" s="40" t="n"/>
      <c r="S72" s="37" t="inlineStr"/>
      <c r="T72" s="36" t="inlineStr">
        <is>
          <t>Non</t>
        </is>
      </c>
      <c r="U72" s="13">
        <f>IF($B72="","",IF(AND(J72&lt;&gt;"Complétée",J72&lt;&gt;"Abandonnée",Q72&lt;&gt;"",TODAY()&gt;Q72),"En retard",""))</f>
        <v/>
      </c>
      <c r="V72" s="37" t="n"/>
    </row>
    <row r="73">
      <c r="B73" s="36" t="inlineStr">
        <is>
          <t>V1-068</t>
        </is>
      </c>
      <c r="C73" s="36" t="inlineStr">
        <is>
          <t>V1</t>
        </is>
      </c>
      <c r="D73" s="36" t="inlineStr">
        <is>
          <t>TRV</t>
        </is>
      </c>
      <c r="E73" s="37" t="inlineStr">
        <is>
          <t>QA et livraison</t>
        </is>
      </c>
      <c r="F73" s="37" t="inlineStr">
        <is>
          <t>Jeu de données de démonstration complet (synthétique, étiqueté)</t>
        </is>
      </c>
      <c r="G73" s="37" t="inlineStr">
        <is>
          <t>Aucune donnée réelle, étiquette visible</t>
        </is>
      </c>
      <c r="H73" s="38" t="n">
        <v>3</v>
      </c>
      <c r="I73" s="36" t="inlineStr">
        <is>
          <t>Haute</t>
        </is>
      </c>
      <c r="J73" s="36" t="inlineStr">
        <is>
          <t>En cours</t>
        </is>
      </c>
      <c r="K73" s="39" t="n">
        <v>0.6</v>
      </c>
      <c r="L73" s="16">
        <f>IF($B73="","",IF(J73="Complétée",1,IF(J73="Abandonnée",0,IF(K73&lt;&gt;"",K73,IFERROR(VLOOKUP(J73,Parametres!$B$6:$C$12,2,FALSE),0)))))</f>
        <v/>
      </c>
      <c r="M73" s="15">
        <f>IF($B73="","",IF(J73="Abandonnée",0,H73))</f>
        <v/>
      </c>
      <c r="N73" s="15">
        <f>IF($B73="","",M73*L73)</f>
        <v/>
      </c>
      <c r="O73" s="37" t="inlineStr">
        <is>
          <t>Abdou-Raouf</t>
        </is>
      </c>
      <c r="P73" s="40" t="n">
        <v>46308</v>
      </c>
      <c r="Q73" s="40" t="n">
        <v>46310</v>
      </c>
      <c r="R73" s="40" t="n"/>
      <c r="S73" s="37" t="inlineStr"/>
      <c r="T73" s="36" t="inlineStr">
        <is>
          <t>Non</t>
        </is>
      </c>
      <c r="U73" s="13">
        <f>IF($B73="","",IF(AND(J73&lt;&gt;"Complétée",J73&lt;&gt;"Abandonnée",Q73&lt;&gt;"",TODAY()&gt;Q73),"En retard",""))</f>
        <v/>
      </c>
      <c r="V73" s="37" t="n"/>
    </row>
    <row r="74">
      <c r="B74" s="36" t="inlineStr">
        <is>
          <t>V1-069</t>
        </is>
      </c>
      <c r="C74" s="36" t="inlineStr">
        <is>
          <t>V1</t>
        </is>
      </c>
      <c r="D74" s="36" t="inlineStr">
        <is>
          <t>TRV</t>
        </is>
      </c>
      <c r="E74" s="37" t="inlineStr">
        <is>
          <t>QA et livraison</t>
        </is>
      </c>
      <c r="F74" s="37" t="inlineStr">
        <is>
          <t>Recette interne et corrections</t>
        </is>
      </c>
      <c r="G74" s="37" t="inlineStr">
        <is>
          <t>Zéro anomalie bloquante ouverte</t>
        </is>
      </c>
      <c r="H74" s="38" t="n">
        <v>4</v>
      </c>
      <c r="I74" s="36" t="inlineStr">
        <is>
          <t>Haute</t>
        </is>
      </c>
      <c r="J74" s="36" t="inlineStr">
        <is>
          <t>À faire</t>
        </is>
      </c>
      <c r="K74" s="39" t="n"/>
      <c r="L74" s="16">
        <f>IF($B74="","",IF(J74="Complétée",1,IF(J74="Abandonnée",0,IF(K74&lt;&gt;"",K74,IFERROR(VLOOKUP(J74,Parametres!$B$6:$C$12,2,FALSE),0)))))</f>
        <v/>
      </c>
      <c r="M74" s="15">
        <f>IF($B74="","",IF(J74="Abandonnée",0,H74))</f>
        <v/>
      </c>
      <c r="N74" s="15">
        <f>IF($B74="","",M74*L74)</f>
        <v/>
      </c>
      <c r="O74" s="37" t="n"/>
      <c r="P74" s="40" t="n">
        <v>46308</v>
      </c>
      <c r="Q74" s="40" t="n">
        <v>46310</v>
      </c>
      <c r="R74" s="40" t="n"/>
      <c r="S74" s="37" t="inlineStr"/>
      <c r="T74" s="36" t="inlineStr">
        <is>
          <t>Non</t>
        </is>
      </c>
      <c r="U74" s="13">
        <f>IF($B74="","",IF(AND(J74&lt;&gt;"Complétée",J74&lt;&gt;"Abandonnée",Q74&lt;&gt;"",TODAY()&gt;Q74),"En retard",""))</f>
        <v/>
      </c>
      <c r="V74" s="37" t="n"/>
    </row>
    <row r="75">
      <c r="B75" s="36" t="inlineStr">
        <is>
          <t>V1-070</t>
        </is>
      </c>
      <c r="C75" s="36" t="inlineStr">
        <is>
          <t>V1</t>
        </is>
      </c>
      <c r="D75" s="36" t="inlineStr">
        <is>
          <t>TRV</t>
        </is>
      </c>
      <c r="E75" s="37" t="inlineStr">
        <is>
          <t>QA et livraison</t>
        </is>
      </c>
      <c r="F75" s="37" t="inlineStr">
        <is>
          <t>Documentation développeur et guide de démonstration</t>
        </is>
      </c>
      <c r="G75" s="37" t="inlineStr">
        <is>
          <t>Nouvel arrivant opérationnel en une journée</t>
        </is>
      </c>
      <c r="H75" s="38" t="n">
        <v>3</v>
      </c>
      <c r="I75" s="36" t="inlineStr">
        <is>
          <t>Moyenne</t>
        </is>
      </c>
      <c r="J75" s="36" t="inlineStr">
        <is>
          <t>En cours</t>
        </is>
      </c>
      <c r="K75" s="39" t="n">
        <v>0.6</v>
      </c>
      <c r="L75" s="16">
        <f>IF($B75="","",IF(J75="Complétée",1,IF(J75="Abandonnée",0,IF(K75&lt;&gt;"",K75,IFERROR(VLOOKUP(J75,Parametres!$B$6:$C$12,2,FALSE),0)))))</f>
        <v/>
      </c>
      <c r="M75" s="15">
        <f>IF($B75="","",IF(J75="Abandonnée",0,H75))</f>
        <v/>
      </c>
      <c r="N75" s="15">
        <f>IF($B75="","",M75*L75)</f>
        <v/>
      </c>
      <c r="O75" s="37" t="inlineStr">
        <is>
          <t>Abdou-Raouf</t>
        </is>
      </c>
      <c r="P75" s="40" t="n">
        <v>46308</v>
      </c>
      <c r="Q75" s="40" t="n">
        <v>46310</v>
      </c>
      <c r="R75" s="40" t="n"/>
      <c r="S75" s="37" t="inlineStr"/>
      <c r="T75" s="36" t="inlineStr">
        <is>
          <t>Non</t>
        </is>
      </c>
      <c r="U75" s="13">
        <f>IF($B75="","",IF(AND(J75&lt;&gt;"Complétée",J75&lt;&gt;"Abandonnée",Q75&lt;&gt;"",TODAY()&gt;Q75),"En retard",""))</f>
        <v/>
      </c>
      <c r="V75" s="37" t="n"/>
    </row>
    <row r="76">
      <c r="B76" s="36" t="inlineStr">
        <is>
          <t>V1-071</t>
        </is>
      </c>
      <c r="C76" s="36" t="inlineStr">
        <is>
          <t>V1</t>
        </is>
      </c>
      <c r="D76" s="36" t="inlineStr">
        <is>
          <t>TRV</t>
        </is>
      </c>
      <c r="E76" s="37" t="inlineStr">
        <is>
          <t>QA et livraison</t>
        </is>
      </c>
      <c r="F76" s="37" t="inlineStr">
        <is>
          <t>Préparation de la démonstration du 15/10 (script, environnement, données)</t>
        </is>
      </c>
      <c r="G76" s="37" t="inlineStr">
        <is>
          <t>Répétition générale réalisée</t>
        </is>
      </c>
      <c r="H76" s="38" t="n">
        <v>2</v>
      </c>
      <c r="I76" s="36" t="inlineStr">
        <is>
          <t>Haute</t>
        </is>
      </c>
      <c r="J76" s="36" t="inlineStr">
        <is>
          <t>À faire</t>
        </is>
      </c>
      <c r="K76" s="39" t="n"/>
      <c r="L76" s="16">
        <f>IF($B76="","",IF(J76="Complétée",1,IF(J76="Abandonnée",0,IF(K76&lt;&gt;"",K76,IFERROR(VLOOKUP(J76,Parametres!$B$6:$C$12,2,FALSE),0)))))</f>
        <v/>
      </c>
      <c r="M76" s="15">
        <f>IF($B76="","",IF(J76="Abandonnée",0,H76))</f>
        <v/>
      </c>
      <c r="N76" s="15">
        <f>IF($B76="","",M76*L76)</f>
        <v/>
      </c>
      <c r="O76" s="37" t="n"/>
      <c r="P76" s="40" t="n">
        <v>46308</v>
      </c>
      <c r="Q76" s="40" t="n">
        <v>46310</v>
      </c>
      <c r="R76" s="40" t="n"/>
      <c r="S76" s="37" t="inlineStr"/>
      <c r="T76" s="36" t="inlineStr">
        <is>
          <t>Non</t>
        </is>
      </c>
      <c r="U76" s="13">
        <f>IF($B76="","",IF(AND(J76&lt;&gt;"Complétée",J76&lt;&gt;"Abandonnée",Q76&lt;&gt;"",TODAY()&gt;Q76),"En retard",""))</f>
        <v/>
      </c>
      <c r="V76" s="37" t="n"/>
    </row>
    <row r="77">
      <c r="B77" s="36" t="inlineStr">
        <is>
          <t>V2-001</t>
        </is>
      </c>
      <c r="C77" s="36" t="inlineStr">
        <is>
          <t>V2</t>
        </is>
      </c>
      <c r="D77" s="36" t="inlineStr">
        <is>
          <t>RPS</t>
        </is>
      </c>
      <c r="E77" s="37" t="inlineStr">
        <is>
          <t>Circuit RPS réel</t>
        </is>
      </c>
      <c r="F77" s="37" t="inlineStr">
        <is>
          <t>Micro-service RPS indépendant : datastore, API, déploiement séparé</t>
        </is>
      </c>
      <c r="G77" s="37" t="inlineStr">
        <is>
          <t>Déployable indépendamment du reste de la plateforme</t>
        </is>
      </c>
      <c r="H77" s="38" t="n">
        <v>6</v>
      </c>
      <c r="I77" s="36" t="inlineStr">
        <is>
          <t>Haute</t>
        </is>
      </c>
      <c r="J77" s="36" t="inlineStr">
        <is>
          <t>Backlog</t>
        </is>
      </c>
      <c r="K77" s="39" t="n"/>
      <c r="L77" s="16">
        <f>IF($B77="","",IF(J77="Complétée",1,IF(J77="Abandonnée",0,IF(K77&lt;&gt;"",K77,IFERROR(VLOOKUP(J77,Parametres!$B$6:$C$12,2,FALSE),0)))))</f>
        <v/>
      </c>
      <c r="M77" s="15">
        <f>IF($B77="","",IF(J77="Abandonnée",0,H77))</f>
        <v/>
      </c>
      <c r="N77" s="15">
        <f>IF($B77="","",M77*L77)</f>
        <v/>
      </c>
      <c r="O77" s="37" t="n"/>
      <c r="P77" s="40" t="n">
        <v>46311</v>
      </c>
      <c r="Q77" s="40" t="n">
        <v>46320</v>
      </c>
      <c r="R77" s="40" t="n"/>
      <c r="S77" s="37" t="inlineStr"/>
      <c r="T77" s="36" t="inlineStr">
        <is>
          <t>Non</t>
        </is>
      </c>
      <c r="U77" s="13">
        <f>IF($B77="","",IF(AND(J77&lt;&gt;"Complétée",J77&lt;&gt;"Abandonnée",Q77&lt;&gt;"",TODAY()&gt;Q77),"En retard",""))</f>
        <v/>
      </c>
      <c r="V77" s="37" t="n"/>
    </row>
    <row r="78">
      <c r="B78" s="36" t="inlineStr">
        <is>
          <t>V2-002</t>
        </is>
      </c>
      <c r="C78" s="36" t="inlineStr">
        <is>
          <t>V2</t>
        </is>
      </c>
      <c r="D78" s="36" t="inlineStr">
        <is>
          <t>RPS</t>
        </is>
      </c>
      <c r="E78" s="37" t="inlineStr">
        <is>
          <t>Circuit RPS réel</t>
        </is>
      </c>
      <c r="F78" s="37" t="inlineStr">
        <is>
          <t>Table Disclosure append-only et compteur par personne (pas par session)</t>
        </is>
      </c>
      <c r="G78" s="37" t="inlineStr">
        <is>
          <t>Révocation crée une ligne, ne supprime jamais</t>
        </is>
      </c>
      <c r="H78" s="38" t="n">
        <v>5</v>
      </c>
      <c r="I78" s="36" t="inlineStr">
        <is>
          <t>Haute</t>
        </is>
      </c>
      <c r="J78" s="36" t="inlineStr">
        <is>
          <t>Backlog</t>
        </is>
      </c>
      <c r="K78" s="39" t="n"/>
      <c r="L78" s="16">
        <f>IF($B78="","",IF(J78="Complétée",1,IF(J78="Abandonnée",0,IF(K78&lt;&gt;"",K78,IFERROR(VLOOKUP(J78,Parametres!$B$6:$C$12,2,FALSE),0)))))</f>
        <v/>
      </c>
      <c r="M78" s="15">
        <f>IF($B78="","",IF(J78="Abandonnée",0,H78))</f>
        <v/>
      </c>
      <c r="N78" s="15">
        <f>IF($B78="","",M78*L78)</f>
        <v/>
      </c>
      <c r="O78" s="37" t="n"/>
      <c r="P78" s="40" t="n">
        <v>46313</v>
      </c>
      <c r="Q78" s="40" t="n">
        <v>46320</v>
      </c>
      <c r="R78" s="40" t="n"/>
      <c r="S78" s="37" t="inlineStr"/>
      <c r="T78" s="36" t="inlineStr">
        <is>
          <t>Non</t>
        </is>
      </c>
      <c r="U78" s="13">
        <f>IF($B78="","",IF(AND(J78&lt;&gt;"Complétée",J78&lt;&gt;"Abandonnée",Q78&lt;&gt;"",TODAY()&gt;Q78),"En retard",""))</f>
        <v/>
      </c>
      <c r="V78" s="37" t="n"/>
    </row>
    <row r="79">
      <c r="B79" s="36" t="inlineStr">
        <is>
          <t>V2-003</t>
        </is>
      </c>
      <c r="C79" s="36" t="inlineStr">
        <is>
          <t>V2</t>
        </is>
      </c>
      <c r="D79" s="36" t="inlineStr">
        <is>
          <t>RPS</t>
        </is>
      </c>
      <c r="E79" s="37" t="inlineStr">
        <is>
          <t>Circuit RPS réel</t>
        </is>
      </c>
      <c r="F79" s="37" t="inlineStr">
        <is>
          <t>Graphe de personnes liées (comptées une seule fois)</t>
        </is>
      </c>
      <c r="G79" s="37" t="inlineStr">
        <is>
          <t>Deux comptes liés comptent pour une personne</t>
        </is>
      </c>
      <c r="H79" s="38" t="n">
        <v>4</v>
      </c>
      <c r="I79" s="36" t="inlineStr">
        <is>
          <t>Haute</t>
        </is>
      </c>
      <c r="J79" s="36" t="inlineStr">
        <is>
          <t>Backlog</t>
        </is>
      </c>
      <c r="K79" s="39" t="n"/>
      <c r="L79" s="16">
        <f>IF($B79="","",IF(J79="Complétée",1,IF(J79="Abandonnée",0,IF(K79&lt;&gt;"",K79,IFERROR(VLOOKUP(J79,Parametres!$B$6:$C$12,2,FALSE),0)))))</f>
        <v/>
      </c>
      <c r="M79" s="15">
        <f>IF($B79="","",IF(J79="Abandonnée",0,H79))</f>
        <v/>
      </c>
      <c r="N79" s="15">
        <f>IF($B79="","",M79*L79)</f>
        <v/>
      </c>
      <c r="O79" s="37" t="n"/>
      <c r="P79" s="40" t="n">
        <v>46314</v>
      </c>
      <c r="Q79" s="40" t="n">
        <v>46320</v>
      </c>
      <c r="R79" s="40" t="n"/>
      <c r="S79" s="37" t="inlineStr"/>
      <c r="T79" s="36" t="inlineStr">
        <is>
          <t>Non</t>
        </is>
      </c>
      <c r="U79" s="13">
        <f>IF($B79="","",IF(AND(J79&lt;&gt;"Complétée",J79&lt;&gt;"Abandonnée",Q79&lt;&gt;"",TODAY()&gt;Q79),"En retard",""))</f>
        <v/>
      </c>
      <c r="V79" s="37" t="n"/>
    </row>
    <row r="80">
      <c r="B80" s="36" t="inlineStr">
        <is>
          <t>V2-004</t>
        </is>
      </c>
      <c r="C80" s="36" t="inlineStr">
        <is>
          <t>V2</t>
        </is>
      </c>
      <c r="D80" s="36" t="inlineStr">
        <is>
          <t>RPS</t>
        </is>
      </c>
      <c r="E80" s="37" t="inlineStr">
        <is>
          <t>Circuit RPS réel</t>
        </is>
      </c>
      <c r="F80" s="37" t="inlineStr">
        <is>
          <t>Plafond de cercle (défaut 50), seuils 80 % et 100 %, bascule en admission manuelle</t>
        </is>
      </c>
      <c r="G80" s="37" t="inlineStr">
        <is>
          <t>Blocage effectif à 100 % (test négatif)</t>
        </is>
      </c>
      <c r="H80" s="38" t="n">
        <v>4</v>
      </c>
      <c r="I80" s="36" t="inlineStr">
        <is>
          <t>Haute</t>
        </is>
      </c>
      <c r="J80" s="36" t="inlineStr">
        <is>
          <t>Backlog</t>
        </is>
      </c>
      <c r="K80" s="39" t="n"/>
      <c r="L80" s="16">
        <f>IF($B80="","",IF(J80="Complétée",1,IF(J80="Abandonnée",0,IF(K80&lt;&gt;"",K80,IFERROR(VLOOKUP(J80,Parametres!$B$6:$C$12,2,FALSE),0)))))</f>
        <v/>
      </c>
      <c r="M80" s="15">
        <f>IF($B80="","",IF(J80="Abandonnée",0,H80))</f>
        <v/>
      </c>
      <c r="N80" s="15">
        <f>IF($B80="","",M80*L80)</f>
        <v/>
      </c>
      <c r="O80" s="37" t="n"/>
      <c r="P80" s="40" t="n">
        <v>46316</v>
      </c>
      <c r="Q80" s="40" t="n">
        <v>46322</v>
      </c>
      <c r="R80" s="40" t="n"/>
      <c r="S80" s="37" t="inlineStr"/>
      <c r="T80" s="36" t="inlineStr">
        <is>
          <t>Non</t>
        </is>
      </c>
      <c r="U80" s="13">
        <f>IF($B80="","",IF(AND(J80&lt;&gt;"Complétée",J80&lt;&gt;"Abandonnée",Q80&lt;&gt;"",TODAY()&gt;Q80),"En retard",""))</f>
        <v/>
      </c>
      <c r="V80" s="37" t="n"/>
    </row>
    <row r="81">
      <c r="B81" s="36" t="inlineStr">
        <is>
          <t>V2-005</t>
        </is>
      </c>
      <c r="C81" s="36" t="inlineStr">
        <is>
          <t>V2</t>
        </is>
      </c>
      <c r="D81" s="36" t="inlineStr">
        <is>
          <t>RPS</t>
        </is>
      </c>
      <c r="E81" s="37" t="inlineStr">
        <is>
          <t>Circuit RPS réel</t>
        </is>
      </c>
      <c r="F81" s="37" t="inlineStr">
        <is>
          <t>Workflow d'admission humaine : file, décision, justification enregistrée</t>
        </is>
      </c>
      <c r="G81" s="37" t="inlineStr">
        <is>
          <t>Admission automatique impossible par construction</t>
        </is>
      </c>
      <c r="H81" s="38" t="n">
        <v>6</v>
      </c>
      <c r="I81" s="36" t="inlineStr">
        <is>
          <t>Haute</t>
        </is>
      </c>
      <c r="J81" s="36" t="inlineStr">
        <is>
          <t>Backlog</t>
        </is>
      </c>
      <c r="K81" s="39" t="n"/>
      <c r="L81" s="16">
        <f>IF($B81="","",IF(J81="Complétée",1,IF(J81="Abandonnée",0,IF(K81&lt;&gt;"",K81,IFERROR(VLOOKUP(J81,Parametres!$B$6:$C$12,2,FALSE),0)))))</f>
        <v/>
      </c>
      <c r="M81" s="15">
        <f>IF($B81="","",IF(J81="Abandonnée",0,H81))</f>
        <v/>
      </c>
      <c r="N81" s="15">
        <f>IF($B81="","",M81*L81)</f>
        <v/>
      </c>
      <c r="O81" s="37" t="n"/>
      <c r="P81" s="40" t="n">
        <v>46317</v>
      </c>
      <c r="Q81" s="40" t="n">
        <v>46326</v>
      </c>
      <c r="R81" s="40" t="n"/>
      <c r="S81" s="37" t="inlineStr"/>
      <c r="T81" s="36" t="inlineStr">
        <is>
          <t>Non</t>
        </is>
      </c>
      <c r="U81" s="13">
        <f>IF($B81="","",IF(AND(J81&lt;&gt;"Complétée",J81&lt;&gt;"Abandonnée",Q81&lt;&gt;"",TODAY()&gt;Q81),"En retard",""))</f>
        <v/>
      </c>
      <c r="V81" s="37" t="n"/>
    </row>
    <row r="82">
      <c r="B82" s="36" t="inlineStr">
        <is>
          <t>V2-006</t>
        </is>
      </c>
      <c r="C82" s="36" t="inlineStr">
        <is>
          <t>V2</t>
        </is>
      </c>
      <c r="D82" s="36" t="inlineStr">
        <is>
          <t>RPS</t>
        </is>
      </c>
      <c r="E82" s="37" t="inlineStr">
        <is>
          <t>Circuit RPS réel</t>
        </is>
      </c>
      <c r="F82" s="37" t="inlineStr">
        <is>
          <t>Filtre de communication sortante (permettre, caviarder, bloquer)</t>
        </is>
      </c>
      <c r="G82" s="37" t="inlineStr">
        <is>
          <t>Tout message sur un dossier titres passe par le filtre</t>
        </is>
      </c>
      <c r="H82" s="38" t="n">
        <v>5</v>
      </c>
      <c r="I82" s="36" t="inlineStr">
        <is>
          <t>Haute</t>
        </is>
      </c>
      <c r="J82" s="36" t="inlineStr">
        <is>
          <t>Backlog</t>
        </is>
      </c>
      <c r="K82" s="39" t="n"/>
      <c r="L82" s="16">
        <f>IF($B82="","",IF(J82="Complétée",1,IF(J82="Abandonnée",0,IF(K82&lt;&gt;"",K82,IFERROR(VLOOKUP(J82,Parametres!$B$6:$C$12,2,FALSE),0)))))</f>
        <v/>
      </c>
      <c r="M82" s="15">
        <f>IF($B82="","",IF(J82="Abandonnée",0,H82))</f>
        <v/>
      </c>
      <c r="N82" s="15">
        <f>IF($B82="","",M82*L82)</f>
        <v/>
      </c>
      <c r="O82" s="37" t="n"/>
      <c r="P82" s="40" t="n">
        <v>46319</v>
      </c>
      <c r="Q82" s="40" t="n">
        <v>46326</v>
      </c>
      <c r="R82" s="40" t="n"/>
      <c r="S82" s="37" t="inlineStr"/>
      <c r="T82" s="36" t="inlineStr">
        <is>
          <t>Non</t>
        </is>
      </c>
      <c r="U82" s="13">
        <f>IF($B82="","",IF(AND(J82&lt;&gt;"Complétée",J82&lt;&gt;"Abandonnée",Q82&lt;&gt;"",TODAY()&gt;Q82),"En retard",""))</f>
        <v/>
      </c>
      <c r="V82" s="37" t="n"/>
    </row>
    <row r="83">
      <c r="B83" s="36" t="inlineStr">
        <is>
          <t>V2-007</t>
        </is>
      </c>
      <c r="C83" s="36" t="inlineStr">
        <is>
          <t>V2</t>
        </is>
      </c>
      <c r="D83" s="36" t="inlineStr">
        <is>
          <t>RPS</t>
        </is>
      </c>
      <c r="E83" s="37" t="inlineStr">
        <is>
          <t>Circuit RPS réel</t>
        </is>
      </c>
      <c r="F83" s="37" t="inlineStr">
        <is>
          <t>Journal réglementaire haché et export du pack de preuves par dossier</t>
        </is>
      </c>
      <c r="G83" s="37" t="inlineStr">
        <is>
          <t>Chaîne de hachage vérifiable, archive signée</t>
        </is>
      </c>
      <c r="H83" s="38" t="n">
        <v>5</v>
      </c>
      <c r="I83" s="36" t="inlineStr">
        <is>
          <t>Haute</t>
        </is>
      </c>
      <c r="J83" s="36" t="inlineStr">
        <is>
          <t>Backlog</t>
        </is>
      </c>
      <c r="K83" s="39" t="n"/>
      <c r="L83" s="16">
        <f>IF($B83="","",IF(J83="Complétée",1,IF(J83="Abandonnée",0,IF(K83&lt;&gt;"",K83,IFERROR(VLOOKUP(J83,Parametres!$B$6:$C$12,2,FALSE),0)))))</f>
        <v/>
      </c>
      <c r="M83" s="15">
        <f>IF($B83="","",IF(J83="Abandonnée",0,H83))</f>
        <v/>
      </c>
      <c r="N83" s="15">
        <f>IF($B83="","",M83*L83)</f>
        <v/>
      </c>
      <c r="O83" s="37" t="n"/>
      <c r="P83" s="40" t="n">
        <v>46320</v>
      </c>
      <c r="Q83" s="40" t="n">
        <v>46327</v>
      </c>
      <c r="R83" s="40" t="n"/>
      <c r="S83" s="37" t="inlineStr"/>
      <c r="T83" s="36" t="inlineStr">
        <is>
          <t>Non</t>
        </is>
      </c>
      <c r="U83" s="13">
        <f>IF($B83="","",IF(AND(J83&lt;&gt;"Complétée",J83&lt;&gt;"Abandonnée",Q83&lt;&gt;"",TODAY()&gt;Q83),"En retard",""))</f>
        <v/>
      </c>
      <c r="V83" s="37" t="n"/>
    </row>
    <row r="84">
      <c r="B84" s="36" t="inlineStr">
        <is>
          <t>V2-008</t>
        </is>
      </c>
      <c r="C84" s="36" t="inlineStr">
        <is>
          <t>V2</t>
        </is>
      </c>
      <c r="D84" s="36" t="inlineStr">
        <is>
          <t>RPS</t>
        </is>
      </c>
      <c r="E84" s="37" t="inlineStr">
        <is>
          <t>Circuit RPS réel</t>
        </is>
      </c>
      <c r="F84" s="37" t="inlineStr">
        <is>
          <t>Allow-list serveur des champs par palier T0 / T1 / T2</t>
        </is>
      </c>
      <c r="G84" s="37" t="inlineStr">
        <is>
          <t>Prix jamais sérialisé sous T2 (test négatif)</t>
        </is>
      </c>
      <c r="H84" s="38" t="n">
        <v>3</v>
      </c>
      <c r="I84" s="36" t="inlineStr">
        <is>
          <t>Haute</t>
        </is>
      </c>
      <c r="J84" s="36" t="inlineStr">
        <is>
          <t>Backlog</t>
        </is>
      </c>
      <c r="K84" s="39" t="n"/>
      <c r="L84" s="16">
        <f>IF($B84="","",IF(J84="Complétée",1,IF(J84="Abandonnée",0,IF(K84&lt;&gt;"",K84,IFERROR(VLOOKUP(J84,Parametres!$B$6:$C$12,2,FALSE),0)))))</f>
        <v/>
      </c>
      <c r="M84" s="15">
        <f>IF($B84="","",IF(J84="Abandonnée",0,H84))</f>
        <v/>
      </c>
      <c r="N84" s="15">
        <f>IF($B84="","",M84*L84)</f>
        <v/>
      </c>
      <c r="O84" s="37" t="n"/>
      <c r="P84" s="40" t="n">
        <v>46322</v>
      </c>
      <c r="Q84" s="40" t="n">
        <v>46327</v>
      </c>
      <c r="R84" s="40" t="n"/>
      <c r="S84" s="37" t="inlineStr"/>
      <c r="T84" s="36" t="inlineStr">
        <is>
          <t>Non</t>
        </is>
      </c>
      <c r="U84" s="13">
        <f>IF($B84="","",IF(AND(J84&lt;&gt;"Complétée",J84&lt;&gt;"Abandonnée",Q84&lt;&gt;"",TODAY()&gt;Q84),"En retard",""))</f>
        <v/>
      </c>
      <c r="V84" s="37" t="n"/>
    </row>
    <row r="85">
      <c r="B85" s="36" t="inlineStr">
        <is>
          <t>V2-009</t>
        </is>
      </c>
      <c r="C85" s="36" t="inlineStr">
        <is>
          <t>V2</t>
        </is>
      </c>
      <c r="D85" s="36" t="inlineStr">
        <is>
          <t>RPS</t>
        </is>
      </c>
      <c r="E85" s="37" t="inlineStr">
        <is>
          <t>Circuit RPS réel</t>
        </is>
      </c>
      <c r="F85" s="37" t="inlineStr">
        <is>
          <t>Écrans admission et cercle (conformité)</t>
        </is>
      </c>
      <c r="G85" s="37" t="inlineStr">
        <is>
          <t>Compteur et capacité restante visibles</t>
        </is>
      </c>
      <c r="H85" s="38" t="n">
        <v>2</v>
      </c>
      <c r="I85" s="36" t="inlineStr">
        <is>
          <t>Moyenne</t>
        </is>
      </c>
      <c r="J85" s="36" t="inlineStr">
        <is>
          <t>Backlog</t>
        </is>
      </c>
      <c r="K85" s="39" t="n"/>
      <c r="L85" s="16">
        <f>IF($B85="","",IF(J85="Complétée",1,IF(J85="Abandonnée",0,IF(K85&lt;&gt;"",K85,IFERROR(VLOOKUP(J85,Parametres!$B$6:$C$12,2,FALSE),0)))))</f>
        <v/>
      </c>
      <c r="M85" s="15">
        <f>IF($B85="","",IF(J85="Abandonnée",0,H85))</f>
        <v/>
      </c>
      <c r="N85" s="15">
        <f>IF($B85="","",M85*L85)</f>
        <v/>
      </c>
      <c r="O85" s="37" t="n"/>
      <c r="P85" s="40" t="n">
        <v>46323</v>
      </c>
      <c r="Q85" s="40" t="n">
        <v>46326</v>
      </c>
      <c r="R85" s="40" t="n"/>
      <c r="S85" s="37" t="inlineStr"/>
      <c r="T85" s="36" t="inlineStr">
        <is>
          <t>Non</t>
        </is>
      </c>
      <c r="U85" s="13">
        <f>IF($B85="","",IF(AND(J85&lt;&gt;"Complétée",J85&lt;&gt;"Abandonnée",Q85&lt;&gt;"",TODAY()&gt;Q85),"En retard",""))</f>
        <v/>
      </c>
      <c r="V85" s="37" t="n"/>
    </row>
    <row r="86">
      <c r="B86" s="36" t="inlineStr">
        <is>
          <t>V2-010</t>
        </is>
      </c>
      <c r="C86" s="36" t="inlineStr">
        <is>
          <t>V2</t>
        </is>
      </c>
      <c r="D86" s="36" t="inlineStr">
        <is>
          <t>SIG</t>
        </is>
      </c>
      <c r="E86" s="37" t="inlineStr">
        <is>
          <t>Signature électronique</t>
        </is>
      </c>
      <c r="F86" s="37" t="inlineStr">
        <is>
          <t>Sélection et contractualisation du prestataire PSC accrédité (coordination)</t>
        </is>
      </c>
      <c r="G86" s="37" t="inlineStr">
        <is>
          <t>Contrat signé, attestation d'accréditation archivée</t>
        </is>
      </c>
      <c r="H86" s="38" t="n">
        <v>3</v>
      </c>
      <c r="I86" s="36" t="inlineStr">
        <is>
          <t>Haute</t>
        </is>
      </c>
      <c r="J86" s="36" t="inlineStr">
        <is>
          <t>Backlog</t>
        </is>
      </c>
      <c r="K86" s="39" t="n"/>
      <c r="L86" s="16">
        <f>IF($B86="","",IF(J86="Complétée",1,IF(J86="Abandonnée",0,IF(K86&lt;&gt;"",K86,IFERROR(VLOOKUP(J86,Parametres!$B$6:$C$12,2,FALSE),0)))))</f>
        <v/>
      </c>
      <c r="M86" s="15">
        <f>IF($B86="","",IF(J86="Abandonnée",0,H86))</f>
        <v/>
      </c>
      <c r="N86" s="15">
        <f>IF($B86="","",M86*L86)</f>
        <v/>
      </c>
      <c r="O86" s="37" t="n"/>
      <c r="P86" s="40" t="n">
        <v>46323</v>
      </c>
      <c r="Q86" s="40" t="n">
        <v>46328</v>
      </c>
      <c r="R86" s="40" t="n"/>
      <c r="S86" s="37" t="inlineStr"/>
      <c r="T86" s="36" t="inlineStr">
        <is>
          <t>Oui</t>
        </is>
      </c>
      <c r="U86" s="13">
        <f>IF($B86="","",IF(AND(J86&lt;&gt;"Complétée",J86&lt;&gt;"Abandonnée",Q86&lt;&gt;"",TODAY()&gt;Q86),"En retard",""))</f>
        <v/>
      </c>
      <c r="V86" s="37" t="n"/>
    </row>
    <row r="87">
      <c r="B87" s="36" t="inlineStr">
        <is>
          <t>V2-011</t>
        </is>
      </c>
      <c r="C87" s="36" t="inlineStr">
        <is>
          <t>V2</t>
        </is>
      </c>
      <c r="D87" s="36" t="inlineStr">
        <is>
          <t>SIG</t>
        </is>
      </c>
      <c r="E87" s="37" t="inlineStr">
        <is>
          <t>Signature électronique</t>
        </is>
      </c>
      <c r="F87" s="37" t="inlineStr">
        <is>
          <t>Intégration API de signature qualifiée, webhooks à signature vérifiée</t>
        </is>
      </c>
      <c r="G87" s="37" t="inlineStr">
        <is>
          <t>Webhook non signé rejeté (test négatif)</t>
        </is>
      </c>
      <c r="H87" s="38" t="n">
        <v>7</v>
      </c>
      <c r="I87" s="36" t="inlineStr">
        <is>
          <t>Haute</t>
        </is>
      </c>
      <c r="J87" s="36" t="inlineStr">
        <is>
          <t>Backlog</t>
        </is>
      </c>
      <c r="K87" s="39" t="n"/>
      <c r="L87" s="16">
        <f>IF($B87="","",IF(J87="Complétée",1,IF(J87="Abandonnée",0,IF(K87&lt;&gt;"",K87,IFERROR(VLOOKUP(J87,Parametres!$B$6:$C$12,2,FALSE),0)))))</f>
        <v/>
      </c>
      <c r="M87" s="15">
        <f>IF($B87="","",IF(J87="Abandonnée",0,H87))</f>
        <v/>
      </c>
      <c r="N87" s="15">
        <f>IF($B87="","",M87*L87)</f>
        <v/>
      </c>
      <c r="O87" s="37" t="n"/>
      <c r="P87" s="40" t="n">
        <v>46324</v>
      </c>
      <c r="Q87" s="40" t="n">
        <v>46334</v>
      </c>
      <c r="R87" s="40" t="n"/>
      <c r="S87" s="37" t="inlineStr">
        <is>
          <t>Contrat PSC</t>
        </is>
      </c>
      <c r="T87" s="36" t="inlineStr">
        <is>
          <t>Non</t>
        </is>
      </c>
      <c r="U87" s="13">
        <f>IF($B87="","",IF(AND(J87&lt;&gt;"Complétée",J87&lt;&gt;"Abandonnée",Q87&lt;&gt;"",TODAY()&gt;Q87),"En retard",""))</f>
        <v/>
      </c>
      <c r="V87" s="37" t="n"/>
    </row>
    <row r="88">
      <c r="B88" s="36" t="inlineStr">
        <is>
          <t>V2-012</t>
        </is>
      </c>
      <c r="C88" s="36" t="inlineStr">
        <is>
          <t>V2</t>
        </is>
      </c>
      <c r="D88" s="36" t="inlineStr">
        <is>
          <t>SIG</t>
        </is>
      </c>
      <c r="E88" s="37" t="inlineStr">
        <is>
          <t>Signature électronique</t>
        </is>
      </c>
      <c r="F88" s="37" t="inlineStr">
        <is>
          <t>Parcours de repli papier : PDF, contre-signature, vérification CCIT</t>
        </is>
      </c>
      <c r="G88" s="37" t="inlineStr">
        <is>
          <t>Un utilisateur refusant la signature électronique n'est pas bloqué</t>
        </is>
      </c>
      <c r="H88" s="38" t="n">
        <v>4</v>
      </c>
      <c r="I88" s="36" t="inlineStr">
        <is>
          <t>Haute</t>
        </is>
      </c>
      <c r="J88" s="36" t="inlineStr">
        <is>
          <t>Backlog</t>
        </is>
      </c>
      <c r="K88" s="39" t="n"/>
      <c r="L88" s="16">
        <f>IF($B88="","",IF(J88="Complétée",1,IF(J88="Abandonnée",0,IF(K88&lt;&gt;"",K88,IFERROR(VLOOKUP(J88,Parametres!$B$6:$C$12,2,FALSE),0)))))</f>
        <v/>
      </c>
      <c r="M88" s="15">
        <f>IF($B88="","",IF(J88="Abandonnée",0,H88))</f>
        <v/>
      </c>
      <c r="N88" s="15">
        <f>IF($B88="","",M88*L88)</f>
        <v/>
      </c>
      <c r="O88" s="37" t="n"/>
      <c r="P88" s="40" t="n">
        <v>46327</v>
      </c>
      <c r="Q88" s="40" t="n">
        <v>46333</v>
      </c>
      <c r="R88" s="40" t="n"/>
      <c r="S88" s="37" t="inlineStr"/>
      <c r="T88" s="36" t="inlineStr">
        <is>
          <t>Non</t>
        </is>
      </c>
      <c r="U88" s="13">
        <f>IF($B88="","",IF(AND(J88&lt;&gt;"Complétée",J88&lt;&gt;"Abandonnée",Q88&lt;&gt;"",TODAY()&gt;Q88),"En retard",""))</f>
        <v/>
      </c>
      <c r="V88" s="37" t="n"/>
    </row>
    <row r="89">
      <c r="B89" s="36" t="inlineStr">
        <is>
          <t>V2-013</t>
        </is>
      </c>
      <c r="C89" s="36" t="inlineStr">
        <is>
          <t>V2</t>
        </is>
      </c>
      <c r="D89" s="36" t="inlineStr">
        <is>
          <t>SIG</t>
        </is>
      </c>
      <c r="E89" s="37" t="inlineStr">
        <is>
          <t>Signature électronique</t>
        </is>
      </c>
      <c r="F89" s="37" t="inlineStr">
        <is>
          <t>SignatureEvidence : hash SHA-256, chaîne de certificats, jeton d'horodatage</t>
        </is>
      </c>
      <c r="G89" s="37" t="inlineStr">
        <is>
          <t>Preuve complète stockée pour chaque NDA</t>
        </is>
      </c>
      <c r="H89" s="38" t="n">
        <v>4</v>
      </c>
      <c r="I89" s="36" t="inlineStr">
        <is>
          <t>Haute</t>
        </is>
      </c>
      <c r="J89" s="36" t="inlineStr">
        <is>
          <t>Backlog</t>
        </is>
      </c>
      <c r="K89" s="39" t="n"/>
      <c r="L89" s="16">
        <f>IF($B89="","",IF(J89="Complétée",1,IF(J89="Abandonnée",0,IF(K89&lt;&gt;"",K89,IFERROR(VLOOKUP(J89,Parametres!$B$6:$C$12,2,FALSE),0)))))</f>
        <v/>
      </c>
      <c r="M89" s="15">
        <f>IF($B89="","",IF(J89="Abandonnée",0,H89))</f>
        <v/>
      </c>
      <c r="N89" s="15">
        <f>IF($B89="","",M89*L89)</f>
        <v/>
      </c>
      <c r="O89" s="37" t="n"/>
      <c r="P89" s="40" t="n">
        <v>46328</v>
      </c>
      <c r="Q89" s="40" t="n">
        <v>46334</v>
      </c>
      <c r="R89" s="40" t="n"/>
      <c r="S89" s="37" t="inlineStr"/>
      <c r="T89" s="36" t="inlineStr">
        <is>
          <t>Non</t>
        </is>
      </c>
      <c r="U89" s="13">
        <f>IF($B89="","",IF(AND(J89&lt;&gt;"Complétée",J89&lt;&gt;"Abandonnée",Q89&lt;&gt;"",TODAY()&gt;Q89),"En retard",""))</f>
        <v/>
      </c>
      <c r="V89" s="37" t="n"/>
    </row>
    <row r="90">
      <c r="B90" s="36" t="inlineStr">
        <is>
          <t>V2-014</t>
        </is>
      </c>
      <c r="C90" s="36" t="inlineStr">
        <is>
          <t>V2</t>
        </is>
      </c>
      <c r="D90" s="36" t="inlineStr">
        <is>
          <t>SIG</t>
        </is>
      </c>
      <c r="E90" s="37" t="inlineStr">
        <is>
          <t>Signature électronique</t>
        </is>
      </c>
      <c r="F90" s="37" t="inlineStr">
        <is>
          <t>Intégration archivage électronique accrédité (PSAE)</t>
        </is>
      </c>
      <c r="G90" s="37" t="inlineStr">
        <is>
          <t>Référence d'archive stockée sur chaque preuve</t>
        </is>
      </c>
      <c r="H90" s="38" t="n">
        <v>5</v>
      </c>
      <c r="I90" s="36" t="inlineStr">
        <is>
          <t>Haute</t>
        </is>
      </c>
      <c r="J90" s="36" t="inlineStr">
        <is>
          <t>Backlog</t>
        </is>
      </c>
      <c r="K90" s="39" t="n"/>
      <c r="L90" s="16">
        <f>IF($B90="","",IF(J90="Complétée",1,IF(J90="Abandonnée",0,IF(K90&lt;&gt;"",K90,IFERROR(VLOOKUP(J90,Parametres!$B$6:$C$12,2,FALSE),0)))))</f>
        <v/>
      </c>
      <c r="M90" s="15">
        <f>IF($B90="","",IF(J90="Abandonnée",0,H90))</f>
        <v/>
      </c>
      <c r="N90" s="15">
        <f>IF($B90="","",M90*L90)</f>
        <v/>
      </c>
      <c r="O90" s="37" t="n"/>
      <c r="P90" s="40" t="n">
        <v>46329</v>
      </c>
      <c r="Q90" s="40" t="n">
        <v>46336</v>
      </c>
      <c r="R90" s="40" t="n"/>
      <c r="S90" s="37" t="inlineStr"/>
      <c r="T90" s="36" t="inlineStr">
        <is>
          <t>Non</t>
        </is>
      </c>
      <c r="U90" s="13">
        <f>IF($B90="","",IF(AND(J90&lt;&gt;"Complétée",J90&lt;&gt;"Abandonnée",Q90&lt;&gt;"",TODAY()&gt;Q90),"En retard",""))</f>
        <v/>
      </c>
      <c r="V90" s="37" t="n"/>
    </row>
    <row r="91">
      <c r="B91" s="36" t="inlineStr">
        <is>
          <t>V2-015</t>
        </is>
      </c>
      <c r="C91" s="36" t="inlineStr">
        <is>
          <t>V2</t>
        </is>
      </c>
      <c r="D91" s="36" t="inlineStr">
        <is>
          <t>SIG</t>
        </is>
      </c>
      <c r="E91" s="37" t="inlineStr">
        <is>
          <t>Signature électronique</t>
        </is>
      </c>
      <c r="F91" s="37" t="inlineStr">
        <is>
          <t>Écrans NDA : génération, signature, statut</t>
        </is>
      </c>
      <c r="G91" s="37" t="inlineStr">
        <is>
          <t>Statut NDA visible côté cédant et investisseur</t>
        </is>
      </c>
      <c r="H91" s="38" t="n">
        <v>2</v>
      </c>
      <c r="I91" s="36" t="inlineStr">
        <is>
          <t>Moyenne</t>
        </is>
      </c>
      <c r="J91" s="36" t="inlineStr">
        <is>
          <t>Backlog</t>
        </is>
      </c>
      <c r="K91" s="39" t="n"/>
      <c r="L91" s="16">
        <f>IF($B91="","",IF(J91="Complétée",1,IF(J91="Abandonnée",0,IF(K91&lt;&gt;"",K91,IFERROR(VLOOKUP(J91,Parametres!$B$6:$C$12,2,FALSE),0)))))</f>
        <v/>
      </c>
      <c r="M91" s="15">
        <f>IF($B91="","",IF(J91="Abandonnée",0,H91))</f>
        <v/>
      </c>
      <c r="N91" s="15">
        <f>IF($B91="","",M91*L91)</f>
        <v/>
      </c>
      <c r="O91" s="37" t="n"/>
      <c r="P91" s="40" t="n">
        <v>46331</v>
      </c>
      <c r="Q91" s="40" t="n">
        <v>46334</v>
      </c>
      <c r="R91" s="40" t="n"/>
      <c r="S91" s="37" t="inlineStr"/>
      <c r="T91" s="36" t="inlineStr">
        <is>
          <t>Non</t>
        </is>
      </c>
      <c r="U91" s="13">
        <f>IF($B91="","",IF(AND(J91&lt;&gt;"Complétée",J91&lt;&gt;"Abandonnée",Q91&lt;&gt;"",TODAY()&gt;Q91),"En retard",""))</f>
        <v/>
      </c>
      <c r="V91" s="37" t="n"/>
    </row>
    <row r="92">
      <c r="B92" s="36" t="inlineStr">
        <is>
          <t>V2-016</t>
        </is>
      </c>
      <c r="C92" s="36" t="inlineStr">
        <is>
          <t>V2</t>
        </is>
      </c>
      <c r="D92" s="36" t="inlineStr">
        <is>
          <t>VDR</t>
        </is>
      </c>
      <c r="E92" s="37" t="inlineStr">
        <is>
          <t>Data room</t>
        </is>
      </c>
      <c r="F92" s="37" t="inlineStr">
        <is>
          <t>Stockage objet chiffré, URLs pré-signées courtes liées à la session</t>
        </is>
      </c>
      <c r="G92" s="37" t="inlineStr">
        <is>
          <t>Accès direct hors session refusé</t>
        </is>
      </c>
      <c r="H92" s="38" t="n">
        <v>5</v>
      </c>
      <c r="I92" s="36" t="inlineStr">
        <is>
          <t>Haute</t>
        </is>
      </c>
      <c r="J92" s="36" t="inlineStr">
        <is>
          <t>Backlog</t>
        </is>
      </c>
      <c r="K92" s="39" t="n"/>
      <c r="L92" s="16">
        <f>IF($B92="","",IF(J92="Complétée",1,IF(J92="Abandonnée",0,IF(K92&lt;&gt;"",K92,IFERROR(VLOOKUP(J92,Parametres!$B$6:$C$12,2,FALSE),0)))))</f>
        <v/>
      </c>
      <c r="M92" s="15">
        <f>IF($B92="","",IF(J92="Abandonnée",0,H92))</f>
        <v/>
      </c>
      <c r="N92" s="15">
        <f>IF($B92="","",M92*L92)</f>
        <v/>
      </c>
      <c r="O92" s="37" t="n"/>
      <c r="P92" s="40" t="n">
        <v>46331</v>
      </c>
      <c r="Q92" s="40" t="n">
        <v>46338</v>
      </c>
      <c r="R92" s="40" t="n"/>
      <c r="S92" s="37" t="inlineStr"/>
      <c r="T92" s="36" t="inlineStr">
        <is>
          <t>Non</t>
        </is>
      </c>
      <c r="U92" s="13">
        <f>IF($B92="","",IF(AND(J92&lt;&gt;"Complétée",J92&lt;&gt;"Abandonnée",Q92&lt;&gt;"",TODAY()&gt;Q92),"En retard",""))</f>
        <v/>
      </c>
      <c r="V92" s="37" t="n"/>
    </row>
    <row r="93">
      <c r="B93" s="36" t="inlineStr">
        <is>
          <t>V2-017</t>
        </is>
      </c>
      <c r="C93" s="36" t="inlineStr">
        <is>
          <t>V2</t>
        </is>
      </c>
      <c r="D93" s="36" t="inlineStr">
        <is>
          <t>VDR</t>
        </is>
      </c>
      <c r="E93" s="37" t="inlineStr">
        <is>
          <t>Data room</t>
        </is>
      </c>
      <c r="F93" s="37" t="inlineStr">
        <is>
          <t>Visualiseur rendu serveur, page à page, chargement progressif (3G)</t>
        </is>
      </c>
      <c r="G93" s="37" t="inlineStr">
        <is>
          <t>Première page en moins de 6 s sur réseau de référence</t>
        </is>
      </c>
      <c r="H93" s="38" t="n">
        <v>8</v>
      </c>
      <c r="I93" s="36" t="inlineStr">
        <is>
          <t>Haute</t>
        </is>
      </c>
      <c r="J93" s="36" t="inlineStr">
        <is>
          <t>Backlog</t>
        </is>
      </c>
      <c r="K93" s="39" t="n"/>
      <c r="L93" s="16">
        <f>IF($B93="","",IF(J93="Complétée",1,IF(J93="Abandonnée",0,IF(K93&lt;&gt;"",K93,IFERROR(VLOOKUP(J93,Parametres!$B$6:$C$12,2,FALSE),0)))))</f>
        <v/>
      </c>
      <c r="M93" s="15">
        <f>IF($B93="","",IF(J93="Abandonnée",0,H93))</f>
        <v/>
      </c>
      <c r="N93" s="15">
        <f>IF($B93="","",M93*L93)</f>
        <v/>
      </c>
      <c r="O93" s="37" t="n"/>
      <c r="P93" s="40" t="n">
        <v>46333</v>
      </c>
      <c r="Q93" s="40" t="n">
        <v>46345</v>
      </c>
      <c r="R93" s="40" t="n"/>
      <c r="S93" s="37" t="inlineStr"/>
      <c r="T93" s="36" t="inlineStr">
        <is>
          <t>Non</t>
        </is>
      </c>
      <c r="U93" s="13">
        <f>IF($B93="","",IF(AND(J93&lt;&gt;"Complétée",J93&lt;&gt;"Abandonnée",Q93&lt;&gt;"",TODAY()&gt;Q93),"En retard",""))</f>
        <v/>
      </c>
      <c r="V93" s="37" t="n"/>
    </row>
    <row r="94">
      <c r="B94" s="36" t="inlineStr">
        <is>
          <t>V2-018</t>
        </is>
      </c>
      <c r="C94" s="36" t="inlineStr">
        <is>
          <t>V2</t>
        </is>
      </c>
      <c r="D94" s="36" t="inlineStr">
        <is>
          <t>VDR</t>
        </is>
      </c>
      <c r="E94" s="37" t="inlineStr">
        <is>
          <t>Data room</t>
        </is>
      </c>
      <c r="F94" s="37" t="inlineStr">
        <is>
          <t>Filigrane dynamique par page (identité, compte, horodatage, référence du deal)</t>
        </is>
      </c>
      <c r="G94" s="37" t="inlineStr">
        <is>
          <t>Chaque page rendue porte le filigrane (test DOC-02)</t>
        </is>
      </c>
      <c r="H94" s="38" t="n">
        <v>5</v>
      </c>
      <c r="I94" s="36" t="inlineStr">
        <is>
          <t>Haute</t>
        </is>
      </c>
      <c r="J94" s="36" t="inlineStr">
        <is>
          <t>Backlog</t>
        </is>
      </c>
      <c r="K94" s="39" t="n"/>
      <c r="L94" s="16">
        <f>IF($B94="","",IF(J94="Complétée",1,IF(J94="Abandonnée",0,IF(K94&lt;&gt;"",K94,IFERROR(VLOOKUP(J94,Parametres!$B$6:$C$12,2,FALSE),0)))))</f>
        <v/>
      </c>
      <c r="M94" s="15">
        <f>IF($B94="","",IF(J94="Abandonnée",0,H94))</f>
        <v/>
      </c>
      <c r="N94" s="15">
        <f>IF($B94="","",M94*L94)</f>
        <v/>
      </c>
      <c r="O94" s="37" t="n"/>
      <c r="P94" s="40" t="n">
        <v>46335</v>
      </c>
      <c r="Q94" s="40" t="n">
        <v>46342</v>
      </c>
      <c r="R94" s="40" t="n"/>
      <c r="S94" s="37" t="inlineStr"/>
      <c r="T94" s="36" t="inlineStr">
        <is>
          <t>Non</t>
        </is>
      </c>
      <c r="U94" s="13">
        <f>IF($B94="","",IF(AND(J94&lt;&gt;"Complétée",J94&lt;&gt;"Abandonnée",Q94&lt;&gt;"",TODAY()&gt;Q94),"En retard",""))</f>
        <v/>
      </c>
      <c r="V94" s="37" t="n"/>
    </row>
    <row r="95">
      <c r="B95" s="36" t="inlineStr">
        <is>
          <t>V2-019</t>
        </is>
      </c>
      <c r="C95" s="36" t="inlineStr">
        <is>
          <t>V2</t>
        </is>
      </c>
      <c r="D95" s="36" t="inlineStr">
        <is>
          <t>VDR</t>
        </is>
      </c>
      <c r="E95" s="37" t="inlineStr">
        <is>
          <t>Data room</t>
        </is>
      </c>
      <c r="F95" s="37" t="inlineStr">
        <is>
          <t>Arborescence OHADA par défaut et gestion des dossiers</t>
        </is>
      </c>
      <c r="G95" s="37" t="inlineStr">
        <is>
          <t>Squelette créé automatiquement à l'ouverture</t>
        </is>
      </c>
      <c r="H95" s="38" t="n">
        <v>4</v>
      </c>
      <c r="I95" s="36" t="inlineStr">
        <is>
          <t>Moyenne</t>
        </is>
      </c>
      <c r="J95" s="36" t="inlineStr">
        <is>
          <t>Backlog</t>
        </is>
      </c>
      <c r="K95" s="39" t="n"/>
      <c r="L95" s="16">
        <f>IF($B95="","",IF(J95="Complétée",1,IF(J95="Abandonnée",0,IF(K95&lt;&gt;"",K95,IFERROR(VLOOKUP(J95,Parametres!$B$6:$C$12,2,FALSE),0)))))</f>
        <v/>
      </c>
      <c r="M95" s="15">
        <f>IF($B95="","",IF(J95="Abandonnée",0,H95))</f>
        <v/>
      </c>
      <c r="N95" s="15">
        <f>IF($B95="","",M95*L95)</f>
        <v/>
      </c>
      <c r="O95" s="37" t="n"/>
      <c r="P95" s="40" t="n">
        <v>46337</v>
      </c>
      <c r="Q95" s="40" t="n">
        <v>46343</v>
      </c>
      <c r="R95" s="40" t="n"/>
      <c r="S95" s="37" t="inlineStr"/>
      <c r="T95" s="36" t="inlineStr">
        <is>
          <t>Non</t>
        </is>
      </c>
      <c r="U95" s="13">
        <f>IF($B95="","",IF(AND(J95&lt;&gt;"Complétée",J95&lt;&gt;"Abandonnée",Q95&lt;&gt;"",TODAY()&gt;Q95),"En retard",""))</f>
        <v/>
      </c>
      <c r="V95" s="37" t="n"/>
    </row>
    <row r="96">
      <c r="B96" s="36" t="inlineStr">
        <is>
          <t>V2-020</t>
        </is>
      </c>
      <c r="C96" s="36" t="inlineStr">
        <is>
          <t>V2</t>
        </is>
      </c>
      <c r="D96" s="36" t="inlineStr">
        <is>
          <t>VDR</t>
        </is>
      </c>
      <c r="E96" s="37" t="inlineStr">
        <is>
          <t>Data room</t>
        </is>
      </c>
      <c r="F96" s="37" t="inlineStr">
        <is>
          <t>Permissions par document, téléchargement désactivé par défaut</t>
        </is>
      </c>
      <c r="G96" s="37" t="inlineStr">
        <is>
          <t>Téléchargement refusé sans droit explicite (test DOC-01)</t>
        </is>
      </c>
      <c r="H96" s="38" t="n">
        <v>5</v>
      </c>
      <c r="I96" s="36" t="inlineStr">
        <is>
          <t>Haute</t>
        </is>
      </c>
      <c r="J96" s="36" t="inlineStr">
        <is>
          <t>Backlog</t>
        </is>
      </c>
      <c r="K96" s="39" t="n"/>
      <c r="L96" s="16">
        <f>IF($B96="","",IF(J96="Complétée",1,IF(J96="Abandonnée",0,IF(K96&lt;&gt;"",K96,IFERROR(VLOOKUP(J96,Parametres!$B$6:$C$12,2,FALSE),0)))))</f>
        <v/>
      </c>
      <c r="M96" s="15">
        <f>IF($B96="","",IF(J96="Abandonnée",0,H96))</f>
        <v/>
      </c>
      <c r="N96" s="15">
        <f>IF($B96="","",M96*L96)</f>
        <v/>
      </c>
      <c r="O96" s="37" t="n"/>
      <c r="P96" s="40" t="n">
        <v>46338</v>
      </c>
      <c r="Q96" s="40" t="n">
        <v>46345</v>
      </c>
      <c r="R96" s="40" t="n"/>
      <c r="S96" s="37" t="inlineStr"/>
      <c r="T96" s="36" t="inlineStr">
        <is>
          <t>Non</t>
        </is>
      </c>
      <c r="U96" s="13">
        <f>IF($B96="","",IF(AND(J96&lt;&gt;"Complétée",J96&lt;&gt;"Abandonnée",Q96&lt;&gt;"",TODAY()&gt;Q96),"En retard",""))</f>
        <v/>
      </c>
      <c r="V96" s="37" t="n"/>
    </row>
    <row r="97">
      <c r="B97" s="36" t="inlineStr">
        <is>
          <t>V2-021</t>
        </is>
      </c>
      <c r="C97" s="36" t="inlineStr">
        <is>
          <t>V2</t>
        </is>
      </c>
      <c r="D97" s="36" t="inlineStr">
        <is>
          <t>VDR</t>
        </is>
      </c>
      <c r="E97" s="37" t="inlineStr">
        <is>
          <t>Data room</t>
        </is>
      </c>
      <c r="F97" s="37" t="inlineStr">
        <is>
          <t>Grants d'accès scopés avec expiration obligatoire</t>
        </is>
      </c>
      <c r="G97" s="37" t="inlineStr">
        <is>
          <t>Accès perpétuel impossible à créer</t>
        </is>
      </c>
      <c r="H97" s="38" t="n">
        <v>4</v>
      </c>
      <c r="I97" s="36" t="inlineStr">
        <is>
          <t>Haute</t>
        </is>
      </c>
      <c r="J97" s="36" t="inlineStr">
        <is>
          <t>Backlog</t>
        </is>
      </c>
      <c r="K97" s="39" t="n"/>
      <c r="L97" s="16">
        <f>IF($B97="","",IF(J97="Complétée",1,IF(J97="Abandonnée",0,IF(K97&lt;&gt;"",K97,IFERROR(VLOOKUP(J97,Parametres!$B$6:$C$12,2,FALSE),0)))))</f>
        <v/>
      </c>
      <c r="M97" s="15">
        <f>IF($B97="","",IF(J97="Abandonnée",0,H97))</f>
        <v/>
      </c>
      <c r="N97" s="15">
        <f>IF($B97="","",M97*L97)</f>
        <v/>
      </c>
      <c r="O97" s="37" t="n"/>
      <c r="P97" s="40" t="n">
        <v>46340</v>
      </c>
      <c r="Q97" s="40" t="n">
        <v>46346</v>
      </c>
      <c r="R97" s="40" t="n"/>
      <c r="S97" s="37" t="inlineStr"/>
      <c r="T97" s="36" t="inlineStr">
        <is>
          <t>Non</t>
        </is>
      </c>
      <c r="U97" s="13">
        <f>IF($B97="","",IF(AND(J97&lt;&gt;"Complétée",J97&lt;&gt;"Abandonnée",Q97&lt;&gt;"",TODAY()&gt;Q97),"En retard",""))</f>
        <v/>
      </c>
      <c r="V97" s="37" t="n"/>
    </row>
    <row r="98">
      <c r="B98" s="36" t="inlineStr">
        <is>
          <t>V2-022</t>
        </is>
      </c>
      <c r="C98" s="36" t="inlineStr">
        <is>
          <t>V2</t>
        </is>
      </c>
      <c r="D98" s="36" t="inlineStr">
        <is>
          <t>VDR</t>
        </is>
      </c>
      <c r="E98" s="37" t="inlineStr">
        <is>
          <t>Data room</t>
        </is>
      </c>
      <c r="F98" s="37" t="inlineStr">
        <is>
          <t>Révocation effective en moins de 60 s avec invalidation des URLs</t>
        </is>
      </c>
      <c r="G98" s="37" t="inlineStr">
        <is>
          <t>Test chronométré de révocation</t>
        </is>
      </c>
      <c r="H98" s="38" t="n">
        <v>4</v>
      </c>
      <c r="I98" s="36" t="inlineStr">
        <is>
          <t>Haute</t>
        </is>
      </c>
      <c r="J98" s="36" t="inlineStr">
        <is>
          <t>Backlog</t>
        </is>
      </c>
      <c r="K98" s="39" t="n"/>
      <c r="L98" s="16">
        <f>IF($B98="","",IF(J98="Complétée",1,IF(J98="Abandonnée",0,IF(K98&lt;&gt;"",K98,IFERROR(VLOOKUP(J98,Parametres!$B$6:$C$12,2,FALSE),0)))))</f>
        <v/>
      </c>
      <c r="M98" s="15">
        <f>IF($B98="","",IF(J98="Abandonnée",0,H98))</f>
        <v/>
      </c>
      <c r="N98" s="15">
        <f>IF($B98="","",M98*L98)</f>
        <v/>
      </c>
      <c r="O98" s="37" t="n"/>
      <c r="P98" s="40" t="n">
        <v>46341</v>
      </c>
      <c r="Q98" s="40" t="n">
        <v>46347</v>
      </c>
      <c r="R98" s="40" t="n"/>
      <c r="S98" s="37" t="inlineStr"/>
      <c r="T98" s="36" t="inlineStr">
        <is>
          <t>Non</t>
        </is>
      </c>
      <c r="U98" s="13">
        <f>IF($B98="","",IF(AND(J98&lt;&gt;"Complétée",J98&lt;&gt;"Abandonnée",Q98&lt;&gt;"",TODAY()&gt;Q98),"En retard",""))</f>
        <v/>
      </c>
      <c r="V98" s="37" t="n"/>
    </row>
    <row r="99">
      <c r="B99" s="36" t="inlineStr">
        <is>
          <t>V2-023</t>
        </is>
      </c>
      <c r="C99" s="36" t="inlineStr">
        <is>
          <t>V2</t>
        </is>
      </c>
      <c r="D99" s="36" t="inlineStr">
        <is>
          <t>VDR</t>
        </is>
      </c>
      <c r="E99" s="37" t="inlineStr">
        <is>
          <t>Data room</t>
        </is>
      </c>
      <c r="F99" s="37" t="inlineStr">
        <is>
          <t>Journal DocumentView : qui, quel document, quand, durée, IP</t>
        </is>
      </c>
      <c r="G99" s="37" t="inlineStr">
        <is>
          <t>Export du journal par dossier</t>
        </is>
      </c>
      <c r="H99" s="38" t="n">
        <v>4</v>
      </c>
      <c r="I99" s="36" t="inlineStr">
        <is>
          <t>Haute</t>
        </is>
      </c>
      <c r="J99" s="36" t="inlineStr">
        <is>
          <t>Backlog</t>
        </is>
      </c>
      <c r="K99" s="39" t="n"/>
      <c r="L99" s="16">
        <f>IF($B99="","",IF(J99="Complétée",1,IF(J99="Abandonnée",0,IF(K99&lt;&gt;"",K99,IFERROR(VLOOKUP(J99,Parametres!$B$6:$C$12,2,FALSE),0)))))</f>
        <v/>
      </c>
      <c r="M99" s="15">
        <f>IF($B99="","",IF(J99="Abandonnée",0,H99))</f>
        <v/>
      </c>
      <c r="N99" s="15">
        <f>IF($B99="","",M99*L99)</f>
        <v/>
      </c>
      <c r="O99" s="37" t="n"/>
      <c r="P99" s="40" t="n">
        <v>46342</v>
      </c>
      <c r="Q99" s="40" t="n">
        <v>46348</v>
      </c>
      <c r="R99" s="40" t="n"/>
      <c r="S99" s="37" t="inlineStr"/>
      <c r="T99" s="36" t="inlineStr">
        <is>
          <t>Non</t>
        </is>
      </c>
      <c r="U99" s="13">
        <f>IF($B99="","",IF(AND(J99&lt;&gt;"Complétée",J99&lt;&gt;"Abandonnée",Q99&lt;&gt;"",TODAY()&gt;Q99),"En retard",""))</f>
        <v/>
      </c>
      <c r="V99" s="37" t="n"/>
    </row>
    <row r="100">
      <c r="B100" s="36" t="inlineStr">
        <is>
          <t>V2-024</t>
        </is>
      </c>
      <c r="C100" s="36" t="inlineStr">
        <is>
          <t>V2</t>
        </is>
      </c>
      <c r="D100" s="36" t="inlineStr">
        <is>
          <t>VDR</t>
        </is>
      </c>
      <c r="E100" s="37" t="inlineStr">
        <is>
          <t>Data room</t>
        </is>
      </c>
      <c r="F100" s="37" t="inlineStr">
        <is>
          <t>Upload en masse, antivirus, OCR des documents photographiés</t>
        </is>
      </c>
      <c r="G100" s="37" t="inlineStr">
        <is>
          <t>Reprise d'un upload interrompu</t>
        </is>
      </c>
      <c r="H100" s="38" t="n">
        <v>6</v>
      </c>
      <c r="I100" s="36" t="inlineStr">
        <is>
          <t>Moyenne</t>
        </is>
      </c>
      <c r="J100" s="36" t="inlineStr">
        <is>
          <t>Backlog</t>
        </is>
      </c>
      <c r="K100" s="39" t="n"/>
      <c r="L100" s="16">
        <f>IF($B100="","",IF(J100="Complétée",1,IF(J100="Abandonnée",0,IF(K100&lt;&gt;"",K100,IFERROR(VLOOKUP(J100,Parametres!$B$6:$C$12,2,FALSE),0)))))</f>
        <v/>
      </c>
      <c r="M100" s="15">
        <f>IF($B100="","",IF(J100="Abandonnée",0,H100))</f>
        <v/>
      </c>
      <c r="N100" s="15">
        <f>IF($B100="","",M100*L100)</f>
        <v/>
      </c>
      <c r="O100" s="37" t="n"/>
      <c r="P100" s="40" t="n">
        <v>46343</v>
      </c>
      <c r="Q100" s="40" t="n">
        <v>46352</v>
      </c>
      <c r="R100" s="40" t="n"/>
      <c r="S100" s="37" t="inlineStr"/>
      <c r="T100" s="36" t="inlineStr">
        <is>
          <t>Non</t>
        </is>
      </c>
      <c r="U100" s="13">
        <f>IF($B100="","",IF(AND(J100&lt;&gt;"Complétée",J100&lt;&gt;"Abandonnée",Q100&lt;&gt;"",TODAY()&gt;Q100),"En retard",""))</f>
        <v/>
      </c>
      <c r="V100" s="37" t="n"/>
    </row>
    <row r="101">
      <c r="B101" s="36" t="inlineStr">
        <is>
          <t>V2-025</t>
        </is>
      </c>
      <c r="C101" s="36" t="inlineStr">
        <is>
          <t>V2</t>
        </is>
      </c>
      <c r="D101" s="36" t="inlineStr">
        <is>
          <t>VDR</t>
        </is>
      </c>
      <c r="E101" s="37" t="inlineStr">
        <is>
          <t>Data room</t>
        </is>
      </c>
      <c r="F101" s="37" t="inlineStr">
        <is>
          <t>Écrans data room : arborescence, visualiseur, administration des accès</t>
        </is>
      </c>
      <c r="G101" s="37" t="inlineStr">
        <is>
          <t>Parcours complet sur mobile</t>
        </is>
      </c>
      <c r="H101" s="38" t="n">
        <v>5</v>
      </c>
      <c r="I101" s="36" t="inlineStr">
        <is>
          <t>Haute</t>
        </is>
      </c>
      <c r="J101" s="36" t="inlineStr">
        <is>
          <t>Backlog</t>
        </is>
      </c>
      <c r="K101" s="39" t="n"/>
      <c r="L101" s="16">
        <f>IF($B101="","",IF(J101="Complétée",1,IF(J101="Abandonnée",0,IF(K101&lt;&gt;"",K101,IFERROR(VLOOKUP(J101,Parametres!$B$6:$C$12,2,FALSE),0)))))</f>
        <v/>
      </c>
      <c r="M101" s="15">
        <f>IF($B101="","",IF(J101="Abandonnée",0,H101))</f>
        <v/>
      </c>
      <c r="N101" s="15">
        <f>IF($B101="","",M101*L101)</f>
        <v/>
      </c>
      <c r="O101" s="37" t="n"/>
      <c r="P101" s="40" t="n">
        <v>46345</v>
      </c>
      <c r="Q101" s="40" t="n">
        <v>46352</v>
      </c>
      <c r="R101" s="40" t="n"/>
      <c r="S101" s="37" t="inlineStr"/>
      <c r="T101" s="36" t="inlineStr">
        <is>
          <t>Non</t>
        </is>
      </c>
      <c r="U101" s="13">
        <f>IF($B101="","",IF(AND(J101&lt;&gt;"Complétée",J101&lt;&gt;"Abandonnée",Q101&lt;&gt;"",TODAY()&gt;Q101),"En retard",""))</f>
        <v/>
      </c>
      <c r="V101" s="37" t="n"/>
    </row>
    <row r="102">
      <c r="B102" s="36" t="inlineStr">
        <is>
          <t>V2-026</t>
        </is>
      </c>
      <c r="C102" s="36" t="inlineStr">
        <is>
          <t>V2</t>
        </is>
      </c>
      <c r="D102" s="36" t="inlineStr">
        <is>
          <t>VDR</t>
        </is>
      </c>
      <c r="E102" s="37" t="inlineStr">
        <is>
          <t>Questions-réponses</t>
        </is>
      </c>
      <c r="F102" s="37" t="inlineStr">
        <is>
          <t>Fils de questions par document, visibilité contrôlée par le cédant</t>
        </is>
      </c>
      <c r="G102" s="37" t="inlineStr">
        <is>
          <t>Question invisible aux autres investisseurs par défaut</t>
        </is>
      </c>
      <c r="H102" s="38" t="n">
        <v>6</v>
      </c>
      <c r="I102" s="36" t="inlineStr">
        <is>
          <t>Haute</t>
        </is>
      </c>
      <c r="J102" s="36" t="inlineStr">
        <is>
          <t>Backlog</t>
        </is>
      </c>
      <c r="K102" s="39" t="n"/>
      <c r="L102" s="16">
        <f>IF($B102="","",IF(J102="Complétée",1,IF(J102="Abandonnée",0,IF(K102&lt;&gt;"",K102,IFERROR(VLOOKUP(J102,Parametres!$B$6:$C$12,2,FALSE),0)))))</f>
        <v/>
      </c>
      <c r="M102" s="15">
        <f>IF($B102="","",IF(J102="Abandonnée",0,H102))</f>
        <v/>
      </c>
      <c r="N102" s="15">
        <f>IF($B102="","",M102*L102)</f>
        <v/>
      </c>
      <c r="O102" s="37" t="n"/>
      <c r="P102" s="40" t="n">
        <v>46347</v>
      </c>
      <c r="Q102" s="40" t="n">
        <v>46356</v>
      </c>
      <c r="R102" s="40" t="n"/>
      <c r="S102" s="37" t="inlineStr"/>
      <c r="T102" s="36" t="inlineStr">
        <is>
          <t>Non</t>
        </is>
      </c>
      <c r="U102" s="13">
        <f>IF($B102="","",IF(AND(J102&lt;&gt;"Complétée",J102&lt;&gt;"Abandonnée",Q102&lt;&gt;"",TODAY()&gt;Q102),"En retard",""))</f>
        <v/>
      </c>
      <c r="V102" s="37" t="n"/>
    </row>
    <row r="103">
      <c r="B103" s="36" t="inlineStr">
        <is>
          <t>V2-027</t>
        </is>
      </c>
      <c r="C103" s="36" t="inlineStr">
        <is>
          <t>V2</t>
        </is>
      </c>
      <c r="D103" s="36" t="inlineStr">
        <is>
          <t>VDR</t>
        </is>
      </c>
      <c r="E103" s="37" t="inlineStr">
        <is>
          <t>Questions-réponses</t>
        </is>
      </c>
      <c r="F103" s="37" t="inlineStr">
        <is>
          <t>Statuts, catégories, pièces jointes et journalisation des actions</t>
        </is>
      </c>
      <c r="G103" s="37" t="inlineStr">
        <is>
          <t>Chaque création / réponse / clôture journalisée</t>
        </is>
      </c>
      <c r="H103" s="38" t="n">
        <v>4</v>
      </c>
      <c r="I103" s="36" t="inlineStr">
        <is>
          <t>Moyenne</t>
        </is>
      </c>
      <c r="J103" s="36" t="inlineStr">
        <is>
          <t>Backlog</t>
        </is>
      </c>
      <c r="K103" s="39" t="n"/>
      <c r="L103" s="16">
        <f>IF($B103="","",IF(J103="Complétée",1,IF(J103="Abandonnée",0,IF(K103&lt;&gt;"",K103,IFERROR(VLOOKUP(J103,Parametres!$B$6:$C$12,2,FALSE),0)))))</f>
        <v/>
      </c>
      <c r="M103" s="15">
        <f>IF($B103="","",IF(J103="Abandonnée",0,H103))</f>
        <v/>
      </c>
      <c r="N103" s="15">
        <f>IF($B103="","",M103*L103)</f>
        <v/>
      </c>
      <c r="O103" s="37" t="n"/>
      <c r="P103" s="40" t="n">
        <v>46349</v>
      </c>
      <c r="Q103" s="40" t="n">
        <v>46355</v>
      </c>
      <c r="R103" s="40" t="n"/>
      <c r="S103" s="37" t="inlineStr"/>
      <c r="T103" s="36" t="inlineStr">
        <is>
          <t>Non</t>
        </is>
      </c>
      <c r="U103" s="13">
        <f>IF($B103="","",IF(AND(J103&lt;&gt;"Complétée",J103&lt;&gt;"Abandonnée",Q103&lt;&gt;"",TODAY()&gt;Q103),"En retard",""))</f>
        <v/>
      </c>
      <c r="V103" s="37" t="n"/>
    </row>
    <row r="104">
      <c r="B104" s="36" t="inlineStr">
        <is>
          <t>V2-028</t>
        </is>
      </c>
      <c r="C104" s="36" t="inlineStr">
        <is>
          <t>V2</t>
        </is>
      </c>
      <c r="D104" s="36" t="inlineStr">
        <is>
          <t>VDR</t>
        </is>
      </c>
      <c r="E104" s="37" t="inlineStr">
        <is>
          <t>Questions-réponses</t>
        </is>
      </c>
      <c r="F104" s="37" t="inlineStr">
        <is>
          <t>Écrans Q&amp;R</t>
        </is>
      </c>
      <c r="G104" s="37" t="inlineStr">
        <is>
          <t>Filtre par statut et par document</t>
        </is>
      </c>
      <c r="H104" s="38" t="n">
        <v>5</v>
      </c>
      <c r="I104" s="36" t="inlineStr">
        <is>
          <t>Moyenne</t>
        </is>
      </c>
      <c r="J104" s="36" t="inlineStr">
        <is>
          <t>Backlog</t>
        </is>
      </c>
      <c r="K104" s="39" t="n"/>
      <c r="L104" s="16">
        <f>IF($B104="","",IF(J104="Complétée",1,IF(J104="Abandonnée",0,IF(K104&lt;&gt;"",K104,IFERROR(VLOOKUP(J104,Parametres!$B$6:$C$12,2,FALSE),0)))))</f>
        <v/>
      </c>
      <c r="M104" s="15">
        <f>IF($B104="","",IF(J104="Abandonnée",0,H104))</f>
        <v/>
      </c>
      <c r="N104" s="15">
        <f>IF($B104="","",M104*L104)</f>
        <v/>
      </c>
      <c r="O104" s="37" t="n"/>
      <c r="P104" s="40" t="n">
        <v>46350</v>
      </c>
      <c r="Q104" s="40" t="n">
        <v>46357</v>
      </c>
      <c r="R104" s="40" t="n"/>
      <c r="S104" s="37" t="inlineStr"/>
      <c r="T104" s="36" t="inlineStr">
        <is>
          <t>Non</t>
        </is>
      </c>
      <c r="U104" s="13">
        <f>IF($B104="","",IF(AND(J104&lt;&gt;"Complétée",J104&lt;&gt;"Abandonnée",Q104&lt;&gt;"",TODAY()&gt;Q104),"En retard",""))</f>
        <v/>
      </c>
      <c r="V104" s="37" t="n"/>
    </row>
    <row r="105">
      <c r="B105" s="36" t="inlineStr">
        <is>
          <t>V2-029</t>
        </is>
      </c>
      <c r="C105" s="36" t="inlineStr">
        <is>
          <t>V2</t>
        </is>
      </c>
      <c r="D105" s="36" t="inlineStr">
        <is>
          <t>TRV</t>
        </is>
      </c>
      <c r="E105" s="37" t="inlineStr">
        <is>
          <t>QA et sécurité</t>
        </is>
      </c>
      <c r="F105" s="37" t="inlineStr">
        <is>
          <t>Tests de contournement de palier et de fuite T0 / T1 (DISCLOSURE_LEAK)</t>
        </is>
      </c>
      <c r="G105" s="37" t="inlineStr">
        <is>
          <t>Zéro fuite sur les 12 cas de référence</t>
        </is>
      </c>
      <c r="H105" s="38" t="n">
        <v>6</v>
      </c>
      <c r="I105" s="36" t="inlineStr">
        <is>
          <t>Haute</t>
        </is>
      </c>
      <c r="J105" s="36" t="inlineStr">
        <is>
          <t>Backlog</t>
        </is>
      </c>
      <c r="K105" s="39" t="n"/>
      <c r="L105" s="16">
        <f>IF($B105="","",IF(J105="Complétée",1,IF(J105="Abandonnée",0,IF(K105&lt;&gt;"",K105,IFERROR(VLOOKUP(J105,Parametres!$B$6:$C$12,2,FALSE),0)))))</f>
        <v/>
      </c>
      <c r="M105" s="15">
        <f>IF($B105="","",IF(J105="Abandonnée",0,H105))</f>
        <v/>
      </c>
      <c r="N105" s="15">
        <f>IF($B105="","",M105*L105)</f>
        <v/>
      </c>
      <c r="O105" s="37" t="n"/>
      <c r="P105" s="40" t="n">
        <v>46352</v>
      </c>
      <c r="Q105" s="40" t="n">
        <v>46361</v>
      </c>
      <c r="R105" s="40" t="n"/>
      <c r="S105" s="37" t="inlineStr"/>
      <c r="T105" s="36" t="inlineStr">
        <is>
          <t>Non</t>
        </is>
      </c>
      <c r="U105" s="13">
        <f>IF($B105="","",IF(AND(J105&lt;&gt;"Complétée",J105&lt;&gt;"Abandonnée",Q105&lt;&gt;"",TODAY()&gt;Q105),"En retard",""))</f>
        <v/>
      </c>
      <c r="V105" s="37" t="n"/>
    </row>
    <row r="106">
      <c r="B106" s="36" t="inlineStr">
        <is>
          <t>V2-030</t>
        </is>
      </c>
      <c r="C106" s="36" t="inlineStr">
        <is>
          <t>V2</t>
        </is>
      </c>
      <c r="D106" s="36" t="inlineStr">
        <is>
          <t>TRV</t>
        </is>
      </c>
      <c r="E106" s="37" t="inlineStr">
        <is>
          <t>QA et sécurité</t>
        </is>
      </c>
      <c r="F106" s="37" t="inlineStr">
        <is>
          <t>Tests de révocation et d'expiration (REVOKED_ACCESS_ALLOWED)</t>
        </is>
      </c>
      <c r="G106" s="37" t="inlineStr">
        <is>
          <t>Utilisateur révoqué sans accès résiduel</t>
        </is>
      </c>
      <c r="H106" s="38" t="n">
        <v>4</v>
      </c>
      <c r="I106" s="36" t="inlineStr">
        <is>
          <t>Haute</t>
        </is>
      </c>
      <c r="J106" s="36" t="inlineStr">
        <is>
          <t>Backlog</t>
        </is>
      </c>
      <c r="K106" s="39" t="n"/>
      <c r="L106" s="16">
        <f>IF($B106="","",IF(J106="Complétée",1,IF(J106="Abandonnée",0,IF(K106&lt;&gt;"",K106,IFERROR(VLOOKUP(J106,Parametres!$B$6:$C$12,2,FALSE),0)))))</f>
        <v/>
      </c>
      <c r="M106" s="15">
        <f>IF($B106="","",IF(J106="Abandonnée",0,H106))</f>
        <v/>
      </c>
      <c r="N106" s="15">
        <f>IF($B106="","",M106*L106)</f>
        <v/>
      </c>
      <c r="O106" s="37" t="n"/>
      <c r="P106" s="40" t="n">
        <v>46353</v>
      </c>
      <c r="Q106" s="40" t="n">
        <v>46359</v>
      </c>
      <c r="R106" s="40" t="n"/>
      <c r="S106" s="37" t="inlineStr"/>
      <c r="T106" s="36" t="inlineStr">
        <is>
          <t>Non</t>
        </is>
      </c>
      <c r="U106" s="13">
        <f>IF($B106="","",IF(AND(J106&lt;&gt;"Complétée",J106&lt;&gt;"Abandonnée",Q106&lt;&gt;"",TODAY()&gt;Q106),"En retard",""))</f>
        <v/>
      </c>
      <c r="V106" s="37" t="n"/>
    </row>
    <row r="107">
      <c r="B107" s="36" t="inlineStr">
        <is>
          <t>V2-031</t>
        </is>
      </c>
      <c r="C107" s="36" t="inlineStr">
        <is>
          <t>V2</t>
        </is>
      </c>
      <c r="D107" s="36" t="inlineStr">
        <is>
          <t>TRV</t>
        </is>
      </c>
      <c r="E107" s="37" t="inlineStr">
        <is>
          <t>QA et sécurité</t>
        </is>
      </c>
      <c r="F107" s="37" t="inlineStr">
        <is>
          <t>Revue de sécurité interne et préparation du périmètre de pentest</t>
        </is>
      </c>
      <c r="G107" s="37" t="inlineStr">
        <is>
          <t>Périmètre de pentest rédigé</t>
        </is>
      </c>
      <c r="H107" s="38" t="n">
        <v>5</v>
      </c>
      <c r="I107" s="36" t="inlineStr">
        <is>
          <t>Haute</t>
        </is>
      </c>
      <c r="J107" s="36" t="inlineStr">
        <is>
          <t>Backlog</t>
        </is>
      </c>
      <c r="K107" s="39" t="n"/>
      <c r="L107" s="16">
        <f>IF($B107="","",IF(J107="Complétée",1,IF(J107="Abandonnée",0,IF(K107&lt;&gt;"",K107,IFERROR(VLOOKUP(J107,Parametres!$B$6:$C$12,2,FALSE),0)))))</f>
        <v/>
      </c>
      <c r="M107" s="15">
        <f>IF($B107="","",IF(J107="Abandonnée",0,H107))</f>
        <v/>
      </c>
      <c r="N107" s="15">
        <f>IF($B107="","",M107*L107)</f>
        <v/>
      </c>
      <c r="O107" s="37" t="n"/>
      <c r="P107" s="40" t="n">
        <v>46355</v>
      </c>
      <c r="Q107" s="40" t="n">
        <v>46362</v>
      </c>
      <c r="R107" s="40" t="n"/>
      <c r="S107" s="37" t="inlineStr"/>
      <c r="T107" s="36" t="inlineStr">
        <is>
          <t>Non</t>
        </is>
      </c>
      <c r="U107" s="13">
        <f>IF($B107="","",IF(AND(J107&lt;&gt;"Complétée",J107&lt;&gt;"Abandonnée",Q107&lt;&gt;"",TODAY()&gt;Q107),"En retard",""))</f>
        <v/>
      </c>
      <c r="V107" s="37" t="n"/>
    </row>
    <row r="108">
      <c r="B108" s="36" t="inlineStr">
        <is>
          <t>V2-032</t>
        </is>
      </c>
      <c r="C108" s="36" t="inlineStr">
        <is>
          <t>V2</t>
        </is>
      </c>
      <c r="D108" s="36" t="inlineStr">
        <is>
          <t>TRV</t>
        </is>
      </c>
      <c r="E108" s="37" t="inlineStr">
        <is>
          <t>QA et sécurité</t>
        </is>
      </c>
      <c r="F108" s="37" t="inlineStr">
        <is>
          <t>Recette V2 et corrections</t>
        </is>
      </c>
      <c r="G108" s="37" t="inlineStr">
        <is>
          <t>Zéro anomalie bloquante ouverte</t>
        </is>
      </c>
      <c r="H108" s="38" t="n">
        <v>5</v>
      </c>
      <c r="I108" s="36" t="inlineStr">
        <is>
          <t>Haute</t>
        </is>
      </c>
      <c r="J108" s="36" t="inlineStr">
        <is>
          <t>Backlog</t>
        </is>
      </c>
      <c r="K108" s="39" t="n"/>
      <c r="L108" s="16">
        <f>IF($B108="","",IF(J108="Complétée",1,IF(J108="Abandonnée",0,IF(K108&lt;&gt;"",K108,IFERROR(VLOOKUP(J108,Parametres!$B$6:$C$12,2,FALSE),0)))))</f>
        <v/>
      </c>
      <c r="M108" s="15">
        <f>IF($B108="","",IF(J108="Abandonnée",0,H108))</f>
        <v/>
      </c>
      <c r="N108" s="15">
        <f>IF($B108="","",M108*L108)</f>
        <v/>
      </c>
      <c r="O108" s="37" t="n"/>
      <c r="P108" s="40" t="n">
        <v>46356</v>
      </c>
      <c r="Q108" s="40" t="n">
        <v>46363</v>
      </c>
      <c r="R108" s="40" t="n"/>
      <c r="S108" s="37" t="inlineStr"/>
      <c r="T108" s="36" t="inlineStr">
        <is>
          <t>Non</t>
        </is>
      </c>
      <c r="U108" s="13">
        <f>IF($B108="","",IF(AND(J108&lt;&gt;"Complétée",J108&lt;&gt;"Abandonnée",Q108&lt;&gt;"",TODAY()&gt;Q108),"En retard",""))</f>
        <v/>
      </c>
      <c r="V108" s="37" t="n"/>
    </row>
    <row r="109">
      <c r="B109" s="36" t="inlineStr">
        <is>
          <t>V3-001</t>
        </is>
      </c>
      <c r="C109" s="36" t="inlineStr">
        <is>
          <t>V3</t>
        </is>
      </c>
      <c r="D109" s="36" t="inlineStr">
        <is>
          <t>LEG</t>
        </is>
      </c>
      <c r="E109" s="37" t="inlineStr">
        <is>
          <t>LegalTech OHADA</t>
        </is>
      </c>
      <c r="F109" s="37" t="inlineStr">
        <is>
          <t>Modèles versionnés : NDA, LOI, pacte simplifié, SPA, cession d'actifs, contrat de travail (Code du travail togolais)</t>
        </is>
      </c>
      <c r="G109" s="37" t="inlineStr">
        <is>
          <t>Chaque modèle porte version et référence du conseil</t>
        </is>
      </c>
      <c r="H109" s="38" t="n">
        <v>8</v>
      </c>
      <c r="I109" s="36" t="inlineStr">
        <is>
          <t>Haute</t>
        </is>
      </c>
      <c r="J109" s="36" t="inlineStr">
        <is>
          <t>Backlog</t>
        </is>
      </c>
      <c r="K109" s="39" t="n"/>
      <c r="L109" s="16">
        <f>IF($B109="","",IF(J109="Complétée",1,IF(J109="Abandonnée",0,IF(K109&lt;&gt;"",K109,IFERROR(VLOOKUP(J109,Parametres!$B$6:$C$12,2,FALSE),0)))))</f>
        <v/>
      </c>
      <c r="M109" s="15">
        <f>IF($B109="","",IF(J109="Abandonnée",0,H109))</f>
        <v/>
      </c>
      <c r="N109" s="15">
        <f>IF($B109="","",M109*L109)</f>
        <v/>
      </c>
      <c r="O109" s="37" t="n"/>
      <c r="P109" s="40" t="n">
        <v>46367</v>
      </c>
      <c r="Q109" s="40" t="n">
        <v>46379</v>
      </c>
      <c r="R109" s="40" t="n"/>
      <c r="S109" s="37" t="inlineStr"/>
      <c r="T109" s="36" t="inlineStr">
        <is>
          <t>Non</t>
        </is>
      </c>
      <c r="U109" s="13">
        <f>IF($B109="","",IF(AND(J109&lt;&gt;"Complétée",J109&lt;&gt;"Abandonnée",Q109&lt;&gt;"",TODAY()&gt;Q109),"En retard",""))</f>
        <v/>
      </c>
      <c r="V109" s="37" t="n"/>
    </row>
    <row r="110">
      <c r="B110" s="36" t="inlineStr">
        <is>
          <t>V3-002</t>
        </is>
      </c>
      <c r="C110" s="36" t="inlineStr">
        <is>
          <t>V3</t>
        </is>
      </c>
      <c r="D110" s="36" t="inlineStr">
        <is>
          <t>LEG</t>
        </is>
      </c>
      <c r="E110" s="37" t="inlineStr">
        <is>
          <t>LegalTech OHADA</t>
        </is>
      </c>
      <c r="F110" s="37" t="inlineStr">
        <is>
          <t>Moteur de génération PDF avec variables et mention 'aide à la rédaction, pas un conseil juridique'</t>
        </is>
      </c>
      <c r="G110" s="37" t="inlineStr">
        <is>
          <t>Mention présente sur chaque document généré</t>
        </is>
      </c>
      <c r="H110" s="38" t="n">
        <v>7</v>
      </c>
      <c r="I110" s="36" t="inlineStr">
        <is>
          <t>Haute</t>
        </is>
      </c>
      <c r="J110" s="36" t="inlineStr">
        <is>
          <t>Backlog</t>
        </is>
      </c>
      <c r="K110" s="39" t="n"/>
      <c r="L110" s="16">
        <f>IF($B110="","",IF(J110="Complétée",1,IF(J110="Abandonnée",0,IF(K110&lt;&gt;"",K110,IFERROR(VLOOKUP(J110,Parametres!$B$6:$C$12,2,FALSE),0)))))</f>
        <v/>
      </c>
      <c r="M110" s="15">
        <f>IF($B110="","",IF(J110="Abandonnée",0,H110))</f>
        <v/>
      </c>
      <c r="N110" s="15">
        <f>IF($B110="","",M110*L110)</f>
        <v/>
      </c>
      <c r="O110" s="37" t="n"/>
      <c r="P110" s="40" t="n">
        <v>46370</v>
      </c>
      <c r="Q110" s="40" t="n">
        <v>46380</v>
      </c>
      <c r="R110" s="40" t="n"/>
      <c r="S110" s="37" t="inlineStr"/>
      <c r="T110" s="36" t="inlineStr">
        <is>
          <t>Non</t>
        </is>
      </c>
      <c r="U110" s="13">
        <f>IF($B110="","",IF(AND(J110&lt;&gt;"Complétée",J110&lt;&gt;"Abandonnée",Q110&lt;&gt;"",TODAY()&gt;Q110),"En retard",""))</f>
        <v/>
      </c>
      <c r="V110" s="37" t="n"/>
    </row>
    <row r="111">
      <c r="B111" s="36" t="inlineStr">
        <is>
          <t>V3-003</t>
        </is>
      </c>
      <c r="C111" s="36" t="inlineStr">
        <is>
          <t>V3</t>
        </is>
      </c>
      <c r="D111" s="36" t="inlineStr">
        <is>
          <t>LEG</t>
        </is>
      </c>
      <c r="E111" s="37" t="inlineStr">
        <is>
          <t>LegalTech OHADA</t>
        </is>
      </c>
      <c r="F111" s="37" t="inlineStr">
        <is>
          <t>Revue des modèles par le conseil juridique (coordination)</t>
        </is>
      </c>
      <c r="G111" s="37" t="inlineStr">
        <is>
          <t>Avis écrit archivé par modèle</t>
        </is>
      </c>
      <c r="H111" s="38" t="n">
        <v>4</v>
      </c>
      <c r="I111" s="36" t="inlineStr">
        <is>
          <t>Haute</t>
        </is>
      </c>
      <c r="J111" s="36" t="inlineStr">
        <is>
          <t>Backlog</t>
        </is>
      </c>
      <c r="K111" s="39" t="n"/>
      <c r="L111" s="16">
        <f>IF($B111="","",IF(J111="Complétée",1,IF(J111="Abandonnée",0,IF(K111&lt;&gt;"",K111,IFERROR(VLOOKUP(J111,Parametres!$B$6:$C$12,2,FALSE),0)))))</f>
        <v/>
      </c>
      <c r="M111" s="15">
        <f>IF($B111="","",IF(J111="Abandonnée",0,H111))</f>
        <v/>
      </c>
      <c r="N111" s="15">
        <f>IF($B111="","",M111*L111)</f>
        <v/>
      </c>
      <c r="O111" s="37" t="n"/>
      <c r="P111" s="40" t="n">
        <v>46372</v>
      </c>
      <c r="Q111" s="40" t="n">
        <v>46378</v>
      </c>
      <c r="R111" s="40" t="n"/>
      <c r="S111" s="37" t="inlineStr"/>
      <c r="T111" s="36" t="inlineStr">
        <is>
          <t>Oui</t>
        </is>
      </c>
      <c r="U111" s="13">
        <f>IF($B111="","",IF(AND(J111&lt;&gt;"Complétée",J111&lt;&gt;"Abandonnée",Q111&lt;&gt;"",TODAY()&gt;Q111),"En retard",""))</f>
        <v/>
      </c>
      <c r="V111" s="37" t="n"/>
    </row>
    <row r="112">
      <c r="B112" s="36" t="inlineStr">
        <is>
          <t>V3-004</t>
        </is>
      </c>
      <c r="C112" s="36" t="inlineStr">
        <is>
          <t>V3</t>
        </is>
      </c>
      <c r="D112" s="36" t="inlineStr">
        <is>
          <t>LEG</t>
        </is>
      </c>
      <c r="E112" s="37" t="inlineStr">
        <is>
          <t>LegalTech OHADA</t>
        </is>
      </c>
      <c r="F112" s="37" t="inlineStr">
        <is>
          <t>Liaison avec transferRestrictions : alertes clauses d'agrément et de préemption</t>
        </is>
      </c>
      <c r="G112" s="37" t="inlineStr">
        <is>
          <t>Alerte affichée dès qu'une restriction existe</t>
        </is>
      </c>
      <c r="H112" s="38" t="n">
        <v>3</v>
      </c>
      <c r="I112" s="36" t="inlineStr">
        <is>
          <t>Moyenne</t>
        </is>
      </c>
      <c r="J112" s="36" t="inlineStr">
        <is>
          <t>Backlog</t>
        </is>
      </c>
      <c r="K112" s="39" t="n"/>
      <c r="L112" s="16">
        <f>IF($B112="","",IF(J112="Complétée",1,IF(J112="Abandonnée",0,IF(K112&lt;&gt;"",K112,IFERROR(VLOOKUP(J112,Parametres!$B$6:$C$12,2,FALSE),0)))))</f>
        <v/>
      </c>
      <c r="M112" s="15">
        <f>IF($B112="","",IF(J112="Abandonnée",0,H112))</f>
        <v/>
      </c>
      <c r="N112" s="15">
        <f>IF($B112="","",M112*L112)</f>
        <v/>
      </c>
      <c r="O112" s="37" t="n"/>
      <c r="P112" s="40" t="n">
        <v>46374</v>
      </c>
      <c r="Q112" s="40" t="n">
        <v>46379</v>
      </c>
      <c r="R112" s="40" t="n"/>
      <c r="S112" s="37" t="inlineStr"/>
      <c r="T112" s="36" t="inlineStr">
        <is>
          <t>Non</t>
        </is>
      </c>
      <c r="U112" s="13">
        <f>IF($B112="","",IF(AND(J112&lt;&gt;"Complétée",J112&lt;&gt;"Abandonnée",Q112&lt;&gt;"",TODAY()&gt;Q112),"En retard",""))</f>
        <v/>
      </c>
      <c r="V112" s="37" t="n"/>
    </row>
    <row r="113">
      <c r="B113" s="36" t="inlineStr">
        <is>
          <t>V3-005</t>
        </is>
      </c>
      <c r="C113" s="36" t="inlineStr">
        <is>
          <t>V3</t>
        </is>
      </c>
      <c r="D113" s="36" t="inlineStr">
        <is>
          <t>LEG</t>
        </is>
      </c>
      <c r="E113" s="37" t="inlineStr">
        <is>
          <t>Conformité fiscale</t>
        </is>
      </c>
      <c r="F113" s="37" t="inlineStr">
        <is>
          <t>Intégration du module fiscal partenaire (simulation, attestation) derrière drapeau</t>
        </is>
      </c>
      <c r="G113" s="37" t="inlineStr">
        <is>
          <t>Panne partenaire ne produit jamais une fausse attestation</t>
        </is>
      </c>
      <c r="H113" s="38" t="n">
        <v>6</v>
      </c>
      <c r="I113" s="36" t="inlineStr">
        <is>
          <t>Moyenne</t>
        </is>
      </c>
      <c r="J113" s="36" t="inlineStr">
        <is>
          <t>Backlog</t>
        </is>
      </c>
      <c r="K113" s="39" t="n"/>
      <c r="L113" s="16">
        <f>IF($B113="","",IF(J113="Complétée",1,IF(J113="Abandonnée",0,IF(K113&lt;&gt;"",K113,IFERROR(VLOOKUP(J113,Parametres!$B$6:$C$12,2,FALSE),0)))))</f>
        <v/>
      </c>
      <c r="M113" s="15">
        <f>IF($B113="","",IF(J113="Abandonnée",0,H113))</f>
        <v/>
      </c>
      <c r="N113" s="15">
        <f>IF($B113="","",M113*L113)</f>
        <v/>
      </c>
      <c r="O113" s="37" t="n"/>
      <c r="P113" s="40" t="n">
        <v>46375</v>
      </c>
      <c r="Q113" s="40" t="n">
        <v>46384</v>
      </c>
      <c r="R113" s="40" t="n"/>
      <c r="S113" s="37" t="inlineStr">
        <is>
          <t>Partenaire fiscal confirmé</t>
        </is>
      </c>
      <c r="T113" s="36" t="inlineStr">
        <is>
          <t>Non</t>
        </is>
      </c>
      <c r="U113" s="13">
        <f>IF($B113="","",IF(AND(J113&lt;&gt;"Complétée",J113&lt;&gt;"Abandonnée",Q113&lt;&gt;"",TODAY()&gt;Q113),"En retard",""))</f>
        <v/>
      </c>
      <c r="V113" s="37" t="n"/>
    </row>
    <row r="114">
      <c r="B114" s="36" t="inlineStr">
        <is>
          <t>V3-006</t>
        </is>
      </c>
      <c r="C114" s="36" t="inlineStr">
        <is>
          <t>V3</t>
        </is>
      </c>
      <c r="D114" s="36" t="inlineStr">
        <is>
          <t>LEG</t>
        </is>
      </c>
      <c r="E114" s="37" t="inlineStr">
        <is>
          <t>LegalTech OHADA</t>
        </is>
      </c>
      <c r="F114" s="37" t="inlineStr">
        <is>
          <t>Écrans LegalTech</t>
        </is>
      </c>
      <c r="G114" s="37" t="inlineStr">
        <is>
          <t>Quota de documents par palier respecté</t>
        </is>
      </c>
      <c r="H114" s="38" t="n">
        <v>2</v>
      </c>
      <c r="I114" s="36" t="inlineStr">
        <is>
          <t>Moyenne</t>
        </is>
      </c>
      <c r="J114" s="36" t="inlineStr">
        <is>
          <t>Backlog</t>
        </is>
      </c>
      <c r="K114" s="39" t="n"/>
      <c r="L114" s="16">
        <f>IF($B114="","",IF(J114="Complétée",1,IF(J114="Abandonnée",0,IF(K114&lt;&gt;"",K114,IFERROR(VLOOKUP(J114,Parametres!$B$6:$C$12,2,FALSE),0)))))</f>
        <v/>
      </c>
      <c r="M114" s="15">
        <f>IF($B114="","",IF(J114="Abandonnée",0,H114))</f>
        <v/>
      </c>
      <c r="N114" s="15">
        <f>IF($B114="","",M114*L114)</f>
        <v/>
      </c>
      <c r="O114" s="37" t="n"/>
      <c r="P114" s="40" t="n">
        <v>46377</v>
      </c>
      <c r="Q114" s="40" t="n">
        <v>46380</v>
      </c>
      <c r="R114" s="40" t="n"/>
      <c r="S114" s="37" t="inlineStr"/>
      <c r="T114" s="36" t="inlineStr">
        <is>
          <t>Non</t>
        </is>
      </c>
      <c r="U114" s="13">
        <f>IF($B114="","",IF(AND(J114&lt;&gt;"Complétée",J114&lt;&gt;"Abandonnée",Q114&lt;&gt;"",TODAY()&gt;Q114),"En retard",""))</f>
        <v/>
      </c>
      <c r="V114" s="37" t="n"/>
    </row>
    <row r="115">
      <c r="B115" s="36" t="inlineStr">
        <is>
          <t>V3-007</t>
        </is>
      </c>
      <c r="C115" s="36" t="inlineStr">
        <is>
          <t>V3</t>
        </is>
      </c>
      <c r="D115" s="36" t="inlineStr">
        <is>
          <t>NEG</t>
        </is>
      </c>
      <c r="E115" s="37" t="inlineStr">
        <is>
          <t>Négociation</t>
        </is>
      </c>
      <c r="F115" s="37" t="inlineStr">
        <is>
          <t>Offre et contre-offre structurées et versionnées</t>
        </is>
      </c>
      <c r="G115" s="37" t="inlineStr">
        <is>
          <t>Toutes les versions conservées</t>
        </is>
      </c>
      <c r="H115" s="38" t="n">
        <v>6</v>
      </c>
      <c r="I115" s="36" t="inlineStr">
        <is>
          <t>Haute</t>
        </is>
      </c>
      <c r="J115" s="36" t="inlineStr">
        <is>
          <t>Backlog</t>
        </is>
      </c>
      <c r="K115" s="39" t="n"/>
      <c r="L115" s="16">
        <f>IF($B115="","",IF(J115="Complétée",1,IF(J115="Abandonnée",0,IF(K115&lt;&gt;"",K115,IFERROR(VLOOKUP(J115,Parametres!$B$6:$C$12,2,FALSE),0)))))</f>
        <v/>
      </c>
      <c r="M115" s="15">
        <f>IF($B115="","",IF(J115="Abandonnée",0,H115))</f>
        <v/>
      </c>
      <c r="N115" s="15">
        <f>IF($B115="","",M115*L115)</f>
        <v/>
      </c>
      <c r="O115" s="37" t="n"/>
      <c r="P115" s="40" t="n">
        <v>46378</v>
      </c>
      <c r="Q115" s="40" t="n">
        <v>46387</v>
      </c>
      <c r="R115" s="40" t="n"/>
      <c r="S115" s="37" t="inlineStr"/>
      <c r="T115" s="36" t="inlineStr">
        <is>
          <t>Non</t>
        </is>
      </c>
      <c r="U115" s="13">
        <f>IF($B115="","",IF(AND(J115&lt;&gt;"Complétée",J115&lt;&gt;"Abandonnée",Q115&lt;&gt;"",TODAY()&gt;Q115),"En retard",""))</f>
        <v/>
      </c>
      <c r="V115" s="37" t="n"/>
    </row>
    <row r="116">
      <c r="B116" s="36" t="inlineStr">
        <is>
          <t>V3-008</t>
        </is>
      </c>
      <c r="C116" s="36" t="inlineStr">
        <is>
          <t>V3</t>
        </is>
      </c>
      <c r="D116" s="36" t="inlineStr">
        <is>
          <t>NEG</t>
        </is>
      </c>
      <c r="E116" s="37" t="inlineStr">
        <is>
          <t>Négociation</t>
        </is>
      </c>
      <c r="F116" s="37" t="inlineStr">
        <is>
          <t>Générateur de LOI branché sur LegalTech</t>
        </is>
      </c>
      <c r="G116" s="37" t="inlineStr">
        <is>
          <t>LOI générée depuis l'offre acceptée</t>
        </is>
      </c>
      <c r="H116" s="38" t="n">
        <v>4</v>
      </c>
      <c r="I116" s="36" t="inlineStr">
        <is>
          <t>Haute</t>
        </is>
      </c>
      <c r="J116" s="36" t="inlineStr">
        <is>
          <t>Backlog</t>
        </is>
      </c>
      <c r="K116" s="39" t="n"/>
      <c r="L116" s="16">
        <f>IF($B116="","",IF(J116="Complétée",1,IF(J116="Abandonnée",0,IF(K116&lt;&gt;"",K116,IFERROR(VLOOKUP(J116,Parametres!$B$6:$C$12,2,FALSE),0)))))</f>
        <v/>
      </c>
      <c r="M116" s="15">
        <f>IF($B116="","",IF(J116="Abandonnée",0,H116))</f>
        <v/>
      </c>
      <c r="N116" s="15">
        <f>IF($B116="","",M116*L116)</f>
        <v/>
      </c>
      <c r="O116" s="37" t="n"/>
      <c r="P116" s="40" t="n">
        <v>46380</v>
      </c>
      <c r="Q116" s="40" t="n">
        <v>46386</v>
      </c>
      <c r="R116" s="40" t="n"/>
      <c r="S116" s="37" t="inlineStr">
        <is>
          <t>Moteur de génération</t>
        </is>
      </c>
      <c r="T116" s="36" t="inlineStr">
        <is>
          <t>Non</t>
        </is>
      </c>
      <c r="U116" s="13">
        <f>IF($B116="","",IF(AND(J116&lt;&gt;"Complétée",J116&lt;&gt;"Abandonnée",Q116&lt;&gt;"",TODAY()&gt;Q116),"En retard",""))</f>
        <v/>
      </c>
      <c r="V116" s="37" t="n"/>
    </row>
    <row r="117">
      <c r="B117" s="36" t="inlineStr">
        <is>
          <t>V3-009</t>
        </is>
      </c>
      <c r="C117" s="36" t="inlineStr">
        <is>
          <t>V3</t>
        </is>
      </c>
      <c r="D117" s="36" t="inlineStr">
        <is>
          <t>NEG</t>
        </is>
      </c>
      <c r="E117" s="37" t="inlineStr">
        <is>
          <t>Audit d'acquisition</t>
        </is>
      </c>
      <c r="F117" s="37" t="inlineStr">
        <is>
          <t>Registre des points ouverts d'audit d'acquisition (P15)</t>
        </is>
      </c>
      <c r="G117" s="37" t="inlineStr">
        <is>
          <t>Chaque point porte propriétaire, échéance, statut</t>
        </is>
      </c>
      <c r="H117" s="38" t="n">
        <v>6</v>
      </c>
      <c r="I117" s="36" t="inlineStr">
        <is>
          <t>Haute</t>
        </is>
      </c>
      <c r="J117" s="36" t="inlineStr">
        <is>
          <t>Backlog</t>
        </is>
      </c>
      <c r="K117" s="39" t="n"/>
      <c r="L117" s="16">
        <f>IF($B117="","",IF(J117="Complétée",1,IF(J117="Abandonnée",0,IF(K117&lt;&gt;"",K117,IFERROR(VLOOKUP(J117,Parametres!$B$6:$C$12,2,FALSE),0)))))</f>
        <v/>
      </c>
      <c r="M117" s="15">
        <f>IF($B117="","",IF(J117="Abandonnée",0,H117))</f>
        <v/>
      </c>
      <c r="N117" s="15">
        <f>IF($B117="","",M117*L117)</f>
        <v/>
      </c>
      <c r="O117" s="37" t="n"/>
      <c r="P117" s="40" t="n">
        <v>46382</v>
      </c>
      <c r="Q117" s="40" t="n">
        <v>46391</v>
      </c>
      <c r="R117" s="40" t="n"/>
      <c r="S117" s="37" t="inlineStr"/>
      <c r="T117" s="36" t="inlineStr">
        <is>
          <t>Non</t>
        </is>
      </c>
      <c r="U117" s="13">
        <f>IF($B117="","",IF(AND(J117&lt;&gt;"Complétée",J117&lt;&gt;"Abandonnée",Q117&lt;&gt;"",TODAY()&gt;Q117),"En retard",""))</f>
        <v/>
      </c>
      <c r="V117" s="37" t="n"/>
    </row>
    <row r="118">
      <c r="B118" s="36" t="inlineStr">
        <is>
          <t>V3-010</t>
        </is>
      </c>
      <c r="C118" s="36" t="inlineStr">
        <is>
          <t>V3</t>
        </is>
      </c>
      <c r="D118" s="36" t="inlineStr">
        <is>
          <t>NEG</t>
        </is>
      </c>
      <c r="E118" s="37" t="inlineStr">
        <is>
          <t>Audit d'acquisition</t>
        </is>
      </c>
      <c r="F118" s="37" t="inlineStr">
        <is>
          <t>Décision poursuivre / renégocier / abandonner avec motifs structurés</t>
        </is>
      </c>
      <c r="G118" s="37" t="inlineStr">
        <is>
          <t>Motif obligatoire à l'abandon</t>
        </is>
      </c>
      <c r="H118" s="38" t="n">
        <v>3</v>
      </c>
      <c r="I118" s="36" t="inlineStr">
        <is>
          <t>Moyenne</t>
        </is>
      </c>
      <c r="J118" s="36" t="inlineStr">
        <is>
          <t>Backlog</t>
        </is>
      </c>
      <c r="K118" s="39" t="n"/>
      <c r="L118" s="16">
        <f>IF($B118="","",IF(J118="Complétée",1,IF(J118="Abandonnée",0,IF(K118&lt;&gt;"",K118,IFERROR(VLOOKUP(J118,Parametres!$B$6:$C$12,2,FALSE),0)))))</f>
        <v/>
      </c>
      <c r="M118" s="15">
        <f>IF($B118="","",IF(J118="Abandonnée",0,H118))</f>
        <v/>
      </c>
      <c r="N118" s="15">
        <f>IF($B118="","",M118*L118)</f>
        <v/>
      </c>
      <c r="O118" s="37" t="n"/>
      <c r="P118" s="40" t="n">
        <v>46384</v>
      </c>
      <c r="Q118" s="40" t="n">
        <v>46389</v>
      </c>
      <c r="R118" s="40" t="n"/>
      <c r="S118" s="37" t="inlineStr"/>
      <c r="T118" s="36" t="inlineStr">
        <is>
          <t>Non</t>
        </is>
      </c>
      <c r="U118" s="13">
        <f>IF($B118="","",IF(AND(J118&lt;&gt;"Complétée",J118&lt;&gt;"Abandonnée",Q118&lt;&gt;"",TODAY()&gt;Q118),"En retard",""))</f>
        <v/>
      </c>
      <c r="V118" s="37" t="n"/>
    </row>
    <row r="119">
      <c r="B119" s="36" t="inlineStr">
        <is>
          <t>V3-011</t>
        </is>
      </c>
      <c r="C119" s="36" t="inlineStr">
        <is>
          <t>V3</t>
        </is>
      </c>
      <c r="D119" s="36" t="inlineStr">
        <is>
          <t>NEG</t>
        </is>
      </c>
      <c r="E119" s="37" t="inlineStr">
        <is>
          <t>Négociation</t>
        </is>
      </c>
      <c r="F119" s="37" t="inlineStr">
        <is>
          <t>Écrans négociation et audit</t>
        </is>
      </c>
      <c r="G119" s="37" t="inlineStr">
        <is>
          <t>Conditions sensibles visibles uniquement en T2</t>
        </is>
      </c>
      <c r="H119" s="38" t="n">
        <v>6</v>
      </c>
      <c r="I119" s="36" t="inlineStr">
        <is>
          <t>Moyenne</t>
        </is>
      </c>
      <c r="J119" s="36" t="inlineStr">
        <is>
          <t>Backlog</t>
        </is>
      </c>
      <c r="K119" s="39" t="n"/>
      <c r="L119" s="16">
        <f>IF($B119="","",IF(J119="Complétée",1,IF(J119="Abandonnée",0,IF(K119&lt;&gt;"",K119,IFERROR(VLOOKUP(J119,Parametres!$B$6:$C$12,2,FALSE),0)))))</f>
        <v/>
      </c>
      <c r="M119" s="15">
        <f>IF($B119="","",IF(J119="Abandonnée",0,H119))</f>
        <v/>
      </c>
      <c r="N119" s="15">
        <f>IF($B119="","",M119*L119)</f>
        <v/>
      </c>
      <c r="O119" s="37" t="n"/>
      <c r="P119" s="40" t="n">
        <v>46385</v>
      </c>
      <c r="Q119" s="40" t="n">
        <v>46394</v>
      </c>
      <c r="R119" s="40" t="n"/>
      <c r="S119" s="37" t="inlineStr"/>
      <c r="T119" s="36" t="inlineStr">
        <is>
          <t>Non</t>
        </is>
      </c>
      <c r="U119" s="13">
        <f>IF($B119="","",IF(AND(J119&lt;&gt;"Complétée",J119&lt;&gt;"Abandonnée",Q119&lt;&gt;"",TODAY()&gt;Q119),"En retard",""))</f>
        <v/>
      </c>
      <c r="V119" s="37" t="n"/>
    </row>
    <row r="120">
      <c r="B120" s="36" t="inlineStr">
        <is>
          <t>V3-012</t>
        </is>
      </c>
      <c r="C120" s="36" t="inlineStr">
        <is>
          <t>V3</t>
        </is>
      </c>
      <c r="D120" s="36" t="inlineStr">
        <is>
          <t>REA</t>
        </is>
      </c>
      <c r="E120" s="37" t="inlineStr">
        <is>
          <t>Réalisation</t>
        </is>
      </c>
      <c r="F120" s="37" t="inlineStr">
        <is>
          <t>Statut de réalisation (réalisé, différé, abandonné) et dossier de preuves</t>
        </is>
      </c>
      <c r="G120" s="37" t="inlineStr">
        <is>
          <t>Résultat présenté avec son niveau de preuve</t>
        </is>
      </c>
      <c r="H120" s="38" t="n">
        <v>5</v>
      </c>
      <c r="I120" s="36" t="inlineStr">
        <is>
          <t>Haute</t>
        </is>
      </c>
      <c r="J120" s="36" t="inlineStr">
        <is>
          <t>Backlog</t>
        </is>
      </c>
      <c r="K120" s="39" t="n"/>
      <c r="L120" s="16">
        <f>IF($B120="","",IF(J120="Complétée",1,IF(J120="Abandonnée",0,IF(K120&lt;&gt;"",K120,IFERROR(VLOOKUP(J120,Parametres!$B$6:$C$12,2,FALSE),0)))))</f>
        <v/>
      </c>
      <c r="M120" s="15">
        <f>IF($B120="","",IF(J120="Abandonnée",0,H120))</f>
        <v/>
      </c>
      <c r="N120" s="15">
        <f>IF($B120="","",M120*L120)</f>
        <v/>
      </c>
      <c r="O120" s="37" t="n"/>
      <c r="P120" s="40" t="n">
        <v>46387</v>
      </c>
      <c r="Q120" s="40" t="n">
        <v>46394</v>
      </c>
      <c r="R120" s="40" t="n"/>
      <c r="S120" s="37" t="inlineStr"/>
      <c r="T120" s="36" t="inlineStr">
        <is>
          <t>Non</t>
        </is>
      </c>
      <c r="U120" s="13">
        <f>IF($B120="","",IF(AND(J120&lt;&gt;"Complétée",J120&lt;&gt;"Abandonnée",Q120&lt;&gt;"",TODAY()&gt;Q120),"En retard",""))</f>
        <v/>
      </c>
      <c r="V120" s="37" t="n"/>
    </row>
    <row r="121">
      <c r="B121" s="36" t="inlineStr">
        <is>
          <t>V3-013</t>
        </is>
      </c>
      <c r="C121" s="36" t="inlineStr">
        <is>
          <t>V3</t>
        </is>
      </c>
      <c r="D121" s="36" t="inlineStr">
        <is>
          <t>REA</t>
        </is>
      </c>
      <c r="E121" s="37" t="inlineStr">
        <is>
          <t>Réalisation</t>
        </is>
      </c>
      <c r="F121" s="37" t="inlineStr">
        <is>
          <t>Références de formalités externes (RCCM) et confirmations des parties</t>
        </is>
      </c>
      <c r="G121" s="37" t="inlineStr">
        <is>
          <t>Référence RCCM stockée avec horodatage</t>
        </is>
      </c>
      <c r="H121" s="38" t="n">
        <v>3</v>
      </c>
      <c r="I121" s="36" t="inlineStr">
        <is>
          <t>Moyenne</t>
        </is>
      </c>
      <c r="J121" s="36" t="inlineStr">
        <is>
          <t>Backlog</t>
        </is>
      </c>
      <c r="K121" s="39" t="n"/>
      <c r="L121" s="16">
        <f>IF($B121="","",IF(J121="Complétée",1,IF(J121="Abandonnée",0,IF(K121&lt;&gt;"",K121,IFERROR(VLOOKUP(J121,Parametres!$B$6:$C$12,2,FALSE),0)))))</f>
        <v/>
      </c>
      <c r="M121" s="15">
        <f>IF($B121="","",IF(J121="Abandonnée",0,H121))</f>
        <v/>
      </c>
      <c r="N121" s="15">
        <f>IF($B121="","",M121*L121)</f>
        <v/>
      </c>
      <c r="O121" s="37" t="n"/>
      <c r="P121" s="40" t="n">
        <v>46389</v>
      </c>
      <c r="Q121" s="40" t="n">
        <v>46394</v>
      </c>
      <c r="R121" s="40" t="n"/>
      <c r="S121" s="37" t="inlineStr"/>
      <c r="T121" s="36" t="inlineStr">
        <is>
          <t>Non</t>
        </is>
      </c>
      <c r="U121" s="13">
        <f>IF($B121="","",IF(AND(J121&lt;&gt;"Complétée",J121&lt;&gt;"Abandonnée",Q121&lt;&gt;"",TODAY()&gt;Q121),"En retard",""))</f>
        <v/>
      </c>
      <c r="V121" s="37" t="n"/>
    </row>
    <row r="122">
      <c r="B122" s="36" t="inlineStr">
        <is>
          <t>V3-014</t>
        </is>
      </c>
      <c r="C122" s="36" t="inlineStr">
        <is>
          <t>V3</t>
        </is>
      </c>
      <c r="D122" s="36" t="inlineStr">
        <is>
          <t>REA</t>
        </is>
      </c>
      <c r="E122" s="37" t="inlineStr">
        <is>
          <t>Réalisation</t>
        </is>
      </c>
      <c r="F122" s="37" t="inlineStr">
        <is>
          <t>Création automatique du FeeEvent (PENDING ou SUSPENDED) à l'entrée en CLOSED_REPORTED</t>
        </is>
      </c>
      <c r="G122" s="37" t="inlineStr">
        <is>
          <t>Aucune réalisation sans FeeEvent (test)</t>
        </is>
      </c>
      <c r="H122" s="38" t="n">
        <v>4</v>
      </c>
      <c r="I122" s="36" t="inlineStr">
        <is>
          <t>Haute</t>
        </is>
      </c>
      <c r="J122" s="36" t="inlineStr">
        <is>
          <t>Backlog</t>
        </is>
      </c>
      <c r="K122" s="39" t="n"/>
      <c r="L122" s="16">
        <f>IF($B122="","",IF(J122="Complétée",1,IF(J122="Abandonnée",0,IF(K122&lt;&gt;"",K122,IFERROR(VLOOKUP(J122,Parametres!$B$6:$C$12,2,FALSE),0)))))</f>
        <v/>
      </c>
      <c r="M122" s="15">
        <f>IF($B122="","",IF(J122="Abandonnée",0,H122))</f>
        <v/>
      </c>
      <c r="N122" s="15">
        <f>IF($B122="","",M122*L122)</f>
        <v/>
      </c>
      <c r="O122" s="37" t="n"/>
      <c r="P122" s="40" t="n">
        <v>46390</v>
      </c>
      <c r="Q122" s="40" t="n">
        <v>46396</v>
      </c>
      <c r="R122" s="40" t="n"/>
      <c r="S122" s="37" t="inlineStr"/>
      <c r="T122" s="36" t="inlineStr">
        <is>
          <t>Non</t>
        </is>
      </c>
      <c r="U122" s="13">
        <f>IF($B122="","",IF(AND(J122&lt;&gt;"Complétée",J122&lt;&gt;"Abandonnée",Q122&lt;&gt;"",TODAY()&gt;Q122),"En retard",""))</f>
        <v/>
      </c>
      <c r="V122" s="37" t="n"/>
    </row>
    <row r="123">
      <c r="B123" s="36" t="inlineStr">
        <is>
          <t>V3-015</t>
        </is>
      </c>
      <c r="C123" s="36" t="inlineStr">
        <is>
          <t>V3</t>
        </is>
      </c>
      <c r="D123" s="36" t="inlineStr">
        <is>
          <t>REA</t>
        </is>
      </c>
      <c r="E123" s="37" t="inlineStr">
        <is>
          <t>Réalisation</t>
        </is>
      </c>
      <c r="F123" s="37" t="inlineStr">
        <is>
          <t>Écrans réalisation</t>
        </is>
      </c>
      <c r="G123" s="37" t="inlineStr">
        <is>
          <t>Statut lisible par les deux parties</t>
        </is>
      </c>
      <c r="H123" s="38" t="n">
        <v>3</v>
      </c>
      <c r="I123" s="36" t="inlineStr">
        <is>
          <t>Moyenne</t>
        </is>
      </c>
      <c r="J123" s="36" t="inlineStr">
        <is>
          <t>Backlog</t>
        </is>
      </c>
      <c r="K123" s="39" t="n"/>
      <c r="L123" s="16">
        <f>IF($B123="","",IF(J123="Complétée",1,IF(J123="Abandonnée",0,IF(K123&lt;&gt;"",K123,IFERROR(VLOOKUP(J123,Parametres!$B$6:$C$12,2,FALSE),0)))))</f>
        <v/>
      </c>
      <c r="M123" s="15">
        <f>IF($B123="","",IF(J123="Abandonnée",0,H123))</f>
        <v/>
      </c>
      <c r="N123" s="15">
        <f>IF($B123="","",M123*L123)</f>
        <v/>
      </c>
      <c r="O123" s="37" t="n"/>
      <c r="P123" s="40" t="n">
        <v>46392</v>
      </c>
      <c r="Q123" s="40" t="n">
        <v>46397</v>
      </c>
      <c r="R123" s="40" t="n"/>
      <c r="S123" s="37" t="inlineStr"/>
      <c r="T123" s="36" t="inlineStr">
        <is>
          <t>Non</t>
        </is>
      </c>
      <c r="U123" s="13">
        <f>IF($B123="","",IF(AND(J123&lt;&gt;"Complétée",J123&lt;&gt;"Abandonnée",Q123&lt;&gt;"",TODAY()&gt;Q123),"En retard",""))</f>
        <v/>
      </c>
      <c r="V123" s="37" t="n"/>
    </row>
    <row r="124">
      <c r="B124" s="36" t="inlineStr">
        <is>
          <t>V3-016</t>
        </is>
      </c>
      <c r="C124" s="36" t="inlineStr">
        <is>
          <t>V3</t>
        </is>
      </c>
      <c r="D124" s="36" t="inlineStr">
        <is>
          <t>FIN</t>
        </is>
      </c>
      <c r="E124" s="37" t="inlineStr">
        <is>
          <t>Finance</t>
        </is>
      </c>
      <c r="F124" s="37" t="inlineStr">
        <is>
          <t>Enregistrement des revenus, catégories contractuelles et attribution</t>
        </is>
      </c>
      <c r="G124" s="37" t="inlineStr">
        <is>
          <t>Chaque revenu rattaché à une catégorie et un canal</t>
        </is>
      </c>
      <c r="H124" s="38" t="n">
        <v>5</v>
      </c>
      <c r="I124" s="36" t="inlineStr">
        <is>
          <t>Haute</t>
        </is>
      </c>
      <c r="J124" s="36" t="inlineStr">
        <is>
          <t>Backlog</t>
        </is>
      </c>
      <c r="K124" s="39" t="n"/>
      <c r="L124" s="16">
        <f>IF($B124="","",IF(J124="Complétée",1,IF(J124="Abandonnée",0,IF(K124&lt;&gt;"",K124,IFERROR(VLOOKUP(J124,Parametres!$B$6:$C$12,2,FALSE),0)))))</f>
        <v/>
      </c>
      <c r="M124" s="15">
        <f>IF($B124="","",IF(J124="Abandonnée",0,H124))</f>
        <v/>
      </c>
      <c r="N124" s="15">
        <f>IF($B124="","",M124*L124)</f>
        <v/>
      </c>
      <c r="O124" s="37" t="n"/>
      <c r="P124" s="40" t="n">
        <v>46393</v>
      </c>
      <c r="Q124" s="40" t="n">
        <v>46400</v>
      </c>
      <c r="R124" s="40" t="n"/>
      <c r="S124" s="37" t="inlineStr"/>
      <c r="T124" s="36" t="inlineStr">
        <is>
          <t>Non</t>
        </is>
      </c>
      <c r="U124" s="13">
        <f>IF($B124="","",IF(AND(J124&lt;&gt;"Complétée",J124&lt;&gt;"Abandonnée",Q124&lt;&gt;"",TODAY()&gt;Q124),"En retard",""))</f>
        <v/>
      </c>
      <c r="V124" s="37" t="n"/>
    </row>
    <row r="125">
      <c r="B125" s="36" t="inlineStr">
        <is>
          <t>V3-017</t>
        </is>
      </c>
      <c r="C125" s="36" t="inlineStr">
        <is>
          <t>V3</t>
        </is>
      </c>
      <c r="D125" s="36" t="inlineStr">
        <is>
          <t>FIN</t>
        </is>
      </c>
      <c r="E125" s="37" t="inlineStr">
        <is>
          <t>Finance</t>
        </is>
      </c>
      <c r="F125" s="37" t="inlineStr">
        <is>
          <t>Calcul du revenu net (déductions contractuelles) avec décomposition stockée</t>
        </is>
      </c>
      <c r="G125" s="37" t="inlineStr">
        <is>
          <t>Décomposition auditable ligne par ligne</t>
        </is>
      </c>
      <c r="H125" s="38" t="n">
        <v>5</v>
      </c>
      <c r="I125" s="36" t="inlineStr">
        <is>
          <t>Haute</t>
        </is>
      </c>
      <c r="J125" s="36" t="inlineStr">
        <is>
          <t>Backlog</t>
        </is>
      </c>
      <c r="K125" s="39" t="n"/>
      <c r="L125" s="16">
        <f>IF($B125="","",IF(J125="Complétée",1,IF(J125="Abandonnée",0,IF(K125&lt;&gt;"",K125,IFERROR(VLOOKUP(J125,Parametres!$B$6:$C$12,2,FALSE),0)))))</f>
        <v/>
      </c>
      <c r="M125" s="15">
        <f>IF($B125="","",IF(J125="Abandonnée",0,H125))</f>
        <v/>
      </c>
      <c r="N125" s="15">
        <f>IF($B125="","",M125*L125)</f>
        <v/>
      </c>
      <c r="O125" s="37" t="n"/>
      <c r="P125" s="40" t="n">
        <v>46394</v>
      </c>
      <c r="Q125" s="40" t="n">
        <v>46401</v>
      </c>
      <c r="R125" s="40" t="n"/>
      <c r="S125" s="37" t="inlineStr"/>
      <c r="T125" s="36" t="inlineStr">
        <is>
          <t>Non</t>
        </is>
      </c>
      <c r="U125" s="13">
        <f>IF($B125="","",IF(AND(J125&lt;&gt;"Complétée",J125&lt;&gt;"Abandonnée",Q125&lt;&gt;"",TODAY()&gt;Q125),"En retard",""))</f>
        <v/>
      </c>
      <c r="V125" s="37" t="n"/>
    </row>
    <row r="126">
      <c r="B126" s="36" t="inlineStr">
        <is>
          <t>V3-018</t>
        </is>
      </c>
      <c r="C126" s="36" t="inlineStr">
        <is>
          <t>V3</t>
        </is>
      </c>
      <c r="D126" s="36" t="inlineStr">
        <is>
          <t>FIN</t>
        </is>
      </c>
      <c r="E126" s="37" t="inlineStr">
        <is>
          <t>Finance</t>
        </is>
      </c>
      <c r="F126" s="37" t="inlineStr">
        <is>
          <t>Barème de frais par tranche et minimum garanti, sous drapeau juridique DP-RPS-021</t>
        </is>
      </c>
      <c r="G126" s="37" t="inlineStr">
        <is>
          <t>Barème inactif tant que le drapeau est fermé</t>
        </is>
      </c>
      <c r="H126" s="38" t="n">
        <v>5</v>
      </c>
      <c r="I126" s="36" t="inlineStr">
        <is>
          <t>Haute</t>
        </is>
      </c>
      <c r="J126" s="36" t="inlineStr">
        <is>
          <t>Backlog</t>
        </is>
      </c>
      <c r="K126" s="39" t="n"/>
      <c r="L126" s="16">
        <f>IF($B126="","",IF(J126="Complétée",1,IF(J126="Abandonnée",0,IF(K126&lt;&gt;"",K126,IFERROR(VLOOKUP(J126,Parametres!$B$6:$C$12,2,FALSE),0)))))</f>
        <v/>
      </c>
      <c r="M126" s="15">
        <f>IF($B126="","",IF(J126="Abandonnée",0,H126))</f>
        <v/>
      </c>
      <c r="N126" s="15">
        <f>IF($B126="","",M126*L126)</f>
        <v/>
      </c>
      <c r="O126" s="37" t="n"/>
      <c r="P126" s="40" t="n">
        <v>46396</v>
      </c>
      <c r="Q126" s="40" t="n">
        <v>46403</v>
      </c>
      <c r="R126" s="40" t="n"/>
      <c r="S126" s="37" t="inlineStr">
        <is>
          <t>Avis juridique écrit</t>
        </is>
      </c>
      <c r="T126" s="36" t="inlineStr">
        <is>
          <t>Non</t>
        </is>
      </c>
      <c r="U126" s="13">
        <f>IF($B126="","",IF(AND(J126&lt;&gt;"Complétée",J126&lt;&gt;"Abandonnée",Q126&lt;&gt;"",TODAY()&gt;Q126),"En retard",""))</f>
        <v/>
      </c>
      <c r="V126" s="37" t="n"/>
    </row>
    <row r="127">
      <c r="B127" s="36" t="inlineStr">
        <is>
          <t>V3-019</t>
        </is>
      </c>
      <c r="C127" s="36" t="inlineStr">
        <is>
          <t>V3</t>
        </is>
      </c>
      <c r="D127" s="36" t="inlineStr">
        <is>
          <t>FIN</t>
        </is>
      </c>
      <c r="E127" s="37" t="inlineStr">
        <is>
          <t>Finance</t>
        </is>
      </c>
      <c r="F127" s="37" t="inlineStr">
        <is>
          <t>Rétrocession par catégorie (90/10, 50/50, 70/30) et test d'éligibilité</t>
        </is>
      </c>
      <c r="G127" s="37" t="inlineStr">
        <is>
          <t>Transaction non attribuée exclue automatiquement</t>
        </is>
      </c>
      <c r="H127" s="38" t="n">
        <v>6</v>
      </c>
      <c r="I127" s="36" t="inlineStr">
        <is>
          <t>Haute</t>
        </is>
      </c>
      <c r="J127" s="36" t="inlineStr">
        <is>
          <t>Backlog</t>
        </is>
      </c>
      <c r="K127" s="39" t="n"/>
      <c r="L127" s="16">
        <f>IF($B127="","",IF(J127="Complétée",1,IF(J127="Abandonnée",0,IF(K127&lt;&gt;"",K127,IFERROR(VLOOKUP(J127,Parametres!$B$6:$C$12,2,FALSE),0)))))</f>
        <v/>
      </c>
      <c r="M127" s="15">
        <f>IF($B127="","",IF(J127="Abandonnée",0,H127))</f>
        <v/>
      </c>
      <c r="N127" s="15">
        <f>IF($B127="","",M127*L127)</f>
        <v/>
      </c>
      <c r="O127" s="37" t="n"/>
      <c r="P127" s="40" t="n">
        <v>46398</v>
      </c>
      <c r="Q127" s="40" t="n">
        <v>46407</v>
      </c>
      <c r="R127" s="40" t="n"/>
      <c r="S127" s="37" t="inlineStr"/>
      <c r="T127" s="36" t="inlineStr">
        <is>
          <t>Non</t>
        </is>
      </c>
      <c r="U127" s="13">
        <f>IF($B127="","",IF(AND(J127&lt;&gt;"Complétée",J127&lt;&gt;"Abandonnée",Q127&lt;&gt;"",TODAY()&gt;Q127),"En retard",""))</f>
        <v/>
      </c>
      <c r="V127" s="37" t="n"/>
    </row>
    <row r="128">
      <c r="B128" s="36" t="inlineStr">
        <is>
          <t>V3-020</t>
        </is>
      </c>
      <c r="C128" s="36" t="inlineStr">
        <is>
          <t>V3</t>
        </is>
      </c>
      <c r="D128" s="36" t="inlineStr">
        <is>
          <t>FIN</t>
        </is>
      </c>
      <c r="E128" s="37" t="inlineStr">
        <is>
          <t>Finance</t>
        </is>
      </c>
      <c r="F128" s="37" t="inlineStr">
        <is>
          <t>Journal de calcul recalculable sans accès au code source</t>
        </is>
      </c>
      <c r="G128" s="37" t="inlineStr">
        <is>
          <t>Recalcul indépendant identique au centime</t>
        </is>
      </c>
      <c r="H128" s="38" t="n">
        <v>5</v>
      </c>
      <c r="I128" s="36" t="inlineStr">
        <is>
          <t>Haute</t>
        </is>
      </c>
      <c r="J128" s="36" t="inlineStr">
        <is>
          <t>Backlog</t>
        </is>
      </c>
      <c r="K128" s="39" t="n"/>
      <c r="L128" s="16">
        <f>IF($B128="","",IF(J128="Complétée",1,IF(J128="Abandonnée",0,IF(K128&lt;&gt;"",K128,IFERROR(VLOOKUP(J128,Parametres!$B$6:$C$12,2,FALSE),0)))))</f>
        <v/>
      </c>
      <c r="M128" s="15">
        <f>IF($B128="","",IF(J128="Abandonnée",0,H128))</f>
        <v/>
      </c>
      <c r="N128" s="15">
        <f>IF($B128="","",M128*L128)</f>
        <v/>
      </c>
      <c r="O128" s="37" t="n"/>
      <c r="P128" s="40" t="n">
        <v>46400</v>
      </c>
      <c r="Q128" s="40" t="n">
        <v>46407</v>
      </c>
      <c r="R128" s="40" t="n"/>
      <c r="S128" s="37" t="inlineStr"/>
      <c r="T128" s="36" t="inlineStr">
        <is>
          <t>Non</t>
        </is>
      </c>
      <c r="U128" s="13">
        <f>IF($B128="","",IF(AND(J128&lt;&gt;"Complétée",J128&lt;&gt;"Abandonnée",Q128&lt;&gt;"",TODAY()&gt;Q128),"En retard",""))</f>
        <v/>
      </c>
      <c r="V128" s="37" t="n"/>
    </row>
    <row r="129">
      <c r="B129" s="36" t="inlineStr">
        <is>
          <t>V3-021</t>
        </is>
      </c>
      <c r="C129" s="36" t="inlineStr">
        <is>
          <t>V3</t>
        </is>
      </c>
      <c r="D129" s="36" t="inlineStr">
        <is>
          <t>FIN</t>
        </is>
      </c>
      <c r="E129" s="37" t="inlineStr">
        <is>
          <t>Finance</t>
        </is>
      </c>
      <c r="F129" s="37" t="inlineStr">
        <is>
          <t>Reporting continu, rapport trimestriel archivé, fenêtre de contestation 30 jours</t>
        </is>
      </c>
      <c r="G129" s="37" t="inlineStr">
        <is>
          <t>Rapport immuable après archivage</t>
        </is>
      </c>
      <c r="H129" s="38" t="n">
        <v>6</v>
      </c>
      <c r="I129" s="36" t="inlineStr">
        <is>
          <t>Haute</t>
        </is>
      </c>
      <c r="J129" s="36" t="inlineStr">
        <is>
          <t>Backlog</t>
        </is>
      </c>
      <c r="K129" s="39" t="n"/>
      <c r="L129" s="16">
        <f>IF($B129="","",IF(J129="Complétée",1,IF(J129="Abandonnée",0,IF(K129&lt;&gt;"",K129,IFERROR(VLOOKUP(J129,Parametres!$B$6:$C$12,2,FALSE),0)))))</f>
        <v/>
      </c>
      <c r="M129" s="15">
        <f>IF($B129="","",IF(J129="Abandonnée",0,H129))</f>
        <v/>
      </c>
      <c r="N129" s="15">
        <f>IF($B129="","",M129*L129)</f>
        <v/>
      </c>
      <c r="O129" s="37" t="n"/>
      <c r="P129" s="40" t="n">
        <v>46402</v>
      </c>
      <c r="Q129" s="40" t="n">
        <v>46411</v>
      </c>
      <c r="R129" s="40" t="n"/>
      <c r="S129" s="37" t="inlineStr"/>
      <c r="T129" s="36" t="inlineStr">
        <is>
          <t>Non</t>
        </is>
      </c>
      <c r="U129" s="13">
        <f>IF($B129="","",IF(AND(J129&lt;&gt;"Complétée",J129&lt;&gt;"Abandonnée",Q129&lt;&gt;"",TODAY()&gt;Q129),"En retard",""))</f>
        <v/>
      </c>
      <c r="V129" s="37" t="n"/>
    </row>
    <row r="130">
      <c r="B130" s="36" t="inlineStr">
        <is>
          <t>V3-022</t>
        </is>
      </c>
      <c r="C130" s="36" t="inlineStr">
        <is>
          <t>V3</t>
        </is>
      </c>
      <c r="D130" s="36" t="inlineStr">
        <is>
          <t>FIN</t>
        </is>
      </c>
      <c r="E130" s="37" t="inlineStr">
        <is>
          <t>Finance</t>
        </is>
      </c>
      <c r="F130" s="37" t="inlineStr">
        <is>
          <t>Export d'audit scopé (jamais le code ni les données d'autres clients)</t>
        </is>
      </c>
      <c r="G130" s="37" t="inlineStr">
        <is>
          <t>Export vérifié par le contrôle CCI-Togo</t>
        </is>
      </c>
      <c r="H130" s="38" t="n">
        <v>3</v>
      </c>
      <c r="I130" s="36" t="inlineStr">
        <is>
          <t>Moyenne</t>
        </is>
      </c>
      <c r="J130" s="36" t="inlineStr">
        <is>
          <t>Backlog</t>
        </is>
      </c>
      <c r="K130" s="39" t="n"/>
      <c r="L130" s="16">
        <f>IF($B130="","",IF(J130="Complétée",1,IF(J130="Abandonnée",0,IF(K130&lt;&gt;"",K130,IFERROR(VLOOKUP(J130,Parametres!$B$6:$C$12,2,FALSE),0)))))</f>
        <v/>
      </c>
      <c r="M130" s="15">
        <f>IF($B130="","",IF(J130="Abandonnée",0,H130))</f>
        <v/>
      </c>
      <c r="N130" s="15">
        <f>IF($B130="","",M130*L130)</f>
        <v/>
      </c>
      <c r="O130" s="37" t="n"/>
      <c r="P130" s="40" t="n">
        <v>46404</v>
      </c>
      <c r="Q130" s="40" t="n">
        <v>46409</v>
      </c>
      <c r="R130" s="40" t="n"/>
      <c r="S130" s="37" t="inlineStr"/>
      <c r="T130" s="36" t="inlineStr">
        <is>
          <t>Non</t>
        </is>
      </c>
      <c r="U130" s="13">
        <f>IF($B130="","",IF(AND(J130&lt;&gt;"Complétée",J130&lt;&gt;"Abandonnée",Q130&lt;&gt;"",TODAY()&gt;Q130),"En retard",""))</f>
        <v/>
      </c>
      <c r="V130" s="37" t="n"/>
    </row>
    <row r="131">
      <c r="B131" s="36" t="inlineStr">
        <is>
          <t>V3-023</t>
        </is>
      </c>
      <c r="C131" s="36" t="inlineStr">
        <is>
          <t>V3</t>
        </is>
      </c>
      <c r="D131" s="36" t="inlineStr">
        <is>
          <t>SUP</t>
        </is>
      </c>
      <c r="E131" s="37" t="inlineStr">
        <is>
          <t>Support</t>
        </is>
      </c>
      <c r="F131" s="37" t="inlineStr">
        <is>
          <t>Système de tickets et sévérités P1 à P4 avec délais contractuels</t>
        </is>
      </c>
      <c r="G131" s="37" t="inlineStr">
        <is>
          <t>Délai d'accusé mesuré par sévérité</t>
        </is>
      </c>
      <c r="H131" s="38" t="n">
        <v>4</v>
      </c>
      <c r="I131" s="36" t="inlineStr">
        <is>
          <t>Moyenne</t>
        </is>
      </c>
      <c r="J131" s="36" t="inlineStr">
        <is>
          <t>Backlog</t>
        </is>
      </c>
      <c r="K131" s="39" t="n"/>
      <c r="L131" s="16">
        <f>IF($B131="","",IF(J131="Complétée",1,IF(J131="Abandonnée",0,IF(K131&lt;&gt;"",K131,IFERROR(VLOOKUP(J131,Parametres!$B$6:$C$12,2,FALSE),0)))))</f>
        <v/>
      </c>
      <c r="M131" s="15">
        <f>IF($B131="","",IF(J131="Abandonnée",0,H131))</f>
        <v/>
      </c>
      <c r="N131" s="15">
        <f>IF($B131="","",M131*L131)</f>
        <v/>
      </c>
      <c r="O131" s="37" t="n"/>
      <c r="P131" s="40" t="n">
        <v>46405</v>
      </c>
      <c r="Q131" s="40" t="n">
        <v>46411</v>
      </c>
      <c r="R131" s="40" t="n"/>
      <c r="S131" s="37" t="inlineStr"/>
      <c r="T131" s="36" t="inlineStr">
        <is>
          <t>Non</t>
        </is>
      </c>
      <c r="U131" s="13">
        <f>IF($B131="","",IF(AND(J131&lt;&gt;"Complétée",J131&lt;&gt;"Abandonnée",Q131&lt;&gt;"",TODAY()&gt;Q131),"En retard",""))</f>
        <v/>
      </c>
      <c r="V131" s="37" t="n"/>
    </row>
    <row r="132">
      <c r="B132" s="36" t="inlineStr">
        <is>
          <t>V3-024</t>
        </is>
      </c>
      <c r="C132" s="36" t="inlineStr">
        <is>
          <t>V3</t>
        </is>
      </c>
      <c r="D132" s="36" t="inlineStr">
        <is>
          <t>SUP</t>
        </is>
      </c>
      <c r="E132" s="37" t="inlineStr">
        <is>
          <t>Support</t>
        </is>
      </c>
      <c r="F132" s="37" t="inlineStr">
        <is>
          <t>Accès privilégié motivé, scopé, expirant, avec notification du propriétaire du dossier</t>
        </is>
      </c>
      <c r="G132" s="37" t="inlineStr">
        <is>
          <t>Propriétaire notifié à chaque accès</t>
        </is>
      </c>
      <c r="H132" s="38" t="n">
        <v>4</v>
      </c>
      <c r="I132" s="36" t="inlineStr">
        <is>
          <t>Haute</t>
        </is>
      </c>
      <c r="J132" s="36" t="inlineStr">
        <is>
          <t>Backlog</t>
        </is>
      </c>
      <c r="K132" s="39" t="n"/>
      <c r="L132" s="16">
        <f>IF($B132="","",IF(J132="Complétée",1,IF(J132="Abandonnée",0,IF(K132&lt;&gt;"",K132,IFERROR(VLOOKUP(J132,Parametres!$B$6:$C$12,2,FALSE),0)))))</f>
        <v/>
      </c>
      <c r="M132" s="15">
        <f>IF($B132="","",IF(J132="Abandonnée",0,H132))</f>
        <v/>
      </c>
      <c r="N132" s="15">
        <f>IF($B132="","",M132*L132)</f>
        <v/>
      </c>
      <c r="O132" s="37" t="n"/>
      <c r="P132" s="40" t="n">
        <v>46407</v>
      </c>
      <c r="Q132" s="40" t="n">
        <v>46413</v>
      </c>
      <c r="R132" s="40" t="n"/>
      <c r="S132" s="37" t="inlineStr"/>
      <c r="T132" s="36" t="inlineStr">
        <is>
          <t>Non</t>
        </is>
      </c>
      <c r="U132" s="13">
        <f>IF($B132="","",IF(AND(J132&lt;&gt;"Complétée",J132&lt;&gt;"Abandonnée",Q132&lt;&gt;"",TODAY()&gt;Q132),"En retard",""))</f>
        <v/>
      </c>
      <c r="V132" s="37" t="n"/>
    </row>
    <row r="133">
      <c r="B133" s="36" t="inlineStr">
        <is>
          <t>V3-025</t>
        </is>
      </c>
      <c r="C133" s="36" t="inlineStr">
        <is>
          <t>V3</t>
        </is>
      </c>
      <c r="D133" s="36" t="inlineStr">
        <is>
          <t>SUP</t>
        </is>
      </c>
      <c r="E133" s="37" t="inlineStr">
        <is>
          <t>Support</t>
        </is>
      </c>
      <c r="F133" s="37" t="inlineStr">
        <is>
          <t>Mode 'break-glass' journalisé pour l'administration</t>
        </is>
      </c>
      <c r="G133" s="37" t="inlineStr">
        <is>
          <t>Chaque usage journalisé avec motif et approbateur</t>
        </is>
      </c>
      <c r="H133" s="38" t="n">
        <v>2</v>
      </c>
      <c r="I133" s="36" t="inlineStr">
        <is>
          <t>Haute</t>
        </is>
      </c>
      <c r="J133" s="36" t="inlineStr">
        <is>
          <t>Backlog</t>
        </is>
      </c>
      <c r="K133" s="39" t="n"/>
      <c r="L133" s="16">
        <f>IF($B133="","",IF(J133="Complétée",1,IF(J133="Abandonnée",0,IF(K133&lt;&gt;"",K133,IFERROR(VLOOKUP(J133,Parametres!$B$6:$C$12,2,FALSE),0)))))</f>
        <v/>
      </c>
      <c r="M133" s="15">
        <f>IF($B133="","",IF(J133="Abandonnée",0,H133))</f>
        <v/>
      </c>
      <c r="N133" s="15">
        <f>IF($B133="","",M133*L133)</f>
        <v/>
      </c>
      <c r="O133" s="37" t="n"/>
      <c r="P133" s="40" t="n">
        <v>46408</v>
      </c>
      <c r="Q133" s="40" t="n">
        <v>46411</v>
      </c>
      <c r="R133" s="40" t="n"/>
      <c r="S133" s="37" t="inlineStr"/>
      <c r="T133" s="36" t="inlineStr">
        <is>
          <t>Non</t>
        </is>
      </c>
      <c r="U133" s="13">
        <f>IF($B133="","",IF(AND(J133&lt;&gt;"Complétée",J133&lt;&gt;"Abandonnée",Q133&lt;&gt;"",TODAY()&gt;Q133),"En retard",""))</f>
        <v/>
      </c>
      <c r="V133" s="37" t="n"/>
    </row>
    <row r="134">
      <c r="B134" s="36" t="inlineStr">
        <is>
          <t>V3-026</t>
        </is>
      </c>
      <c r="C134" s="36" t="inlineStr">
        <is>
          <t>V3</t>
        </is>
      </c>
      <c r="D134" s="36" t="inlineStr">
        <is>
          <t>OPS</t>
        </is>
      </c>
      <c r="E134" s="37" t="inlineStr">
        <is>
          <t>Portes de conformité</t>
        </is>
      </c>
      <c r="F134" s="37" t="inlineStr">
        <is>
          <t>Déclaration IPDCP et autorisation de transfert transfrontalier (G1, G2)</t>
        </is>
      </c>
      <c r="G134" s="37" t="inlineStr">
        <is>
          <t>Récépissés archivés</t>
        </is>
      </c>
      <c r="H134" s="38" t="n">
        <v>5</v>
      </c>
      <c r="I134" s="36" t="inlineStr">
        <is>
          <t>Haute</t>
        </is>
      </c>
      <c r="J134" s="36" t="inlineStr">
        <is>
          <t>Backlog</t>
        </is>
      </c>
      <c r="K134" s="39" t="n"/>
      <c r="L134" s="16">
        <f>IF($B134="","",IF(J134="Complétée",1,IF(J134="Abandonnée",0,IF(K134&lt;&gt;"",K134,IFERROR(VLOOKUP(J134,Parametres!$B$6:$C$12,2,FALSE),0)))))</f>
        <v/>
      </c>
      <c r="M134" s="15">
        <f>IF($B134="","",IF(J134="Abandonnée",0,H134))</f>
        <v/>
      </c>
      <c r="N134" s="15">
        <f>IF($B134="","",M134*L134)</f>
        <v/>
      </c>
      <c r="O134" s="37" t="n"/>
      <c r="P134" s="40" t="n">
        <v>46409</v>
      </c>
      <c r="Q134" s="40" t="n">
        <v>46416</v>
      </c>
      <c r="R134" s="40" t="n"/>
      <c r="S134" s="37" t="inlineStr"/>
      <c r="T134" s="36" t="inlineStr">
        <is>
          <t>Oui</t>
        </is>
      </c>
      <c r="U134" s="13">
        <f>IF($B134="","",IF(AND(J134&lt;&gt;"Complétée",J134&lt;&gt;"Abandonnée",Q134&lt;&gt;"",TODAY()&gt;Q134),"En retard",""))</f>
        <v/>
      </c>
      <c r="V134" s="37" t="n"/>
    </row>
    <row r="135">
      <c r="B135" s="36" t="inlineStr">
        <is>
          <t>V3-027</t>
        </is>
      </c>
      <c r="C135" s="36" t="inlineStr">
        <is>
          <t>V3</t>
        </is>
      </c>
      <c r="D135" s="36" t="inlineStr">
        <is>
          <t>OPS</t>
        </is>
      </c>
      <c r="E135" s="37" t="inlineStr">
        <is>
          <t>Portes de conformité</t>
        </is>
      </c>
      <c r="F135" s="37" t="inlineStr">
        <is>
          <t>Revue juridique NDA, CGU, politique de confidentialité (G4)</t>
        </is>
      </c>
      <c r="G135" s="37" t="inlineStr">
        <is>
          <t>Avis écrit archivé</t>
        </is>
      </c>
      <c r="H135" s="38" t="n">
        <v>3</v>
      </c>
      <c r="I135" s="36" t="inlineStr">
        <is>
          <t>Haute</t>
        </is>
      </c>
      <c r="J135" s="36" t="inlineStr">
        <is>
          <t>Backlog</t>
        </is>
      </c>
      <c r="K135" s="39" t="n"/>
      <c r="L135" s="16">
        <f>IF($B135="","",IF(J135="Complétée",1,IF(J135="Abandonnée",0,IF(K135&lt;&gt;"",K135,IFERROR(VLOOKUP(J135,Parametres!$B$6:$C$12,2,FALSE),0)))))</f>
        <v/>
      </c>
      <c r="M135" s="15">
        <f>IF($B135="","",IF(J135="Abandonnée",0,H135))</f>
        <v/>
      </c>
      <c r="N135" s="15">
        <f>IF($B135="","",M135*L135)</f>
        <v/>
      </c>
      <c r="O135" s="37" t="n"/>
      <c r="P135" s="40" t="n">
        <v>46411</v>
      </c>
      <c r="Q135" s="40" t="n">
        <v>46416</v>
      </c>
      <c r="R135" s="40" t="n"/>
      <c r="S135" s="37" t="inlineStr"/>
      <c r="T135" s="36" t="inlineStr">
        <is>
          <t>Non</t>
        </is>
      </c>
      <c r="U135" s="13">
        <f>IF($B135="","",IF(AND(J135&lt;&gt;"Complétée",J135&lt;&gt;"Abandonnée",Q135&lt;&gt;"",TODAY()&gt;Q135),"En retard",""))</f>
        <v/>
      </c>
      <c r="V135" s="37" t="n"/>
    </row>
    <row r="136">
      <c r="B136" s="36" t="inlineStr">
        <is>
          <t>V3-028</t>
        </is>
      </c>
      <c r="C136" s="36" t="inlineStr">
        <is>
          <t>V3</t>
        </is>
      </c>
      <c r="D136" s="36" t="inlineStr">
        <is>
          <t>OPS</t>
        </is>
      </c>
      <c r="E136" s="37" t="inlineStr">
        <is>
          <t>Portes de conformité</t>
        </is>
      </c>
      <c r="F136" s="37" t="inlineStr">
        <is>
          <t>Avis juridique écrit sur le RPS (G5) et vérification des tests de plafond (G6)</t>
        </is>
      </c>
      <c r="G136" s="37" t="inlineStr">
        <is>
          <t>Avis et rapport de tests archivés</t>
        </is>
      </c>
      <c r="H136" s="38" t="n">
        <v>4</v>
      </c>
      <c r="I136" s="36" t="inlineStr">
        <is>
          <t>Haute</t>
        </is>
      </c>
      <c r="J136" s="36" t="inlineStr">
        <is>
          <t>Backlog</t>
        </is>
      </c>
      <c r="K136" s="39" t="n"/>
      <c r="L136" s="16">
        <f>IF($B136="","",IF(J136="Complétée",1,IF(J136="Abandonnée",0,IF(K136&lt;&gt;"",K136,IFERROR(VLOOKUP(J136,Parametres!$B$6:$C$12,2,FALSE),0)))))</f>
        <v/>
      </c>
      <c r="M136" s="15">
        <f>IF($B136="","",IF(J136="Abandonnée",0,H136))</f>
        <v/>
      </c>
      <c r="N136" s="15">
        <f>IF($B136="","",M136*L136)</f>
        <v/>
      </c>
      <c r="O136" s="37" t="n"/>
      <c r="P136" s="40" t="n">
        <v>46412</v>
      </c>
      <c r="Q136" s="40" t="n">
        <v>46418</v>
      </c>
      <c r="R136" s="40" t="n"/>
      <c r="S136" s="37" t="inlineStr"/>
      <c r="T136" s="36" t="inlineStr">
        <is>
          <t>Non</t>
        </is>
      </c>
      <c r="U136" s="13">
        <f>IF($B136="","",IF(AND(J136&lt;&gt;"Complétée",J136&lt;&gt;"Abandonnée",Q136&lt;&gt;"",TODAY()&gt;Q136),"En retard",""))</f>
        <v/>
      </c>
      <c r="V136" s="37" t="n"/>
    </row>
    <row r="137">
      <c r="B137" s="36" t="inlineStr">
        <is>
          <t>V3-029</t>
        </is>
      </c>
      <c r="C137" s="36" t="inlineStr">
        <is>
          <t>V3</t>
        </is>
      </c>
      <c r="D137" s="36" t="inlineStr">
        <is>
          <t>OPS</t>
        </is>
      </c>
      <c r="E137" s="37" t="inlineStr">
        <is>
          <t>Portes de conformité</t>
        </is>
      </c>
      <c r="F137" s="37" t="inlineStr">
        <is>
          <t>Audit du texte d'interface : aucune allégation non prouvée (G7)</t>
        </is>
      </c>
      <c r="G137" s="37" t="inlineStr">
        <is>
          <t>Zéro occurrence de 'sécurisé', 'certifié' non justifiée</t>
        </is>
      </c>
      <c r="H137" s="38" t="n">
        <v>3</v>
      </c>
      <c r="I137" s="36" t="inlineStr">
        <is>
          <t>Moyenne</t>
        </is>
      </c>
      <c r="J137" s="36" t="inlineStr">
        <is>
          <t>Backlog</t>
        </is>
      </c>
      <c r="K137" s="39" t="n"/>
      <c r="L137" s="16">
        <f>IF($B137="","",IF(J137="Complétée",1,IF(J137="Abandonnée",0,IF(K137&lt;&gt;"",K137,IFERROR(VLOOKUP(J137,Parametres!$B$6:$C$12,2,FALSE),0)))))</f>
        <v/>
      </c>
      <c r="M137" s="15">
        <f>IF($B137="","",IF(J137="Abandonnée",0,H137))</f>
        <v/>
      </c>
      <c r="N137" s="15">
        <f>IF($B137="","",M137*L137)</f>
        <v/>
      </c>
      <c r="O137" s="37" t="n"/>
      <c r="P137" s="40" t="n">
        <v>46414</v>
      </c>
      <c r="Q137" s="40" t="n">
        <v>46419</v>
      </c>
      <c r="R137" s="40" t="n"/>
      <c r="S137" s="37" t="inlineStr"/>
      <c r="T137" s="36" t="inlineStr">
        <is>
          <t>Non</t>
        </is>
      </c>
      <c r="U137" s="13">
        <f>IF($B137="","",IF(AND(J137&lt;&gt;"Complétée",J137&lt;&gt;"Abandonnée",Q137&lt;&gt;"",TODAY()&gt;Q137),"En retard",""))</f>
        <v/>
      </c>
      <c r="V137" s="37" t="n"/>
    </row>
    <row r="138">
      <c r="B138" s="36" t="inlineStr">
        <is>
          <t>V3-030</t>
        </is>
      </c>
      <c r="C138" s="36" t="inlineStr">
        <is>
          <t>V3</t>
        </is>
      </c>
      <c r="D138" s="36" t="inlineStr">
        <is>
          <t>OPS</t>
        </is>
      </c>
      <c r="E138" s="37" t="inlineStr">
        <is>
          <t>Portes de conformité</t>
        </is>
      </c>
      <c r="F138" s="37" t="inlineStr">
        <is>
          <t>Recalcul indépendant de la rétrocession (G8)</t>
        </is>
      </c>
      <c r="G138" s="37" t="inlineStr">
        <is>
          <t>Rapprochement signé par la Finance</t>
        </is>
      </c>
      <c r="H138" s="38" t="n">
        <v>3</v>
      </c>
      <c r="I138" s="36" t="inlineStr">
        <is>
          <t>Moyenne</t>
        </is>
      </c>
      <c r="J138" s="36" t="inlineStr">
        <is>
          <t>Backlog</t>
        </is>
      </c>
      <c r="K138" s="39" t="n"/>
      <c r="L138" s="16">
        <f>IF($B138="","",IF(J138="Complétée",1,IF(J138="Abandonnée",0,IF(K138&lt;&gt;"",K138,IFERROR(VLOOKUP(J138,Parametres!$B$6:$C$12,2,FALSE),0)))))</f>
        <v/>
      </c>
      <c r="M138" s="15">
        <f>IF($B138="","",IF(J138="Abandonnée",0,H138))</f>
        <v/>
      </c>
      <c r="N138" s="15">
        <f>IF($B138="","",M138*L138)</f>
        <v/>
      </c>
      <c r="O138" s="37" t="n"/>
      <c r="P138" s="40" t="n">
        <v>46415</v>
      </c>
      <c r="Q138" s="40" t="n">
        <v>46420</v>
      </c>
      <c r="R138" s="40" t="n"/>
      <c r="S138" s="37" t="inlineStr"/>
      <c r="T138" s="36" t="inlineStr">
        <is>
          <t>Non</t>
        </is>
      </c>
      <c r="U138" s="13">
        <f>IF($B138="","",IF(AND(J138&lt;&gt;"Complétée",J138&lt;&gt;"Abandonnée",Q138&lt;&gt;"",TODAY()&gt;Q138),"En retard",""))</f>
        <v/>
      </c>
      <c r="V138" s="37" t="n"/>
    </row>
    <row r="139">
      <c r="B139" s="36" t="inlineStr">
        <is>
          <t>V3-031</t>
        </is>
      </c>
      <c r="C139" s="36" t="inlineStr">
        <is>
          <t>V3</t>
        </is>
      </c>
      <c r="D139" s="36" t="inlineStr">
        <is>
          <t>OPS</t>
        </is>
      </c>
      <c r="E139" s="37" t="inlineStr">
        <is>
          <t>Portes de conformité</t>
        </is>
      </c>
      <c r="F139" s="37" t="inlineStr">
        <is>
          <t>Nomination du DPO et processus d'effacement (G9)</t>
        </is>
      </c>
      <c r="G139" s="37" t="inlineStr">
        <is>
          <t>DPO nommé, procédure publiée</t>
        </is>
      </c>
      <c r="H139" s="38" t="n">
        <v>2</v>
      </c>
      <c r="I139" s="36" t="inlineStr">
        <is>
          <t>Haute</t>
        </is>
      </c>
      <c r="J139" s="36" t="inlineStr">
        <is>
          <t>Backlog</t>
        </is>
      </c>
      <c r="K139" s="39" t="n"/>
      <c r="L139" s="16">
        <f>IF($B139="","",IF(J139="Complétée",1,IF(J139="Abandonnée",0,IF(K139&lt;&gt;"",K139,IFERROR(VLOOKUP(J139,Parametres!$B$6:$C$12,2,FALSE),0)))))</f>
        <v/>
      </c>
      <c r="M139" s="15">
        <f>IF($B139="","",IF(J139="Abandonnée",0,H139))</f>
        <v/>
      </c>
      <c r="N139" s="15">
        <f>IF($B139="","",M139*L139)</f>
        <v/>
      </c>
      <c r="O139" s="37" t="n"/>
      <c r="P139" s="40" t="n">
        <v>46416</v>
      </c>
      <c r="Q139" s="40" t="n">
        <v>46419</v>
      </c>
      <c r="R139" s="40" t="n"/>
      <c r="S139" s="37" t="inlineStr"/>
      <c r="T139" s="36" t="inlineStr">
        <is>
          <t>Non</t>
        </is>
      </c>
      <c r="U139" s="13">
        <f>IF($B139="","",IF(AND(J139&lt;&gt;"Complétée",J139&lt;&gt;"Abandonnée",Q139&lt;&gt;"",TODAY()&gt;Q139),"En retard",""))</f>
        <v/>
      </c>
      <c r="V139" s="37" t="n"/>
    </row>
    <row r="140">
      <c r="B140" s="36" t="inlineStr">
        <is>
          <t>V3-032</t>
        </is>
      </c>
      <c r="C140" s="36" t="inlineStr">
        <is>
          <t>V3</t>
        </is>
      </c>
      <c r="D140" s="36" t="inlineStr">
        <is>
          <t>OPS</t>
        </is>
      </c>
      <c r="E140" s="37" t="inlineStr">
        <is>
          <t>Portes de conformité</t>
        </is>
      </c>
      <c r="F140" s="37" t="inlineStr">
        <is>
          <t>Pentest indépendant et remédiation des constats critiques et élevés (G10)</t>
        </is>
      </c>
      <c r="G140" s="37" t="inlineStr">
        <is>
          <t>Rapport de pentest sans constat critique ouvert</t>
        </is>
      </c>
      <c r="H140" s="38" t="n">
        <v>5</v>
      </c>
      <c r="I140" s="36" t="inlineStr">
        <is>
          <t>Haute</t>
        </is>
      </c>
      <c r="J140" s="36" t="inlineStr">
        <is>
          <t>Backlog</t>
        </is>
      </c>
      <c r="K140" s="39" t="n"/>
      <c r="L140" s="16">
        <f>IF($B140="","",IF(J140="Complétée",1,IF(J140="Abandonnée",0,IF(K140&lt;&gt;"",K140,IFERROR(VLOOKUP(J140,Parametres!$B$6:$C$12,2,FALSE),0)))))</f>
        <v/>
      </c>
      <c r="M140" s="15">
        <f>IF($B140="","",IF(J140="Abandonnée",0,H140))</f>
        <v/>
      </c>
      <c r="N140" s="15">
        <f>IF($B140="","",M140*L140)</f>
        <v/>
      </c>
      <c r="O140" s="37" t="n"/>
      <c r="P140" s="40" t="n">
        <v>46416</v>
      </c>
      <c r="Q140" s="40" t="n">
        <v>46423</v>
      </c>
      <c r="R140" s="40" t="n"/>
      <c r="S140" s="37" t="inlineStr"/>
      <c r="T140" s="36" t="inlineStr">
        <is>
          <t>Oui</t>
        </is>
      </c>
      <c r="U140" s="13">
        <f>IF($B140="","",IF(AND(J140&lt;&gt;"Complétée",J140&lt;&gt;"Abandonnée",Q140&lt;&gt;"",TODAY()&gt;Q140),"En retard",""))</f>
        <v/>
      </c>
      <c r="V140" s="37" t="n"/>
    </row>
    <row r="141">
      <c r="B141" s="36" t="inlineStr">
        <is>
          <t>V3-033</t>
        </is>
      </c>
      <c r="C141" s="36" t="inlineStr">
        <is>
          <t>V3</t>
        </is>
      </c>
      <c r="D141" s="36" t="inlineStr">
        <is>
          <t>OPS</t>
        </is>
      </c>
      <c r="E141" s="37" t="inlineStr">
        <is>
          <t>Exploitation</t>
        </is>
      </c>
      <c r="F141" s="37" t="inlineStr">
        <is>
          <t>Supervision, alertes, mesure de disponibilité mensuelle (SLA 99,5 %)</t>
        </is>
      </c>
      <c r="G141" s="37" t="inlineStr">
        <is>
          <t>Tableau de disponibilité mensuel généré</t>
        </is>
      </c>
      <c r="H141" s="38" t="n">
        <v>6</v>
      </c>
      <c r="I141" s="36" t="inlineStr">
        <is>
          <t>Haute</t>
        </is>
      </c>
      <c r="J141" s="36" t="inlineStr">
        <is>
          <t>Backlog</t>
        </is>
      </c>
      <c r="K141" s="39" t="n"/>
      <c r="L141" s="16">
        <f>IF($B141="","",IF(J141="Complétée",1,IF(J141="Abandonnée",0,IF(K141&lt;&gt;"",K141,IFERROR(VLOOKUP(J141,Parametres!$B$6:$C$12,2,FALSE),0)))))</f>
        <v/>
      </c>
      <c r="M141" s="15">
        <f>IF($B141="","",IF(J141="Abandonnée",0,H141))</f>
        <v/>
      </c>
      <c r="N141" s="15">
        <f>IF($B141="","",M141*L141)</f>
        <v/>
      </c>
      <c r="O141" s="37" t="n"/>
      <c r="P141" s="40" t="n">
        <v>46418</v>
      </c>
      <c r="Q141" s="40" t="n">
        <v>46427</v>
      </c>
      <c r="R141" s="40" t="n"/>
      <c r="S141" s="37" t="inlineStr"/>
      <c r="T141" s="36" t="inlineStr">
        <is>
          <t>Non</t>
        </is>
      </c>
      <c r="U141" s="13">
        <f>IF($B141="","",IF(AND(J141&lt;&gt;"Complétée",J141&lt;&gt;"Abandonnée",Q141&lt;&gt;"",TODAY()&gt;Q141),"En retard",""))</f>
        <v/>
      </c>
      <c r="V141" s="37" t="n"/>
    </row>
    <row r="142">
      <c r="B142" s="36" t="inlineStr">
        <is>
          <t>V3-034</t>
        </is>
      </c>
      <c r="C142" s="36" t="inlineStr">
        <is>
          <t>V3</t>
        </is>
      </c>
      <c r="D142" s="36" t="inlineStr">
        <is>
          <t>OPS</t>
        </is>
      </c>
      <c r="E142" s="37" t="inlineStr">
        <is>
          <t>Exploitation</t>
        </is>
      </c>
      <c r="F142" s="37" t="inlineStr">
        <is>
          <t>Sauvegardes chiffrées et test de restauration (RPO 1 h, RTO 4 h)</t>
        </is>
      </c>
      <c r="G142" s="37" t="inlineStr">
        <is>
          <t>Restauration complète en moins de 4 h documentée</t>
        </is>
      </c>
      <c r="H142" s="38" t="n">
        <v>5</v>
      </c>
      <c r="I142" s="36" t="inlineStr">
        <is>
          <t>Haute</t>
        </is>
      </c>
      <c r="J142" s="36" t="inlineStr">
        <is>
          <t>Backlog</t>
        </is>
      </c>
      <c r="K142" s="39" t="n"/>
      <c r="L142" s="16">
        <f>IF($B142="","",IF(J142="Complétée",1,IF(J142="Abandonnée",0,IF(K142&lt;&gt;"",K142,IFERROR(VLOOKUP(J142,Parametres!$B$6:$C$12,2,FALSE),0)))))</f>
        <v/>
      </c>
      <c r="M142" s="15">
        <f>IF($B142="","",IF(J142="Abandonnée",0,H142))</f>
        <v/>
      </c>
      <c r="N142" s="15">
        <f>IF($B142="","",M142*L142)</f>
        <v/>
      </c>
      <c r="O142" s="37" t="n"/>
      <c r="P142" s="40" t="n">
        <v>46421</v>
      </c>
      <c r="Q142" s="40" t="n">
        <v>46428</v>
      </c>
      <c r="R142" s="40" t="n"/>
      <c r="S142" s="37" t="inlineStr"/>
      <c r="T142" s="36" t="inlineStr">
        <is>
          <t>Non</t>
        </is>
      </c>
      <c r="U142" s="13">
        <f>IF($B142="","",IF(AND(J142&lt;&gt;"Complétée",J142&lt;&gt;"Abandonnée",Q142&lt;&gt;"",TODAY()&gt;Q142),"En retard",""))</f>
        <v/>
      </c>
      <c r="V142" s="37" t="n"/>
    </row>
    <row r="143">
      <c r="B143" s="36" t="inlineStr">
        <is>
          <t>V3-035</t>
        </is>
      </c>
      <c r="C143" s="36" t="inlineStr">
        <is>
          <t>V3</t>
        </is>
      </c>
      <c r="D143" s="36" t="inlineStr">
        <is>
          <t>OPS</t>
        </is>
      </c>
      <c r="E143" s="37" t="inlineStr">
        <is>
          <t>Exploitation</t>
        </is>
      </c>
      <c r="F143" s="37" t="inlineStr">
        <is>
          <t>Procédure d'incident, analyse de cause racine, rollback</t>
        </is>
      </c>
      <c r="G143" s="37" t="inlineStr">
        <is>
          <t>Procédure testée sur un incident simulé</t>
        </is>
      </c>
      <c r="H143" s="38" t="n">
        <v>4</v>
      </c>
      <c r="I143" s="36" t="inlineStr">
        <is>
          <t>Moyenne</t>
        </is>
      </c>
      <c r="J143" s="36" t="inlineStr">
        <is>
          <t>Backlog</t>
        </is>
      </c>
      <c r="K143" s="39" t="n"/>
      <c r="L143" s="16">
        <f>IF($B143="","",IF(J143="Complétée",1,IF(J143="Abandonnée",0,IF(K143&lt;&gt;"",K143,IFERROR(VLOOKUP(J143,Parametres!$B$6:$C$12,2,FALSE),0)))))</f>
        <v/>
      </c>
      <c r="M143" s="15">
        <f>IF($B143="","",IF(J143="Abandonnée",0,H143))</f>
        <v/>
      </c>
      <c r="N143" s="15">
        <f>IF($B143="","",M143*L143)</f>
        <v/>
      </c>
      <c r="O143" s="37" t="n"/>
      <c r="P143" s="40" t="n">
        <v>46422</v>
      </c>
      <c r="Q143" s="40" t="n">
        <v>46428</v>
      </c>
      <c r="R143" s="40" t="n"/>
      <c r="S143" s="37" t="inlineStr"/>
      <c r="T143" s="36" t="inlineStr">
        <is>
          <t>Non</t>
        </is>
      </c>
      <c r="U143" s="13">
        <f>IF($B143="","",IF(AND(J143&lt;&gt;"Complétée",J143&lt;&gt;"Abandonnée",Q143&lt;&gt;"",TODAY()&gt;Q143),"En retard",""))</f>
        <v/>
      </c>
      <c r="V143" s="37" t="n"/>
    </row>
    <row r="144">
      <c r="B144" s="36" t="inlineStr">
        <is>
          <t>V3-036</t>
        </is>
      </c>
      <c r="C144" s="36" t="inlineStr">
        <is>
          <t>V3</t>
        </is>
      </c>
      <c r="D144" s="36" t="inlineStr">
        <is>
          <t>OPS</t>
        </is>
      </c>
      <c r="E144" s="37" t="inlineStr">
        <is>
          <t>Exploitation</t>
        </is>
      </c>
      <c r="F144" s="37" t="inlineStr">
        <is>
          <t>Rotation des clés, gestion des secrets, scan de dépendances en CI</t>
        </is>
      </c>
      <c r="G144" s="37" t="inlineStr">
        <is>
          <t>Build échoue sur vulnérabilité critique</t>
        </is>
      </c>
      <c r="H144" s="38" t="n">
        <v>5</v>
      </c>
      <c r="I144" s="36" t="inlineStr">
        <is>
          <t>Haute</t>
        </is>
      </c>
      <c r="J144" s="36" t="inlineStr">
        <is>
          <t>Backlog</t>
        </is>
      </c>
      <c r="K144" s="39" t="n"/>
      <c r="L144" s="16">
        <f>IF($B144="","",IF(J144="Complétée",1,IF(J144="Abandonnée",0,IF(K144&lt;&gt;"",K144,IFERROR(VLOOKUP(J144,Parametres!$B$6:$C$12,2,FALSE),0)))))</f>
        <v/>
      </c>
      <c r="M144" s="15">
        <f>IF($B144="","",IF(J144="Abandonnée",0,H144))</f>
        <v/>
      </c>
      <c r="N144" s="15">
        <f>IF($B144="","",M144*L144)</f>
        <v/>
      </c>
      <c r="O144" s="37" t="n"/>
      <c r="P144" s="40" t="n">
        <v>46424</v>
      </c>
      <c r="Q144" s="40" t="n">
        <v>46431</v>
      </c>
      <c r="R144" s="40" t="n"/>
      <c r="S144" s="37" t="inlineStr"/>
      <c r="T144" s="36" t="inlineStr">
        <is>
          <t>Non</t>
        </is>
      </c>
      <c r="U144" s="13">
        <f>IF($B144="","",IF(AND(J144&lt;&gt;"Complétée",J144&lt;&gt;"Abandonnée",Q144&lt;&gt;"",TODAY()&gt;Q144),"En retard",""))</f>
        <v/>
      </c>
      <c r="V144" s="37" t="n"/>
    </row>
    <row r="145">
      <c r="B145" s="36" t="inlineStr">
        <is>
          <t>V4-001</t>
        </is>
      </c>
      <c r="C145" s="36" t="inlineStr">
        <is>
          <t>V4</t>
        </is>
      </c>
      <c r="D145" s="36" t="inlineStr">
        <is>
          <t>REB</t>
        </is>
      </c>
      <c r="E145" s="37" t="inlineStr">
        <is>
          <t>Alerte &amp; Rebond</t>
        </is>
      </c>
      <c r="F145" s="37" t="inlineStr">
        <is>
          <t>Auto-diagnostic : arbre logique et score de santé financière</t>
        </is>
      </c>
      <c r="G145" s="37" t="inlineStr">
        <is>
          <t>Score expliqué, jamais un conseil personnalisé</t>
        </is>
      </c>
      <c r="H145" s="38" t="n">
        <v>6</v>
      </c>
      <c r="I145" s="36" t="inlineStr">
        <is>
          <t>Haute</t>
        </is>
      </c>
      <c r="J145" s="36" t="inlineStr">
        <is>
          <t>Backlog</t>
        </is>
      </c>
      <c r="K145" s="39" t="n"/>
      <c r="L145" s="16">
        <f>IF($B145="","",IF(J145="Complétée",1,IF(J145="Abandonnée",0,IF(K145&lt;&gt;"",K145,IFERROR(VLOOKUP(J145,Parametres!$B$6:$C$12,2,FALSE),0)))))</f>
        <v/>
      </c>
      <c r="M145" s="15">
        <f>IF($B145="","",IF(J145="Abandonnée",0,H145))</f>
        <v/>
      </c>
      <c r="N145" s="15">
        <f>IF($B145="","",M145*L145)</f>
        <v/>
      </c>
      <c r="O145" s="37" t="n"/>
      <c r="P145" s="40" t="n">
        <v>46437</v>
      </c>
      <c r="Q145" s="40" t="n">
        <v>46446</v>
      </c>
      <c r="R145" s="40" t="n"/>
      <c r="S145" s="37" t="inlineStr"/>
      <c r="T145" s="36" t="inlineStr">
        <is>
          <t>Non</t>
        </is>
      </c>
      <c r="U145" s="13">
        <f>IF($B145="","",IF(AND(J145&lt;&gt;"Complétée",J145&lt;&gt;"Abandonnée",Q145&lt;&gt;"",TODAY()&gt;Q145),"En retard",""))</f>
        <v/>
      </c>
      <c r="V145" s="37" t="n"/>
    </row>
    <row r="146">
      <c r="B146" s="36" t="inlineStr">
        <is>
          <t>V4-002</t>
        </is>
      </c>
      <c r="C146" s="36" t="inlineStr">
        <is>
          <t>V4</t>
        </is>
      </c>
      <c r="D146" s="36" t="inlineStr">
        <is>
          <t>REB</t>
        </is>
      </c>
      <c r="E146" s="37" t="inlineStr">
        <is>
          <t>Alerte &amp; Rebond</t>
        </is>
      </c>
      <c r="F146" s="37" t="inlineStr">
        <is>
          <t>Dossier de crise confidentiel, INVITE_ONLY, registre d'investisseurs de retournement</t>
        </is>
      </c>
      <c r="G146" s="37" t="inlineStr">
        <is>
          <t>Dossier absent de toute recherche ouverte (test négatif)</t>
        </is>
      </c>
      <c r="H146" s="38" t="n">
        <v>6</v>
      </c>
      <c r="I146" s="36" t="inlineStr">
        <is>
          <t>Haute</t>
        </is>
      </c>
      <c r="J146" s="36" t="inlineStr">
        <is>
          <t>Backlog</t>
        </is>
      </c>
      <c r="K146" s="39" t="n"/>
      <c r="L146" s="16">
        <f>IF($B146="","",IF(J146="Complétée",1,IF(J146="Abandonnée",0,IF(K146&lt;&gt;"",K146,IFERROR(VLOOKUP(J146,Parametres!$B$6:$C$12,2,FALSE),0)))))</f>
        <v/>
      </c>
      <c r="M146" s="15">
        <f>IF($B146="","",IF(J146="Abandonnée",0,H146))</f>
        <v/>
      </c>
      <c r="N146" s="15">
        <f>IF($B146="","",M146*L146)</f>
        <v/>
      </c>
      <c r="O146" s="37" t="n"/>
      <c r="P146" s="40" t="n">
        <v>46439</v>
      </c>
      <c r="Q146" s="40" t="n">
        <v>46448</v>
      </c>
      <c r="R146" s="40" t="n"/>
      <c r="S146" s="37" t="inlineStr"/>
      <c r="T146" s="36" t="inlineStr">
        <is>
          <t>Non</t>
        </is>
      </c>
      <c r="U146" s="13">
        <f>IF($B146="","",IF(AND(J146&lt;&gt;"Complétée",J146&lt;&gt;"Abandonnée",Q146&lt;&gt;"",TODAY()&gt;Q146),"En retard",""))</f>
        <v/>
      </c>
      <c r="V146" s="37" t="n"/>
    </row>
    <row r="147">
      <c r="B147" s="36" t="inlineStr">
        <is>
          <t>V4-003</t>
        </is>
      </c>
      <c r="C147" s="36" t="inlineStr">
        <is>
          <t>V4</t>
        </is>
      </c>
      <c r="D147" s="36" t="inlineStr">
        <is>
          <t>REB</t>
        </is>
      </c>
      <c r="E147" s="37" t="inlineStr">
        <is>
          <t>Alerte &amp; Rebond</t>
        </is>
      </c>
      <c r="F147" s="37" t="inlineStr">
        <is>
          <t>Signalement statutaire (mandataire de justice) et avertissement sur les clauses bancaires</t>
        </is>
      </c>
      <c r="G147" s="37" t="inlineStr">
        <is>
          <t>Avertissement affiché avant tout changement de visibilité</t>
        </is>
      </c>
      <c r="H147" s="38" t="n">
        <v>3</v>
      </c>
      <c r="I147" s="36" t="inlineStr">
        <is>
          <t>Moyenne</t>
        </is>
      </c>
      <c r="J147" s="36" t="inlineStr">
        <is>
          <t>Backlog</t>
        </is>
      </c>
      <c r="K147" s="39" t="n"/>
      <c r="L147" s="16">
        <f>IF($B147="","",IF(J147="Complétée",1,IF(J147="Abandonnée",0,IF(K147&lt;&gt;"",K147,IFERROR(VLOOKUP(J147,Parametres!$B$6:$C$12,2,FALSE),0)))))</f>
        <v/>
      </c>
      <c r="M147" s="15">
        <f>IF($B147="","",IF(J147="Abandonnée",0,H147))</f>
        <v/>
      </c>
      <c r="N147" s="15">
        <f>IF($B147="","",M147*L147)</f>
        <v/>
      </c>
      <c r="O147" s="37" t="n"/>
      <c r="P147" s="40" t="n">
        <v>46441</v>
      </c>
      <c r="Q147" s="40" t="n">
        <v>46446</v>
      </c>
      <c r="R147" s="40" t="n"/>
      <c r="S147" s="37" t="inlineStr"/>
      <c r="T147" s="36" t="inlineStr">
        <is>
          <t>Non</t>
        </is>
      </c>
      <c r="U147" s="13">
        <f>IF($B147="","",IF(AND(J147&lt;&gt;"Complétée",J147&lt;&gt;"Abandonnée",Q147&lt;&gt;"",TODAY()&gt;Q147),"En retard",""))</f>
        <v/>
      </c>
      <c r="V147" s="37" t="n"/>
    </row>
    <row r="148">
      <c r="B148" s="36" t="inlineStr">
        <is>
          <t>V4-004</t>
        </is>
      </c>
      <c r="C148" s="36" t="inlineStr">
        <is>
          <t>V4</t>
        </is>
      </c>
      <c r="D148" s="36" t="inlineStr">
        <is>
          <t>REB</t>
        </is>
      </c>
      <c r="E148" s="37" t="inlineStr">
        <is>
          <t>Actifs en difficulté</t>
        </is>
      </c>
      <c r="F148" s="37" t="inlineStr">
        <is>
          <t>Listings d'actifs par catégorie : créances, immobilier, équipement, flotte</t>
        </is>
      </c>
      <c r="G148" s="37" t="inlineStr">
        <is>
          <t>Jeu de champs distinct par catégorie</t>
        </is>
      </c>
      <c r="H148" s="38" t="n">
        <v>7</v>
      </c>
      <c r="I148" s="36" t="inlineStr">
        <is>
          <t>Haute</t>
        </is>
      </c>
      <c r="J148" s="36" t="inlineStr">
        <is>
          <t>Backlog</t>
        </is>
      </c>
      <c r="K148" s="39" t="n"/>
      <c r="L148" s="16">
        <f>IF($B148="","",IF(J148="Complétée",1,IF(J148="Abandonnée",0,IF(K148&lt;&gt;"",K148,IFERROR(VLOOKUP(J148,Parametres!$B$6:$C$12,2,FALSE),0)))))</f>
        <v/>
      </c>
      <c r="M148" s="15">
        <f>IF($B148="","",IF(J148="Abandonnée",0,H148))</f>
        <v/>
      </c>
      <c r="N148" s="15">
        <f>IF($B148="","",M148*L148)</f>
        <v/>
      </c>
      <c r="O148" s="37" t="n"/>
      <c r="P148" s="40" t="n">
        <v>46443</v>
      </c>
      <c r="Q148" s="40" t="n">
        <v>46453</v>
      </c>
      <c r="R148" s="40" t="n"/>
      <c r="S148" s="37" t="inlineStr"/>
      <c r="T148" s="36" t="inlineStr">
        <is>
          <t>Non</t>
        </is>
      </c>
      <c r="U148" s="13">
        <f>IF($B148="","",IF(AND(J148&lt;&gt;"Complétée",J148&lt;&gt;"Abandonnée",Q148&lt;&gt;"",TODAY()&gt;Q148),"En retard",""))</f>
        <v/>
      </c>
      <c r="V148" s="37" t="n"/>
    </row>
    <row r="149">
      <c r="B149" s="36" t="inlineStr">
        <is>
          <t>V4-005</t>
        </is>
      </c>
      <c r="C149" s="36" t="inlineStr">
        <is>
          <t>V4</t>
        </is>
      </c>
      <c r="D149" s="36" t="inlineStr">
        <is>
          <t>REB</t>
        </is>
      </c>
      <c r="E149" s="37" t="inlineStr">
        <is>
          <t>Actifs en difficulté</t>
        </is>
      </c>
      <c r="F149" s="37" t="inlineStr">
        <is>
          <t>Coupe-circuit opérateur : retrait immédiat de toutes les surfaces et caches</t>
        </is>
      </c>
      <c r="G149" s="37" t="inlineStr">
        <is>
          <t>Retrait effectif en moins de 60 s</t>
        </is>
      </c>
      <c r="H149" s="38" t="n">
        <v>3</v>
      </c>
      <c r="I149" s="36" t="inlineStr">
        <is>
          <t>Haute</t>
        </is>
      </c>
      <c r="J149" s="36" t="inlineStr">
        <is>
          <t>Backlog</t>
        </is>
      </c>
      <c r="K149" s="39" t="n"/>
      <c r="L149" s="16">
        <f>IF($B149="","",IF(J149="Complétée",1,IF(J149="Abandonnée",0,IF(K149&lt;&gt;"",K149,IFERROR(VLOOKUP(J149,Parametres!$B$6:$C$12,2,FALSE),0)))))</f>
        <v/>
      </c>
      <c r="M149" s="15">
        <f>IF($B149="","",IF(J149="Abandonnée",0,H149))</f>
        <v/>
      </c>
      <c r="N149" s="15">
        <f>IF($B149="","",M149*L149)</f>
        <v/>
      </c>
      <c r="O149" s="37" t="n"/>
      <c r="P149" s="40" t="n">
        <v>46445</v>
      </c>
      <c r="Q149" s="40" t="n">
        <v>46450</v>
      </c>
      <c r="R149" s="40" t="n"/>
      <c r="S149" s="37" t="inlineStr"/>
      <c r="T149" s="36" t="inlineStr">
        <is>
          <t>Non</t>
        </is>
      </c>
      <c r="U149" s="13">
        <f>IF($B149="","",IF(AND(J149&lt;&gt;"Complétée",J149&lt;&gt;"Abandonnée",Q149&lt;&gt;"",TODAY()&gt;Q149),"En retard",""))</f>
        <v/>
      </c>
      <c r="V149" s="37" t="n"/>
    </row>
    <row r="150">
      <c r="B150" s="36" t="inlineStr">
        <is>
          <t>V4-006</t>
        </is>
      </c>
      <c r="C150" s="36" t="inlineStr">
        <is>
          <t>V4</t>
        </is>
      </c>
      <c r="D150" s="36" t="inlineStr">
        <is>
          <t>REB</t>
        </is>
      </c>
      <c r="E150" s="37" t="inlineStr">
        <is>
          <t>Alerte &amp; Rebond</t>
        </is>
      </c>
      <c r="F150" s="37" t="inlineStr">
        <is>
          <t>Ingestion des annonces de dissolution / liquidation (flux CFE)</t>
        </is>
      </c>
      <c r="G150" s="37" t="inlineStr">
        <is>
          <t>Flux importé quotidiennement</t>
        </is>
      </c>
      <c r="H150" s="38" t="n">
        <v>5</v>
      </c>
      <c r="I150" s="36" t="inlineStr">
        <is>
          <t>Basse</t>
        </is>
      </c>
      <c r="J150" s="36" t="inlineStr">
        <is>
          <t>Backlog</t>
        </is>
      </c>
      <c r="K150" s="39" t="n"/>
      <c r="L150" s="16">
        <f>IF($B150="","",IF(J150="Complétée",1,IF(J150="Abandonnée",0,IF(K150&lt;&gt;"",K150,IFERROR(VLOOKUP(J150,Parametres!$B$6:$C$12,2,FALSE),0)))))</f>
        <v/>
      </c>
      <c r="M150" s="15">
        <f>IF($B150="","",IF(J150="Abandonnée",0,H150))</f>
        <v/>
      </c>
      <c r="N150" s="15">
        <f>IF($B150="","",M150*L150)</f>
        <v/>
      </c>
      <c r="O150" s="37" t="n"/>
      <c r="P150" s="40" t="n">
        <v>46446</v>
      </c>
      <c r="Q150" s="40" t="n">
        <v>46453</v>
      </c>
      <c r="R150" s="40" t="n"/>
      <c r="S150" s="37" t="inlineStr"/>
      <c r="T150" s="36" t="inlineStr">
        <is>
          <t>Non</t>
        </is>
      </c>
      <c r="U150" s="13">
        <f>IF($B150="","",IF(AND(J150&lt;&gt;"Complétée",J150&lt;&gt;"Abandonnée",Q150&lt;&gt;"",TODAY()&gt;Q150),"En retard",""))</f>
        <v/>
      </c>
      <c r="V150" s="37" t="n"/>
    </row>
    <row r="151">
      <c r="B151" s="36" t="inlineStr">
        <is>
          <t>V4-007</t>
        </is>
      </c>
      <c r="C151" s="36" t="inlineStr">
        <is>
          <t>V4</t>
        </is>
      </c>
      <c r="D151" s="36" t="inlineStr">
        <is>
          <t>REB</t>
        </is>
      </c>
      <c r="E151" s="37" t="inlineStr">
        <is>
          <t>Alerte &amp; Rebond</t>
        </is>
      </c>
      <c r="F151" s="37" t="inlineStr">
        <is>
          <t>Écrans Alerte &amp; Rebond</t>
        </is>
      </c>
      <c r="G151" s="37" t="inlineStr">
        <is>
          <t>Confidentialité par défaut sur chaque écran</t>
        </is>
      </c>
      <c r="H151" s="38" t="n">
        <v>5</v>
      </c>
      <c r="I151" s="36" t="inlineStr">
        <is>
          <t>Moyenne</t>
        </is>
      </c>
      <c r="J151" s="36" t="inlineStr">
        <is>
          <t>Backlog</t>
        </is>
      </c>
      <c r="K151" s="39" t="n"/>
      <c r="L151" s="16">
        <f>IF($B151="","",IF(J151="Complétée",1,IF(J151="Abandonnée",0,IF(K151&lt;&gt;"",K151,IFERROR(VLOOKUP(J151,Parametres!$B$6:$C$12,2,FALSE),0)))))</f>
        <v/>
      </c>
      <c r="M151" s="15">
        <f>IF($B151="","",IF(J151="Abandonnée",0,H151))</f>
        <v/>
      </c>
      <c r="N151" s="15">
        <f>IF($B151="","",M151*L151)</f>
        <v/>
      </c>
      <c r="O151" s="37" t="n"/>
      <c r="P151" s="40" t="n">
        <v>46448</v>
      </c>
      <c r="Q151" s="40" t="n">
        <v>46455</v>
      </c>
      <c r="R151" s="40" t="n"/>
      <c r="S151" s="37" t="inlineStr"/>
      <c r="T151" s="36" t="inlineStr">
        <is>
          <t>Non</t>
        </is>
      </c>
      <c r="U151" s="13">
        <f>IF($B151="","",IF(AND(J151&lt;&gt;"Complétée",J151&lt;&gt;"Abandonnée",Q151&lt;&gt;"",TODAY()&gt;Q151),"En retard",""))</f>
        <v/>
      </c>
      <c r="V151" s="37" t="n"/>
    </row>
    <row r="152">
      <c r="B152" s="36" t="inlineStr">
        <is>
          <t>V4-008</t>
        </is>
      </c>
      <c r="C152" s="36" t="inlineStr">
        <is>
          <t>V4</t>
        </is>
      </c>
      <c r="D152" s="36" t="inlineStr">
        <is>
          <t>CNX</t>
        </is>
      </c>
      <c r="E152" s="37" t="inlineStr">
        <is>
          <t>Deal-Connect</t>
        </is>
      </c>
      <c r="F152" s="37" t="inlineStr">
        <is>
          <t>Stands, billetterie et sponsoring avec catégorisation des revenus</t>
        </is>
      </c>
      <c r="G152" s="37" t="inlineStr">
        <is>
          <t>Revenus catégorisés pour la rétrocession</t>
        </is>
      </c>
      <c r="H152" s="38" t="n">
        <v>6</v>
      </c>
      <c r="I152" s="36" t="inlineStr">
        <is>
          <t>Moyenne</t>
        </is>
      </c>
      <c r="J152" s="36" t="inlineStr">
        <is>
          <t>Backlog</t>
        </is>
      </c>
      <c r="K152" s="39" t="n"/>
      <c r="L152" s="16">
        <f>IF($B152="","",IF(J152="Complétée",1,IF(J152="Abandonnée",0,IF(K152&lt;&gt;"",K152,IFERROR(VLOOKUP(J152,Parametres!$B$6:$C$12,2,FALSE),0)))))</f>
        <v/>
      </c>
      <c r="M152" s="15">
        <f>IF($B152="","",IF(J152="Abandonnée",0,H152))</f>
        <v/>
      </c>
      <c r="N152" s="15">
        <f>IF($B152="","",M152*L152)</f>
        <v/>
      </c>
      <c r="O152" s="37" t="n"/>
      <c r="P152" s="40" t="n">
        <v>46450</v>
      </c>
      <c r="Q152" s="40" t="n">
        <v>46459</v>
      </c>
      <c r="R152" s="40" t="n"/>
      <c r="S152" s="37" t="inlineStr"/>
      <c r="T152" s="36" t="inlineStr">
        <is>
          <t>Non</t>
        </is>
      </c>
      <c r="U152" s="13">
        <f>IF($B152="","",IF(AND(J152&lt;&gt;"Complétée",J152&lt;&gt;"Abandonnée",Q152&lt;&gt;"",TODAY()&gt;Q152),"En retard",""))</f>
        <v/>
      </c>
      <c r="V152" s="37" t="n"/>
    </row>
    <row r="153">
      <c r="B153" s="36" t="inlineStr">
        <is>
          <t>V4-009</t>
        </is>
      </c>
      <c r="C153" s="36" t="inlineStr">
        <is>
          <t>V4</t>
        </is>
      </c>
      <c r="D153" s="36" t="inlineStr">
        <is>
          <t>CNX</t>
        </is>
      </c>
      <c r="E153" s="37" t="inlineStr">
        <is>
          <t>Deal-Connect</t>
        </is>
      </c>
      <c r="F153" s="37" t="inlineStr">
        <is>
          <t>Rendez-vous mutuels opt-in et suggestions par règles</t>
        </is>
      </c>
      <c r="G153" s="37" t="inlineStr">
        <is>
          <t>Aucun rendez-vous sans double accord</t>
        </is>
      </c>
      <c r="H153" s="38" t="n">
        <v>4</v>
      </c>
      <c r="I153" s="36" t="inlineStr">
        <is>
          <t>Moyenne</t>
        </is>
      </c>
      <c r="J153" s="36" t="inlineStr">
        <is>
          <t>Backlog</t>
        </is>
      </c>
      <c r="K153" s="39" t="n"/>
      <c r="L153" s="16">
        <f>IF($B153="","",IF(J153="Complétée",1,IF(J153="Abandonnée",0,IF(K153&lt;&gt;"",K153,IFERROR(VLOOKUP(J153,Parametres!$B$6:$C$12,2,FALSE),0)))))</f>
        <v/>
      </c>
      <c r="M153" s="15">
        <f>IF($B153="","",IF(J153="Abandonnée",0,H153))</f>
        <v/>
      </c>
      <c r="N153" s="15">
        <f>IF($B153="","",M153*L153)</f>
        <v/>
      </c>
      <c r="O153" s="37" t="n"/>
      <c r="P153" s="40" t="n">
        <v>46452</v>
      </c>
      <c r="Q153" s="40" t="n">
        <v>46458</v>
      </c>
      <c r="R153" s="40" t="n"/>
      <c r="S153" s="37" t="inlineStr"/>
      <c r="T153" s="36" t="inlineStr">
        <is>
          <t>Non</t>
        </is>
      </c>
      <c r="U153" s="13">
        <f>IF($B153="","",IF(AND(J153&lt;&gt;"Complétée",J153&lt;&gt;"Abandonnée",Q153&lt;&gt;"",TODAY()&gt;Q153),"En retard",""))</f>
        <v/>
      </c>
      <c r="V153" s="37" t="n"/>
    </row>
    <row r="154">
      <c r="B154" s="36" t="inlineStr">
        <is>
          <t>V4-010</t>
        </is>
      </c>
      <c r="C154" s="36" t="inlineStr">
        <is>
          <t>V4</t>
        </is>
      </c>
      <c r="D154" s="36" t="inlineStr">
        <is>
          <t>CNX</t>
        </is>
      </c>
      <c r="E154" s="37" t="inlineStr">
        <is>
          <t>Deal-Connect</t>
        </is>
      </c>
      <c r="F154" s="37" t="inlineStr">
        <is>
          <t>Rapport post-événement : participation, rendez-vous, satisfaction</t>
        </is>
      </c>
      <c r="G154" s="37" t="inlineStr">
        <is>
          <t>Rapport agrégé sans donnée nominative</t>
        </is>
      </c>
      <c r="H154" s="38" t="n">
        <v>4</v>
      </c>
      <c r="I154" s="36" t="inlineStr">
        <is>
          <t>Moyenne</t>
        </is>
      </c>
      <c r="J154" s="36" t="inlineStr">
        <is>
          <t>Backlog</t>
        </is>
      </c>
      <c r="K154" s="39" t="n"/>
      <c r="L154" s="16">
        <f>IF($B154="","",IF(J154="Complétée",1,IF(J154="Abandonnée",0,IF(K154&lt;&gt;"",K154,IFERROR(VLOOKUP(J154,Parametres!$B$6:$C$12,2,FALSE),0)))))</f>
        <v/>
      </c>
      <c r="M154" s="15">
        <f>IF($B154="","",IF(J154="Abandonnée",0,H154))</f>
        <v/>
      </c>
      <c r="N154" s="15">
        <f>IF($B154="","",M154*L154)</f>
        <v/>
      </c>
      <c r="O154" s="37" t="n"/>
      <c r="P154" s="40" t="n">
        <v>46454</v>
      </c>
      <c r="Q154" s="40" t="n">
        <v>46460</v>
      </c>
      <c r="R154" s="40" t="n"/>
      <c r="S154" s="37" t="inlineStr"/>
      <c r="T154" s="36" t="inlineStr">
        <is>
          <t>Non</t>
        </is>
      </c>
      <c r="U154" s="13">
        <f>IF($B154="","",IF(AND(J154&lt;&gt;"Complétée",J154&lt;&gt;"Abandonnée",Q154&lt;&gt;"",TODAY()&gt;Q154),"En retard",""))</f>
        <v/>
      </c>
      <c r="V154" s="37" t="n"/>
    </row>
    <row r="155">
      <c r="B155" s="36" t="inlineStr">
        <is>
          <t>V4-011</t>
        </is>
      </c>
      <c r="C155" s="36" t="inlineStr">
        <is>
          <t>V4</t>
        </is>
      </c>
      <c r="D155" s="36" t="inlineStr">
        <is>
          <t>CNX</t>
        </is>
      </c>
      <c r="E155" s="37" t="inlineStr">
        <is>
          <t>Deal-Connect</t>
        </is>
      </c>
      <c r="F155" s="37" t="inlineStr">
        <is>
          <t>Écrans Deal-Connect</t>
        </is>
      </c>
      <c r="G155" s="37" t="inlineStr">
        <is>
          <t>Aucun contenu à caractère de titre financier sur les stands</t>
        </is>
      </c>
      <c r="H155" s="38" t="n">
        <v>5</v>
      </c>
      <c r="I155" s="36" t="inlineStr">
        <is>
          <t>Moyenne</t>
        </is>
      </c>
      <c r="J155" s="36" t="inlineStr">
        <is>
          <t>Backlog</t>
        </is>
      </c>
      <c r="K155" s="39" t="n"/>
      <c r="L155" s="16">
        <f>IF($B155="","",IF(J155="Complétée",1,IF(J155="Abandonnée",0,IF(K155&lt;&gt;"",K155,IFERROR(VLOOKUP(J155,Parametres!$B$6:$C$12,2,FALSE),0)))))</f>
        <v/>
      </c>
      <c r="M155" s="15">
        <f>IF($B155="","",IF(J155="Abandonnée",0,H155))</f>
        <v/>
      </c>
      <c r="N155" s="15">
        <f>IF($B155="","",M155*L155)</f>
        <v/>
      </c>
      <c r="O155" s="37" t="n"/>
      <c r="P155" s="40" t="n">
        <v>46455</v>
      </c>
      <c r="Q155" s="40" t="n">
        <v>46462</v>
      </c>
      <c r="R155" s="40" t="n"/>
      <c r="S155" s="37" t="inlineStr"/>
      <c r="T155" s="36" t="inlineStr">
        <is>
          <t>Non</t>
        </is>
      </c>
      <c r="U155" s="13">
        <f>IF($B155="","",IF(AND(J155&lt;&gt;"Complétée",J155&lt;&gt;"Abandonnée",Q155&lt;&gt;"",TODAY()&gt;Q155),"En retard",""))</f>
        <v/>
      </c>
      <c r="V155" s="37" t="n"/>
    </row>
    <row r="156">
      <c r="B156" s="36" t="inlineStr">
        <is>
          <t>V4-012</t>
        </is>
      </c>
      <c r="C156" s="36" t="inlineStr">
        <is>
          <t>V4</t>
        </is>
      </c>
      <c r="D156" s="36" t="inlineStr">
        <is>
          <t>DIA</t>
        </is>
      </c>
      <c r="E156" s="37" t="inlineStr">
        <is>
          <t>Guichet Diaspora</t>
        </is>
      </c>
      <c r="F156" s="37" t="inlineStr">
        <is>
          <t>Profil investisseur diaspora, préférences, liste de suivi</t>
        </is>
      </c>
      <c r="G156" s="37" t="inlineStr">
        <is>
          <t>Preuve de capacité avec date d'expiration</t>
        </is>
      </c>
      <c r="H156" s="38" t="n">
        <v>5</v>
      </c>
      <c r="I156" s="36" t="inlineStr">
        <is>
          <t>Haute</t>
        </is>
      </c>
      <c r="J156" s="36" t="inlineStr">
        <is>
          <t>Backlog</t>
        </is>
      </c>
      <c r="K156" s="39" t="n"/>
      <c r="L156" s="16">
        <f>IF($B156="","",IF(J156="Complétée",1,IF(J156="Abandonnée",0,IF(K156&lt;&gt;"",K156,IFERROR(VLOOKUP(J156,Parametres!$B$6:$C$12,2,FALSE),0)))))</f>
        <v/>
      </c>
      <c r="M156" s="15">
        <f>IF($B156="","",IF(J156="Abandonnée",0,H156))</f>
        <v/>
      </c>
      <c r="N156" s="15">
        <f>IF($B156="","",M156*L156)</f>
        <v/>
      </c>
      <c r="O156" s="37" t="n"/>
      <c r="P156" s="40" t="n">
        <v>46457</v>
      </c>
      <c r="Q156" s="40" t="n">
        <v>46464</v>
      </c>
      <c r="R156" s="40" t="n"/>
      <c r="S156" s="37" t="inlineStr"/>
      <c r="T156" s="36" t="inlineStr">
        <is>
          <t>Non</t>
        </is>
      </c>
      <c r="U156" s="13">
        <f>IF($B156="","",IF(AND(J156&lt;&gt;"Complétée",J156&lt;&gt;"Abandonnée",Q156&lt;&gt;"",TODAY()&gt;Q156),"En retard",""))</f>
        <v/>
      </c>
      <c r="V156" s="37" t="n"/>
    </row>
    <row r="157">
      <c r="B157" s="36" t="inlineStr">
        <is>
          <t>V4-013</t>
        </is>
      </c>
      <c r="C157" s="36" t="inlineStr">
        <is>
          <t>V4</t>
        </is>
      </c>
      <c r="D157" s="36" t="inlineStr">
        <is>
          <t>DIA</t>
        </is>
      </c>
      <c r="E157" s="37" t="inlineStr">
        <is>
          <t>Guichet Diaspora</t>
        </is>
      </c>
      <c r="F157" s="37" t="inlineStr">
        <is>
          <t>Présentation des contraintes transfrontalières et taux de change indicatif daté</t>
        </is>
      </c>
      <c r="G157" s="37" t="inlineStr">
        <is>
          <t>Taux affiché avec source et date</t>
        </is>
      </c>
      <c r="H157" s="38" t="n">
        <v>5</v>
      </c>
      <c r="I157" s="36" t="inlineStr">
        <is>
          <t>Haute</t>
        </is>
      </c>
      <c r="J157" s="36" t="inlineStr">
        <is>
          <t>Backlog</t>
        </is>
      </c>
      <c r="K157" s="39" t="n"/>
      <c r="L157" s="16">
        <f>IF($B157="","",IF(J157="Complétée",1,IF(J157="Abandonnée",0,IF(K157&lt;&gt;"",K157,IFERROR(VLOOKUP(J157,Parametres!$B$6:$C$12,2,FALSE),0)))))</f>
        <v/>
      </c>
      <c r="M157" s="15">
        <f>IF($B157="","",IF(J157="Abandonnée",0,H157))</f>
        <v/>
      </c>
      <c r="N157" s="15">
        <f>IF($B157="","",M157*L157)</f>
        <v/>
      </c>
      <c r="O157" s="37" t="n"/>
      <c r="P157" s="40" t="n">
        <v>46459</v>
      </c>
      <c r="Q157" s="40" t="n">
        <v>46466</v>
      </c>
      <c r="R157" s="40" t="n"/>
      <c r="S157" s="37" t="inlineStr"/>
      <c r="T157" s="36" t="inlineStr">
        <is>
          <t>Non</t>
        </is>
      </c>
      <c r="U157" s="13">
        <f>IF($B157="","",IF(AND(J157&lt;&gt;"Complétée",J157&lt;&gt;"Abandonnée",Q157&lt;&gt;"",TODAY()&gt;Q157),"En retard",""))</f>
        <v/>
      </c>
      <c r="V157" s="37" t="n"/>
    </row>
    <row r="158">
      <c r="B158" s="36" t="inlineStr">
        <is>
          <t>V4-014</t>
        </is>
      </c>
      <c r="C158" s="36" t="inlineStr">
        <is>
          <t>V4</t>
        </is>
      </c>
      <c r="D158" s="36" t="inlineStr">
        <is>
          <t>DIA</t>
        </is>
      </c>
      <c r="E158" s="37" t="inlineStr">
        <is>
          <t>Guichet Diaspora</t>
        </is>
      </c>
      <c r="F158" s="37" t="inlineStr">
        <is>
          <t>Renvoi vers banque / conseil pour les aspects réglementés</t>
        </is>
      </c>
      <c r="G158" s="37" t="inlineStr">
        <is>
          <t>Aucun conseil de change fourni par la plateforme</t>
        </is>
      </c>
      <c r="H158" s="38" t="n">
        <v>3</v>
      </c>
      <c r="I158" s="36" t="inlineStr">
        <is>
          <t>Haute</t>
        </is>
      </c>
      <c r="J158" s="36" t="inlineStr">
        <is>
          <t>Backlog</t>
        </is>
      </c>
      <c r="K158" s="39" t="n"/>
      <c r="L158" s="16">
        <f>IF($B158="","",IF(J158="Complétée",1,IF(J158="Abandonnée",0,IF(K158&lt;&gt;"",K158,IFERROR(VLOOKUP(J158,Parametres!$B$6:$C$12,2,FALSE),0)))))</f>
        <v/>
      </c>
      <c r="M158" s="15">
        <f>IF($B158="","",IF(J158="Abandonnée",0,H158))</f>
        <v/>
      </c>
      <c r="N158" s="15">
        <f>IF($B158="","",M158*L158)</f>
        <v/>
      </c>
      <c r="O158" s="37" t="n"/>
      <c r="P158" s="40" t="n">
        <v>46460</v>
      </c>
      <c r="Q158" s="40" t="n">
        <v>46465</v>
      </c>
      <c r="R158" s="40" t="n"/>
      <c r="S158" s="37" t="inlineStr"/>
      <c r="T158" s="36" t="inlineStr">
        <is>
          <t>Non</t>
        </is>
      </c>
      <c r="U158" s="13">
        <f>IF($B158="","",IF(AND(J158&lt;&gt;"Complétée",J158&lt;&gt;"Abandonnée",Q158&lt;&gt;"",TODAY()&gt;Q158),"En retard",""))</f>
        <v/>
      </c>
      <c r="V158" s="37" t="n"/>
    </row>
    <row r="159">
      <c r="B159" s="36" t="inlineStr">
        <is>
          <t>V4-015</t>
        </is>
      </c>
      <c r="C159" s="36" t="inlineStr">
        <is>
          <t>V4</t>
        </is>
      </c>
      <c r="D159" s="36" t="inlineStr">
        <is>
          <t>DIA</t>
        </is>
      </c>
      <c r="E159" s="37" t="inlineStr">
        <is>
          <t>Guichet Diaspora</t>
        </is>
      </c>
      <c r="F159" s="37" t="inlineStr">
        <is>
          <t>Signal de demande diaspora (agrégé, anonymisé)</t>
        </is>
      </c>
      <c r="G159" s="37" t="inlineStr">
        <is>
          <t>Aucune donnée nominative dans le signal</t>
        </is>
      </c>
      <c r="H159" s="38" t="n">
        <v>3</v>
      </c>
      <c r="I159" s="36" t="inlineStr">
        <is>
          <t>Basse</t>
        </is>
      </c>
      <c r="J159" s="36" t="inlineStr">
        <is>
          <t>Backlog</t>
        </is>
      </c>
      <c r="K159" s="39" t="n"/>
      <c r="L159" s="16">
        <f>IF($B159="","",IF(J159="Complétée",1,IF(J159="Abandonnée",0,IF(K159&lt;&gt;"",K159,IFERROR(VLOOKUP(J159,Parametres!$B$6:$C$12,2,FALSE),0)))))</f>
        <v/>
      </c>
      <c r="M159" s="15">
        <f>IF($B159="","",IF(J159="Abandonnée",0,H159))</f>
        <v/>
      </c>
      <c r="N159" s="15">
        <f>IF($B159="","",M159*L159)</f>
        <v/>
      </c>
      <c r="O159" s="37" t="n"/>
      <c r="P159" s="40" t="n">
        <v>46462</v>
      </c>
      <c r="Q159" s="40" t="n">
        <v>46467</v>
      </c>
      <c r="R159" s="40" t="n"/>
      <c r="S159" s="37" t="inlineStr"/>
      <c r="T159" s="36" t="inlineStr">
        <is>
          <t>Non</t>
        </is>
      </c>
      <c r="U159" s="13">
        <f>IF($B159="","",IF(AND(J159&lt;&gt;"Complétée",J159&lt;&gt;"Abandonnée",Q159&lt;&gt;"",TODAY()&gt;Q159),"En retard",""))</f>
        <v/>
      </c>
      <c r="V159" s="37" t="n"/>
    </row>
    <row r="160">
      <c r="B160" s="36" t="inlineStr">
        <is>
          <t>V4-016</t>
        </is>
      </c>
      <c r="C160" s="36" t="inlineStr">
        <is>
          <t>V4</t>
        </is>
      </c>
      <c r="D160" s="36" t="inlineStr">
        <is>
          <t>DIA</t>
        </is>
      </c>
      <c r="E160" s="37" t="inlineStr">
        <is>
          <t>Guichet Diaspora</t>
        </is>
      </c>
      <c r="F160" s="37" t="inlineStr">
        <is>
          <t>Écrans Guichet Diaspora</t>
        </is>
      </c>
      <c r="G160" s="37" t="inlineStr">
        <is>
          <t>Contraintes affichées avant la phase finale</t>
        </is>
      </c>
      <c r="H160" s="38" t="n">
        <v>5</v>
      </c>
      <c r="I160" s="36" t="inlineStr">
        <is>
          <t>Moyenne</t>
        </is>
      </c>
      <c r="J160" s="36" t="inlineStr">
        <is>
          <t>Backlog</t>
        </is>
      </c>
      <c r="K160" s="39" t="n"/>
      <c r="L160" s="16">
        <f>IF($B160="","",IF(J160="Complétée",1,IF(J160="Abandonnée",0,IF(K160&lt;&gt;"",K160,IFERROR(VLOOKUP(J160,Parametres!$B$6:$C$12,2,FALSE),0)))))</f>
        <v/>
      </c>
      <c r="M160" s="15">
        <f>IF($B160="","",IF(J160="Abandonnée",0,H160))</f>
        <v/>
      </c>
      <c r="N160" s="15">
        <f>IF($B160="","",M160*L160)</f>
        <v/>
      </c>
      <c r="O160" s="37" t="n"/>
      <c r="P160" s="40" t="n">
        <v>46463</v>
      </c>
      <c r="Q160" s="40" t="n">
        <v>46470</v>
      </c>
      <c r="R160" s="40" t="n"/>
      <c r="S160" s="37" t="inlineStr"/>
      <c r="T160" s="36" t="inlineStr">
        <is>
          <t>Non</t>
        </is>
      </c>
      <c r="U160" s="13">
        <f>IF($B160="","",IF(AND(J160&lt;&gt;"Complétée",J160&lt;&gt;"Abandonnée",Q160&lt;&gt;"",TODAY()&gt;Q160),"En retard",""))</f>
        <v/>
      </c>
      <c r="V160" s="37" t="n"/>
    </row>
    <row r="161">
      <c r="B161" s="36" t="inlineStr">
        <is>
          <t>V4-017</t>
        </is>
      </c>
      <c r="C161" s="36" t="inlineStr">
        <is>
          <t>V4</t>
        </is>
      </c>
      <c r="D161" s="36" t="inlineStr">
        <is>
          <t>EXP</t>
        </is>
      </c>
      <c r="E161" s="37" t="inlineStr">
        <is>
          <t>Deal-Experts</t>
        </is>
      </c>
      <c r="F161" s="37" t="inlineStr">
        <is>
          <t>Registre d'experts qualifiés et déclaration de conflit d'intérêts</t>
        </is>
      </c>
      <c r="G161" s="37" t="inlineStr">
        <is>
          <t>Conflit déclaré avant toute proposition</t>
        </is>
      </c>
      <c r="H161" s="38" t="n">
        <v>5</v>
      </c>
      <c r="I161" s="36" t="inlineStr">
        <is>
          <t>Moyenne</t>
        </is>
      </c>
      <c r="J161" s="36" t="inlineStr">
        <is>
          <t>Backlog</t>
        </is>
      </c>
      <c r="K161" s="39" t="n"/>
      <c r="L161" s="16">
        <f>IF($B161="","",IF(J161="Complétée",1,IF(J161="Abandonnée",0,IF(K161&lt;&gt;"",K161,IFERROR(VLOOKUP(J161,Parametres!$B$6:$C$12,2,FALSE),0)))))</f>
        <v/>
      </c>
      <c r="M161" s="15">
        <f>IF($B161="","",IF(J161="Abandonnée",0,H161))</f>
        <v/>
      </c>
      <c r="N161" s="15">
        <f>IF($B161="","",M161*L161)</f>
        <v/>
      </c>
      <c r="O161" s="37" t="n"/>
      <c r="P161" s="40" t="n">
        <v>46465</v>
      </c>
      <c r="Q161" s="40" t="n">
        <v>46472</v>
      </c>
      <c r="R161" s="40" t="n"/>
      <c r="S161" s="37" t="inlineStr">
        <is>
          <t>Arbitrage statut P13</t>
        </is>
      </c>
      <c r="T161" s="36" t="inlineStr">
        <is>
          <t>Non</t>
        </is>
      </c>
      <c r="U161" s="13">
        <f>IF($B161="","",IF(AND(J161&lt;&gt;"Complétée",J161&lt;&gt;"Abandonnée",Q161&lt;&gt;"",TODAY()&gt;Q161),"En retard",""))</f>
        <v/>
      </c>
      <c r="V161" s="37" t="n"/>
    </row>
    <row r="162">
      <c r="B162" s="36" t="inlineStr">
        <is>
          <t>V4-018</t>
        </is>
      </c>
      <c r="C162" s="36" t="inlineStr">
        <is>
          <t>V4</t>
        </is>
      </c>
      <c r="D162" s="36" t="inlineStr">
        <is>
          <t>EXP</t>
        </is>
      </c>
      <c r="E162" s="37" t="inlineStr">
        <is>
          <t>Deal-Experts</t>
        </is>
      </c>
      <c r="F162" s="37" t="inlineStr">
        <is>
          <t>Routage du besoin, propositions, sélection par le client</t>
        </is>
      </c>
      <c r="G162" s="37" t="inlineStr">
        <is>
          <t>Client choisit seul, DealPME n'oriente pas le fond</t>
        </is>
      </c>
      <c r="H162" s="38" t="n">
        <v>5</v>
      </c>
      <c r="I162" s="36" t="inlineStr">
        <is>
          <t>Moyenne</t>
        </is>
      </c>
      <c r="J162" s="36" t="inlineStr">
        <is>
          <t>Backlog</t>
        </is>
      </c>
      <c r="K162" s="39" t="n"/>
      <c r="L162" s="16">
        <f>IF($B162="","",IF(J162="Complétée",1,IF(J162="Abandonnée",0,IF(K162&lt;&gt;"",K162,IFERROR(VLOOKUP(J162,Parametres!$B$6:$C$12,2,FALSE),0)))))</f>
        <v/>
      </c>
      <c r="M162" s="15">
        <f>IF($B162="","",IF(J162="Abandonnée",0,H162))</f>
        <v/>
      </c>
      <c r="N162" s="15">
        <f>IF($B162="","",M162*L162)</f>
        <v/>
      </c>
      <c r="O162" s="37" t="n"/>
      <c r="P162" s="40" t="n">
        <v>46466</v>
      </c>
      <c r="Q162" s="40" t="n">
        <v>46473</v>
      </c>
      <c r="R162" s="40" t="n"/>
      <c r="S162" s="37" t="inlineStr"/>
      <c r="T162" s="36" t="inlineStr">
        <is>
          <t>Non</t>
        </is>
      </c>
      <c r="U162" s="13">
        <f>IF($B162="","",IF(AND(J162&lt;&gt;"Complétée",J162&lt;&gt;"Abandonnée",Q162&lt;&gt;"",TODAY()&gt;Q162),"En retard",""))</f>
        <v/>
      </c>
      <c r="V162" s="37" t="n"/>
    </row>
    <row r="163">
      <c r="B163" s="36" t="inlineStr">
        <is>
          <t>V4-019</t>
        </is>
      </c>
      <c r="C163" s="36" t="inlineStr">
        <is>
          <t>V4</t>
        </is>
      </c>
      <c r="D163" s="36" t="inlineStr">
        <is>
          <t>EXP</t>
        </is>
      </c>
      <c r="E163" s="37" t="inlineStr">
        <is>
          <t>Deal-Experts</t>
        </is>
      </c>
      <c r="F163" s="37" t="inlineStr">
        <is>
          <t>Accès temporaire scopé en lecture, expiration à la remise du livrable</t>
        </is>
      </c>
      <c r="G163" s="37" t="inlineStr">
        <is>
          <t>Accès fermé automatiquement à la livraison</t>
        </is>
      </c>
      <c r="H163" s="38" t="n">
        <v>5</v>
      </c>
      <c r="I163" s="36" t="inlineStr">
        <is>
          <t>Haute</t>
        </is>
      </c>
      <c r="J163" s="36" t="inlineStr">
        <is>
          <t>Backlog</t>
        </is>
      </c>
      <c r="K163" s="39" t="n"/>
      <c r="L163" s="16">
        <f>IF($B163="","",IF(J163="Complétée",1,IF(J163="Abandonnée",0,IF(K163&lt;&gt;"",K163,IFERROR(VLOOKUP(J163,Parametres!$B$6:$C$12,2,FALSE),0)))))</f>
        <v/>
      </c>
      <c r="M163" s="15">
        <f>IF($B163="","",IF(J163="Abandonnée",0,H163))</f>
        <v/>
      </c>
      <c r="N163" s="15">
        <f>IF($B163="","",M163*L163)</f>
        <v/>
      </c>
      <c r="O163" s="37" t="n"/>
      <c r="P163" s="40" t="n">
        <v>46468</v>
      </c>
      <c r="Q163" s="40" t="n">
        <v>46475</v>
      </c>
      <c r="R163" s="40" t="n"/>
      <c r="S163" s="37" t="inlineStr"/>
      <c r="T163" s="36" t="inlineStr">
        <is>
          <t>Non</t>
        </is>
      </c>
      <c r="U163" s="13">
        <f>IF($B163="","",IF(AND(J163&lt;&gt;"Complétée",J163&lt;&gt;"Abandonnée",Q163&lt;&gt;"",TODAY()&gt;Q163),"En retard",""))</f>
        <v/>
      </c>
      <c r="V163" s="37" t="n"/>
    </row>
    <row r="164">
      <c r="B164" s="36" t="inlineStr">
        <is>
          <t>V4-020</t>
        </is>
      </c>
      <c r="C164" s="36" t="inlineStr">
        <is>
          <t>V4</t>
        </is>
      </c>
      <c r="D164" s="36" t="inlineStr">
        <is>
          <t>EXP</t>
        </is>
      </c>
      <c r="E164" s="37" t="inlineStr">
        <is>
          <t>Deal-Experts</t>
        </is>
      </c>
      <c r="F164" s="37" t="inlineStr">
        <is>
          <t>Contrat direct client-expert (hors facturation DealPME) et journal</t>
        </is>
      </c>
      <c r="G164" s="37" t="inlineStr">
        <is>
          <t>Aucune facturation de prestation par DealPME</t>
        </is>
      </c>
      <c r="H164" s="38" t="n">
        <v>3</v>
      </c>
      <c r="I164" s="36" t="inlineStr">
        <is>
          <t>Moyenne</t>
        </is>
      </c>
      <c r="J164" s="36" t="inlineStr">
        <is>
          <t>Backlog</t>
        </is>
      </c>
      <c r="K164" s="39" t="n"/>
      <c r="L164" s="16">
        <f>IF($B164="","",IF(J164="Complétée",1,IF(J164="Abandonnée",0,IF(K164&lt;&gt;"",K164,IFERROR(VLOOKUP(J164,Parametres!$B$6:$C$12,2,FALSE),0)))))</f>
        <v/>
      </c>
      <c r="M164" s="15">
        <f>IF($B164="","",IF(J164="Abandonnée",0,H164))</f>
        <v/>
      </c>
      <c r="N164" s="15">
        <f>IF($B164="","",M164*L164)</f>
        <v/>
      </c>
      <c r="O164" s="37" t="n"/>
      <c r="P164" s="40" t="n">
        <v>46470</v>
      </c>
      <c r="Q164" s="40" t="n">
        <v>46475</v>
      </c>
      <c r="R164" s="40" t="n"/>
      <c r="S164" s="37" t="inlineStr"/>
      <c r="T164" s="36" t="inlineStr">
        <is>
          <t>Non</t>
        </is>
      </c>
      <c r="U164" s="13">
        <f>IF($B164="","",IF(AND(J164&lt;&gt;"Complétée",J164&lt;&gt;"Abandonnée",Q164&lt;&gt;"",TODAY()&gt;Q164),"En retard",""))</f>
        <v/>
      </c>
      <c r="V164" s="37" t="n"/>
    </row>
    <row r="165">
      <c r="B165" s="36" t="inlineStr">
        <is>
          <t>V4-021</t>
        </is>
      </c>
      <c r="C165" s="36" t="inlineStr">
        <is>
          <t>V4</t>
        </is>
      </c>
      <c r="D165" s="36" t="inlineStr">
        <is>
          <t>EXP</t>
        </is>
      </c>
      <c r="E165" s="37" t="inlineStr">
        <is>
          <t>Deal-Experts</t>
        </is>
      </c>
      <c r="F165" s="37" t="inlineStr">
        <is>
          <t>Écrans Deal-Experts</t>
        </is>
      </c>
      <c r="G165" s="37" t="inlineStr">
        <is>
          <t>Aucun contenu d'expert imputé à DealPME</t>
        </is>
      </c>
      <c r="H165" s="38" t="n">
        <v>2</v>
      </c>
      <c r="I165" s="36" t="inlineStr">
        <is>
          <t>Basse</t>
        </is>
      </c>
      <c r="J165" s="36" t="inlineStr">
        <is>
          <t>Backlog</t>
        </is>
      </c>
      <c r="K165" s="39" t="n"/>
      <c r="L165" s="16">
        <f>IF($B165="","",IF(J165="Complétée",1,IF(J165="Abandonnée",0,IF(K165&lt;&gt;"",K165,IFERROR(VLOOKUP(J165,Parametres!$B$6:$C$12,2,FALSE),0)))))</f>
        <v/>
      </c>
      <c r="M165" s="15">
        <f>IF($B165="","",IF(J165="Abandonnée",0,H165))</f>
        <v/>
      </c>
      <c r="N165" s="15">
        <f>IF($B165="","",M165*L165)</f>
        <v/>
      </c>
      <c r="O165" s="37" t="n"/>
      <c r="P165" s="40" t="n">
        <v>46471</v>
      </c>
      <c r="Q165" s="40" t="n">
        <v>46474</v>
      </c>
      <c r="R165" s="40" t="n"/>
      <c r="S165" s="37" t="inlineStr"/>
      <c r="T165" s="36" t="inlineStr">
        <is>
          <t>Non</t>
        </is>
      </c>
      <c r="U165" s="13">
        <f>IF($B165="","",IF(AND(J165&lt;&gt;"Complétée",J165&lt;&gt;"Abandonnée",Q165&lt;&gt;"",TODAY()&gt;Q165),"En retard",""))</f>
        <v/>
      </c>
      <c r="V165" s="37" t="n"/>
    </row>
    <row r="166">
      <c r="B166" s="36" t="inlineStr">
        <is>
          <t>V5-001</t>
        </is>
      </c>
      <c r="C166" s="36" t="inlineStr">
        <is>
          <t>V5</t>
        </is>
      </c>
      <c r="D166" s="36" t="inlineStr">
        <is>
          <t>VDR-IA</t>
        </is>
      </c>
      <c r="E166" s="37" t="inlineStr">
        <is>
          <t>Fournisseur IA</t>
        </is>
      </c>
      <c r="F166" s="37" t="inlineStr">
        <is>
          <t>Qualification et contrat du fournisseur IA (confidentialité, hébergement, aucune réutilisation des données)</t>
        </is>
      </c>
      <c r="G166" s="37" t="inlineStr">
        <is>
          <t>Contrat signé avec clauses de confidentialité</t>
        </is>
      </c>
      <c r="H166" s="38" t="n">
        <v>5</v>
      </c>
      <c r="I166" s="36" t="inlineStr">
        <is>
          <t>Haute</t>
        </is>
      </c>
      <c r="J166" s="36" t="inlineStr">
        <is>
          <t>Backlog</t>
        </is>
      </c>
      <c r="K166" s="39" t="n"/>
      <c r="L166" s="16">
        <f>IF($B166="","",IF(J166="Complétée",1,IF(J166="Abandonnée",0,IF(K166&lt;&gt;"",K166,IFERROR(VLOOKUP(J166,Parametres!$B$6:$C$12,2,FALSE),0)))))</f>
        <v/>
      </c>
      <c r="M166" s="15">
        <f>IF($B166="","",IF(J166="Abandonnée",0,H166))</f>
        <v/>
      </c>
      <c r="N166" s="15">
        <f>IF($B166="","",M166*L166)</f>
        <v/>
      </c>
      <c r="O166" s="37" t="n"/>
      <c r="P166" s="40" t="n">
        <v>46479</v>
      </c>
      <c r="Q166" s="40" t="n">
        <v>46486</v>
      </c>
      <c r="R166" s="40" t="n"/>
      <c r="S166" s="37" t="inlineStr"/>
      <c r="T166" s="36" t="inlineStr">
        <is>
          <t>Oui</t>
        </is>
      </c>
      <c r="U166" s="13">
        <f>IF($B166="","",IF(AND(J166&lt;&gt;"Complétée",J166&lt;&gt;"Abandonnée",Q166&lt;&gt;"",TODAY()&gt;Q166),"En retard",""))</f>
        <v/>
      </c>
      <c r="V166" s="37" t="n"/>
    </row>
    <row r="167">
      <c r="B167" s="36" t="inlineStr">
        <is>
          <t>V5-002</t>
        </is>
      </c>
      <c r="C167" s="36" t="inlineStr">
        <is>
          <t>V5</t>
        </is>
      </c>
      <c r="D167" s="36" t="inlineStr">
        <is>
          <t>VDR-IA</t>
        </is>
      </c>
      <c r="E167" s="37" t="inlineStr">
        <is>
          <t>Fournisseur IA</t>
        </is>
      </c>
      <c r="F167" s="37" t="inlineStr">
        <is>
          <t>Dossier de conformité IA : politique, drapeaux fonctionnels, journal des politiques</t>
        </is>
      </c>
      <c r="G167" s="37" t="inlineStr">
        <is>
          <t>Chaque changement de politique audité</t>
        </is>
      </c>
      <c r="H167" s="38" t="n">
        <v>5</v>
      </c>
      <c r="I167" s="36" t="inlineStr">
        <is>
          <t>Haute</t>
        </is>
      </c>
      <c r="J167" s="36" t="inlineStr">
        <is>
          <t>Backlog</t>
        </is>
      </c>
      <c r="K167" s="39" t="n"/>
      <c r="L167" s="16">
        <f>IF($B167="","",IF(J167="Complétée",1,IF(J167="Abandonnée",0,IF(K167&lt;&gt;"",K167,IFERROR(VLOOKUP(J167,Parametres!$B$6:$C$12,2,FALSE),0)))))</f>
        <v/>
      </c>
      <c r="M167" s="15">
        <f>IF($B167="","",IF(J167="Abandonnée",0,H167))</f>
        <v/>
      </c>
      <c r="N167" s="15">
        <f>IF($B167="","",M167*L167)</f>
        <v/>
      </c>
      <c r="O167" s="37" t="n"/>
      <c r="P167" s="40" t="n">
        <v>46481</v>
      </c>
      <c r="Q167" s="40" t="n">
        <v>46488</v>
      </c>
      <c r="R167" s="40" t="n"/>
      <c r="S167" s="37" t="inlineStr"/>
      <c r="T167" s="36" t="inlineStr">
        <is>
          <t>Non</t>
        </is>
      </c>
      <c r="U167" s="13">
        <f>IF($B167="","",IF(AND(J167&lt;&gt;"Complétée",J167&lt;&gt;"Abandonnée",Q167&lt;&gt;"",TODAY()&gt;Q167),"En retard",""))</f>
        <v/>
      </c>
      <c r="V167" s="37" t="n"/>
    </row>
    <row r="168">
      <c r="B168" s="36" t="inlineStr">
        <is>
          <t>V5-003</t>
        </is>
      </c>
      <c r="C168" s="36" t="inlineStr">
        <is>
          <t>V5</t>
        </is>
      </c>
      <c r="D168" s="36" t="inlineStr">
        <is>
          <t>VDR-IA</t>
        </is>
      </c>
      <c r="E168" s="37" t="inlineStr">
        <is>
          <t>Ingestion</t>
        </is>
      </c>
      <c r="F168" s="37" t="inlineStr">
        <is>
          <t>Pipeline d'ingestion : classification, OCR, ancres de page, empreinte de version</t>
        </is>
      </c>
      <c r="G168" s="37" t="inlineStr">
        <is>
          <t>États UPLOADED à PUBLISHED implémentés</t>
        </is>
      </c>
      <c r="H168" s="38" t="n">
        <v>8</v>
      </c>
      <c r="I168" s="36" t="inlineStr">
        <is>
          <t>Haute</t>
        </is>
      </c>
      <c r="J168" s="36" t="inlineStr">
        <is>
          <t>Backlog</t>
        </is>
      </c>
      <c r="K168" s="39" t="n"/>
      <c r="L168" s="16">
        <f>IF($B168="","",IF(J168="Complétée",1,IF(J168="Abandonnée",0,IF(K168&lt;&gt;"",K168,IFERROR(VLOOKUP(J168,Parametres!$B$6:$C$12,2,FALSE),0)))))</f>
        <v/>
      </c>
      <c r="M168" s="15">
        <f>IF($B168="","",IF(J168="Abandonnée",0,H168))</f>
        <v/>
      </c>
      <c r="N168" s="15">
        <f>IF($B168="","",M168*L168)</f>
        <v/>
      </c>
      <c r="O168" s="37" t="n"/>
      <c r="P168" s="40" t="n">
        <v>46483</v>
      </c>
      <c r="Q168" s="40" t="n">
        <v>46495</v>
      </c>
      <c r="R168" s="40" t="n"/>
      <c r="S168" s="37" t="inlineStr"/>
      <c r="T168" s="36" t="inlineStr">
        <is>
          <t>Non</t>
        </is>
      </c>
      <c r="U168" s="13">
        <f>IF($B168="","",IF(AND(J168&lt;&gt;"Complétée",J168&lt;&gt;"Abandonnée",Q168&lt;&gt;"",TODAY()&gt;Q168),"En retard",""))</f>
        <v/>
      </c>
      <c r="V168" s="37" t="n"/>
    </row>
    <row r="169">
      <c r="B169" s="36" t="inlineStr">
        <is>
          <t>V5-004</t>
        </is>
      </c>
      <c r="C169" s="36" t="inlineStr">
        <is>
          <t>V5</t>
        </is>
      </c>
      <c r="D169" s="36" t="inlineStr">
        <is>
          <t>VDR-IA</t>
        </is>
      </c>
      <c r="E169" s="37" t="inlineStr">
        <is>
          <t>Ingestion</t>
        </is>
      </c>
      <c r="F169" s="37" t="inlineStr">
        <is>
          <t>Indexation filtrée par permission (permission_scope_hash)</t>
        </is>
      </c>
      <c r="G169" s="37" t="inlineStr">
        <is>
          <t>Aucun chunk indexé hors périmètre autorisé</t>
        </is>
      </c>
      <c r="H169" s="38" t="n">
        <v>8</v>
      </c>
      <c r="I169" s="36" t="inlineStr">
        <is>
          <t>Haute</t>
        </is>
      </c>
      <c r="J169" s="36" t="inlineStr">
        <is>
          <t>Backlog</t>
        </is>
      </c>
      <c r="K169" s="39" t="n"/>
      <c r="L169" s="16">
        <f>IF($B169="","",IF(J169="Complétée",1,IF(J169="Abandonnée",0,IF(K169&lt;&gt;"",K169,IFERROR(VLOOKUP(J169,Parametres!$B$6:$C$12,2,FALSE),0)))))</f>
        <v/>
      </c>
      <c r="M169" s="15">
        <f>IF($B169="","",IF(J169="Abandonnée",0,H169))</f>
        <v/>
      </c>
      <c r="N169" s="15">
        <f>IF($B169="","",M169*L169)</f>
        <v/>
      </c>
      <c r="O169" s="37" t="n"/>
      <c r="P169" s="40" t="n">
        <v>46486</v>
      </c>
      <c r="Q169" s="40" t="n">
        <v>46498</v>
      </c>
      <c r="R169" s="40" t="n"/>
      <c r="S169" s="37" t="inlineStr"/>
      <c r="T169" s="36" t="inlineStr">
        <is>
          <t>Non</t>
        </is>
      </c>
      <c r="U169" s="13">
        <f>IF($B169="","",IF(AND(J169&lt;&gt;"Complétée",J169&lt;&gt;"Abandonnée",Q169&lt;&gt;"",TODAY()&gt;Q169),"En retard",""))</f>
        <v/>
      </c>
      <c r="V169" s="37" t="n"/>
    </row>
    <row r="170">
      <c r="B170" s="36" t="inlineStr">
        <is>
          <t>V5-005</t>
        </is>
      </c>
      <c r="C170" s="36" t="inlineStr">
        <is>
          <t>V5</t>
        </is>
      </c>
      <c r="D170" s="36" t="inlineStr">
        <is>
          <t>VDR-IA</t>
        </is>
      </c>
      <c r="E170" s="37" t="inlineStr">
        <is>
          <t>DealLens</t>
        </is>
      </c>
      <c r="F170" s="37" t="inlineStr">
        <is>
          <t>Pare-feu de divulgation avant récupération (10 étapes, jamais 'récupérer puis masquer')</t>
        </is>
      </c>
      <c r="G170" s="37" t="inlineStr">
        <is>
          <t>Test AI-01 : aucun document inaccessible cité</t>
        </is>
      </c>
      <c r="H170" s="38" t="n">
        <v>8</v>
      </c>
      <c r="I170" s="36" t="inlineStr">
        <is>
          <t>Haute</t>
        </is>
      </c>
      <c r="J170" s="36" t="inlineStr">
        <is>
          <t>Backlog</t>
        </is>
      </c>
      <c r="K170" s="39" t="n"/>
      <c r="L170" s="16">
        <f>IF($B170="","",IF(J170="Complétée",1,IF(J170="Abandonnée",0,IF(K170&lt;&gt;"",K170,IFERROR(VLOOKUP(J170,Parametres!$B$6:$C$12,2,FALSE),0)))))</f>
        <v/>
      </c>
      <c r="M170" s="15">
        <f>IF($B170="","",IF(J170="Abandonnée",0,H170))</f>
        <v/>
      </c>
      <c r="N170" s="15">
        <f>IF($B170="","",M170*L170)</f>
        <v/>
      </c>
      <c r="O170" s="37" t="n"/>
      <c r="P170" s="40" t="n">
        <v>46488</v>
      </c>
      <c r="Q170" s="40" t="n">
        <v>46500</v>
      </c>
      <c r="R170" s="40" t="n"/>
      <c r="S170" s="37" t="inlineStr"/>
      <c r="T170" s="36" t="inlineStr">
        <is>
          <t>Non</t>
        </is>
      </c>
      <c r="U170" s="13">
        <f>IF($B170="","",IF(AND(J170&lt;&gt;"Complétée",J170&lt;&gt;"Abandonnée",Q170&lt;&gt;"",TODAY()&gt;Q170),"En retard",""))</f>
        <v/>
      </c>
      <c r="V170" s="37" t="n"/>
    </row>
    <row r="171">
      <c r="B171" s="36" t="inlineStr">
        <is>
          <t>V5-006</t>
        </is>
      </c>
      <c r="C171" s="36" t="inlineStr">
        <is>
          <t>V5</t>
        </is>
      </c>
      <c r="D171" s="36" t="inlineStr">
        <is>
          <t>VDR-IA</t>
        </is>
      </c>
      <c r="E171" s="37" t="inlineStr">
        <is>
          <t>DealLens</t>
        </is>
      </c>
      <c r="F171" s="37" t="inlineStr">
        <is>
          <t>Contrat de réponse DealLens : citations, niveau de confiance, réponse d'insuffisance</t>
        </is>
      </c>
      <c r="G171" s="37" t="inlineStr">
        <is>
          <t>Test AI-04 : INSUFFISANT sans spéculation</t>
        </is>
      </c>
      <c r="H171" s="38" t="n">
        <v>6</v>
      </c>
      <c r="I171" s="36" t="inlineStr">
        <is>
          <t>Haute</t>
        </is>
      </c>
      <c r="J171" s="36" t="inlineStr">
        <is>
          <t>Backlog</t>
        </is>
      </c>
      <c r="K171" s="39" t="n"/>
      <c r="L171" s="16">
        <f>IF($B171="","",IF(J171="Complétée",1,IF(J171="Abandonnée",0,IF(K171&lt;&gt;"",K171,IFERROR(VLOOKUP(J171,Parametres!$B$6:$C$12,2,FALSE),0)))))</f>
        <v/>
      </c>
      <c r="M171" s="15">
        <f>IF($B171="","",IF(J171="Abandonnée",0,H171))</f>
        <v/>
      </c>
      <c r="N171" s="15">
        <f>IF($B171="","",M171*L171)</f>
        <v/>
      </c>
      <c r="O171" s="37" t="n"/>
      <c r="P171" s="40" t="n">
        <v>46491</v>
      </c>
      <c r="Q171" s="40" t="n">
        <v>46500</v>
      </c>
      <c r="R171" s="40" t="n"/>
      <c r="S171" s="37" t="inlineStr"/>
      <c r="T171" s="36" t="inlineStr">
        <is>
          <t>Non</t>
        </is>
      </c>
      <c r="U171" s="13">
        <f>IF($B171="","",IF(AND(J171&lt;&gt;"Complétée",J171&lt;&gt;"Abandonnée",Q171&lt;&gt;"",TODAY()&gt;Q171),"En retard",""))</f>
        <v/>
      </c>
      <c r="V171" s="37" t="n"/>
    </row>
    <row r="172">
      <c r="B172" s="36" t="inlineStr">
        <is>
          <t>V5-007</t>
        </is>
      </c>
      <c r="C172" s="36" t="inlineStr">
        <is>
          <t>V5</t>
        </is>
      </c>
      <c r="D172" s="36" t="inlineStr">
        <is>
          <t>VDR-IA</t>
        </is>
      </c>
      <c r="E172" s="37" t="inlineStr">
        <is>
          <t>DealLens</t>
        </is>
      </c>
      <c r="F172" s="37" t="inlineStr">
        <is>
          <t>DealLens mode document et mode salle entière</t>
        </is>
      </c>
      <c r="G172" s="37" t="inlineStr">
        <is>
          <t>Les deux modes journalisent AI_QUERY_COMPLETED</t>
        </is>
      </c>
      <c r="H172" s="38" t="n">
        <v>8</v>
      </c>
      <c r="I172" s="36" t="inlineStr">
        <is>
          <t>Haute</t>
        </is>
      </c>
      <c r="J172" s="36" t="inlineStr">
        <is>
          <t>Backlog</t>
        </is>
      </c>
      <c r="K172" s="39" t="n"/>
      <c r="L172" s="16">
        <f>IF($B172="","",IF(J172="Complétée",1,IF(J172="Abandonnée",0,IF(K172&lt;&gt;"",K172,IFERROR(VLOOKUP(J172,Parametres!$B$6:$C$12,2,FALSE),0)))))</f>
        <v/>
      </c>
      <c r="M172" s="15">
        <f>IF($B172="","",IF(J172="Abandonnée",0,H172))</f>
        <v/>
      </c>
      <c r="N172" s="15">
        <f>IF($B172="","",M172*L172)</f>
        <v/>
      </c>
      <c r="O172" s="37" t="n"/>
      <c r="P172" s="40" t="n">
        <v>46494</v>
      </c>
      <c r="Q172" s="40" t="n">
        <v>46506</v>
      </c>
      <c r="R172" s="40" t="n"/>
      <c r="S172" s="37" t="inlineStr"/>
      <c r="T172" s="36" t="inlineStr">
        <is>
          <t>Non</t>
        </is>
      </c>
      <c r="U172" s="13">
        <f>IF($B172="","",IF(AND(J172&lt;&gt;"Complétée",J172&lt;&gt;"Abandonnée",Q172&lt;&gt;"",TODAY()&gt;Q172),"En retard",""))</f>
        <v/>
      </c>
      <c r="V172" s="37" t="n"/>
    </row>
    <row r="173">
      <c r="B173" s="36" t="inlineStr">
        <is>
          <t>V5-008</t>
        </is>
      </c>
      <c r="C173" s="36" t="inlineStr">
        <is>
          <t>V5</t>
        </is>
      </c>
      <c r="D173" s="36" t="inlineStr">
        <is>
          <t>VDR-IA</t>
        </is>
      </c>
      <c r="E173" s="37" t="inlineStr">
        <is>
          <t>DealLens</t>
        </is>
      </c>
      <c r="F173" s="37" t="inlineStr">
        <is>
          <t>Vérification de chaque citation contre l'ensemble autorisé</t>
        </is>
      </c>
      <c r="G173" s="37" t="inlineStr">
        <is>
          <t>Test AI-03 : chaque citation ouvre la bonne page</t>
        </is>
      </c>
      <c r="H173" s="38" t="n">
        <v>5</v>
      </c>
      <c r="I173" s="36" t="inlineStr">
        <is>
          <t>Haute</t>
        </is>
      </c>
      <c r="J173" s="36" t="inlineStr">
        <is>
          <t>Backlog</t>
        </is>
      </c>
      <c r="K173" s="39" t="n"/>
      <c r="L173" s="16">
        <f>IF($B173="","",IF(J173="Complétée",1,IF(J173="Abandonnée",0,IF(K173&lt;&gt;"",K173,IFERROR(VLOOKUP(J173,Parametres!$B$6:$C$12,2,FALSE),0)))))</f>
        <v/>
      </c>
      <c r="M173" s="15">
        <f>IF($B173="","",IF(J173="Abandonnée",0,H173))</f>
        <v/>
      </c>
      <c r="N173" s="15">
        <f>IF($B173="","",M173*L173)</f>
        <v/>
      </c>
      <c r="O173" s="37" t="n"/>
      <c r="P173" s="40" t="n">
        <v>46496</v>
      </c>
      <c r="Q173" s="40" t="n">
        <v>46503</v>
      </c>
      <c r="R173" s="40" t="n"/>
      <c r="S173" s="37" t="inlineStr"/>
      <c r="T173" s="36" t="inlineStr">
        <is>
          <t>Non</t>
        </is>
      </c>
      <c r="U173" s="13">
        <f>IF($B173="","",IF(AND(J173&lt;&gt;"Complétée",J173&lt;&gt;"Abandonnée",Q173&lt;&gt;"",TODAY()&gt;Q173),"En retard",""))</f>
        <v/>
      </c>
      <c r="V173" s="37" t="n"/>
    </row>
    <row r="174">
      <c r="B174" s="36" t="inlineStr">
        <is>
          <t>V5-009</t>
        </is>
      </c>
      <c r="C174" s="36" t="inlineStr">
        <is>
          <t>V5</t>
        </is>
      </c>
      <c r="D174" s="36" t="inlineStr">
        <is>
          <t>VDR-IA</t>
        </is>
      </c>
      <c r="E174" s="37" t="inlineStr">
        <is>
          <t>Surfaces</t>
        </is>
      </c>
      <c r="F174" s="37" t="inlineStr">
        <is>
          <t>Cockpit : couverture par domaine, priorités de revue</t>
        </is>
      </c>
      <c r="G174" s="37" t="inlineStr">
        <is>
          <t>Couverture jamais présentée comme un avis d'audit</t>
        </is>
      </c>
      <c r="H174" s="38" t="n">
        <v>6</v>
      </c>
      <c r="I174" s="36" t="inlineStr">
        <is>
          <t>Moyenne</t>
        </is>
      </c>
      <c r="J174" s="36" t="inlineStr">
        <is>
          <t>Backlog</t>
        </is>
      </c>
      <c r="K174" s="39" t="n"/>
      <c r="L174" s="16">
        <f>IF($B174="","",IF(J174="Complétée",1,IF(J174="Abandonnée",0,IF(K174&lt;&gt;"",K174,IFERROR(VLOOKUP(J174,Parametres!$B$6:$C$12,2,FALSE),0)))))</f>
        <v/>
      </c>
      <c r="M174" s="15">
        <f>IF($B174="","",IF(J174="Abandonnée",0,H174))</f>
        <v/>
      </c>
      <c r="N174" s="15">
        <f>IF($B174="","",M174*L174)</f>
        <v/>
      </c>
      <c r="O174" s="37" t="n"/>
      <c r="P174" s="40" t="n">
        <v>46498</v>
      </c>
      <c r="Q174" s="40" t="n">
        <v>46507</v>
      </c>
      <c r="R174" s="40" t="n"/>
      <c r="S174" s="37" t="inlineStr"/>
      <c r="T174" s="36" t="inlineStr">
        <is>
          <t>Non</t>
        </is>
      </c>
      <c r="U174" s="13">
        <f>IF($B174="","",IF(AND(J174&lt;&gt;"Complétée",J174&lt;&gt;"Abandonnée",Q174&lt;&gt;"",TODAY()&gt;Q174),"En retard",""))</f>
        <v/>
      </c>
      <c r="V174" s="37" t="n"/>
    </row>
    <row r="175">
      <c r="B175" s="36" t="inlineStr">
        <is>
          <t>V5-010</t>
        </is>
      </c>
      <c r="C175" s="36" t="inlineStr">
        <is>
          <t>V5</t>
        </is>
      </c>
      <c r="D175" s="36" t="inlineStr">
        <is>
          <t>VDR-IA</t>
        </is>
      </c>
      <c r="E175" s="37" t="inlineStr">
        <is>
          <t>Surfaces</t>
        </is>
      </c>
      <c r="F175" s="37" t="inlineStr">
        <is>
          <t>Issue Radar : registre structuré de risques</t>
        </is>
      </c>
      <c r="G175" s="37" t="inlineStr">
        <is>
          <t>Chaque risque porte preuve, propriétaire, impact</t>
        </is>
      </c>
      <c r="H175" s="38" t="n">
        <v>7</v>
      </c>
      <c r="I175" s="36" t="inlineStr">
        <is>
          <t>Moyenne</t>
        </is>
      </c>
      <c r="J175" s="36" t="inlineStr">
        <is>
          <t>Backlog</t>
        </is>
      </c>
      <c r="K175" s="39" t="n"/>
      <c r="L175" s="16">
        <f>IF($B175="","",IF(J175="Complétée",1,IF(J175="Abandonnée",0,IF(K175&lt;&gt;"",K175,IFERROR(VLOOKUP(J175,Parametres!$B$6:$C$12,2,FALSE),0)))))</f>
        <v/>
      </c>
      <c r="M175" s="15">
        <f>IF($B175="","",IF(J175="Abandonnée",0,H175))</f>
        <v/>
      </c>
      <c r="N175" s="15">
        <f>IF($B175="","",M175*L175)</f>
        <v/>
      </c>
      <c r="O175" s="37" t="n"/>
      <c r="P175" s="40" t="n">
        <v>46500</v>
      </c>
      <c r="Q175" s="40" t="n">
        <v>46510</v>
      </c>
      <c r="R175" s="40" t="n"/>
      <c r="S175" s="37" t="inlineStr"/>
      <c r="T175" s="36" t="inlineStr">
        <is>
          <t>Non</t>
        </is>
      </c>
      <c r="U175" s="13">
        <f>IF($B175="","",IF(AND(J175&lt;&gt;"Complétée",J175&lt;&gt;"Abandonnée",Q175&lt;&gt;"",TODAY()&gt;Q175),"En retard",""))</f>
        <v/>
      </c>
      <c r="V175" s="37" t="n"/>
    </row>
    <row r="176">
      <c r="B176" s="36" t="inlineStr">
        <is>
          <t>V5-011</t>
        </is>
      </c>
      <c r="C176" s="36" t="inlineStr">
        <is>
          <t>V5</t>
        </is>
      </c>
      <c r="D176" s="36" t="inlineStr">
        <is>
          <t>VDR-IA</t>
        </is>
      </c>
      <c r="E176" s="37" t="inlineStr">
        <is>
          <t>Surfaces</t>
        </is>
      </c>
      <c r="F176" s="37" t="inlineStr">
        <is>
          <t>Evidence Map : graphe typé (SUPPORTS, CONTRADICTS, RAISES, RESOLVES, EVIDENCES)</t>
        </is>
      </c>
      <c r="G176" s="37" t="inlineStr">
        <is>
          <t>Graphe navigable depuis un document</t>
        </is>
      </c>
      <c r="H176" s="38" t="n">
        <v>8</v>
      </c>
      <c r="I176" s="36" t="inlineStr">
        <is>
          <t>Moyenne</t>
        </is>
      </c>
      <c r="J176" s="36" t="inlineStr">
        <is>
          <t>Backlog</t>
        </is>
      </c>
      <c r="K176" s="39" t="n"/>
      <c r="L176" s="16">
        <f>IF($B176="","",IF(J176="Complétée",1,IF(J176="Abandonnée",0,IF(K176&lt;&gt;"",K176,IFERROR(VLOOKUP(J176,Parametres!$B$6:$C$12,2,FALSE),0)))))</f>
        <v/>
      </c>
      <c r="M176" s="15">
        <f>IF($B176="","",IF(J176="Abandonnée",0,H176))</f>
        <v/>
      </c>
      <c r="N176" s="15">
        <f>IF($B176="","",M176*L176)</f>
        <v/>
      </c>
      <c r="O176" s="37" t="n"/>
      <c r="P176" s="40" t="n">
        <v>46503</v>
      </c>
      <c r="Q176" s="40" t="n">
        <v>46515</v>
      </c>
      <c r="R176" s="40" t="n"/>
      <c r="S176" s="37" t="inlineStr"/>
      <c r="T176" s="36" t="inlineStr">
        <is>
          <t>Non</t>
        </is>
      </c>
      <c r="U176" s="13">
        <f>IF($B176="","",IF(AND(J176&lt;&gt;"Complétée",J176&lt;&gt;"Abandonnée",Q176&lt;&gt;"",TODAY()&gt;Q176),"En retard",""))</f>
        <v/>
      </c>
      <c r="V176" s="37" t="n"/>
    </row>
    <row r="177">
      <c r="B177" s="36" t="inlineStr">
        <is>
          <t>V5-012</t>
        </is>
      </c>
      <c r="C177" s="36" t="inlineStr">
        <is>
          <t>V5</t>
        </is>
      </c>
      <c r="D177" s="36" t="inlineStr">
        <is>
          <t>VDR-IA</t>
        </is>
      </c>
      <c r="E177" s="37" t="inlineStr">
        <is>
          <t>Surfaces</t>
        </is>
      </c>
      <c r="F177" s="37" t="inlineStr">
        <is>
          <t>Atelier Q&amp;R avec rôles et brouillons IA jamais soumis automatiquement</t>
        </is>
      </c>
      <c r="G177" s="37" t="inlineStr">
        <is>
          <t>Test AI-06 : brouillon reste DRAFT</t>
        </is>
      </c>
      <c r="H177" s="38" t="n">
        <v>7</v>
      </c>
      <c r="I177" s="36" t="inlineStr">
        <is>
          <t>Haute</t>
        </is>
      </c>
      <c r="J177" s="36" t="inlineStr">
        <is>
          <t>Backlog</t>
        </is>
      </c>
      <c r="K177" s="39" t="n"/>
      <c r="L177" s="16">
        <f>IF($B177="","",IF(J177="Complétée",1,IF(J177="Abandonnée",0,IF(K177&lt;&gt;"",K177,IFERROR(VLOOKUP(J177,Parametres!$B$6:$C$12,2,FALSE),0)))))</f>
        <v/>
      </c>
      <c r="M177" s="15">
        <f>IF($B177="","",IF(J177="Abandonnée",0,H177))</f>
        <v/>
      </c>
      <c r="N177" s="15">
        <f>IF($B177="","",M177*L177)</f>
        <v/>
      </c>
      <c r="O177" s="37" t="n"/>
      <c r="P177" s="40" t="n">
        <v>46506</v>
      </c>
      <c r="Q177" s="40" t="n">
        <v>46516</v>
      </c>
      <c r="R177" s="40" t="n"/>
      <c r="S177" s="37" t="inlineStr"/>
      <c r="T177" s="36" t="inlineStr">
        <is>
          <t>Non</t>
        </is>
      </c>
      <c r="U177" s="13">
        <f>IF($B177="","",IF(AND(J177&lt;&gt;"Complétée",J177&lt;&gt;"Abandonnée",Q177&lt;&gt;"",TODAY()&gt;Q177),"En retard",""))</f>
        <v/>
      </c>
      <c r="V177" s="37" t="n"/>
    </row>
    <row r="178">
      <c r="B178" s="36" t="inlineStr">
        <is>
          <t>V5-013</t>
        </is>
      </c>
      <c r="C178" s="36" t="inlineStr">
        <is>
          <t>V5</t>
        </is>
      </c>
      <c r="D178" s="36" t="inlineStr">
        <is>
          <t>VDR-IA</t>
        </is>
      </c>
      <c r="E178" s="37" t="inlineStr">
        <is>
          <t>Surfaces</t>
        </is>
      </c>
      <c r="F178" s="37" t="inlineStr">
        <is>
          <t>Engagement Pulse (descriptif, jamais 'probabilité de closing')</t>
        </is>
      </c>
      <c r="G178" s="37" t="inlineStr">
        <is>
          <t>Libellé vérifié par l'audit de texte</t>
        </is>
      </c>
      <c r="H178" s="38" t="n">
        <v>4</v>
      </c>
      <c r="I178" s="36" t="inlineStr">
        <is>
          <t>Basse</t>
        </is>
      </c>
      <c r="J178" s="36" t="inlineStr">
        <is>
          <t>Backlog</t>
        </is>
      </c>
      <c r="K178" s="39" t="n"/>
      <c r="L178" s="16">
        <f>IF($B178="","",IF(J178="Complétée",1,IF(J178="Abandonnée",0,IF(K178&lt;&gt;"",K178,IFERROR(VLOOKUP(J178,Parametres!$B$6:$C$12,2,FALSE),0)))))</f>
        <v/>
      </c>
      <c r="M178" s="15">
        <f>IF($B178="","",IF(J178="Abandonnée",0,H178))</f>
        <v/>
      </c>
      <c r="N178" s="15">
        <f>IF($B178="","",M178*L178)</f>
        <v/>
      </c>
      <c r="O178" s="37" t="n"/>
      <c r="P178" s="40" t="n">
        <v>46508</v>
      </c>
      <c r="Q178" s="40" t="n">
        <v>46514</v>
      </c>
      <c r="R178" s="40" t="n"/>
      <c r="S178" s="37" t="inlineStr"/>
      <c r="T178" s="36" t="inlineStr">
        <is>
          <t>Non</t>
        </is>
      </c>
      <c r="U178" s="13">
        <f>IF($B178="","",IF(AND(J178&lt;&gt;"Complétée",J178&lt;&gt;"Abandonnée",Q178&lt;&gt;"",TODAY()&gt;Q178),"En retard",""))</f>
        <v/>
      </c>
      <c r="V178" s="37" t="n"/>
    </row>
    <row r="179">
      <c r="B179" s="36" t="inlineStr">
        <is>
          <t>V5-014</t>
        </is>
      </c>
      <c r="C179" s="36" t="inlineStr">
        <is>
          <t>V5</t>
        </is>
      </c>
      <c r="D179" s="36" t="inlineStr">
        <is>
          <t>VDR-IA</t>
        </is>
      </c>
      <c r="E179" s="37" t="inlineStr">
        <is>
          <t>Surfaces</t>
        </is>
      </c>
      <c r="F179" s="37" t="inlineStr">
        <is>
          <t>Rapprochement financier (Financial Tie-Out) avec matérialité configurable</t>
        </is>
      </c>
      <c r="G179" s="37" t="inlineStr">
        <is>
          <t>Écart présenté comme point de rapprochement</t>
        </is>
      </c>
      <c r="H179" s="38" t="n">
        <v>7</v>
      </c>
      <c r="I179" s="36" t="inlineStr">
        <is>
          <t>Moyenne</t>
        </is>
      </c>
      <c r="J179" s="36" t="inlineStr">
        <is>
          <t>Backlog</t>
        </is>
      </c>
      <c r="K179" s="39" t="n"/>
      <c r="L179" s="16">
        <f>IF($B179="","",IF(J179="Complétée",1,IF(J179="Abandonnée",0,IF(K179&lt;&gt;"",K179,IFERROR(VLOOKUP(J179,Parametres!$B$6:$C$12,2,FALSE),0)))))</f>
        <v/>
      </c>
      <c r="M179" s="15">
        <f>IF($B179="","",IF(J179="Abandonnée",0,H179))</f>
        <v/>
      </c>
      <c r="N179" s="15">
        <f>IF($B179="","",M179*L179)</f>
        <v/>
      </c>
      <c r="O179" s="37" t="n"/>
      <c r="P179" s="40" t="n">
        <v>46510</v>
      </c>
      <c r="Q179" s="40" t="n">
        <v>46520</v>
      </c>
      <c r="R179" s="40" t="n"/>
      <c r="S179" s="37" t="inlineStr"/>
      <c r="T179" s="36" t="inlineStr">
        <is>
          <t>Non</t>
        </is>
      </c>
      <c r="U179" s="13">
        <f>IF($B179="","",IF(AND(J179&lt;&gt;"Complétée",J179&lt;&gt;"Abandonnée",Q179&lt;&gt;"",TODAY()&gt;Q179),"En retard",""))</f>
        <v/>
      </c>
      <c r="V179" s="37" t="n"/>
    </row>
    <row r="180">
      <c r="B180" s="36" t="inlineStr">
        <is>
          <t>V5-015</t>
        </is>
      </c>
      <c r="C180" s="36" t="inlineStr">
        <is>
          <t>V5</t>
        </is>
      </c>
      <c r="D180" s="36" t="inlineStr">
        <is>
          <t>VDR-IA</t>
        </is>
      </c>
      <c r="E180" s="37" t="inlineStr">
        <is>
          <t>Surfaces</t>
        </is>
      </c>
      <c r="F180" s="37" t="inlineStr">
        <is>
          <t>Intelligence de version : diff textuel et sémantique, matérialité proposée</t>
        </is>
      </c>
      <c r="G180" s="37" t="inlineStr">
        <is>
          <t>Test DOC-03 : nouvelle version n'hérite pas de l'analyse</t>
        </is>
      </c>
      <c r="H180" s="38" t="n">
        <v>6</v>
      </c>
      <c r="I180" s="36" t="inlineStr">
        <is>
          <t>Moyenne</t>
        </is>
      </c>
      <c r="J180" s="36" t="inlineStr">
        <is>
          <t>Backlog</t>
        </is>
      </c>
      <c r="K180" s="39" t="n"/>
      <c r="L180" s="16">
        <f>IF($B180="","",IF(J180="Complétée",1,IF(J180="Abandonnée",0,IF(K180&lt;&gt;"",K180,IFERROR(VLOOKUP(J180,Parametres!$B$6:$C$12,2,FALSE),0)))))</f>
        <v/>
      </c>
      <c r="M180" s="15">
        <f>IF($B180="","",IF(J180="Abandonnée",0,H180))</f>
        <v/>
      </c>
      <c r="N180" s="15">
        <f>IF($B180="","",M180*L180)</f>
        <v/>
      </c>
      <c r="O180" s="37" t="n"/>
      <c r="P180" s="40" t="n">
        <v>46512</v>
      </c>
      <c r="Q180" s="40" t="n">
        <v>46521</v>
      </c>
      <c r="R180" s="40" t="n"/>
      <c r="S180" s="37" t="inlineStr"/>
      <c r="T180" s="36" t="inlineStr">
        <is>
          <t>Non</t>
        </is>
      </c>
      <c r="U180" s="13">
        <f>IF($B180="","",IF(AND(J180&lt;&gt;"Complétée",J180&lt;&gt;"Abandonnée",Q180&lt;&gt;"",TODAY()&gt;Q180),"En retard",""))</f>
        <v/>
      </c>
      <c r="V180" s="37" t="n"/>
    </row>
    <row r="181">
      <c r="B181" s="36" t="inlineStr">
        <is>
          <t>V5-016</t>
        </is>
      </c>
      <c r="C181" s="36" t="inlineStr">
        <is>
          <t>V5</t>
        </is>
      </c>
      <c r="D181" s="36" t="inlineStr">
        <is>
          <t>VDR-IA</t>
        </is>
      </c>
      <c r="E181" s="37" t="inlineStr">
        <is>
          <t>Surfaces</t>
        </is>
      </c>
      <c r="F181" s="37" t="inlineStr">
        <is>
          <t>Caviardage assisté avec revue humaine élément par élément</t>
        </is>
      </c>
      <c r="G181" s="37" t="inlineStr">
        <is>
          <t>Original jamais écrasé</t>
        </is>
      </c>
      <c r="H181" s="38" t="n">
        <v>7</v>
      </c>
      <c r="I181" s="36" t="inlineStr">
        <is>
          <t>Moyenne</t>
        </is>
      </c>
      <c r="J181" s="36" t="inlineStr">
        <is>
          <t>Backlog</t>
        </is>
      </c>
      <c r="K181" s="39" t="n"/>
      <c r="L181" s="16">
        <f>IF($B181="","",IF(J181="Complétée",1,IF(J181="Abandonnée",0,IF(K181&lt;&gt;"",K181,IFERROR(VLOOKUP(J181,Parametres!$B$6:$C$12,2,FALSE),0)))))</f>
        <v/>
      </c>
      <c r="M181" s="15">
        <f>IF($B181="","",IF(J181="Abandonnée",0,H181))</f>
        <v/>
      </c>
      <c r="N181" s="15">
        <f>IF($B181="","",M181*L181)</f>
        <v/>
      </c>
      <c r="O181" s="37" t="n"/>
      <c r="P181" s="40" t="n">
        <v>46515</v>
      </c>
      <c r="Q181" s="40" t="n">
        <v>46525</v>
      </c>
      <c r="R181" s="40" t="n"/>
      <c r="S181" s="37" t="inlineStr"/>
      <c r="T181" s="36" t="inlineStr">
        <is>
          <t>Non</t>
        </is>
      </c>
      <c r="U181" s="13">
        <f>IF($B181="","",IF(AND(J181&lt;&gt;"Complétée",J181&lt;&gt;"Abandonnée",Q181&lt;&gt;"",TODAY()&gt;Q181),"En retard",""))</f>
        <v/>
      </c>
      <c r="V181" s="37" t="n"/>
    </row>
    <row r="182">
      <c r="B182" s="36" t="inlineStr">
        <is>
          <t>V5-017</t>
        </is>
      </c>
      <c r="C182" s="36" t="inlineStr">
        <is>
          <t>V5</t>
        </is>
      </c>
      <c r="D182" s="36" t="inlineStr">
        <is>
          <t>VDR-IA</t>
        </is>
      </c>
      <c r="E182" s="37" t="inlineStr">
        <is>
          <t>Accès</t>
        </is>
      </c>
      <c r="F182" s="37" t="inlineStr">
        <is>
          <t>Accès et Clean Team, MFA step-up sur changements de permission</t>
        </is>
      </c>
      <c r="G182" s="37" t="inlineStr">
        <is>
          <t>Test AI-02 : Clean Team exclue de la recherche standard</t>
        </is>
      </c>
      <c r="H182" s="38" t="n">
        <v>6</v>
      </c>
      <c r="I182" s="36" t="inlineStr">
        <is>
          <t>Haute</t>
        </is>
      </c>
      <c r="J182" s="36" t="inlineStr">
        <is>
          <t>Backlog</t>
        </is>
      </c>
      <c r="K182" s="39" t="n"/>
      <c r="L182" s="16">
        <f>IF($B182="","",IF(J182="Complétée",1,IF(J182="Abandonnée",0,IF(K182&lt;&gt;"",K182,IFERROR(VLOOKUP(J182,Parametres!$B$6:$C$12,2,FALSE),0)))))</f>
        <v/>
      </c>
      <c r="M182" s="15">
        <f>IF($B182="","",IF(J182="Abandonnée",0,H182))</f>
        <v/>
      </c>
      <c r="N182" s="15">
        <f>IF($B182="","",M182*L182)</f>
        <v/>
      </c>
      <c r="O182" s="37" t="n"/>
      <c r="P182" s="40" t="n">
        <v>46517</v>
      </c>
      <c r="Q182" s="40" t="n">
        <v>46526</v>
      </c>
      <c r="R182" s="40" t="n"/>
      <c r="S182" s="37" t="inlineStr"/>
      <c r="T182" s="36" t="inlineStr">
        <is>
          <t>Non</t>
        </is>
      </c>
      <c r="U182" s="13">
        <f>IF($B182="","",IF(AND(J182&lt;&gt;"Complétée",J182&lt;&gt;"Abandonnée",Q182&lt;&gt;"",TODAY()&gt;Q182),"En retard",""))</f>
        <v/>
      </c>
      <c r="V182" s="37" t="n"/>
    </row>
    <row r="183">
      <c r="B183" s="36" t="inlineStr">
        <is>
          <t>V5-018</t>
        </is>
      </c>
      <c r="C183" s="36" t="inlineStr">
        <is>
          <t>V5</t>
        </is>
      </c>
      <c r="D183" s="36" t="inlineStr">
        <is>
          <t>VDR-IA</t>
        </is>
      </c>
      <c r="E183" s="37" t="inlineStr">
        <is>
          <t>Accès</t>
        </is>
      </c>
      <c r="F183" s="37" t="inlineStr">
        <is>
          <t>Audit append-only sans contenu sensible ni texte de réponse IA</t>
        </is>
      </c>
      <c r="G183" s="37" t="inlineStr">
        <is>
          <t>Journal ne contient que identifiants, action, résultat</t>
        </is>
      </c>
      <c r="H183" s="38" t="n">
        <v>4</v>
      </c>
      <c r="I183" s="36" t="inlineStr">
        <is>
          <t>Haute</t>
        </is>
      </c>
      <c r="J183" s="36" t="inlineStr">
        <is>
          <t>Backlog</t>
        </is>
      </c>
      <c r="K183" s="39" t="n"/>
      <c r="L183" s="16">
        <f>IF($B183="","",IF(J183="Complétée",1,IF(J183="Abandonnée",0,IF(K183&lt;&gt;"",K183,IFERROR(VLOOKUP(J183,Parametres!$B$6:$C$12,2,FALSE),0)))))</f>
        <v/>
      </c>
      <c r="M183" s="15">
        <f>IF($B183="","",IF(J183="Abandonnée",0,H183))</f>
        <v/>
      </c>
      <c r="N183" s="15">
        <f>IF($B183="","",M183*L183)</f>
        <v/>
      </c>
      <c r="O183" s="37" t="n"/>
      <c r="P183" s="40" t="n">
        <v>46519</v>
      </c>
      <c r="Q183" s="40" t="n">
        <v>46525</v>
      </c>
      <c r="R183" s="40" t="n"/>
      <c r="S183" s="37" t="inlineStr"/>
      <c r="T183" s="36" t="inlineStr">
        <is>
          <t>Non</t>
        </is>
      </c>
      <c r="U183" s="13">
        <f>IF($B183="","",IF(AND(J183&lt;&gt;"Complétée",J183&lt;&gt;"Abandonnée",Q183&lt;&gt;"",TODAY()&gt;Q183),"En retard",""))</f>
        <v/>
      </c>
      <c r="V183" s="37" t="n"/>
    </row>
    <row r="184">
      <c r="B184" s="36" t="inlineStr">
        <is>
          <t>V5-019</t>
        </is>
      </c>
      <c r="C184" s="36" t="inlineStr">
        <is>
          <t>V5</t>
        </is>
      </c>
      <c r="D184" s="36" t="inlineStr">
        <is>
          <t>VDR-IA</t>
        </is>
      </c>
      <c r="E184" s="37" t="inlineStr">
        <is>
          <t>Surfaces</t>
        </is>
      </c>
      <c r="F184" s="37" t="inlineStr">
        <is>
          <t>Écrans VDR Intelligence (9 surfaces, responsive)</t>
        </is>
      </c>
      <c r="G184" s="37" t="inlineStr">
        <is>
          <t>Mobile : document, DealLens, Q&amp;R prioritaires</t>
        </is>
      </c>
      <c r="H184" s="38" t="n">
        <v>10</v>
      </c>
      <c r="I184" s="36" t="inlineStr">
        <is>
          <t>Haute</t>
        </is>
      </c>
      <c r="J184" s="36" t="inlineStr">
        <is>
          <t>Backlog</t>
        </is>
      </c>
      <c r="K184" s="39" t="n"/>
      <c r="L184" s="16">
        <f>IF($B184="","",IF(J184="Complétée",1,IF(J184="Abandonnée",0,IF(K184&lt;&gt;"",K184,IFERROR(VLOOKUP(J184,Parametres!$B$6:$C$12,2,FALSE),0)))))</f>
        <v/>
      </c>
      <c r="M184" s="15">
        <f>IF($B184="","",IF(J184="Abandonnée",0,H184))</f>
        <v/>
      </c>
      <c r="N184" s="15">
        <f>IF($B184="","",M184*L184)</f>
        <v/>
      </c>
      <c r="O184" s="37" t="n"/>
      <c r="P184" s="40" t="n">
        <v>46521</v>
      </c>
      <c r="Q184" s="40" t="n">
        <v>46535</v>
      </c>
      <c r="R184" s="40" t="n"/>
      <c r="S184" s="37" t="inlineStr"/>
      <c r="T184" s="36" t="inlineStr">
        <is>
          <t>Non</t>
        </is>
      </c>
      <c r="U184" s="13">
        <f>IF($B184="","",IF(AND(J184&lt;&gt;"Complétée",J184&lt;&gt;"Abandonnée",Q184&lt;&gt;"",TODAY()&gt;Q184),"En retard",""))</f>
        <v/>
      </c>
      <c r="V184" s="37" t="n"/>
    </row>
    <row r="185">
      <c r="B185" s="36" t="inlineStr">
        <is>
          <t>V5-020</t>
        </is>
      </c>
      <c r="C185" s="36" t="inlineStr">
        <is>
          <t>V5</t>
        </is>
      </c>
      <c r="D185" s="36" t="inlineStr">
        <is>
          <t>VDR-IA</t>
        </is>
      </c>
      <c r="E185" s="37" t="inlineStr">
        <is>
          <t>QA IA</t>
        </is>
      </c>
      <c r="F185" s="37" t="inlineStr">
        <is>
          <t>Tests AI-01 à AI-06, DOC-01 à DOC-03, Q&amp;A-01, UI-01</t>
        </is>
      </c>
      <c r="G185" s="37" t="inlineStr">
        <is>
          <t>Tous les tests P0 passent</t>
        </is>
      </c>
      <c r="H185" s="38" t="n">
        <v>10</v>
      </c>
      <c r="I185" s="36" t="inlineStr">
        <is>
          <t>Haute</t>
        </is>
      </c>
      <c r="J185" s="36" t="inlineStr">
        <is>
          <t>Backlog</t>
        </is>
      </c>
      <c r="K185" s="39" t="n"/>
      <c r="L185" s="16">
        <f>IF($B185="","",IF(J185="Complétée",1,IF(J185="Abandonnée",0,IF(K185&lt;&gt;"",K185,IFERROR(VLOOKUP(J185,Parametres!$B$6:$C$12,2,FALSE),0)))))</f>
        <v/>
      </c>
      <c r="M185" s="15">
        <f>IF($B185="","",IF(J185="Abandonnée",0,H185))</f>
        <v/>
      </c>
      <c r="N185" s="15">
        <f>IF($B185="","",M185*L185)</f>
        <v/>
      </c>
      <c r="O185" s="37" t="n"/>
      <c r="P185" s="40" t="n">
        <v>46524</v>
      </c>
      <c r="Q185" s="40" t="n">
        <v>46538</v>
      </c>
      <c r="R185" s="40" t="n"/>
      <c r="S185" s="37" t="inlineStr"/>
      <c r="T185" s="36" t="inlineStr">
        <is>
          <t>Non</t>
        </is>
      </c>
      <c r="U185" s="13">
        <f>IF($B185="","",IF(AND(J185&lt;&gt;"Complétée",J185&lt;&gt;"Abandonnée",Q185&lt;&gt;"",TODAY()&gt;Q185),"En retard",""))</f>
        <v/>
      </c>
      <c r="V185" s="37" t="n"/>
    </row>
    <row r="186">
      <c r="B186" s="36" t="inlineStr">
        <is>
          <t>V5-021</t>
        </is>
      </c>
      <c r="C186" s="36" t="inlineStr">
        <is>
          <t>V5</t>
        </is>
      </c>
      <c r="D186" s="36" t="inlineStr">
        <is>
          <t>VDR-IA</t>
        </is>
      </c>
      <c r="E186" s="37" t="inlineStr">
        <is>
          <t>QA IA</t>
        </is>
      </c>
      <c r="F186" s="37" t="inlineStr">
        <is>
          <t>Performance : viewer progressif, streaming des réponses, recherche &lt; 1,5 s</t>
        </is>
      </c>
      <c r="G186" s="37" t="inlineStr">
        <is>
          <t>Mesures sur réseau de référence</t>
        </is>
      </c>
      <c r="H186" s="38" t="n">
        <v>5</v>
      </c>
      <c r="I186" s="36" t="inlineStr">
        <is>
          <t>Moyenne</t>
        </is>
      </c>
      <c r="J186" s="36" t="inlineStr">
        <is>
          <t>Backlog</t>
        </is>
      </c>
      <c r="K186" s="39" t="n"/>
      <c r="L186" s="16">
        <f>IF($B186="","",IF(J186="Complétée",1,IF(J186="Abandonnée",0,IF(K186&lt;&gt;"",K186,IFERROR(VLOOKUP(J186,Parametres!$B$6:$C$12,2,FALSE),0)))))</f>
        <v/>
      </c>
      <c r="M186" s="15">
        <f>IF($B186="","",IF(J186="Abandonnée",0,H186))</f>
        <v/>
      </c>
      <c r="N186" s="15">
        <f>IF($B186="","",M186*L186)</f>
        <v/>
      </c>
      <c r="O186" s="37" t="n"/>
      <c r="P186" s="40" t="n">
        <v>46528</v>
      </c>
      <c r="Q186" s="40" t="n">
        <v>46535</v>
      </c>
      <c r="R186" s="40" t="n"/>
      <c r="S186" s="37" t="inlineStr"/>
      <c r="T186" s="36" t="inlineStr">
        <is>
          <t>Non</t>
        </is>
      </c>
      <c r="U186" s="13">
        <f>IF($B186="","",IF(AND(J186&lt;&gt;"Complétée",J186&lt;&gt;"Abandonnée",Q186&lt;&gt;"",TODAY()&gt;Q186),"En retard",""))</f>
        <v/>
      </c>
      <c r="V186" s="37" t="n"/>
    </row>
    <row r="187">
      <c r="B187" s="36" t="inlineStr">
        <is>
          <t>V5-022</t>
        </is>
      </c>
      <c r="C187" s="36" t="inlineStr">
        <is>
          <t>V5</t>
        </is>
      </c>
      <c r="D187" s="36" t="inlineStr">
        <is>
          <t>VDR-IA</t>
        </is>
      </c>
      <c r="E187" s="37" t="inlineStr">
        <is>
          <t>QA IA</t>
        </is>
      </c>
      <c r="F187" s="37" t="inlineStr">
        <is>
          <t>Recette V5 et corrections</t>
        </is>
      </c>
      <c r="G187" s="37" t="inlineStr">
        <is>
          <t>Zéro anomalie bloquante ouverte</t>
        </is>
      </c>
      <c r="H187" s="38" t="n">
        <v>5</v>
      </c>
      <c r="I187" s="36" t="inlineStr">
        <is>
          <t>Haute</t>
        </is>
      </c>
      <c r="J187" s="36" t="inlineStr">
        <is>
          <t>Backlog</t>
        </is>
      </c>
      <c r="K187" s="39" t="n"/>
      <c r="L187" s="16">
        <f>IF($B187="","",IF(J187="Complétée",1,IF(J187="Abandonnée",0,IF(K187&lt;&gt;"",K187,IFERROR(VLOOKUP(J187,Parametres!$B$6:$C$12,2,FALSE),0)))))</f>
        <v/>
      </c>
      <c r="M187" s="15">
        <f>IF($B187="","",IF(J187="Abandonnée",0,H187))</f>
        <v/>
      </c>
      <c r="N187" s="15">
        <f>IF($B187="","",M187*L187)</f>
        <v/>
      </c>
      <c r="O187" s="37" t="n"/>
      <c r="P187" s="40" t="n">
        <v>46530</v>
      </c>
      <c r="Q187" s="40" t="n">
        <v>46537</v>
      </c>
      <c r="R187" s="40" t="n"/>
      <c r="S187" s="37" t="inlineStr"/>
      <c r="T187" s="36" t="inlineStr">
        <is>
          <t>Non</t>
        </is>
      </c>
      <c r="U187" s="13">
        <f>IF($B187="","",IF(AND(J187&lt;&gt;"Complétée",J187&lt;&gt;"Abandonnée",Q187&lt;&gt;"",TODAY()&gt;Q187),"En retard",""))</f>
        <v/>
      </c>
      <c r="V187" s="37" t="n"/>
    </row>
    <row r="188">
      <c r="B188" s="36" t="n"/>
      <c r="C188" s="36" t="n"/>
      <c r="D188" s="36" t="n"/>
      <c r="E188" s="37" t="n"/>
      <c r="F188" s="37" t="n"/>
      <c r="G188" s="37" t="n"/>
      <c r="H188" s="38" t="n"/>
      <c r="I188" s="36" t="n"/>
      <c r="J188" s="36" t="n"/>
      <c r="K188" s="39" t="n"/>
      <c r="L188" s="16">
        <f>IF($B188="","",IF(J188="Complétée",1,IF(J188="Abandonnée",0,IF(K188&lt;&gt;"",K188,IFERROR(VLOOKUP(J188,Parametres!$B$6:$C$12,2,FALSE),0)))))</f>
        <v/>
      </c>
      <c r="M188" s="15">
        <f>IF($B188="","",IF(J188="Abandonnée",0,H188))</f>
        <v/>
      </c>
      <c r="N188" s="15">
        <f>IF($B188="","",M188*L188)</f>
        <v/>
      </c>
      <c r="O188" s="37" t="n"/>
      <c r="P188" s="40" t="n"/>
      <c r="Q188" s="40" t="n"/>
      <c r="R188" s="40" t="n"/>
      <c r="S188" s="37" t="n"/>
      <c r="T188" s="36" t="n"/>
      <c r="U188" s="13">
        <f>IF($B188="","",IF(AND(J188&lt;&gt;"Complétée",J188&lt;&gt;"Abandonnée",Q188&lt;&gt;"",TODAY()&gt;Q188),"En retard",""))</f>
        <v/>
      </c>
      <c r="V188" s="37" t="n"/>
    </row>
    <row r="189">
      <c r="B189" s="36" t="n"/>
      <c r="C189" s="36" t="n"/>
      <c r="D189" s="36" t="n"/>
      <c r="E189" s="37" t="n"/>
      <c r="F189" s="37" t="n"/>
      <c r="G189" s="37" t="n"/>
      <c r="H189" s="38" t="n"/>
      <c r="I189" s="36" t="n"/>
      <c r="J189" s="36" t="n"/>
      <c r="K189" s="39" t="n"/>
      <c r="L189" s="16">
        <f>IF($B189="","",IF(J189="Complétée",1,IF(J189="Abandonnée",0,IF(K189&lt;&gt;"",K189,IFERROR(VLOOKUP(J189,Parametres!$B$6:$C$12,2,FALSE),0)))))</f>
        <v/>
      </c>
      <c r="M189" s="15">
        <f>IF($B189="","",IF(J189="Abandonnée",0,H189))</f>
        <v/>
      </c>
      <c r="N189" s="15">
        <f>IF($B189="","",M189*L189)</f>
        <v/>
      </c>
      <c r="O189" s="37" t="n"/>
      <c r="P189" s="40" t="n"/>
      <c r="Q189" s="40" t="n"/>
      <c r="R189" s="40" t="n"/>
      <c r="S189" s="37" t="n"/>
      <c r="T189" s="36" t="n"/>
      <c r="U189" s="13">
        <f>IF($B189="","",IF(AND(J189&lt;&gt;"Complétée",J189&lt;&gt;"Abandonnée",Q189&lt;&gt;"",TODAY()&gt;Q189),"En retard",""))</f>
        <v/>
      </c>
      <c r="V189" s="37" t="n"/>
    </row>
    <row r="190">
      <c r="B190" s="36" t="n"/>
      <c r="C190" s="36" t="n"/>
      <c r="D190" s="36" t="n"/>
      <c r="E190" s="37" t="n"/>
      <c r="F190" s="37" t="n"/>
      <c r="G190" s="37" t="n"/>
      <c r="H190" s="38" t="n"/>
      <c r="I190" s="36" t="n"/>
      <c r="J190" s="36" t="n"/>
      <c r="K190" s="39" t="n"/>
      <c r="L190" s="16">
        <f>IF($B190="","",IF(J190="Complétée",1,IF(J190="Abandonnée",0,IF(K190&lt;&gt;"",K190,IFERROR(VLOOKUP(J190,Parametres!$B$6:$C$12,2,FALSE),0)))))</f>
        <v/>
      </c>
      <c r="M190" s="15">
        <f>IF($B190="","",IF(J190="Abandonnée",0,H190))</f>
        <v/>
      </c>
      <c r="N190" s="15">
        <f>IF($B190="","",M190*L190)</f>
        <v/>
      </c>
      <c r="O190" s="37" t="n"/>
      <c r="P190" s="40" t="n"/>
      <c r="Q190" s="40" t="n"/>
      <c r="R190" s="40" t="n"/>
      <c r="S190" s="37" t="n"/>
      <c r="T190" s="36" t="n"/>
      <c r="U190" s="13">
        <f>IF($B190="","",IF(AND(J190&lt;&gt;"Complétée",J190&lt;&gt;"Abandonnée",Q190&lt;&gt;"",TODAY()&gt;Q190),"En retard",""))</f>
        <v/>
      </c>
      <c r="V190" s="37" t="n"/>
    </row>
    <row r="191">
      <c r="B191" s="36" t="n"/>
      <c r="C191" s="36" t="n"/>
      <c r="D191" s="36" t="n"/>
      <c r="E191" s="37" t="n"/>
      <c r="F191" s="37" t="n"/>
      <c r="G191" s="37" t="n"/>
      <c r="H191" s="38" t="n"/>
      <c r="I191" s="36" t="n"/>
      <c r="J191" s="36" t="n"/>
      <c r="K191" s="39" t="n"/>
      <c r="L191" s="16">
        <f>IF($B191="","",IF(J191="Complétée",1,IF(J191="Abandonnée",0,IF(K191&lt;&gt;"",K191,IFERROR(VLOOKUP(J191,Parametres!$B$6:$C$12,2,FALSE),0)))))</f>
        <v/>
      </c>
      <c r="M191" s="15">
        <f>IF($B191="","",IF(J191="Abandonnée",0,H191))</f>
        <v/>
      </c>
      <c r="N191" s="15">
        <f>IF($B191="","",M191*L191)</f>
        <v/>
      </c>
      <c r="O191" s="37" t="n"/>
      <c r="P191" s="40" t="n"/>
      <c r="Q191" s="40" t="n"/>
      <c r="R191" s="40" t="n"/>
      <c r="S191" s="37" t="n"/>
      <c r="T191" s="36" t="n"/>
      <c r="U191" s="13">
        <f>IF($B191="","",IF(AND(J191&lt;&gt;"Complétée",J191&lt;&gt;"Abandonnée",Q191&lt;&gt;"",TODAY()&gt;Q191),"En retard",""))</f>
        <v/>
      </c>
      <c r="V191" s="37" t="n"/>
    </row>
    <row r="192">
      <c r="B192" s="36" t="n"/>
      <c r="C192" s="36" t="n"/>
      <c r="D192" s="36" t="n"/>
      <c r="E192" s="37" t="n"/>
      <c r="F192" s="37" t="n"/>
      <c r="G192" s="37" t="n"/>
      <c r="H192" s="38" t="n"/>
      <c r="I192" s="36" t="n"/>
      <c r="J192" s="36" t="n"/>
      <c r="K192" s="39" t="n"/>
      <c r="L192" s="16">
        <f>IF($B192="","",IF(J192="Complétée",1,IF(J192="Abandonnée",0,IF(K192&lt;&gt;"",K192,IFERROR(VLOOKUP(J192,Parametres!$B$6:$C$12,2,FALSE),0)))))</f>
        <v/>
      </c>
      <c r="M192" s="15">
        <f>IF($B192="","",IF(J192="Abandonnée",0,H192))</f>
        <v/>
      </c>
      <c r="N192" s="15">
        <f>IF($B192="","",M192*L192)</f>
        <v/>
      </c>
      <c r="O192" s="37" t="n"/>
      <c r="P192" s="40" t="n"/>
      <c r="Q192" s="40" t="n"/>
      <c r="R192" s="40" t="n"/>
      <c r="S192" s="37" t="n"/>
      <c r="T192" s="36" t="n"/>
      <c r="U192" s="13">
        <f>IF($B192="","",IF(AND(J192&lt;&gt;"Complétée",J192&lt;&gt;"Abandonnée",Q192&lt;&gt;"",TODAY()&gt;Q192),"En retard",""))</f>
        <v/>
      </c>
      <c r="V192" s="37" t="n"/>
    </row>
    <row r="193">
      <c r="B193" s="36" t="n"/>
      <c r="C193" s="36" t="n"/>
      <c r="D193" s="36" t="n"/>
      <c r="E193" s="37" t="n"/>
      <c r="F193" s="37" t="n"/>
      <c r="G193" s="37" t="n"/>
      <c r="H193" s="38" t="n"/>
      <c r="I193" s="36" t="n"/>
      <c r="J193" s="36" t="n"/>
      <c r="K193" s="39" t="n"/>
      <c r="L193" s="16">
        <f>IF($B193="","",IF(J193="Complétée",1,IF(J193="Abandonnée",0,IF(K193&lt;&gt;"",K193,IFERROR(VLOOKUP(J193,Parametres!$B$6:$C$12,2,FALSE),0)))))</f>
        <v/>
      </c>
      <c r="M193" s="15">
        <f>IF($B193="","",IF(J193="Abandonnée",0,H193))</f>
        <v/>
      </c>
      <c r="N193" s="15">
        <f>IF($B193="","",M193*L193)</f>
        <v/>
      </c>
      <c r="O193" s="37" t="n"/>
      <c r="P193" s="40" t="n"/>
      <c r="Q193" s="40" t="n"/>
      <c r="R193" s="40" t="n"/>
      <c r="S193" s="37" t="n"/>
      <c r="T193" s="36" t="n"/>
      <c r="U193" s="13">
        <f>IF($B193="","",IF(AND(J193&lt;&gt;"Complétée",J193&lt;&gt;"Abandonnée",Q193&lt;&gt;"",TODAY()&gt;Q193),"En retard",""))</f>
        <v/>
      </c>
      <c r="V193" s="37" t="n"/>
    </row>
    <row r="194">
      <c r="B194" s="36" t="n"/>
      <c r="C194" s="36" t="n"/>
      <c r="D194" s="36" t="n"/>
      <c r="E194" s="37" t="n"/>
      <c r="F194" s="37" t="n"/>
      <c r="G194" s="37" t="n"/>
      <c r="H194" s="38" t="n"/>
      <c r="I194" s="36" t="n"/>
      <c r="J194" s="36" t="n"/>
      <c r="K194" s="39" t="n"/>
      <c r="L194" s="16">
        <f>IF($B194="","",IF(J194="Complétée",1,IF(J194="Abandonnée",0,IF(K194&lt;&gt;"",K194,IFERROR(VLOOKUP(J194,Parametres!$B$6:$C$12,2,FALSE),0)))))</f>
        <v/>
      </c>
      <c r="M194" s="15">
        <f>IF($B194="","",IF(J194="Abandonnée",0,H194))</f>
        <v/>
      </c>
      <c r="N194" s="15">
        <f>IF($B194="","",M194*L194)</f>
        <v/>
      </c>
      <c r="O194" s="37" t="n"/>
      <c r="P194" s="40" t="n"/>
      <c r="Q194" s="40" t="n"/>
      <c r="R194" s="40" t="n"/>
      <c r="S194" s="37" t="n"/>
      <c r="T194" s="36" t="n"/>
      <c r="U194" s="13">
        <f>IF($B194="","",IF(AND(J194&lt;&gt;"Complétée",J194&lt;&gt;"Abandonnée",Q194&lt;&gt;"",TODAY()&gt;Q194),"En retard",""))</f>
        <v/>
      </c>
      <c r="V194" s="37" t="n"/>
    </row>
    <row r="195">
      <c r="B195" s="36" t="n"/>
      <c r="C195" s="36" t="n"/>
      <c r="D195" s="36" t="n"/>
      <c r="E195" s="37" t="n"/>
      <c r="F195" s="37" t="n"/>
      <c r="G195" s="37" t="n"/>
      <c r="H195" s="38" t="n"/>
      <c r="I195" s="36" t="n"/>
      <c r="J195" s="36" t="n"/>
      <c r="K195" s="39" t="n"/>
      <c r="L195" s="16">
        <f>IF($B195="","",IF(J195="Complétée",1,IF(J195="Abandonnée",0,IF(K195&lt;&gt;"",K195,IFERROR(VLOOKUP(J195,Parametres!$B$6:$C$12,2,FALSE),0)))))</f>
        <v/>
      </c>
      <c r="M195" s="15">
        <f>IF($B195="","",IF(J195="Abandonnée",0,H195))</f>
        <v/>
      </c>
      <c r="N195" s="15">
        <f>IF($B195="","",M195*L195)</f>
        <v/>
      </c>
      <c r="O195" s="37" t="n"/>
      <c r="P195" s="40" t="n"/>
      <c r="Q195" s="40" t="n"/>
      <c r="R195" s="40" t="n"/>
      <c r="S195" s="37" t="n"/>
      <c r="T195" s="36" t="n"/>
      <c r="U195" s="13">
        <f>IF($B195="","",IF(AND(J195&lt;&gt;"Complétée",J195&lt;&gt;"Abandonnée",Q195&lt;&gt;"",TODAY()&gt;Q195),"En retard",""))</f>
        <v/>
      </c>
      <c r="V195" s="37" t="n"/>
    </row>
    <row r="196">
      <c r="B196" s="36" t="n"/>
      <c r="C196" s="36" t="n"/>
      <c r="D196" s="36" t="n"/>
      <c r="E196" s="37" t="n"/>
      <c r="F196" s="37" t="n"/>
      <c r="G196" s="37" t="n"/>
      <c r="H196" s="38" t="n"/>
      <c r="I196" s="36" t="n"/>
      <c r="J196" s="36" t="n"/>
      <c r="K196" s="39" t="n"/>
      <c r="L196" s="16">
        <f>IF($B196="","",IF(J196="Complétée",1,IF(J196="Abandonnée",0,IF(K196&lt;&gt;"",K196,IFERROR(VLOOKUP(J196,Parametres!$B$6:$C$12,2,FALSE),0)))))</f>
        <v/>
      </c>
      <c r="M196" s="15">
        <f>IF($B196="","",IF(J196="Abandonnée",0,H196))</f>
        <v/>
      </c>
      <c r="N196" s="15">
        <f>IF($B196="","",M196*L196)</f>
        <v/>
      </c>
      <c r="O196" s="37" t="n"/>
      <c r="P196" s="40" t="n"/>
      <c r="Q196" s="40" t="n"/>
      <c r="R196" s="40" t="n"/>
      <c r="S196" s="37" t="n"/>
      <c r="T196" s="36" t="n"/>
      <c r="U196" s="13">
        <f>IF($B196="","",IF(AND(J196&lt;&gt;"Complétée",J196&lt;&gt;"Abandonnée",Q196&lt;&gt;"",TODAY()&gt;Q196),"En retard",""))</f>
        <v/>
      </c>
      <c r="V196" s="37" t="n"/>
    </row>
    <row r="197">
      <c r="B197" s="36" t="n"/>
      <c r="C197" s="36" t="n"/>
      <c r="D197" s="36" t="n"/>
      <c r="E197" s="37" t="n"/>
      <c r="F197" s="37" t="n"/>
      <c r="G197" s="37" t="n"/>
      <c r="H197" s="38" t="n"/>
      <c r="I197" s="36" t="n"/>
      <c r="J197" s="36" t="n"/>
      <c r="K197" s="39" t="n"/>
      <c r="L197" s="16">
        <f>IF($B197="","",IF(J197="Complétée",1,IF(J197="Abandonnée",0,IF(K197&lt;&gt;"",K197,IFERROR(VLOOKUP(J197,Parametres!$B$6:$C$12,2,FALSE),0)))))</f>
        <v/>
      </c>
      <c r="M197" s="15">
        <f>IF($B197="","",IF(J197="Abandonnée",0,H197))</f>
        <v/>
      </c>
      <c r="N197" s="15">
        <f>IF($B197="","",M197*L197)</f>
        <v/>
      </c>
      <c r="O197" s="37" t="n"/>
      <c r="P197" s="40" t="n"/>
      <c r="Q197" s="40" t="n"/>
      <c r="R197" s="40" t="n"/>
      <c r="S197" s="37" t="n"/>
      <c r="T197" s="36" t="n"/>
      <c r="U197" s="13">
        <f>IF($B197="","",IF(AND(J197&lt;&gt;"Complétée",J197&lt;&gt;"Abandonnée",Q197&lt;&gt;"",TODAY()&gt;Q197),"En retard",""))</f>
        <v/>
      </c>
      <c r="V197" s="37" t="n"/>
    </row>
    <row r="198">
      <c r="B198" s="36" t="n"/>
      <c r="C198" s="36" t="n"/>
      <c r="D198" s="36" t="n"/>
      <c r="E198" s="37" t="n"/>
      <c r="F198" s="37" t="n"/>
      <c r="G198" s="37" t="n"/>
      <c r="H198" s="38" t="n"/>
      <c r="I198" s="36" t="n"/>
      <c r="J198" s="36" t="n"/>
      <c r="K198" s="39" t="n"/>
      <c r="L198" s="16">
        <f>IF($B198="","",IF(J198="Complétée",1,IF(J198="Abandonnée",0,IF(K198&lt;&gt;"",K198,IFERROR(VLOOKUP(J198,Parametres!$B$6:$C$12,2,FALSE),0)))))</f>
        <v/>
      </c>
      <c r="M198" s="15">
        <f>IF($B198="","",IF(J198="Abandonnée",0,H198))</f>
        <v/>
      </c>
      <c r="N198" s="15">
        <f>IF($B198="","",M198*L198)</f>
        <v/>
      </c>
      <c r="O198" s="37" t="n"/>
      <c r="P198" s="40" t="n"/>
      <c r="Q198" s="40" t="n"/>
      <c r="R198" s="40" t="n"/>
      <c r="S198" s="37" t="n"/>
      <c r="T198" s="36" t="n"/>
      <c r="U198" s="13">
        <f>IF($B198="","",IF(AND(J198&lt;&gt;"Complétée",J198&lt;&gt;"Abandonnée",Q198&lt;&gt;"",TODAY()&gt;Q198),"En retard",""))</f>
        <v/>
      </c>
      <c r="V198" s="37" t="n"/>
    </row>
    <row r="199">
      <c r="B199" s="36" t="n"/>
      <c r="C199" s="36" t="n"/>
      <c r="D199" s="36" t="n"/>
      <c r="E199" s="37" t="n"/>
      <c r="F199" s="37" t="n"/>
      <c r="G199" s="37" t="n"/>
      <c r="H199" s="38" t="n"/>
      <c r="I199" s="36" t="n"/>
      <c r="J199" s="36" t="n"/>
      <c r="K199" s="39" t="n"/>
      <c r="L199" s="16">
        <f>IF($B199="","",IF(J199="Complétée",1,IF(J199="Abandonnée",0,IF(K199&lt;&gt;"",K199,IFERROR(VLOOKUP(J199,Parametres!$B$6:$C$12,2,FALSE),0)))))</f>
        <v/>
      </c>
      <c r="M199" s="15">
        <f>IF($B199="","",IF(J199="Abandonnée",0,H199))</f>
        <v/>
      </c>
      <c r="N199" s="15">
        <f>IF($B199="","",M199*L199)</f>
        <v/>
      </c>
      <c r="O199" s="37" t="n"/>
      <c r="P199" s="40" t="n"/>
      <c r="Q199" s="40" t="n"/>
      <c r="R199" s="40" t="n"/>
      <c r="S199" s="37" t="n"/>
      <c r="T199" s="36" t="n"/>
      <c r="U199" s="13">
        <f>IF($B199="","",IF(AND(J199&lt;&gt;"Complétée",J199&lt;&gt;"Abandonnée",Q199&lt;&gt;"",TODAY()&gt;Q199),"En retard",""))</f>
        <v/>
      </c>
      <c r="V199" s="37" t="n"/>
    </row>
    <row r="200">
      <c r="B200" s="36" t="n"/>
      <c r="C200" s="36" t="n"/>
      <c r="D200" s="36" t="n"/>
      <c r="E200" s="37" t="n"/>
      <c r="F200" s="37" t="n"/>
      <c r="G200" s="37" t="n"/>
      <c r="H200" s="38" t="n"/>
      <c r="I200" s="36" t="n"/>
      <c r="J200" s="36" t="n"/>
      <c r="K200" s="39" t="n"/>
      <c r="L200" s="16">
        <f>IF($B200="","",IF(J200="Complétée",1,IF(J200="Abandonnée",0,IF(K200&lt;&gt;"",K200,IFERROR(VLOOKUP(J200,Parametres!$B$6:$C$12,2,FALSE),0)))))</f>
        <v/>
      </c>
      <c r="M200" s="15">
        <f>IF($B200="","",IF(J200="Abandonnée",0,H200))</f>
        <v/>
      </c>
      <c r="N200" s="15">
        <f>IF($B200="","",M200*L200)</f>
        <v/>
      </c>
      <c r="O200" s="37" t="n"/>
      <c r="P200" s="40" t="n"/>
      <c r="Q200" s="40" t="n"/>
      <c r="R200" s="40" t="n"/>
      <c r="S200" s="37" t="n"/>
      <c r="T200" s="36" t="n"/>
      <c r="U200" s="13">
        <f>IF($B200="","",IF(AND(J200&lt;&gt;"Complétée",J200&lt;&gt;"Abandonnée",Q200&lt;&gt;"",TODAY()&gt;Q200),"En retard",""))</f>
        <v/>
      </c>
      <c r="V200" s="37" t="n"/>
    </row>
    <row r="201">
      <c r="B201" s="36" t="n"/>
      <c r="C201" s="36" t="n"/>
      <c r="D201" s="36" t="n"/>
      <c r="E201" s="37" t="n"/>
      <c r="F201" s="37" t="n"/>
      <c r="G201" s="37" t="n"/>
      <c r="H201" s="38" t="n"/>
      <c r="I201" s="36" t="n"/>
      <c r="J201" s="36" t="n"/>
      <c r="K201" s="39" t="n"/>
      <c r="L201" s="16">
        <f>IF($B201="","",IF(J201="Complétée",1,IF(J201="Abandonnée",0,IF(K201&lt;&gt;"",K201,IFERROR(VLOOKUP(J201,Parametres!$B$6:$C$12,2,FALSE),0)))))</f>
        <v/>
      </c>
      <c r="M201" s="15">
        <f>IF($B201="","",IF(J201="Abandonnée",0,H201))</f>
        <v/>
      </c>
      <c r="N201" s="15">
        <f>IF($B201="","",M201*L201)</f>
        <v/>
      </c>
      <c r="O201" s="37" t="n"/>
      <c r="P201" s="40" t="n"/>
      <c r="Q201" s="40" t="n"/>
      <c r="R201" s="40" t="n"/>
      <c r="S201" s="37" t="n"/>
      <c r="T201" s="36" t="n"/>
      <c r="U201" s="13">
        <f>IF($B201="","",IF(AND(J201&lt;&gt;"Complétée",J201&lt;&gt;"Abandonnée",Q201&lt;&gt;"",TODAY()&gt;Q201),"En retard",""))</f>
        <v/>
      </c>
      <c r="V201" s="37" t="n"/>
    </row>
    <row r="202">
      <c r="B202" s="36" t="n"/>
      <c r="C202" s="36" t="n"/>
      <c r="D202" s="36" t="n"/>
      <c r="E202" s="37" t="n"/>
      <c r="F202" s="37" t="n"/>
      <c r="G202" s="37" t="n"/>
      <c r="H202" s="38" t="n"/>
      <c r="I202" s="36" t="n"/>
      <c r="J202" s="36" t="n"/>
      <c r="K202" s="39" t="n"/>
      <c r="L202" s="16">
        <f>IF($B202="","",IF(J202="Complétée",1,IF(J202="Abandonnée",0,IF(K202&lt;&gt;"",K202,IFERROR(VLOOKUP(J202,Parametres!$B$6:$C$12,2,FALSE),0)))))</f>
        <v/>
      </c>
      <c r="M202" s="15">
        <f>IF($B202="","",IF(J202="Abandonnée",0,H202))</f>
        <v/>
      </c>
      <c r="N202" s="15">
        <f>IF($B202="","",M202*L202)</f>
        <v/>
      </c>
      <c r="O202" s="37" t="n"/>
      <c r="P202" s="40" t="n"/>
      <c r="Q202" s="40" t="n"/>
      <c r="R202" s="40" t="n"/>
      <c r="S202" s="37" t="n"/>
      <c r="T202" s="36" t="n"/>
      <c r="U202" s="13">
        <f>IF($B202="","",IF(AND(J202&lt;&gt;"Complétée",J202&lt;&gt;"Abandonnée",Q202&lt;&gt;"",TODAY()&gt;Q202),"En retard",""))</f>
        <v/>
      </c>
      <c r="V202" s="37" t="n"/>
    </row>
    <row r="203">
      <c r="B203" s="36" t="n"/>
      <c r="C203" s="36" t="n"/>
      <c r="D203" s="36" t="n"/>
      <c r="E203" s="37" t="n"/>
      <c r="F203" s="37" t="n"/>
      <c r="G203" s="37" t="n"/>
      <c r="H203" s="38" t="n"/>
      <c r="I203" s="36" t="n"/>
      <c r="J203" s="36" t="n"/>
      <c r="K203" s="39" t="n"/>
      <c r="L203" s="16">
        <f>IF($B203="","",IF(J203="Complétée",1,IF(J203="Abandonnée",0,IF(K203&lt;&gt;"",K203,IFERROR(VLOOKUP(J203,Parametres!$B$6:$C$12,2,FALSE),0)))))</f>
        <v/>
      </c>
      <c r="M203" s="15">
        <f>IF($B203="","",IF(J203="Abandonnée",0,H203))</f>
        <v/>
      </c>
      <c r="N203" s="15">
        <f>IF($B203="","",M203*L203)</f>
        <v/>
      </c>
      <c r="O203" s="37" t="n"/>
      <c r="P203" s="40" t="n"/>
      <c r="Q203" s="40" t="n"/>
      <c r="R203" s="40" t="n"/>
      <c r="S203" s="37" t="n"/>
      <c r="T203" s="36" t="n"/>
      <c r="U203" s="13">
        <f>IF($B203="","",IF(AND(J203&lt;&gt;"Complétée",J203&lt;&gt;"Abandonnée",Q203&lt;&gt;"",TODAY()&gt;Q203),"En retard",""))</f>
        <v/>
      </c>
      <c r="V203" s="37" t="n"/>
    </row>
    <row r="204">
      <c r="B204" s="36" t="n"/>
      <c r="C204" s="36" t="n"/>
      <c r="D204" s="36" t="n"/>
      <c r="E204" s="37" t="n"/>
      <c r="F204" s="37" t="n"/>
      <c r="G204" s="37" t="n"/>
      <c r="H204" s="38" t="n"/>
      <c r="I204" s="36" t="n"/>
      <c r="J204" s="36" t="n"/>
      <c r="K204" s="39" t="n"/>
      <c r="L204" s="16">
        <f>IF($B204="","",IF(J204="Complétée",1,IF(J204="Abandonnée",0,IF(K204&lt;&gt;"",K204,IFERROR(VLOOKUP(J204,Parametres!$B$6:$C$12,2,FALSE),0)))))</f>
        <v/>
      </c>
      <c r="M204" s="15">
        <f>IF($B204="","",IF(J204="Abandonnée",0,H204))</f>
        <v/>
      </c>
      <c r="N204" s="15">
        <f>IF($B204="","",M204*L204)</f>
        <v/>
      </c>
      <c r="O204" s="37" t="n"/>
      <c r="P204" s="40" t="n"/>
      <c r="Q204" s="40" t="n"/>
      <c r="R204" s="40" t="n"/>
      <c r="S204" s="37" t="n"/>
      <c r="T204" s="36" t="n"/>
      <c r="U204" s="13">
        <f>IF($B204="","",IF(AND(J204&lt;&gt;"Complétée",J204&lt;&gt;"Abandonnée",Q204&lt;&gt;"",TODAY()&gt;Q204),"En retard",""))</f>
        <v/>
      </c>
      <c r="V204" s="37" t="n"/>
    </row>
    <row r="205">
      <c r="B205" s="36" t="n"/>
      <c r="C205" s="36" t="n"/>
      <c r="D205" s="36" t="n"/>
      <c r="E205" s="37" t="n"/>
      <c r="F205" s="37" t="n"/>
      <c r="G205" s="37" t="n"/>
      <c r="H205" s="38" t="n"/>
      <c r="I205" s="36" t="n"/>
      <c r="J205" s="36" t="n"/>
      <c r="K205" s="39" t="n"/>
      <c r="L205" s="16">
        <f>IF($B205="","",IF(J205="Complétée",1,IF(J205="Abandonnée",0,IF(K205&lt;&gt;"",K205,IFERROR(VLOOKUP(J205,Parametres!$B$6:$C$12,2,FALSE),0)))))</f>
        <v/>
      </c>
      <c r="M205" s="15">
        <f>IF($B205="","",IF(J205="Abandonnée",0,H205))</f>
        <v/>
      </c>
      <c r="N205" s="15">
        <f>IF($B205="","",M205*L205)</f>
        <v/>
      </c>
      <c r="O205" s="37" t="n"/>
      <c r="P205" s="40" t="n"/>
      <c r="Q205" s="40" t="n"/>
      <c r="R205" s="40" t="n"/>
      <c r="S205" s="37" t="n"/>
      <c r="T205" s="36" t="n"/>
      <c r="U205" s="13">
        <f>IF($B205="","",IF(AND(J205&lt;&gt;"Complétée",J205&lt;&gt;"Abandonnée",Q205&lt;&gt;"",TODAY()&gt;Q205),"En retard",""))</f>
        <v/>
      </c>
      <c r="V205" s="37" t="n"/>
    </row>
    <row r="206">
      <c r="B206" s="36" t="n"/>
      <c r="C206" s="36" t="n"/>
      <c r="D206" s="36" t="n"/>
      <c r="E206" s="37" t="n"/>
      <c r="F206" s="37" t="n"/>
      <c r="G206" s="37" t="n"/>
      <c r="H206" s="38" t="n"/>
      <c r="I206" s="36" t="n"/>
      <c r="J206" s="36" t="n"/>
      <c r="K206" s="39" t="n"/>
      <c r="L206" s="16">
        <f>IF($B206="","",IF(J206="Complétée",1,IF(J206="Abandonnée",0,IF(K206&lt;&gt;"",K206,IFERROR(VLOOKUP(J206,Parametres!$B$6:$C$12,2,FALSE),0)))))</f>
        <v/>
      </c>
      <c r="M206" s="15">
        <f>IF($B206="","",IF(J206="Abandonnée",0,H206))</f>
        <v/>
      </c>
      <c r="N206" s="15">
        <f>IF($B206="","",M206*L206)</f>
        <v/>
      </c>
      <c r="O206" s="37" t="n"/>
      <c r="P206" s="40" t="n"/>
      <c r="Q206" s="40" t="n"/>
      <c r="R206" s="40" t="n"/>
      <c r="S206" s="37" t="n"/>
      <c r="T206" s="36" t="n"/>
      <c r="U206" s="13">
        <f>IF($B206="","",IF(AND(J206&lt;&gt;"Complétée",J206&lt;&gt;"Abandonnée",Q206&lt;&gt;"",TODAY()&gt;Q206),"En retard",""))</f>
        <v/>
      </c>
      <c r="V206" s="37" t="n"/>
    </row>
    <row r="207">
      <c r="B207" s="36" t="n"/>
      <c r="C207" s="36" t="n"/>
      <c r="D207" s="36" t="n"/>
      <c r="E207" s="37" t="n"/>
      <c r="F207" s="37" t="n"/>
      <c r="G207" s="37" t="n"/>
      <c r="H207" s="38" t="n"/>
      <c r="I207" s="36" t="n"/>
      <c r="J207" s="36" t="n"/>
      <c r="K207" s="39" t="n"/>
      <c r="L207" s="16">
        <f>IF($B207="","",IF(J207="Complétée",1,IF(J207="Abandonnée",0,IF(K207&lt;&gt;"",K207,IFERROR(VLOOKUP(J207,Parametres!$B$6:$C$12,2,FALSE),0)))))</f>
        <v/>
      </c>
      <c r="M207" s="15">
        <f>IF($B207="","",IF(J207="Abandonnée",0,H207))</f>
        <v/>
      </c>
      <c r="N207" s="15">
        <f>IF($B207="","",M207*L207)</f>
        <v/>
      </c>
      <c r="O207" s="37" t="n"/>
      <c r="P207" s="40" t="n"/>
      <c r="Q207" s="40" t="n"/>
      <c r="R207" s="40" t="n"/>
      <c r="S207" s="37" t="n"/>
      <c r="T207" s="36" t="n"/>
      <c r="U207" s="13">
        <f>IF($B207="","",IF(AND(J207&lt;&gt;"Complétée",J207&lt;&gt;"Abandonnée",Q207&lt;&gt;"",TODAY()&gt;Q207),"En retard",""))</f>
        <v/>
      </c>
      <c r="V207" s="37" t="n"/>
    </row>
    <row r="208">
      <c r="B208" s="36" t="n"/>
      <c r="C208" s="36" t="n"/>
      <c r="D208" s="36" t="n"/>
      <c r="E208" s="37" t="n"/>
      <c r="F208" s="37" t="n"/>
      <c r="G208" s="37" t="n"/>
      <c r="H208" s="38" t="n"/>
      <c r="I208" s="36" t="n"/>
      <c r="J208" s="36" t="n"/>
      <c r="K208" s="39" t="n"/>
      <c r="L208" s="16">
        <f>IF($B208="","",IF(J208="Complétée",1,IF(J208="Abandonnée",0,IF(K208&lt;&gt;"",K208,IFERROR(VLOOKUP(J208,Parametres!$B$6:$C$12,2,FALSE),0)))))</f>
        <v/>
      </c>
      <c r="M208" s="15">
        <f>IF($B208="","",IF(J208="Abandonnée",0,H208))</f>
        <v/>
      </c>
      <c r="N208" s="15">
        <f>IF($B208="","",M208*L208)</f>
        <v/>
      </c>
      <c r="O208" s="37" t="n"/>
      <c r="P208" s="40" t="n"/>
      <c r="Q208" s="40" t="n"/>
      <c r="R208" s="40" t="n"/>
      <c r="S208" s="37" t="n"/>
      <c r="T208" s="36" t="n"/>
      <c r="U208" s="13">
        <f>IF($B208="","",IF(AND(J208&lt;&gt;"Complétée",J208&lt;&gt;"Abandonnée",Q208&lt;&gt;"",TODAY()&gt;Q208),"En retard",""))</f>
        <v/>
      </c>
      <c r="V208" s="37" t="n"/>
    </row>
    <row r="209">
      <c r="B209" s="36" t="n"/>
      <c r="C209" s="36" t="n"/>
      <c r="D209" s="36" t="n"/>
      <c r="E209" s="37" t="n"/>
      <c r="F209" s="37" t="n"/>
      <c r="G209" s="37" t="n"/>
      <c r="H209" s="38" t="n"/>
      <c r="I209" s="36" t="n"/>
      <c r="J209" s="36" t="n"/>
      <c r="K209" s="39" t="n"/>
      <c r="L209" s="16">
        <f>IF($B209="","",IF(J209="Complétée",1,IF(J209="Abandonnée",0,IF(K209&lt;&gt;"",K209,IFERROR(VLOOKUP(J209,Parametres!$B$6:$C$12,2,FALSE),0)))))</f>
        <v/>
      </c>
      <c r="M209" s="15">
        <f>IF($B209="","",IF(J209="Abandonnée",0,H209))</f>
        <v/>
      </c>
      <c r="N209" s="15">
        <f>IF($B209="","",M209*L209)</f>
        <v/>
      </c>
      <c r="O209" s="37" t="n"/>
      <c r="P209" s="40" t="n"/>
      <c r="Q209" s="40" t="n"/>
      <c r="R209" s="40" t="n"/>
      <c r="S209" s="37" t="n"/>
      <c r="T209" s="36" t="n"/>
      <c r="U209" s="13">
        <f>IF($B209="","",IF(AND(J209&lt;&gt;"Complétée",J209&lt;&gt;"Abandonnée",Q209&lt;&gt;"",TODAY()&gt;Q209),"En retard",""))</f>
        <v/>
      </c>
      <c r="V209" s="37" t="n"/>
    </row>
    <row r="210">
      <c r="B210" s="36" t="n"/>
      <c r="C210" s="36" t="n"/>
      <c r="D210" s="36" t="n"/>
      <c r="E210" s="37" t="n"/>
      <c r="F210" s="37" t="n"/>
      <c r="G210" s="37" t="n"/>
      <c r="H210" s="38" t="n"/>
      <c r="I210" s="36" t="n"/>
      <c r="J210" s="36" t="n"/>
      <c r="K210" s="39" t="n"/>
      <c r="L210" s="16">
        <f>IF($B210="","",IF(J210="Complétée",1,IF(J210="Abandonnée",0,IF(K210&lt;&gt;"",K210,IFERROR(VLOOKUP(J210,Parametres!$B$6:$C$12,2,FALSE),0)))))</f>
        <v/>
      </c>
      <c r="M210" s="15">
        <f>IF($B210="","",IF(J210="Abandonnée",0,H210))</f>
        <v/>
      </c>
      <c r="N210" s="15">
        <f>IF($B210="","",M210*L210)</f>
        <v/>
      </c>
      <c r="O210" s="37" t="n"/>
      <c r="P210" s="40" t="n"/>
      <c r="Q210" s="40" t="n"/>
      <c r="R210" s="40" t="n"/>
      <c r="S210" s="37" t="n"/>
      <c r="T210" s="36" t="n"/>
      <c r="U210" s="13">
        <f>IF($B210="","",IF(AND(J210&lt;&gt;"Complétée",J210&lt;&gt;"Abandonnée",Q210&lt;&gt;"",TODAY()&gt;Q210),"En retard",""))</f>
        <v/>
      </c>
      <c r="V210" s="37" t="n"/>
    </row>
    <row r="211">
      <c r="B211" s="36" t="n"/>
      <c r="C211" s="36" t="n"/>
      <c r="D211" s="36" t="n"/>
      <c r="E211" s="37" t="n"/>
      <c r="F211" s="37" t="n"/>
      <c r="G211" s="37" t="n"/>
      <c r="H211" s="38" t="n"/>
      <c r="I211" s="36" t="n"/>
      <c r="J211" s="36" t="n"/>
      <c r="K211" s="39" t="n"/>
      <c r="L211" s="16">
        <f>IF($B211="","",IF(J211="Complétée",1,IF(J211="Abandonnée",0,IF(K211&lt;&gt;"",K211,IFERROR(VLOOKUP(J211,Parametres!$B$6:$C$12,2,FALSE),0)))))</f>
        <v/>
      </c>
      <c r="M211" s="15">
        <f>IF($B211="","",IF(J211="Abandonnée",0,H211))</f>
        <v/>
      </c>
      <c r="N211" s="15">
        <f>IF($B211="","",M211*L211)</f>
        <v/>
      </c>
      <c r="O211" s="37" t="n"/>
      <c r="P211" s="40" t="n"/>
      <c r="Q211" s="40" t="n"/>
      <c r="R211" s="40" t="n"/>
      <c r="S211" s="37" t="n"/>
      <c r="T211" s="36" t="n"/>
      <c r="U211" s="13">
        <f>IF($B211="","",IF(AND(J211&lt;&gt;"Complétée",J211&lt;&gt;"Abandonnée",Q211&lt;&gt;"",TODAY()&gt;Q211),"En retard",""))</f>
        <v/>
      </c>
      <c r="V211" s="37" t="n"/>
    </row>
    <row r="212">
      <c r="B212" s="36" t="n"/>
      <c r="C212" s="36" t="n"/>
      <c r="D212" s="36" t="n"/>
      <c r="E212" s="37" t="n"/>
      <c r="F212" s="37" t="n"/>
      <c r="G212" s="37" t="n"/>
      <c r="H212" s="38" t="n"/>
      <c r="I212" s="36" t="n"/>
      <c r="J212" s="36" t="n"/>
      <c r="K212" s="39" t="n"/>
      <c r="L212" s="16">
        <f>IF($B212="","",IF(J212="Complétée",1,IF(J212="Abandonnée",0,IF(K212&lt;&gt;"",K212,IFERROR(VLOOKUP(J212,Parametres!$B$6:$C$12,2,FALSE),0)))))</f>
        <v/>
      </c>
      <c r="M212" s="15">
        <f>IF($B212="","",IF(J212="Abandonnée",0,H212))</f>
        <v/>
      </c>
      <c r="N212" s="15">
        <f>IF($B212="","",M212*L212)</f>
        <v/>
      </c>
      <c r="O212" s="37" t="n"/>
      <c r="P212" s="40" t="n"/>
      <c r="Q212" s="40" t="n"/>
      <c r="R212" s="40" t="n"/>
      <c r="S212" s="37" t="n"/>
      <c r="T212" s="36" t="n"/>
      <c r="U212" s="13">
        <f>IF($B212="","",IF(AND(J212&lt;&gt;"Complétée",J212&lt;&gt;"Abandonnée",Q212&lt;&gt;"",TODAY()&gt;Q212),"En retard",""))</f>
        <v/>
      </c>
      <c r="V212" s="37" t="n"/>
    </row>
    <row r="213">
      <c r="B213" s="36" t="n"/>
      <c r="C213" s="36" t="n"/>
      <c r="D213" s="36" t="n"/>
      <c r="E213" s="37" t="n"/>
      <c r="F213" s="37" t="n"/>
      <c r="G213" s="37" t="n"/>
      <c r="H213" s="38" t="n"/>
      <c r="I213" s="36" t="n"/>
      <c r="J213" s="36" t="n"/>
      <c r="K213" s="39" t="n"/>
      <c r="L213" s="16">
        <f>IF($B213="","",IF(J213="Complétée",1,IF(J213="Abandonnée",0,IF(K213&lt;&gt;"",K213,IFERROR(VLOOKUP(J213,Parametres!$B$6:$C$12,2,FALSE),0)))))</f>
        <v/>
      </c>
      <c r="M213" s="15">
        <f>IF($B213="","",IF(J213="Abandonnée",0,H213))</f>
        <v/>
      </c>
      <c r="N213" s="15">
        <f>IF($B213="","",M213*L213)</f>
        <v/>
      </c>
      <c r="O213" s="37" t="n"/>
      <c r="P213" s="40" t="n"/>
      <c r="Q213" s="40" t="n"/>
      <c r="R213" s="40" t="n"/>
      <c r="S213" s="37" t="n"/>
      <c r="T213" s="36" t="n"/>
      <c r="U213" s="13">
        <f>IF($B213="","",IF(AND(J213&lt;&gt;"Complétée",J213&lt;&gt;"Abandonnée",Q213&lt;&gt;"",TODAY()&gt;Q213),"En retard",""))</f>
        <v/>
      </c>
      <c r="V213" s="37" t="n"/>
    </row>
    <row r="214">
      <c r="B214" s="36" t="n"/>
      <c r="C214" s="36" t="n"/>
      <c r="D214" s="36" t="n"/>
      <c r="E214" s="37" t="n"/>
      <c r="F214" s="37" t="n"/>
      <c r="G214" s="37" t="n"/>
      <c r="H214" s="38" t="n"/>
      <c r="I214" s="36" t="n"/>
      <c r="J214" s="36" t="n"/>
      <c r="K214" s="39" t="n"/>
      <c r="L214" s="16">
        <f>IF($B214="","",IF(J214="Complétée",1,IF(J214="Abandonnée",0,IF(K214&lt;&gt;"",K214,IFERROR(VLOOKUP(J214,Parametres!$B$6:$C$12,2,FALSE),0)))))</f>
        <v/>
      </c>
      <c r="M214" s="15">
        <f>IF($B214="","",IF(J214="Abandonnée",0,H214))</f>
        <v/>
      </c>
      <c r="N214" s="15">
        <f>IF($B214="","",M214*L214)</f>
        <v/>
      </c>
      <c r="O214" s="37" t="n"/>
      <c r="P214" s="40" t="n"/>
      <c r="Q214" s="40" t="n"/>
      <c r="R214" s="40" t="n"/>
      <c r="S214" s="37" t="n"/>
      <c r="T214" s="36" t="n"/>
      <c r="U214" s="13">
        <f>IF($B214="","",IF(AND(J214&lt;&gt;"Complétée",J214&lt;&gt;"Abandonnée",Q214&lt;&gt;"",TODAY()&gt;Q214),"En retard",""))</f>
        <v/>
      </c>
      <c r="V214" s="37" t="n"/>
    </row>
    <row r="215">
      <c r="B215" s="36" t="n"/>
      <c r="C215" s="36" t="n"/>
      <c r="D215" s="36" t="n"/>
      <c r="E215" s="37" t="n"/>
      <c r="F215" s="37" t="n"/>
      <c r="G215" s="37" t="n"/>
      <c r="H215" s="38" t="n"/>
      <c r="I215" s="36" t="n"/>
      <c r="J215" s="36" t="n"/>
      <c r="K215" s="39" t="n"/>
      <c r="L215" s="16">
        <f>IF($B215="","",IF(J215="Complétée",1,IF(J215="Abandonnée",0,IF(K215&lt;&gt;"",K215,IFERROR(VLOOKUP(J215,Parametres!$B$6:$C$12,2,FALSE),0)))))</f>
        <v/>
      </c>
      <c r="M215" s="15">
        <f>IF($B215="","",IF(J215="Abandonnée",0,H215))</f>
        <v/>
      </c>
      <c r="N215" s="15">
        <f>IF($B215="","",M215*L215)</f>
        <v/>
      </c>
      <c r="O215" s="37" t="n"/>
      <c r="P215" s="40" t="n"/>
      <c r="Q215" s="40" t="n"/>
      <c r="R215" s="40" t="n"/>
      <c r="S215" s="37" t="n"/>
      <c r="T215" s="36" t="n"/>
      <c r="U215" s="13">
        <f>IF($B215="","",IF(AND(J215&lt;&gt;"Complétée",J215&lt;&gt;"Abandonnée",Q215&lt;&gt;"",TODAY()&gt;Q215),"En retard",""))</f>
        <v/>
      </c>
      <c r="V215" s="37" t="n"/>
    </row>
    <row r="216">
      <c r="B216" s="36" t="n"/>
      <c r="C216" s="36" t="n"/>
      <c r="D216" s="36" t="n"/>
      <c r="E216" s="37" t="n"/>
      <c r="F216" s="37" t="n"/>
      <c r="G216" s="37" t="n"/>
      <c r="H216" s="38" t="n"/>
      <c r="I216" s="36" t="n"/>
      <c r="J216" s="36" t="n"/>
      <c r="K216" s="39" t="n"/>
      <c r="L216" s="16">
        <f>IF($B216="","",IF(J216="Complétée",1,IF(J216="Abandonnée",0,IF(K216&lt;&gt;"",K216,IFERROR(VLOOKUP(J216,Parametres!$B$6:$C$12,2,FALSE),0)))))</f>
        <v/>
      </c>
      <c r="M216" s="15">
        <f>IF($B216="","",IF(J216="Abandonnée",0,H216))</f>
        <v/>
      </c>
      <c r="N216" s="15">
        <f>IF($B216="","",M216*L216)</f>
        <v/>
      </c>
      <c r="O216" s="37" t="n"/>
      <c r="P216" s="40" t="n"/>
      <c r="Q216" s="40" t="n"/>
      <c r="R216" s="40" t="n"/>
      <c r="S216" s="37" t="n"/>
      <c r="T216" s="36" t="n"/>
      <c r="U216" s="13">
        <f>IF($B216="","",IF(AND(J216&lt;&gt;"Complétée",J216&lt;&gt;"Abandonnée",Q216&lt;&gt;"",TODAY()&gt;Q216),"En retard",""))</f>
        <v/>
      </c>
      <c r="V216" s="37" t="n"/>
    </row>
    <row r="217">
      <c r="B217" s="36" t="n"/>
      <c r="C217" s="36" t="n"/>
      <c r="D217" s="36" t="n"/>
      <c r="E217" s="37" t="n"/>
      <c r="F217" s="37" t="n"/>
      <c r="G217" s="37" t="n"/>
      <c r="H217" s="38" t="n"/>
      <c r="I217" s="36" t="n"/>
      <c r="J217" s="36" t="n"/>
      <c r="K217" s="39" t="n"/>
      <c r="L217" s="16">
        <f>IF($B217="","",IF(J217="Complétée",1,IF(J217="Abandonnée",0,IF(K217&lt;&gt;"",K217,IFERROR(VLOOKUP(J217,Parametres!$B$6:$C$12,2,FALSE),0)))))</f>
        <v/>
      </c>
      <c r="M217" s="15">
        <f>IF($B217="","",IF(J217="Abandonnée",0,H217))</f>
        <v/>
      </c>
      <c r="N217" s="15">
        <f>IF($B217="","",M217*L217)</f>
        <v/>
      </c>
      <c r="O217" s="37" t="n"/>
      <c r="P217" s="40" t="n"/>
      <c r="Q217" s="40" t="n"/>
      <c r="R217" s="40" t="n"/>
      <c r="S217" s="37" t="n"/>
      <c r="T217" s="36" t="n"/>
      <c r="U217" s="13">
        <f>IF($B217="","",IF(AND(J217&lt;&gt;"Complétée",J217&lt;&gt;"Abandonnée",Q217&lt;&gt;"",TODAY()&gt;Q217),"En retard",""))</f>
        <v/>
      </c>
      <c r="V217" s="37" t="n"/>
    </row>
    <row r="218">
      <c r="B218" s="36" t="n"/>
      <c r="C218" s="36" t="n"/>
      <c r="D218" s="36" t="n"/>
      <c r="E218" s="37" t="n"/>
      <c r="F218" s="37" t="n"/>
      <c r="G218" s="37" t="n"/>
      <c r="H218" s="38" t="n"/>
      <c r="I218" s="36" t="n"/>
      <c r="J218" s="36" t="n"/>
      <c r="K218" s="39" t="n"/>
      <c r="L218" s="16">
        <f>IF($B218="","",IF(J218="Complétée",1,IF(J218="Abandonnée",0,IF(K218&lt;&gt;"",K218,IFERROR(VLOOKUP(J218,Parametres!$B$6:$C$12,2,FALSE),0)))))</f>
        <v/>
      </c>
      <c r="M218" s="15">
        <f>IF($B218="","",IF(J218="Abandonnée",0,H218))</f>
        <v/>
      </c>
      <c r="N218" s="15">
        <f>IF($B218="","",M218*L218)</f>
        <v/>
      </c>
      <c r="O218" s="37" t="n"/>
      <c r="P218" s="40" t="n"/>
      <c r="Q218" s="40" t="n"/>
      <c r="R218" s="40" t="n"/>
      <c r="S218" s="37" t="n"/>
      <c r="T218" s="36" t="n"/>
      <c r="U218" s="13">
        <f>IF($B218="","",IF(AND(J218&lt;&gt;"Complétée",J218&lt;&gt;"Abandonnée",Q218&lt;&gt;"",TODAY()&gt;Q218),"En retard",""))</f>
        <v/>
      </c>
      <c r="V218" s="37" t="n"/>
    </row>
    <row r="219">
      <c r="B219" s="36" t="n"/>
      <c r="C219" s="36" t="n"/>
      <c r="D219" s="36" t="n"/>
      <c r="E219" s="37" t="n"/>
      <c r="F219" s="37" t="n"/>
      <c r="G219" s="37" t="n"/>
      <c r="H219" s="38" t="n"/>
      <c r="I219" s="36" t="n"/>
      <c r="J219" s="36" t="n"/>
      <c r="K219" s="39" t="n"/>
      <c r="L219" s="16">
        <f>IF($B219="","",IF(J219="Complétée",1,IF(J219="Abandonnée",0,IF(K219&lt;&gt;"",K219,IFERROR(VLOOKUP(J219,Parametres!$B$6:$C$12,2,FALSE),0)))))</f>
        <v/>
      </c>
      <c r="M219" s="15">
        <f>IF($B219="","",IF(J219="Abandonnée",0,H219))</f>
        <v/>
      </c>
      <c r="N219" s="15">
        <f>IF($B219="","",M219*L219)</f>
        <v/>
      </c>
      <c r="O219" s="37" t="n"/>
      <c r="P219" s="40" t="n"/>
      <c r="Q219" s="40" t="n"/>
      <c r="R219" s="40" t="n"/>
      <c r="S219" s="37" t="n"/>
      <c r="T219" s="36" t="n"/>
      <c r="U219" s="13">
        <f>IF($B219="","",IF(AND(J219&lt;&gt;"Complétée",J219&lt;&gt;"Abandonnée",Q219&lt;&gt;"",TODAY()&gt;Q219),"En retard",""))</f>
        <v/>
      </c>
      <c r="V219" s="37" t="n"/>
    </row>
    <row r="220">
      <c r="B220" s="36" t="n"/>
      <c r="C220" s="36" t="n"/>
      <c r="D220" s="36" t="n"/>
      <c r="E220" s="37" t="n"/>
      <c r="F220" s="37" t="n"/>
      <c r="G220" s="37" t="n"/>
      <c r="H220" s="38" t="n"/>
      <c r="I220" s="36" t="n"/>
      <c r="J220" s="36" t="n"/>
      <c r="K220" s="39" t="n"/>
      <c r="L220" s="16">
        <f>IF($B220="","",IF(J220="Complétée",1,IF(J220="Abandonnée",0,IF(K220&lt;&gt;"",K220,IFERROR(VLOOKUP(J220,Parametres!$B$6:$C$12,2,FALSE),0)))))</f>
        <v/>
      </c>
      <c r="M220" s="15">
        <f>IF($B220="","",IF(J220="Abandonnée",0,H220))</f>
        <v/>
      </c>
      <c r="N220" s="15">
        <f>IF($B220="","",M220*L220)</f>
        <v/>
      </c>
      <c r="O220" s="37" t="n"/>
      <c r="P220" s="40" t="n"/>
      <c r="Q220" s="40" t="n"/>
      <c r="R220" s="40" t="n"/>
      <c r="S220" s="37" t="n"/>
      <c r="T220" s="36" t="n"/>
      <c r="U220" s="13">
        <f>IF($B220="","",IF(AND(J220&lt;&gt;"Complétée",J220&lt;&gt;"Abandonnée",Q220&lt;&gt;"",TODAY()&gt;Q220),"En retard",""))</f>
        <v/>
      </c>
      <c r="V220" s="37" t="n"/>
    </row>
    <row r="221">
      <c r="B221" s="36" t="n"/>
      <c r="C221" s="36" t="n"/>
      <c r="D221" s="36" t="n"/>
      <c r="E221" s="37" t="n"/>
      <c r="F221" s="37" t="n"/>
      <c r="G221" s="37" t="n"/>
      <c r="H221" s="38" t="n"/>
      <c r="I221" s="36" t="n"/>
      <c r="J221" s="36" t="n"/>
      <c r="K221" s="39" t="n"/>
      <c r="L221" s="16">
        <f>IF($B221="","",IF(J221="Complétée",1,IF(J221="Abandonnée",0,IF(K221&lt;&gt;"",K221,IFERROR(VLOOKUP(J221,Parametres!$B$6:$C$12,2,FALSE),0)))))</f>
        <v/>
      </c>
      <c r="M221" s="15">
        <f>IF($B221="","",IF(J221="Abandonnée",0,H221))</f>
        <v/>
      </c>
      <c r="N221" s="15">
        <f>IF($B221="","",M221*L221)</f>
        <v/>
      </c>
      <c r="O221" s="37" t="n"/>
      <c r="P221" s="40" t="n"/>
      <c r="Q221" s="40" t="n"/>
      <c r="R221" s="40" t="n"/>
      <c r="S221" s="37" t="n"/>
      <c r="T221" s="36" t="n"/>
      <c r="U221" s="13">
        <f>IF($B221="","",IF(AND(J221&lt;&gt;"Complétée",J221&lt;&gt;"Abandonnée",Q221&lt;&gt;"",TODAY()&gt;Q221),"En retard",""))</f>
        <v/>
      </c>
      <c r="V221" s="37" t="n"/>
    </row>
    <row r="222">
      <c r="B222" s="36" t="n"/>
      <c r="C222" s="36" t="n"/>
      <c r="D222" s="36" t="n"/>
      <c r="E222" s="37" t="n"/>
      <c r="F222" s="37" t="n"/>
      <c r="G222" s="37" t="n"/>
      <c r="H222" s="38" t="n"/>
      <c r="I222" s="36" t="n"/>
      <c r="J222" s="36" t="n"/>
      <c r="K222" s="39" t="n"/>
      <c r="L222" s="16">
        <f>IF($B222="","",IF(J222="Complétée",1,IF(J222="Abandonnée",0,IF(K222&lt;&gt;"",K222,IFERROR(VLOOKUP(J222,Parametres!$B$6:$C$12,2,FALSE),0)))))</f>
        <v/>
      </c>
      <c r="M222" s="15">
        <f>IF($B222="","",IF(J222="Abandonnée",0,H222))</f>
        <v/>
      </c>
      <c r="N222" s="15">
        <f>IF($B222="","",M222*L222)</f>
        <v/>
      </c>
      <c r="O222" s="37" t="n"/>
      <c r="P222" s="40" t="n"/>
      <c r="Q222" s="40" t="n"/>
      <c r="R222" s="40" t="n"/>
      <c r="S222" s="37" t="n"/>
      <c r="T222" s="36" t="n"/>
      <c r="U222" s="13">
        <f>IF($B222="","",IF(AND(J222&lt;&gt;"Complétée",J222&lt;&gt;"Abandonnée",Q222&lt;&gt;"",TODAY()&gt;Q222),"En retard",""))</f>
        <v/>
      </c>
      <c r="V222" s="37" t="n"/>
    </row>
    <row r="223">
      <c r="B223" s="36" t="n"/>
      <c r="C223" s="36" t="n"/>
      <c r="D223" s="36" t="n"/>
      <c r="E223" s="37" t="n"/>
      <c r="F223" s="37" t="n"/>
      <c r="G223" s="37" t="n"/>
      <c r="H223" s="38" t="n"/>
      <c r="I223" s="36" t="n"/>
      <c r="J223" s="36" t="n"/>
      <c r="K223" s="39" t="n"/>
      <c r="L223" s="16">
        <f>IF($B223="","",IF(J223="Complétée",1,IF(J223="Abandonnée",0,IF(K223&lt;&gt;"",K223,IFERROR(VLOOKUP(J223,Parametres!$B$6:$C$12,2,FALSE),0)))))</f>
        <v/>
      </c>
      <c r="M223" s="15">
        <f>IF($B223="","",IF(J223="Abandonnée",0,H223))</f>
        <v/>
      </c>
      <c r="N223" s="15">
        <f>IF($B223="","",M223*L223)</f>
        <v/>
      </c>
      <c r="O223" s="37" t="n"/>
      <c r="P223" s="40" t="n"/>
      <c r="Q223" s="40" t="n"/>
      <c r="R223" s="40" t="n"/>
      <c r="S223" s="37" t="n"/>
      <c r="T223" s="36" t="n"/>
      <c r="U223" s="13">
        <f>IF($B223="","",IF(AND(J223&lt;&gt;"Complétée",J223&lt;&gt;"Abandonnée",Q223&lt;&gt;"",TODAY()&gt;Q223),"En retard",""))</f>
        <v/>
      </c>
      <c r="V223" s="37" t="n"/>
    </row>
    <row r="224">
      <c r="B224" s="36" t="n"/>
      <c r="C224" s="36" t="n"/>
      <c r="D224" s="36" t="n"/>
      <c r="E224" s="37" t="n"/>
      <c r="F224" s="37" t="n"/>
      <c r="G224" s="37" t="n"/>
      <c r="H224" s="38" t="n"/>
      <c r="I224" s="36" t="n"/>
      <c r="J224" s="36" t="n"/>
      <c r="K224" s="39" t="n"/>
      <c r="L224" s="16">
        <f>IF($B224="","",IF(J224="Complétée",1,IF(J224="Abandonnée",0,IF(K224&lt;&gt;"",K224,IFERROR(VLOOKUP(J224,Parametres!$B$6:$C$12,2,FALSE),0)))))</f>
        <v/>
      </c>
      <c r="M224" s="15">
        <f>IF($B224="","",IF(J224="Abandonnée",0,H224))</f>
        <v/>
      </c>
      <c r="N224" s="15">
        <f>IF($B224="","",M224*L224)</f>
        <v/>
      </c>
      <c r="O224" s="37" t="n"/>
      <c r="P224" s="40" t="n"/>
      <c r="Q224" s="40" t="n"/>
      <c r="R224" s="40" t="n"/>
      <c r="S224" s="37" t="n"/>
      <c r="T224" s="36" t="n"/>
      <c r="U224" s="13">
        <f>IF($B224="","",IF(AND(J224&lt;&gt;"Complétée",J224&lt;&gt;"Abandonnée",Q224&lt;&gt;"",TODAY()&gt;Q224),"En retard",""))</f>
        <v/>
      </c>
      <c r="V224" s="37" t="n"/>
    </row>
    <row r="225">
      <c r="B225" s="36" t="n"/>
      <c r="C225" s="36" t="n"/>
      <c r="D225" s="36" t="n"/>
      <c r="E225" s="37" t="n"/>
      <c r="F225" s="37" t="n"/>
      <c r="G225" s="37" t="n"/>
      <c r="H225" s="38" t="n"/>
      <c r="I225" s="36" t="n"/>
      <c r="J225" s="36" t="n"/>
      <c r="K225" s="39" t="n"/>
      <c r="L225" s="16">
        <f>IF($B225="","",IF(J225="Complétée",1,IF(J225="Abandonnée",0,IF(K225&lt;&gt;"",K225,IFERROR(VLOOKUP(J225,Parametres!$B$6:$C$12,2,FALSE),0)))))</f>
        <v/>
      </c>
      <c r="M225" s="15">
        <f>IF($B225="","",IF(J225="Abandonnée",0,H225))</f>
        <v/>
      </c>
      <c r="N225" s="15">
        <f>IF($B225="","",M225*L225)</f>
        <v/>
      </c>
      <c r="O225" s="37" t="n"/>
      <c r="P225" s="40" t="n"/>
      <c r="Q225" s="40" t="n"/>
      <c r="R225" s="40" t="n"/>
      <c r="S225" s="37" t="n"/>
      <c r="T225" s="36" t="n"/>
      <c r="U225" s="13">
        <f>IF($B225="","",IF(AND(J225&lt;&gt;"Complétée",J225&lt;&gt;"Abandonnée",Q225&lt;&gt;"",TODAY()&gt;Q225),"En retard",""))</f>
        <v/>
      </c>
      <c r="V225" s="37" t="n"/>
    </row>
    <row r="226">
      <c r="B226" s="36" t="n"/>
      <c r="C226" s="36" t="n"/>
      <c r="D226" s="36" t="n"/>
      <c r="E226" s="37" t="n"/>
      <c r="F226" s="37" t="n"/>
      <c r="G226" s="37" t="n"/>
      <c r="H226" s="38" t="n"/>
      <c r="I226" s="36" t="n"/>
      <c r="J226" s="36" t="n"/>
      <c r="K226" s="39" t="n"/>
      <c r="L226" s="16">
        <f>IF($B226="","",IF(J226="Complétée",1,IF(J226="Abandonnée",0,IF(K226&lt;&gt;"",K226,IFERROR(VLOOKUP(J226,Parametres!$B$6:$C$12,2,FALSE),0)))))</f>
        <v/>
      </c>
      <c r="M226" s="15">
        <f>IF($B226="","",IF(J226="Abandonnée",0,H226))</f>
        <v/>
      </c>
      <c r="N226" s="15">
        <f>IF($B226="","",M226*L226)</f>
        <v/>
      </c>
      <c r="O226" s="37" t="n"/>
      <c r="P226" s="40" t="n"/>
      <c r="Q226" s="40" t="n"/>
      <c r="R226" s="40" t="n"/>
      <c r="S226" s="37" t="n"/>
      <c r="T226" s="36" t="n"/>
      <c r="U226" s="13">
        <f>IF($B226="","",IF(AND(J226&lt;&gt;"Complétée",J226&lt;&gt;"Abandonnée",Q226&lt;&gt;"",TODAY()&gt;Q226),"En retard",""))</f>
        <v/>
      </c>
      <c r="V226" s="37" t="n"/>
    </row>
    <row r="227">
      <c r="B227" s="36" t="n"/>
      <c r="C227" s="36" t="n"/>
      <c r="D227" s="36" t="n"/>
      <c r="E227" s="37" t="n"/>
      <c r="F227" s="37" t="n"/>
      <c r="G227" s="37" t="n"/>
      <c r="H227" s="38" t="n"/>
      <c r="I227" s="36" t="n"/>
      <c r="J227" s="36" t="n"/>
      <c r="K227" s="39" t="n"/>
      <c r="L227" s="16">
        <f>IF($B227="","",IF(J227="Complétée",1,IF(J227="Abandonnée",0,IF(K227&lt;&gt;"",K227,IFERROR(VLOOKUP(J227,Parametres!$B$6:$C$12,2,FALSE),0)))))</f>
        <v/>
      </c>
      <c r="M227" s="15">
        <f>IF($B227="","",IF(J227="Abandonnée",0,H227))</f>
        <v/>
      </c>
      <c r="N227" s="15">
        <f>IF($B227="","",M227*L227)</f>
        <v/>
      </c>
      <c r="O227" s="37" t="n"/>
      <c r="P227" s="40" t="n"/>
      <c r="Q227" s="40" t="n"/>
      <c r="R227" s="40" t="n"/>
      <c r="S227" s="37" t="n"/>
      <c r="T227" s="36" t="n"/>
      <c r="U227" s="13">
        <f>IF($B227="","",IF(AND(J227&lt;&gt;"Complétée",J227&lt;&gt;"Abandonnée",Q227&lt;&gt;"",TODAY()&gt;Q227),"En retard",""))</f>
        <v/>
      </c>
      <c r="V227" s="37" t="n"/>
    </row>
    <row r="228">
      <c r="B228" s="36" t="n"/>
      <c r="C228" s="36" t="n"/>
      <c r="D228" s="36" t="n"/>
      <c r="E228" s="37" t="n"/>
      <c r="F228" s="37" t="n"/>
      <c r="G228" s="37" t="n"/>
      <c r="H228" s="38" t="n"/>
      <c r="I228" s="36" t="n"/>
      <c r="J228" s="36" t="n"/>
      <c r="K228" s="39" t="n"/>
      <c r="L228" s="16">
        <f>IF($B228="","",IF(J228="Complétée",1,IF(J228="Abandonnée",0,IF(K228&lt;&gt;"",K228,IFERROR(VLOOKUP(J228,Parametres!$B$6:$C$12,2,FALSE),0)))))</f>
        <v/>
      </c>
      <c r="M228" s="15">
        <f>IF($B228="","",IF(J228="Abandonnée",0,H228))</f>
        <v/>
      </c>
      <c r="N228" s="15">
        <f>IF($B228="","",M228*L228)</f>
        <v/>
      </c>
      <c r="O228" s="37" t="n"/>
      <c r="P228" s="40" t="n"/>
      <c r="Q228" s="40" t="n"/>
      <c r="R228" s="40" t="n"/>
      <c r="S228" s="37" t="n"/>
      <c r="T228" s="36" t="n"/>
      <c r="U228" s="13">
        <f>IF($B228="","",IF(AND(J228&lt;&gt;"Complétée",J228&lt;&gt;"Abandonnée",Q228&lt;&gt;"",TODAY()&gt;Q228),"En retard",""))</f>
        <v/>
      </c>
      <c r="V228" s="37" t="n"/>
    </row>
    <row r="229">
      <c r="B229" s="36" t="n"/>
      <c r="C229" s="36" t="n"/>
      <c r="D229" s="36" t="n"/>
      <c r="E229" s="37" t="n"/>
      <c r="F229" s="37" t="n"/>
      <c r="G229" s="37" t="n"/>
      <c r="H229" s="38" t="n"/>
      <c r="I229" s="36" t="n"/>
      <c r="J229" s="36" t="n"/>
      <c r="K229" s="39" t="n"/>
      <c r="L229" s="16">
        <f>IF($B229="","",IF(J229="Complétée",1,IF(J229="Abandonnée",0,IF(K229&lt;&gt;"",K229,IFERROR(VLOOKUP(J229,Parametres!$B$6:$C$12,2,FALSE),0)))))</f>
        <v/>
      </c>
      <c r="M229" s="15">
        <f>IF($B229="","",IF(J229="Abandonnée",0,H229))</f>
        <v/>
      </c>
      <c r="N229" s="15">
        <f>IF($B229="","",M229*L229)</f>
        <v/>
      </c>
      <c r="O229" s="37" t="n"/>
      <c r="P229" s="40" t="n"/>
      <c r="Q229" s="40" t="n"/>
      <c r="R229" s="40" t="n"/>
      <c r="S229" s="37" t="n"/>
      <c r="T229" s="36" t="n"/>
      <c r="U229" s="13">
        <f>IF($B229="","",IF(AND(J229&lt;&gt;"Complétée",J229&lt;&gt;"Abandonnée",Q229&lt;&gt;"",TODAY()&gt;Q229),"En retard",""))</f>
        <v/>
      </c>
      <c r="V229" s="37" t="n"/>
    </row>
    <row r="230">
      <c r="B230" s="36" t="n"/>
      <c r="C230" s="36" t="n"/>
      <c r="D230" s="36" t="n"/>
      <c r="E230" s="37" t="n"/>
      <c r="F230" s="37" t="n"/>
      <c r="G230" s="37" t="n"/>
      <c r="H230" s="38" t="n"/>
      <c r="I230" s="36" t="n"/>
      <c r="J230" s="36" t="n"/>
      <c r="K230" s="39" t="n"/>
      <c r="L230" s="16">
        <f>IF($B230="","",IF(J230="Complétée",1,IF(J230="Abandonnée",0,IF(K230&lt;&gt;"",K230,IFERROR(VLOOKUP(J230,Parametres!$B$6:$C$12,2,FALSE),0)))))</f>
        <v/>
      </c>
      <c r="M230" s="15">
        <f>IF($B230="","",IF(J230="Abandonnée",0,H230))</f>
        <v/>
      </c>
      <c r="N230" s="15">
        <f>IF($B230="","",M230*L230)</f>
        <v/>
      </c>
      <c r="O230" s="37" t="n"/>
      <c r="P230" s="40" t="n"/>
      <c r="Q230" s="40" t="n"/>
      <c r="R230" s="40" t="n"/>
      <c r="S230" s="37" t="n"/>
      <c r="T230" s="36" t="n"/>
      <c r="U230" s="13">
        <f>IF($B230="","",IF(AND(J230&lt;&gt;"Complétée",J230&lt;&gt;"Abandonnée",Q230&lt;&gt;"",TODAY()&gt;Q230),"En retard",""))</f>
        <v/>
      </c>
      <c r="V230" s="37" t="n"/>
    </row>
    <row r="231">
      <c r="B231" s="36" t="n"/>
      <c r="C231" s="36" t="n"/>
      <c r="D231" s="36" t="n"/>
      <c r="E231" s="37" t="n"/>
      <c r="F231" s="37" t="n"/>
      <c r="G231" s="37" t="n"/>
      <c r="H231" s="38" t="n"/>
      <c r="I231" s="36" t="n"/>
      <c r="J231" s="36" t="n"/>
      <c r="K231" s="39" t="n"/>
      <c r="L231" s="16">
        <f>IF($B231="","",IF(J231="Complétée",1,IF(J231="Abandonnée",0,IF(K231&lt;&gt;"",K231,IFERROR(VLOOKUP(J231,Parametres!$B$6:$C$12,2,FALSE),0)))))</f>
        <v/>
      </c>
      <c r="M231" s="15">
        <f>IF($B231="","",IF(J231="Abandonnée",0,H231))</f>
        <v/>
      </c>
      <c r="N231" s="15">
        <f>IF($B231="","",M231*L231)</f>
        <v/>
      </c>
      <c r="O231" s="37" t="n"/>
      <c r="P231" s="40" t="n"/>
      <c r="Q231" s="40" t="n"/>
      <c r="R231" s="40" t="n"/>
      <c r="S231" s="37" t="n"/>
      <c r="T231" s="36" t="n"/>
      <c r="U231" s="13">
        <f>IF($B231="","",IF(AND(J231&lt;&gt;"Complétée",J231&lt;&gt;"Abandonnée",Q231&lt;&gt;"",TODAY()&gt;Q231),"En retard",""))</f>
        <v/>
      </c>
      <c r="V231" s="37" t="n"/>
    </row>
    <row r="232">
      <c r="B232" s="36" t="n"/>
      <c r="C232" s="36" t="n"/>
      <c r="D232" s="36" t="n"/>
      <c r="E232" s="37" t="n"/>
      <c r="F232" s="37" t="n"/>
      <c r="G232" s="37" t="n"/>
      <c r="H232" s="38" t="n"/>
      <c r="I232" s="36" t="n"/>
      <c r="J232" s="36" t="n"/>
      <c r="K232" s="39" t="n"/>
      <c r="L232" s="16">
        <f>IF($B232="","",IF(J232="Complétée",1,IF(J232="Abandonnée",0,IF(K232&lt;&gt;"",K232,IFERROR(VLOOKUP(J232,Parametres!$B$6:$C$12,2,FALSE),0)))))</f>
        <v/>
      </c>
      <c r="M232" s="15">
        <f>IF($B232="","",IF(J232="Abandonnée",0,H232))</f>
        <v/>
      </c>
      <c r="N232" s="15">
        <f>IF($B232="","",M232*L232)</f>
        <v/>
      </c>
      <c r="O232" s="37" t="n"/>
      <c r="P232" s="40" t="n"/>
      <c r="Q232" s="40" t="n"/>
      <c r="R232" s="40" t="n"/>
      <c r="S232" s="37" t="n"/>
      <c r="T232" s="36" t="n"/>
      <c r="U232" s="13">
        <f>IF($B232="","",IF(AND(J232&lt;&gt;"Complétée",J232&lt;&gt;"Abandonnée",Q232&lt;&gt;"",TODAY()&gt;Q232),"En retard",""))</f>
        <v/>
      </c>
      <c r="V232" s="37" t="n"/>
    </row>
    <row r="233">
      <c r="B233" s="36" t="n"/>
      <c r="C233" s="36" t="n"/>
      <c r="D233" s="36" t="n"/>
      <c r="E233" s="37" t="n"/>
      <c r="F233" s="37" t="n"/>
      <c r="G233" s="37" t="n"/>
      <c r="H233" s="38" t="n"/>
      <c r="I233" s="36" t="n"/>
      <c r="J233" s="36" t="n"/>
      <c r="K233" s="39" t="n"/>
      <c r="L233" s="16">
        <f>IF($B233="","",IF(J233="Complétée",1,IF(J233="Abandonnée",0,IF(K233&lt;&gt;"",K233,IFERROR(VLOOKUP(J233,Parametres!$B$6:$C$12,2,FALSE),0)))))</f>
        <v/>
      </c>
      <c r="M233" s="15">
        <f>IF($B233="","",IF(J233="Abandonnée",0,H233))</f>
        <v/>
      </c>
      <c r="N233" s="15">
        <f>IF($B233="","",M233*L233)</f>
        <v/>
      </c>
      <c r="O233" s="37" t="n"/>
      <c r="P233" s="40" t="n"/>
      <c r="Q233" s="40" t="n"/>
      <c r="R233" s="40" t="n"/>
      <c r="S233" s="37" t="n"/>
      <c r="T233" s="36" t="n"/>
      <c r="U233" s="13">
        <f>IF($B233="","",IF(AND(J233&lt;&gt;"Complétée",J233&lt;&gt;"Abandonnée",Q233&lt;&gt;"",TODAY()&gt;Q233),"En retard",""))</f>
        <v/>
      </c>
      <c r="V233" s="37" t="n"/>
    </row>
    <row r="234">
      <c r="B234" s="36" t="n"/>
      <c r="C234" s="36" t="n"/>
      <c r="D234" s="36" t="n"/>
      <c r="E234" s="37" t="n"/>
      <c r="F234" s="37" t="n"/>
      <c r="G234" s="37" t="n"/>
      <c r="H234" s="38" t="n"/>
      <c r="I234" s="36" t="n"/>
      <c r="J234" s="36" t="n"/>
      <c r="K234" s="39" t="n"/>
      <c r="L234" s="16">
        <f>IF($B234="","",IF(J234="Complétée",1,IF(J234="Abandonnée",0,IF(K234&lt;&gt;"",K234,IFERROR(VLOOKUP(J234,Parametres!$B$6:$C$12,2,FALSE),0)))))</f>
        <v/>
      </c>
      <c r="M234" s="15">
        <f>IF($B234="","",IF(J234="Abandonnée",0,H234))</f>
        <v/>
      </c>
      <c r="N234" s="15">
        <f>IF($B234="","",M234*L234)</f>
        <v/>
      </c>
      <c r="O234" s="37" t="n"/>
      <c r="P234" s="40" t="n"/>
      <c r="Q234" s="40" t="n"/>
      <c r="R234" s="40" t="n"/>
      <c r="S234" s="37" t="n"/>
      <c r="T234" s="36" t="n"/>
      <c r="U234" s="13">
        <f>IF($B234="","",IF(AND(J234&lt;&gt;"Complétée",J234&lt;&gt;"Abandonnée",Q234&lt;&gt;"",TODAY()&gt;Q234),"En retard",""))</f>
        <v/>
      </c>
      <c r="V234" s="37" t="n"/>
    </row>
    <row r="235">
      <c r="B235" s="36" t="n"/>
      <c r="C235" s="36" t="n"/>
      <c r="D235" s="36" t="n"/>
      <c r="E235" s="37" t="n"/>
      <c r="F235" s="37" t="n"/>
      <c r="G235" s="37" t="n"/>
      <c r="H235" s="38" t="n"/>
      <c r="I235" s="36" t="n"/>
      <c r="J235" s="36" t="n"/>
      <c r="K235" s="39" t="n"/>
      <c r="L235" s="16">
        <f>IF($B235="","",IF(J235="Complétée",1,IF(J235="Abandonnée",0,IF(K235&lt;&gt;"",K235,IFERROR(VLOOKUP(J235,Parametres!$B$6:$C$12,2,FALSE),0)))))</f>
        <v/>
      </c>
      <c r="M235" s="15">
        <f>IF($B235="","",IF(J235="Abandonnée",0,H235))</f>
        <v/>
      </c>
      <c r="N235" s="15">
        <f>IF($B235="","",M235*L235)</f>
        <v/>
      </c>
      <c r="O235" s="37" t="n"/>
      <c r="P235" s="40" t="n"/>
      <c r="Q235" s="40" t="n"/>
      <c r="R235" s="40" t="n"/>
      <c r="S235" s="37" t="n"/>
      <c r="T235" s="36" t="n"/>
      <c r="U235" s="13">
        <f>IF($B235="","",IF(AND(J235&lt;&gt;"Complétée",J235&lt;&gt;"Abandonnée",Q235&lt;&gt;"",TODAY()&gt;Q235),"En retard",""))</f>
        <v/>
      </c>
      <c r="V235" s="37" t="n"/>
    </row>
    <row r="236">
      <c r="B236" s="36" t="n"/>
      <c r="C236" s="36" t="n"/>
      <c r="D236" s="36" t="n"/>
      <c r="E236" s="37" t="n"/>
      <c r="F236" s="37" t="n"/>
      <c r="G236" s="37" t="n"/>
      <c r="H236" s="38" t="n"/>
      <c r="I236" s="36" t="n"/>
      <c r="J236" s="36" t="n"/>
      <c r="K236" s="39" t="n"/>
      <c r="L236" s="16">
        <f>IF($B236="","",IF(J236="Complétée",1,IF(J236="Abandonnée",0,IF(K236&lt;&gt;"",K236,IFERROR(VLOOKUP(J236,Parametres!$B$6:$C$12,2,FALSE),0)))))</f>
        <v/>
      </c>
      <c r="M236" s="15">
        <f>IF($B236="","",IF(J236="Abandonnée",0,H236))</f>
        <v/>
      </c>
      <c r="N236" s="15">
        <f>IF($B236="","",M236*L236)</f>
        <v/>
      </c>
      <c r="O236" s="37" t="n"/>
      <c r="P236" s="40" t="n"/>
      <c r="Q236" s="40" t="n"/>
      <c r="R236" s="40" t="n"/>
      <c r="S236" s="37" t="n"/>
      <c r="T236" s="36" t="n"/>
      <c r="U236" s="13">
        <f>IF($B236="","",IF(AND(J236&lt;&gt;"Complétée",J236&lt;&gt;"Abandonnée",Q236&lt;&gt;"",TODAY()&gt;Q236),"En retard",""))</f>
        <v/>
      </c>
      <c r="V236" s="37" t="n"/>
    </row>
    <row r="237">
      <c r="B237" s="36" t="n"/>
      <c r="C237" s="36" t="n"/>
      <c r="D237" s="36" t="n"/>
      <c r="E237" s="37" t="n"/>
      <c r="F237" s="37" t="n"/>
      <c r="G237" s="37" t="n"/>
      <c r="H237" s="38" t="n"/>
      <c r="I237" s="36" t="n"/>
      <c r="J237" s="36" t="n"/>
      <c r="K237" s="39" t="n"/>
      <c r="L237" s="16">
        <f>IF($B237="","",IF(J237="Complétée",1,IF(J237="Abandonnée",0,IF(K237&lt;&gt;"",K237,IFERROR(VLOOKUP(J237,Parametres!$B$6:$C$12,2,FALSE),0)))))</f>
        <v/>
      </c>
      <c r="M237" s="15">
        <f>IF($B237="","",IF(J237="Abandonnée",0,H237))</f>
        <v/>
      </c>
      <c r="N237" s="15">
        <f>IF($B237="","",M237*L237)</f>
        <v/>
      </c>
      <c r="O237" s="37" t="n"/>
      <c r="P237" s="40" t="n"/>
      <c r="Q237" s="40" t="n"/>
      <c r="R237" s="40" t="n"/>
      <c r="S237" s="37" t="n"/>
      <c r="T237" s="36" t="n"/>
      <c r="U237" s="13">
        <f>IF($B237="","",IF(AND(J237&lt;&gt;"Complétée",J237&lt;&gt;"Abandonnée",Q237&lt;&gt;"",TODAY()&gt;Q237),"En retard",""))</f>
        <v/>
      </c>
      <c r="V237" s="37" t="n"/>
    </row>
    <row r="238">
      <c r="B238" s="36" t="n"/>
      <c r="C238" s="36" t="n"/>
      <c r="D238" s="36" t="n"/>
      <c r="E238" s="37" t="n"/>
      <c r="F238" s="37" t="n"/>
      <c r="G238" s="37" t="n"/>
      <c r="H238" s="38" t="n"/>
      <c r="I238" s="36" t="n"/>
      <c r="J238" s="36" t="n"/>
      <c r="K238" s="39" t="n"/>
      <c r="L238" s="16">
        <f>IF($B238="","",IF(J238="Complétée",1,IF(J238="Abandonnée",0,IF(K238&lt;&gt;"",K238,IFERROR(VLOOKUP(J238,Parametres!$B$6:$C$12,2,FALSE),0)))))</f>
        <v/>
      </c>
      <c r="M238" s="15">
        <f>IF($B238="","",IF(J238="Abandonnée",0,H238))</f>
        <v/>
      </c>
      <c r="N238" s="15">
        <f>IF($B238="","",M238*L238)</f>
        <v/>
      </c>
      <c r="O238" s="37" t="n"/>
      <c r="P238" s="40" t="n"/>
      <c r="Q238" s="40" t="n"/>
      <c r="R238" s="40" t="n"/>
      <c r="S238" s="37" t="n"/>
      <c r="T238" s="36" t="n"/>
      <c r="U238" s="13">
        <f>IF($B238="","",IF(AND(J238&lt;&gt;"Complétée",J238&lt;&gt;"Abandonnée",Q238&lt;&gt;"",TODAY()&gt;Q238),"En retard",""))</f>
        <v/>
      </c>
      <c r="V238" s="37" t="n"/>
    </row>
    <row r="239">
      <c r="B239" s="36" t="n"/>
      <c r="C239" s="36" t="n"/>
      <c r="D239" s="36" t="n"/>
      <c r="E239" s="37" t="n"/>
      <c r="F239" s="37" t="n"/>
      <c r="G239" s="37" t="n"/>
      <c r="H239" s="38" t="n"/>
      <c r="I239" s="36" t="n"/>
      <c r="J239" s="36" t="n"/>
      <c r="K239" s="39" t="n"/>
      <c r="L239" s="16">
        <f>IF($B239="","",IF(J239="Complétée",1,IF(J239="Abandonnée",0,IF(K239&lt;&gt;"",K239,IFERROR(VLOOKUP(J239,Parametres!$B$6:$C$12,2,FALSE),0)))))</f>
        <v/>
      </c>
      <c r="M239" s="15">
        <f>IF($B239="","",IF(J239="Abandonnée",0,H239))</f>
        <v/>
      </c>
      <c r="N239" s="15">
        <f>IF($B239="","",M239*L239)</f>
        <v/>
      </c>
      <c r="O239" s="37" t="n"/>
      <c r="P239" s="40" t="n"/>
      <c r="Q239" s="40" t="n"/>
      <c r="R239" s="40" t="n"/>
      <c r="S239" s="37" t="n"/>
      <c r="T239" s="36" t="n"/>
      <c r="U239" s="13">
        <f>IF($B239="","",IF(AND(J239&lt;&gt;"Complétée",J239&lt;&gt;"Abandonnée",Q239&lt;&gt;"",TODAY()&gt;Q239),"En retard",""))</f>
        <v/>
      </c>
      <c r="V239" s="37" t="n"/>
    </row>
    <row r="240">
      <c r="B240" s="36" t="n"/>
      <c r="C240" s="36" t="n"/>
      <c r="D240" s="36" t="n"/>
      <c r="E240" s="37" t="n"/>
      <c r="F240" s="37" t="n"/>
      <c r="G240" s="37" t="n"/>
      <c r="H240" s="38" t="n"/>
      <c r="I240" s="36" t="n"/>
      <c r="J240" s="36" t="n"/>
      <c r="K240" s="39" t="n"/>
      <c r="L240" s="16">
        <f>IF($B240="","",IF(J240="Complétée",1,IF(J240="Abandonnée",0,IF(K240&lt;&gt;"",K240,IFERROR(VLOOKUP(J240,Parametres!$B$6:$C$12,2,FALSE),0)))))</f>
        <v/>
      </c>
      <c r="M240" s="15">
        <f>IF($B240="","",IF(J240="Abandonnée",0,H240))</f>
        <v/>
      </c>
      <c r="N240" s="15">
        <f>IF($B240="","",M240*L240)</f>
        <v/>
      </c>
      <c r="O240" s="37" t="n"/>
      <c r="P240" s="40" t="n"/>
      <c r="Q240" s="40" t="n"/>
      <c r="R240" s="40" t="n"/>
      <c r="S240" s="37" t="n"/>
      <c r="T240" s="36" t="n"/>
      <c r="U240" s="13">
        <f>IF($B240="","",IF(AND(J240&lt;&gt;"Complétée",J240&lt;&gt;"Abandonnée",Q240&lt;&gt;"",TODAY()&gt;Q240),"En retard",""))</f>
        <v/>
      </c>
      <c r="V240" s="37" t="n"/>
    </row>
    <row r="241">
      <c r="B241" s="36" t="n"/>
      <c r="C241" s="36" t="n"/>
      <c r="D241" s="36" t="n"/>
      <c r="E241" s="37" t="n"/>
      <c r="F241" s="37" t="n"/>
      <c r="G241" s="37" t="n"/>
      <c r="H241" s="38" t="n"/>
      <c r="I241" s="36" t="n"/>
      <c r="J241" s="36" t="n"/>
      <c r="K241" s="39" t="n"/>
      <c r="L241" s="16">
        <f>IF($B241="","",IF(J241="Complétée",1,IF(J241="Abandonnée",0,IF(K241&lt;&gt;"",K241,IFERROR(VLOOKUP(J241,Parametres!$B$6:$C$12,2,FALSE),0)))))</f>
        <v/>
      </c>
      <c r="M241" s="15">
        <f>IF($B241="","",IF(J241="Abandonnée",0,H241))</f>
        <v/>
      </c>
      <c r="N241" s="15">
        <f>IF($B241="","",M241*L241)</f>
        <v/>
      </c>
      <c r="O241" s="37" t="n"/>
      <c r="P241" s="40" t="n"/>
      <c r="Q241" s="40" t="n"/>
      <c r="R241" s="40" t="n"/>
      <c r="S241" s="37" t="n"/>
      <c r="T241" s="36" t="n"/>
      <c r="U241" s="13">
        <f>IF($B241="","",IF(AND(J241&lt;&gt;"Complétée",J241&lt;&gt;"Abandonnée",Q241&lt;&gt;"",TODAY()&gt;Q241),"En retard",""))</f>
        <v/>
      </c>
      <c r="V241" s="37" t="n"/>
    </row>
    <row r="242">
      <c r="B242" s="36" t="n"/>
      <c r="C242" s="36" t="n"/>
      <c r="D242" s="36" t="n"/>
      <c r="E242" s="37" t="n"/>
      <c r="F242" s="37" t="n"/>
      <c r="G242" s="37" t="n"/>
      <c r="H242" s="38" t="n"/>
      <c r="I242" s="36" t="n"/>
      <c r="J242" s="36" t="n"/>
      <c r="K242" s="39" t="n"/>
      <c r="L242" s="16">
        <f>IF($B242="","",IF(J242="Complétée",1,IF(J242="Abandonnée",0,IF(K242&lt;&gt;"",K242,IFERROR(VLOOKUP(J242,Parametres!$B$6:$C$12,2,FALSE),0)))))</f>
        <v/>
      </c>
      <c r="M242" s="15">
        <f>IF($B242="","",IF(J242="Abandonnée",0,H242))</f>
        <v/>
      </c>
      <c r="N242" s="15">
        <f>IF($B242="","",M242*L242)</f>
        <v/>
      </c>
      <c r="O242" s="37" t="n"/>
      <c r="P242" s="40" t="n"/>
      <c r="Q242" s="40" t="n"/>
      <c r="R242" s="40" t="n"/>
      <c r="S242" s="37" t="n"/>
      <c r="T242" s="36" t="n"/>
      <c r="U242" s="13">
        <f>IF($B242="","",IF(AND(J242&lt;&gt;"Complétée",J242&lt;&gt;"Abandonnée",Q242&lt;&gt;"",TODAY()&gt;Q242),"En retard",""))</f>
        <v/>
      </c>
      <c r="V242" s="37" t="n"/>
    </row>
    <row r="243">
      <c r="B243" s="36" t="n"/>
      <c r="C243" s="36" t="n"/>
      <c r="D243" s="36" t="n"/>
      <c r="E243" s="37" t="n"/>
      <c r="F243" s="37" t="n"/>
      <c r="G243" s="37" t="n"/>
      <c r="H243" s="38" t="n"/>
      <c r="I243" s="36" t="n"/>
      <c r="J243" s="36" t="n"/>
      <c r="K243" s="39" t="n"/>
      <c r="L243" s="16">
        <f>IF($B243="","",IF(J243="Complétée",1,IF(J243="Abandonnée",0,IF(K243&lt;&gt;"",K243,IFERROR(VLOOKUP(J243,Parametres!$B$6:$C$12,2,FALSE),0)))))</f>
        <v/>
      </c>
      <c r="M243" s="15">
        <f>IF($B243="","",IF(J243="Abandonnée",0,H243))</f>
        <v/>
      </c>
      <c r="N243" s="15">
        <f>IF($B243="","",M243*L243)</f>
        <v/>
      </c>
      <c r="O243" s="37" t="n"/>
      <c r="P243" s="40" t="n"/>
      <c r="Q243" s="40" t="n"/>
      <c r="R243" s="40" t="n"/>
      <c r="S243" s="37" t="n"/>
      <c r="T243" s="36" t="n"/>
      <c r="U243" s="13">
        <f>IF($B243="","",IF(AND(J243&lt;&gt;"Complétée",J243&lt;&gt;"Abandonnée",Q243&lt;&gt;"",TODAY()&gt;Q243),"En retard",""))</f>
        <v/>
      </c>
      <c r="V243" s="37" t="n"/>
    </row>
    <row r="244">
      <c r="B244" s="36" t="n"/>
      <c r="C244" s="36" t="n"/>
      <c r="D244" s="36" t="n"/>
      <c r="E244" s="37" t="n"/>
      <c r="F244" s="37" t="n"/>
      <c r="G244" s="37" t="n"/>
      <c r="H244" s="38" t="n"/>
      <c r="I244" s="36" t="n"/>
      <c r="J244" s="36" t="n"/>
      <c r="K244" s="39" t="n"/>
      <c r="L244" s="16">
        <f>IF($B244="","",IF(J244="Complétée",1,IF(J244="Abandonnée",0,IF(K244&lt;&gt;"",K244,IFERROR(VLOOKUP(J244,Parametres!$B$6:$C$12,2,FALSE),0)))))</f>
        <v/>
      </c>
      <c r="M244" s="15">
        <f>IF($B244="","",IF(J244="Abandonnée",0,H244))</f>
        <v/>
      </c>
      <c r="N244" s="15">
        <f>IF($B244="","",M244*L244)</f>
        <v/>
      </c>
      <c r="O244" s="37" t="n"/>
      <c r="P244" s="40" t="n"/>
      <c r="Q244" s="40" t="n"/>
      <c r="R244" s="40" t="n"/>
      <c r="S244" s="37" t="n"/>
      <c r="T244" s="36" t="n"/>
      <c r="U244" s="13">
        <f>IF($B244="","",IF(AND(J244&lt;&gt;"Complétée",J244&lt;&gt;"Abandonnée",Q244&lt;&gt;"",TODAY()&gt;Q244),"En retard",""))</f>
        <v/>
      </c>
      <c r="V244" s="37" t="n"/>
    </row>
    <row r="245">
      <c r="B245" s="36" t="n"/>
      <c r="C245" s="36" t="n"/>
      <c r="D245" s="36" t="n"/>
      <c r="E245" s="37" t="n"/>
      <c r="F245" s="37" t="n"/>
      <c r="G245" s="37" t="n"/>
      <c r="H245" s="38" t="n"/>
      <c r="I245" s="36" t="n"/>
      <c r="J245" s="36" t="n"/>
      <c r="K245" s="39" t="n"/>
      <c r="L245" s="16">
        <f>IF($B245="","",IF(J245="Complétée",1,IF(J245="Abandonnée",0,IF(K245&lt;&gt;"",K245,IFERROR(VLOOKUP(J245,Parametres!$B$6:$C$12,2,FALSE),0)))))</f>
        <v/>
      </c>
      <c r="M245" s="15">
        <f>IF($B245="","",IF(J245="Abandonnée",0,H245))</f>
        <v/>
      </c>
      <c r="N245" s="15">
        <f>IF($B245="","",M245*L245)</f>
        <v/>
      </c>
      <c r="O245" s="37" t="n"/>
      <c r="P245" s="40" t="n"/>
      <c r="Q245" s="40" t="n"/>
      <c r="R245" s="40" t="n"/>
      <c r="S245" s="37" t="n"/>
      <c r="T245" s="36" t="n"/>
      <c r="U245" s="13">
        <f>IF($B245="","",IF(AND(J245&lt;&gt;"Complétée",J245&lt;&gt;"Abandonnée",Q245&lt;&gt;"",TODAY()&gt;Q245),"En retard",""))</f>
        <v/>
      </c>
      <c r="V245" s="37" t="n"/>
    </row>
    <row r="246">
      <c r="B246" s="36" t="n"/>
      <c r="C246" s="36" t="n"/>
      <c r="D246" s="36" t="n"/>
      <c r="E246" s="37" t="n"/>
      <c r="F246" s="37" t="n"/>
      <c r="G246" s="37" t="n"/>
      <c r="H246" s="38" t="n"/>
      <c r="I246" s="36" t="n"/>
      <c r="J246" s="36" t="n"/>
      <c r="K246" s="39" t="n"/>
      <c r="L246" s="16">
        <f>IF($B246="","",IF(J246="Complétée",1,IF(J246="Abandonnée",0,IF(K246&lt;&gt;"",K246,IFERROR(VLOOKUP(J246,Parametres!$B$6:$C$12,2,FALSE),0)))))</f>
        <v/>
      </c>
      <c r="M246" s="15">
        <f>IF($B246="","",IF(J246="Abandonnée",0,H246))</f>
        <v/>
      </c>
      <c r="N246" s="15">
        <f>IF($B246="","",M246*L246)</f>
        <v/>
      </c>
      <c r="O246" s="37" t="n"/>
      <c r="P246" s="40" t="n"/>
      <c r="Q246" s="40" t="n"/>
      <c r="R246" s="40" t="n"/>
      <c r="S246" s="37" t="n"/>
      <c r="T246" s="36" t="n"/>
      <c r="U246" s="13">
        <f>IF($B246="","",IF(AND(J246&lt;&gt;"Complétée",J246&lt;&gt;"Abandonnée",Q246&lt;&gt;"",TODAY()&gt;Q246),"En retard",""))</f>
        <v/>
      </c>
      <c r="V246" s="37" t="n"/>
    </row>
    <row r="247">
      <c r="B247" s="36" t="n"/>
      <c r="C247" s="36" t="n"/>
      <c r="D247" s="36" t="n"/>
      <c r="E247" s="37" t="n"/>
      <c r="F247" s="37" t="n"/>
      <c r="G247" s="37" t="n"/>
      <c r="H247" s="38" t="n"/>
      <c r="I247" s="36" t="n"/>
      <c r="J247" s="36" t="n"/>
      <c r="K247" s="39" t="n"/>
      <c r="L247" s="16">
        <f>IF($B247="","",IF(J247="Complétée",1,IF(J247="Abandonnée",0,IF(K247&lt;&gt;"",K247,IFERROR(VLOOKUP(J247,Parametres!$B$6:$C$12,2,FALSE),0)))))</f>
        <v/>
      </c>
      <c r="M247" s="15">
        <f>IF($B247="","",IF(J247="Abandonnée",0,H247))</f>
        <v/>
      </c>
      <c r="N247" s="15">
        <f>IF($B247="","",M247*L247)</f>
        <v/>
      </c>
      <c r="O247" s="37" t="n"/>
      <c r="P247" s="40" t="n"/>
      <c r="Q247" s="40" t="n"/>
      <c r="R247" s="40" t="n"/>
      <c r="S247" s="37" t="n"/>
      <c r="T247" s="36" t="n"/>
      <c r="U247" s="13">
        <f>IF($B247="","",IF(AND(J247&lt;&gt;"Complétée",J247&lt;&gt;"Abandonnée",Q247&lt;&gt;"",TODAY()&gt;Q247),"En retard",""))</f>
        <v/>
      </c>
      <c r="V247" s="37" t="n"/>
    </row>
    <row r="248">
      <c r="B248" s="36" t="n"/>
      <c r="C248" s="36" t="n"/>
      <c r="D248" s="36" t="n"/>
      <c r="E248" s="37" t="n"/>
      <c r="F248" s="37" t="n"/>
      <c r="G248" s="37" t="n"/>
      <c r="H248" s="38" t="n"/>
      <c r="I248" s="36" t="n"/>
      <c r="J248" s="36" t="n"/>
      <c r="K248" s="39" t="n"/>
      <c r="L248" s="16">
        <f>IF($B248="","",IF(J248="Complétée",1,IF(J248="Abandonnée",0,IF(K248&lt;&gt;"",K248,IFERROR(VLOOKUP(J248,Parametres!$B$6:$C$12,2,FALSE),0)))))</f>
        <v/>
      </c>
      <c r="M248" s="15">
        <f>IF($B248="","",IF(J248="Abandonnée",0,H248))</f>
        <v/>
      </c>
      <c r="N248" s="15">
        <f>IF($B248="","",M248*L248)</f>
        <v/>
      </c>
      <c r="O248" s="37" t="n"/>
      <c r="P248" s="40" t="n"/>
      <c r="Q248" s="40" t="n"/>
      <c r="R248" s="40" t="n"/>
      <c r="S248" s="37" t="n"/>
      <c r="T248" s="36" t="n"/>
      <c r="U248" s="13">
        <f>IF($B248="","",IF(AND(J248&lt;&gt;"Complétée",J248&lt;&gt;"Abandonnée",Q248&lt;&gt;"",TODAY()&gt;Q248),"En retard",""))</f>
        <v/>
      </c>
      <c r="V248" s="37" t="n"/>
    </row>
    <row r="249">
      <c r="B249" s="36" t="n"/>
      <c r="C249" s="36" t="n"/>
      <c r="D249" s="36" t="n"/>
      <c r="E249" s="37" t="n"/>
      <c r="F249" s="37" t="n"/>
      <c r="G249" s="37" t="n"/>
      <c r="H249" s="38" t="n"/>
      <c r="I249" s="36" t="n"/>
      <c r="J249" s="36" t="n"/>
      <c r="K249" s="39" t="n"/>
      <c r="L249" s="16">
        <f>IF($B249="","",IF(J249="Complétée",1,IF(J249="Abandonnée",0,IF(K249&lt;&gt;"",K249,IFERROR(VLOOKUP(J249,Parametres!$B$6:$C$12,2,FALSE),0)))))</f>
        <v/>
      </c>
      <c r="M249" s="15">
        <f>IF($B249="","",IF(J249="Abandonnée",0,H249))</f>
        <v/>
      </c>
      <c r="N249" s="15">
        <f>IF($B249="","",M249*L249)</f>
        <v/>
      </c>
      <c r="O249" s="37" t="n"/>
      <c r="P249" s="40" t="n"/>
      <c r="Q249" s="40" t="n"/>
      <c r="R249" s="40" t="n"/>
      <c r="S249" s="37" t="n"/>
      <c r="T249" s="36" t="n"/>
      <c r="U249" s="13">
        <f>IF($B249="","",IF(AND(J249&lt;&gt;"Complétée",J249&lt;&gt;"Abandonnée",Q249&lt;&gt;"",TODAY()&gt;Q249),"En retard",""))</f>
        <v/>
      </c>
      <c r="V249" s="37" t="n"/>
    </row>
    <row r="250">
      <c r="B250" s="36" t="n"/>
      <c r="C250" s="36" t="n"/>
      <c r="D250" s="36" t="n"/>
      <c r="E250" s="37" t="n"/>
      <c r="F250" s="37" t="n"/>
      <c r="G250" s="37" t="n"/>
      <c r="H250" s="38" t="n"/>
      <c r="I250" s="36" t="n"/>
      <c r="J250" s="36" t="n"/>
      <c r="K250" s="39" t="n"/>
      <c r="L250" s="16">
        <f>IF($B250="","",IF(J250="Complétée",1,IF(J250="Abandonnée",0,IF(K250&lt;&gt;"",K250,IFERROR(VLOOKUP(J250,Parametres!$B$6:$C$12,2,FALSE),0)))))</f>
        <v/>
      </c>
      <c r="M250" s="15">
        <f>IF($B250="","",IF(J250="Abandonnée",0,H250))</f>
        <v/>
      </c>
      <c r="N250" s="15">
        <f>IF($B250="","",M250*L250)</f>
        <v/>
      </c>
      <c r="O250" s="37" t="n"/>
      <c r="P250" s="40" t="n"/>
      <c r="Q250" s="40" t="n"/>
      <c r="R250" s="40" t="n"/>
      <c r="S250" s="37" t="n"/>
      <c r="T250" s="36" t="n"/>
      <c r="U250" s="13">
        <f>IF($B250="","",IF(AND(J250&lt;&gt;"Complétée",J250&lt;&gt;"Abandonnée",Q250&lt;&gt;"",TODAY()&gt;Q250),"En retard",""))</f>
        <v/>
      </c>
      <c r="V250" s="37" t="n"/>
    </row>
    <row r="251">
      <c r="B251" s="36" t="n"/>
      <c r="C251" s="36" t="n"/>
      <c r="D251" s="36" t="n"/>
      <c r="E251" s="37" t="n"/>
      <c r="F251" s="37" t="n"/>
      <c r="G251" s="37" t="n"/>
      <c r="H251" s="38" t="n"/>
      <c r="I251" s="36" t="n"/>
      <c r="J251" s="36" t="n"/>
      <c r="K251" s="39" t="n"/>
      <c r="L251" s="16">
        <f>IF($B251="","",IF(J251="Complétée",1,IF(J251="Abandonnée",0,IF(K251&lt;&gt;"",K251,IFERROR(VLOOKUP(J251,Parametres!$B$6:$C$12,2,FALSE),0)))))</f>
        <v/>
      </c>
      <c r="M251" s="15">
        <f>IF($B251="","",IF(J251="Abandonnée",0,H251))</f>
        <v/>
      </c>
      <c r="N251" s="15">
        <f>IF($B251="","",M251*L251)</f>
        <v/>
      </c>
      <c r="O251" s="37" t="n"/>
      <c r="P251" s="40" t="n"/>
      <c r="Q251" s="40" t="n"/>
      <c r="R251" s="40" t="n"/>
      <c r="S251" s="37" t="n"/>
      <c r="T251" s="36" t="n"/>
      <c r="U251" s="13">
        <f>IF($B251="","",IF(AND(J251&lt;&gt;"Complétée",J251&lt;&gt;"Abandonnée",Q251&lt;&gt;"",TODAY()&gt;Q251),"En retard",""))</f>
        <v/>
      </c>
      <c r="V251" s="37" t="n"/>
    </row>
    <row r="252">
      <c r="B252" s="36" t="n"/>
      <c r="C252" s="36" t="n"/>
      <c r="D252" s="36" t="n"/>
      <c r="E252" s="37" t="n"/>
      <c r="F252" s="37" t="n"/>
      <c r="G252" s="37" t="n"/>
      <c r="H252" s="38" t="n"/>
      <c r="I252" s="36" t="n"/>
      <c r="J252" s="36" t="n"/>
      <c r="K252" s="39" t="n"/>
      <c r="L252" s="16">
        <f>IF($B252="","",IF(J252="Complétée",1,IF(J252="Abandonnée",0,IF(K252&lt;&gt;"",K252,IFERROR(VLOOKUP(J252,Parametres!$B$6:$C$12,2,FALSE),0)))))</f>
        <v/>
      </c>
      <c r="M252" s="15">
        <f>IF($B252="","",IF(J252="Abandonnée",0,H252))</f>
        <v/>
      </c>
      <c r="N252" s="15">
        <f>IF($B252="","",M252*L252)</f>
        <v/>
      </c>
      <c r="O252" s="37" t="n"/>
      <c r="P252" s="40" t="n"/>
      <c r="Q252" s="40" t="n"/>
      <c r="R252" s="40" t="n"/>
      <c r="S252" s="37" t="n"/>
      <c r="T252" s="36" t="n"/>
      <c r="U252" s="13">
        <f>IF($B252="","",IF(AND(J252&lt;&gt;"Complétée",J252&lt;&gt;"Abandonnée",Q252&lt;&gt;"",TODAY()&gt;Q252),"En retard",""))</f>
        <v/>
      </c>
      <c r="V252" s="37" t="n"/>
    </row>
    <row r="253">
      <c r="B253" s="36" t="n"/>
      <c r="C253" s="36" t="n"/>
      <c r="D253" s="36" t="n"/>
      <c r="E253" s="37" t="n"/>
      <c r="F253" s="37" t="n"/>
      <c r="G253" s="37" t="n"/>
      <c r="H253" s="38" t="n"/>
      <c r="I253" s="36" t="n"/>
      <c r="J253" s="36" t="n"/>
      <c r="K253" s="39" t="n"/>
      <c r="L253" s="16">
        <f>IF($B253="","",IF(J253="Complétée",1,IF(J253="Abandonnée",0,IF(K253&lt;&gt;"",K253,IFERROR(VLOOKUP(J253,Parametres!$B$6:$C$12,2,FALSE),0)))))</f>
        <v/>
      </c>
      <c r="M253" s="15">
        <f>IF($B253="","",IF(J253="Abandonnée",0,H253))</f>
        <v/>
      </c>
      <c r="N253" s="15">
        <f>IF($B253="","",M253*L253)</f>
        <v/>
      </c>
      <c r="O253" s="37" t="n"/>
      <c r="P253" s="40" t="n"/>
      <c r="Q253" s="40" t="n"/>
      <c r="R253" s="40" t="n"/>
      <c r="S253" s="37" t="n"/>
      <c r="T253" s="36" t="n"/>
      <c r="U253" s="13">
        <f>IF($B253="","",IF(AND(J253&lt;&gt;"Complétée",J253&lt;&gt;"Abandonnée",Q253&lt;&gt;"",TODAY()&gt;Q253),"En retard",""))</f>
        <v/>
      </c>
      <c r="V253" s="37" t="n"/>
    </row>
    <row r="254">
      <c r="B254" s="36" t="n"/>
      <c r="C254" s="36" t="n"/>
      <c r="D254" s="36" t="n"/>
      <c r="E254" s="37" t="n"/>
      <c r="F254" s="37" t="n"/>
      <c r="G254" s="37" t="n"/>
      <c r="H254" s="38" t="n"/>
      <c r="I254" s="36" t="n"/>
      <c r="J254" s="36" t="n"/>
      <c r="K254" s="39" t="n"/>
      <c r="L254" s="16">
        <f>IF($B254="","",IF(J254="Complétée",1,IF(J254="Abandonnée",0,IF(K254&lt;&gt;"",K254,IFERROR(VLOOKUP(J254,Parametres!$B$6:$C$12,2,FALSE),0)))))</f>
        <v/>
      </c>
      <c r="M254" s="15">
        <f>IF($B254="","",IF(J254="Abandonnée",0,H254))</f>
        <v/>
      </c>
      <c r="N254" s="15">
        <f>IF($B254="","",M254*L254)</f>
        <v/>
      </c>
      <c r="O254" s="37" t="n"/>
      <c r="P254" s="40" t="n"/>
      <c r="Q254" s="40" t="n"/>
      <c r="R254" s="40" t="n"/>
      <c r="S254" s="37" t="n"/>
      <c r="T254" s="36" t="n"/>
      <c r="U254" s="13">
        <f>IF($B254="","",IF(AND(J254&lt;&gt;"Complétée",J254&lt;&gt;"Abandonnée",Q254&lt;&gt;"",TODAY()&gt;Q254),"En retard",""))</f>
        <v/>
      </c>
      <c r="V254" s="37" t="n"/>
    </row>
    <row r="255">
      <c r="B255" s="36" t="n"/>
      <c r="C255" s="36" t="n"/>
      <c r="D255" s="36" t="n"/>
      <c r="E255" s="37" t="n"/>
      <c r="F255" s="37" t="n"/>
      <c r="G255" s="37" t="n"/>
      <c r="H255" s="38" t="n"/>
      <c r="I255" s="36" t="n"/>
      <c r="J255" s="36" t="n"/>
      <c r="K255" s="39" t="n"/>
      <c r="L255" s="16">
        <f>IF($B255="","",IF(J255="Complétée",1,IF(J255="Abandonnée",0,IF(K255&lt;&gt;"",K255,IFERROR(VLOOKUP(J255,Parametres!$B$6:$C$12,2,FALSE),0)))))</f>
        <v/>
      </c>
      <c r="M255" s="15">
        <f>IF($B255="","",IF(J255="Abandonnée",0,H255))</f>
        <v/>
      </c>
      <c r="N255" s="15">
        <f>IF($B255="","",M255*L255)</f>
        <v/>
      </c>
      <c r="O255" s="37" t="n"/>
      <c r="P255" s="40" t="n"/>
      <c r="Q255" s="40" t="n"/>
      <c r="R255" s="40" t="n"/>
      <c r="S255" s="37" t="n"/>
      <c r="T255" s="36" t="n"/>
      <c r="U255" s="13">
        <f>IF($B255="","",IF(AND(J255&lt;&gt;"Complétée",J255&lt;&gt;"Abandonnée",Q255&lt;&gt;"",TODAY()&gt;Q255),"En retard",""))</f>
        <v/>
      </c>
      <c r="V255" s="37" t="n"/>
    </row>
    <row r="256">
      <c r="B256" s="36" t="n"/>
      <c r="C256" s="36" t="n"/>
      <c r="D256" s="36" t="n"/>
      <c r="E256" s="37" t="n"/>
      <c r="F256" s="37" t="n"/>
      <c r="G256" s="37" t="n"/>
      <c r="H256" s="38" t="n"/>
      <c r="I256" s="36" t="n"/>
      <c r="J256" s="36" t="n"/>
      <c r="K256" s="39" t="n"/>
      <c r="L256" s="16">
        <f>IF($B256="","",IF(J256="Complétée",1,IF(J256="Abandonnée",0,IF(K256&lt;&gt;"",K256,IFERROR(VLOOKUP(J256,Parametres!$B$6:$C$12,2,FALSE),0)))))</f>
        <v/>
      </c>
      <c r="M256" s="15">
        <f>IF($B256="","",IF(J256="Abandonnée",0,H256))</f>
        <v/>
      </c>
      <c r="N256" s="15">
        <f>IF($B256="","",M256*L256)</f>
        <v/>
      </c>
      <c r="O256" s="37" t="n"/>
      <c r="P256" s="40" t="n"/>
      <c r="Q256" s="40" t="n"/>
      <c r="R256" s="40" t="n"/>
      <c r="S256" s="37" t="n"/>
      <c r="T256" s="36" t="n"/>
      <c r="U256" s="13">
        <f>IF($B256="","",IF(AND(J256&lt;&gt;"Complétée",J256&lt;&gt;"Abandonnée",Q256&lt;&gt;"",TODAY()&gt;Q256),"En retard",""))</f>
        <v/>
      </c>
      <c r="V256" s="37" t="n"/>
    </row>
    <row r="257">
      <c r="B257" s="36" t="n"/>
      <c r="C257" s="36" t="n"/>
      <c r="D257" s="36" t="n"/>
      <c r="E257" s="37" t="n"/>
      <c r="F257" s="37" t="n"/>
      <c r="G257" s="37" t="n"/>
      <c r="H257" s="38" t="n"/>
      <c r="I257" s="36" t="n"/>
      <c r="J257" s="36" t="n"/>
      <c r="K257" s="39" t="n"/>
      <c r="L257" s="16">
        <f>IF($B257="","",IF(J257="Complétée",1,IF(J257="Abandonnée",0,IF(K257&lt;&gt;"",K257,IFERROR(VLOOKUP(J257,Parametres!$B$6:$C$12,2,FALSE),0)))))</f>
        <v/>
      </c>
      <c r="M257" s="15">
        <f>IF($B257="","",IF(J257="Abandonnée",0,H257))</f>
        <v/>
      </c>
      <c r="N257" s="15">
        <f>IF($B257="","",M257*L257)</f>
        <v/>
      </c>
      <c r="O257" s="37" t="n"/>
      <c r="P257" s="40" t="n"/>
      <c r="Q257" s="40" t="n"/>
      <c r="R257" s="40" t="n"/>
      <c r="S257" s="37" t="n"/>
      <c r="T257" s="36" t="n"/>
      <c r="U257" s="13">
        <f>IF($B257="","",IF(AND(J257&lt;&gt;"Complétée",J257&lt;&gt;"Abandonnée",Q257&lt;&gt;"",TODAY()&gt;Q257),"En retard",""))</f>
        <v/>
      </c>
      <c r="V257" s="37" t="n"/>
    </row>
    <row r="258">
      <c r="B258" s="36" t="n"/>
      <c r="C258" s="36" t="n"/>
      <c r="D258" s="36" t="n"/>
      <c r="E258" s="37" t="n"/>
      <c r="F258" s="37" t="n"/>
      <c r="G258" s="37" t="n"/>
      <c r="H258" s="38" t="n"/>
      <c r="I258" s="36" t="n"/>
      <c r="J258" s="36" t="n"/>
      <c r="K258" s="39" t="n"/>
      <c r="L258" s="16">
        <f>IF($B258="","",IF(J258="Complétée",1,IF(J258="Abandonnée",0,IF(K258&lt;&gt;"",K258,IFERROR(VLOOKUP(J258,Parametres!$B$6:$C$12,2,FALSE),0)))))</f>
        <v/>
      </c>
      <c r="M258" s="15">
        <f>IF($B258="","",IF(J258="Abandonnée",0,H258))</f>
        <v/>
      </c>
      <c r="N258" s="15">
        <f>IF($B258="","",M258*L258)</f>
        <v/>
      </c>
      <c r="O258" s="37" t="n"/>
      <c r="P258" s="40" t="n"/>
      <c r="Q258" s="40" t="n"/>
      <c r="R258" s="40" t="n"/>
      <c r="S258" s="37" t="n"/>
      <c r="T258" s="36" t="n"/>
      <c r="U258" s="13">
        <f>IF($B258="","",IF(AND(J258&lt;&gt;"Complétée",J258&lt;&gt;"Abandonnée",Q258&lt;&gt;"",TODAY()&gt;Q258),"En retard",""))</f>
        <v/>
      </c>
      <c r="V258" s="37" t="n"/>
    </row>
    <row r="259">
      <c r="B259" s="36" t="n"/>
      <c r="C259" s="36" t="n"/>
      <c r="D259" s="36" t="n"/>
      <c r="E259" s="37" t="n"/>
      <c r="F259" s="37" t="n"/>
      <c r="G259" s="37" t="n"/>
      <c r="H259" s="38" t="n"/>
      <c r="I259" s="36" t="n"/>
      <c r="J259" s="36" t="n"/>
      <c r="K259" s="39" t="n"/>
      <c r="L259" s="16">
        <f>IF($B259="","",IF(J259="Complétée",1,IF(J259="Abandonnée",0,IF(K259&lt;&gt;"",K259,IFERROR(VLOOKUP(J259,Parametres!$B$6:$C$12,2,FALSE),0)))))</f>
        <v/>
      </c>
      <c r="M259" s="15">
        <f>IF($B259="","",IF(J259="Abandonnée",0,H259))</f>
        <v/>
      </c>
      <c r="N259" s="15">
        <f>IF($B259="","",M259*L259)</f>
        <v/>
      </c>
      <c r="O259" s="37" t="n"/>
      <c r="P259" s="40" t="n"/>
      <c r="Q259" s="40" t="n"/>
      <c r="R259" s="40" t="n"/>
      <c r="S259" s="37" t="n"/>
      <c r="T259" s="36" t="n"/>
      <c r="U259" s="13">
        <f>IF($B259="","",IF(AND(J259&lt;&gt;"Complétée",J259&lt;&gt;"Abandonnée",Q259&lt;&gt;"",TODAY()&gt;Q259),"En retard",""))</f>
        <v/>
      </c>
      <c r="V259" s="37" t="n"/>
    </row>
    <row r="260">
      <c r="B260" s="36" t="n"/>
      <c r="C260" s="36" t="n"/>
      <c r="D260" s="36" t="n"/>
      <c r="E260" s="37" t="n"/>
      <c r="F260" s="37" t="n"/>
      <c r="G260" s="37" t="n"/>
      <c r="H260" s="38" t="n"/>
      <c r="I260" s="36" t="n"/>
      <c r="J260" s="36" t="n"/>
      <c r="K260" s="39" t="n"/>
      <c r="L260" s="16">
        <f>IF($B260="","",IF(J260="Complétée",1,IF(J260="Abandonnée",0,IF(K260&lt;&gt;"",K260,IFERROR(VLOOKUP(J260,Parametres!$B$6:$C$12,2,FALSE),0)))))</f>
        <v/>
      </c>
      <c r="M260" s="15">
        <f>IF($B260="","",IF(J260="Abandonnée",0,H260))</f>
        <v/>
      </c>
      <c r="N260" s="15">
        <f>IF($B260="","",M260*L260)</f>
        <v/>
      </c>
      <c r="O260" s="37" t="n"/>
      <c r="P260" s="40" t="n"/>
      <c r="Q260" s="40" t="n"/>
      <c r="R260" s="40" t="n"/>
      <c r="S260" s="37" t="n"/>
      <c r="T260" s="36" t="n"/>
      <c r="U260" s="13">
        <f>IF($B260="","",IF(AND(J260&lt;&gt;"Complétée",J260&lt;&gt;"Abandonnée",Q260&lt;&gt;"",TODAY()&gt;Q260),"En retard",""))</f>
        <v/>
      </c>
      <c r="V260" s="37" t="n"/>
    </row>
    <row r="261">
      <c r="B261" s="36" t="n"/>
      <c r="C261" s="36" t="n"/>
      <c r="D261" s="36" t="n"/>
      <c r="E261" s="37" t="n"/>
      <c r="F261" s="37" t="n"/>
      <c r="G261" s="37" t="n"/>
      <c r="H261" s="38" t="n"/>
      <c r="I261" s="36" t="n"/>
      <c r="J261" s="36" t="n"/>
      <c r="K261" s="39" t="n"/>
      <c r="L261" s="16">
        <f>IF($B261="","",IF(J261="Complétée",1,IF(J261="Abandonnée",0,IF(K261&lt;&gt;"",K261,IFERROR(VLOOKUP(J261,Parametres!$B$6:$C$12,2,FALSE),0)))))</f>
        <v/>
      </c>
      <c r="M261" s="15">
        <f>IF($B261="","",IF(J261="Abandonnée",0,H261))</f>
        <v/>
      </c>
      <c r="N261" s="15">
        <f>IF($B261="","",M261*L261)</f>
        <v/>
      </c>
      <c r="O261" s="37" t="n"/>
      <c r="P261" s="40" t="n"/>
      <c r="Q261" s="40" t="n"/>
      <c r="R261" s="40" t="n"/>
      <c r="S261" s="37" t="n"/>
      <c r="T261" s="36" t="n"/>
      <c r="U261" s="13">
        <f>IF($B261="","",IF(AND(J261&lt;&gt;"Complétée",J261&lt;&gt;"Abandonnée",Q261&lt;&gt;"",TODAY()&gt;Q261),"En retard",""))</f>
        <v/>
      </c>
      <c r="V261" s="37" t="n"/>
    </row>
    <row r="262">
      <c r="B262" s="36" t="n"/>
      <c r="C262" s="36" t="n"/>
      <c r="D262" s="36" t="n"/>
      <c r="E262" s="37" t="n"/>
      <c r="F262" s="37" t="n"/>
      <c r="G262" s="37" t="n"/>
      <c r="H262" s="38" t="n"/>
      <c r="I262" s="36" t="n"/>
      <c r="J262" s="36" t="n"/>
      <c r="K262" s="39" t="n"/>
      <c r="L262" s="16">
        <f>IF($B262="","",IF(J262="Complétée",1,IF(J262="Abandonnée",0,IF(K262&lt;&gt;"",K262,IFERROR(VLOOKUP(J262,Parametres!$B$6:$C$12,2,FALSE),0)))))</f>
        <v/>
      </c>
      <c r="M262" s="15">
        <f>IF($B262="","",IF(J262="Abandonnée",0,H262))</f>
        <v/>
      </c>
      <c r="N262" s="15">
        <f>IF($B262="","",M262*L262)</f>
        <v/>
      </c>
      <c r="O262" s="37" t="n"/>
      <c r="P262" s="40" t="n"/>
      <c r="Q262" s="40" t="n"/>
      <c r="R262" s="40" t="n"/>
      <c r="S262" s="37" t="n"/>
      <c r="T262" s="36" t="n"/>
      <c r="U262" s="13">
        <f>IF($B262="","",IF(AND(J262&lt;&gt;"Complétée",J262&lt;&gt;"Abandonnée",Q262&lt;&gt;"",TODAY()&gt;Q262),"En retard",""))</f>
        <v/>
      </c>
      <c r="V262" s="37" t="n"/>
    </row>
    <row r="263">
      <c r="B263" s="36" t="n"/>
      <c r="C263" s="36" t="n"/>
      <c r="D263" s="36" t="n"/>
      <c r="E263" s="37" t="n"/>
      <c r="F263" s="37" t="n"/>
      <c r="G263" s="37" t="n"/>
      <c r="H263" s="38" t="n"/>
      <c r="I263" s="36" t="n"/>
      <c r="J263" s="36" t="n"/>
      <c r="K263" s="39" t="n"/>
      <c r="L263" s="16">
        <f>IF($B263="","",IF(J263="Complétée",1,IF(J263="Abandonnée",0,IF(K263&lt;&gt;"",K263,IFERROR(VLOOKUP(J263,Parametres!$B$6:$C$12,2,FALSE),0)))))</f>
        <v/>
      </c>
      <c r="M263" s="15">
        <f>IF($B263="","",IF(J263="Abandonnée",0,H263))</f>
        <v/>
      </c>
      <c r="N263" s="15">
        <f>IF($B263="","",M263*L263)</f>
        <v/>
      </c>
      <c r="O263" s="37" t="n"/>
      <c r="P263" s="40" t="n"/>
      <c r="Q263" s="40" t="n"/>
      <c r="R263" s="40" t="n"/>
      <c r="S263" s="37" t="n"/>
      <c r="T263" s="36" t="n"/>
      <c r="U263" s="13">
        <f>IF($B263="","",IF(AND(J263&lt;&gt;"Complétée",J263&lt;&gt;"Abandonnée",Q263&lt;&gt;"",TODAY()&gt;Q263),"En retard",""))</f>
        <v/>
      </c>
      <c r="V263" s="37" t="n"/>
    </row>
    <row r="264">
      <c r="B264" s="36" t="n"/>
      <c r="C264" s="36" t="n"/>
      <c r="D264" s="36" t="n"/>
      <c r="E264" s="37" t="n"/>
      <c r="F264" s="37" t="n"/>
      <c r="G264" s="37" t="n"/>
      <c r="H264" s="38" t="n"/>
      <c r="I264" s="36" t="n"/>
      <c r="J264" s="36" t="n"/>
      <c r="K264" s="39" t="n"/>
      <c r="L264" s="16">
        <f>IF($B264="","",IF(J264="Complétée",1,IF(J264="Abandonnée",0,IF(K264&lt;&gt;"",K264,IFERROR(VLOOKUP(J264,Parametres!$B$6:$C$12,2,FALSE),0)))))</f>
        <v/>
      </c>
      <c r="M264" s="15">
        <f>IF($B264="","",IF(J264="Abandonnée",0,H264))</f>
        <v/>
      </c>
      <c r="N264" s="15">
        <f>IF($B264="","",M264*L264)</f>
        <v/>
      </c>
      <c r="O264" s="37" t="n"/>
      <c r="P264" s="40" t="n"/>
      <c r="Q264" s="40" t="n"/>
      <c r="R264" s="40" t="n"/>
      <c r="S264" s="37" t="n"/>
      <c r="T264" s="36" t="n"/>
      <c r="U264" s="13">
        <f>IF($B264="","",IF(AND(J264&lt;&gt;"Complétée",J264&lt;&gt;"Abandonnée",Q264&lt;&gt;"",TODAY()&gt;Q264),"En retard",""))</f>
        <v/>
      </c>
      <c r="V264" s="37" t="n"/>
    </row>
    <row r="265">
      <c r="B265" s="36" t="n"/>
      <c r="C265" s="36" t="n"/>
      <c r="D265" s="36" t="n"/>
      <c r="E265" s="37" t="n"/>
      <c r="F265" s="37" t="n"/>
      <c r="G265" s="37" t="n"/>
      <c r="H265" s="38" t="n"/>
      <c r="I265" s="36" t="n"/>
      <c r="J265" s="36" t="n"/>
      <c r="K265" s="39" t="n"/>
      <c r="L265" s="16">
        <f>IF($B265="","",IF(J265="Complétée",1,IF(J265="Abandonnée",0,IF(K265&lt;&gt;"",K265,IFERROR(VLOOKUP(J265,Parametres!$B$6:$C$12,2,FALSE),0)))))</f>
        <v/>
      </c>
      <c r="M265" s="15">
        <f>IF($B265="","",IF(J265="Abandonnée",0,H265))</f>
        <v/>
      </c>
      <c r="N265" s="15">
        <f>IF($B265="","",M265*L265)</f>
        <v/>
      </c>
      <c r="O265" s="37" t="n"/>
      <c r="P265" s="40" t="n"/>
      <c r="Q265" s="40" t="n"/>
      <c r="R265" s="40" t="n"/>
      <c r="S265" s="37" t="n"/>
      <c r="T265" s="36" t="n"/>
      <c r="U265" s="13">
        <f>IF($B265="","",IF(AND(J265&lt;&gt;"Complétée",J265&lt;&gt;"Abandonnée",Q265&lt;&gt;"",TODAY()&gt;Q265),"En retard",""))</f>
        <v/>
      </c>
      <c r="V265" s="37" t="n"/>
    </row>
    <row r="266">
      <c r="B266" s="36" t="n"/>
      <c r="C266" s="36" t="n"/>
      <c r="D266" s="36" t="n"/>
      <c r="E266" s="37" t="n"/>
      <c r="F266" s="37" t="n"/>
      <c r="G266" s="37" t="n"/>
      <c r="H266" s="38" t="n"/>
      <c r="I266" s="36" t="n"/>
      <c r="J266" s="36" t="n"/>
      <c r="K266" s="39" t="n"/>
      <c r="L266" s="16">
        <f>IF($B266="","",IF(J266="Complétée",1,IF(J266="Abandonnée",0,IF(K266&lt;&gt;"",K266,IFERROR(VLOOKUP(J266,Parametres!$B$6:$C$12,2,FALSE),0)))))</f>
        <v/>
      </c>
      <c r="M266" s="15">
        <f>IF($B266="","",IF(J266="Abandonnée",0,H266))</f>
        <v/>
      </c>
      <c r="N266" s="15">
        <f>IF($B266="","",M266*L266)</f>
        <v/>
      </c>
      <c r="O266" s="37" t="n"/>
      <c r="P266" s="40" t="n"/>
      <c r="Q266" s="40" t="n"/>
      <c r="R266" s="40" t="n"/>
      <c r="S266" s="37" t="n"/>
      <c r="T266" s="36" t="n"/>
      <c r="U266" s="13">
        <f>IF($B266="","",IF(AND(J266&lt;&gt;"Complétée",J266&lt;&gt;"Abandonnée",Q266&lt;&gt;"",TODAY()&gt;Q266),"En retard",""))</f>
        <v/>
      </c>
      <c r="V266" s="37" t="n"/>
    </row>
    <row r="267">
      <c r="B267" s="36" t="n"/>
      <c r="C267" s="36" t="n"/>
      <c r="D267" s="36" t="n"/>
      <c r="E267" s="37" t="n"/>
      <c r="F267" s="37" t="n"/>
      <c r="G267" s="37" t="n"/>
      <c r="H267" s="38" t="n"/>
      <c r="I267" s="36" t="n"/>
      <c r="J267" s="36" t="n"/>
      <c r="K267" s="39" t="n"/>
      <c r="L267" s="16">
        <f>IF($B267="","",IF(J267="Complétée",1,IF(J267="Abandonnée",0,IF(K267&lt;&gt;"",K267,IFERROR(VLOOKUP(J267,Parametres!$B$6:$C$12,2,FALSE),0)))))</f>
        <v/>
      </c>
      <c r="M267" s="15">
        <f>IF($B267="","",IF(J267="Abandonnée",0,H267))</f>
        <v/>
      </c>
      <c r="N267" s="15">
        <f>IF($B267="","",M267*L267)</f>
        <v/>
      </c>
      <c r="O267" s="37" t="n"/>
      <c r="P267" s="40" t="n"/>
      <c r="Q267" s="40" t="n"/>
      <c r="R267" s="40" t="n"/>
      <c r="S267" s="37" t="n"/>
      <c r="T267" s="36" t="n"/>
      <c r="U267" s="13">
        <f>IF($B267="","",IF(AND(J267&lt;&gt;"Complétée",J267&lt;&gt;"Abandonnée",Q267&lt;&gt;"",TODAY()&gt;Q267),"En retard",""))</f>
        <v/>
      </c>
      <c r="V267" s="37" t="n"/>
    </row>
    <row r="268">
      <c r="B268" s="36" t="n"/>
      <c r="C268" s="36" t="n"/>
      <c r="D268" s="36" t="n"/>
      <c r="E268" s="37" t="n"/>
      <c r="F268" s="37" t="n"/>
      <c r="G268" s="37" t="n"/>
      <c r="H268" s="38" t="n"/>
      <c r="I268" s="36" t="n"/>
      <c r="J268" s="36" t="n"/>
      <c r="K268" s="39" t="n"/>
      <c r="L268" s="16">
        <f>IF($B268="","",IF(J268="Complétée",1,IF(J268="Abandonnée",0,IF(K268&lt;&gt;"",K268,IFERROR(VLOOKUP(J268,Parametres!$B$6:$C$12,2,FALSE),0)))))</f>
        <v/>
      </c>
      <c r="M268" s="15">
        <f>IF($B268="","",IF(J268="Abandonnée",0,H268))</f>
        <v/>
      </c>
      <c r="N268" s="15">
        <f>IF($B268="","",M268*L268)</f>
        <v/>
      </c>
      <c r="O268" s="37" t="n"/>
      <c r="P268" s="40" t="n"/>
      <c r="Q268" s="40" t="n"/>
      <c r="R268" s="40" t="n"/>
      <c r="S268" s="37" t="n"/>
      <c r="T268" s="36" t="n"/>
      <c r="U268" s="13">
        <f>IF($B268="","",IF(AND(J268&lt;&gt;"Complétée",J268&lt;&gt;"Abandonnée",Q268&lt;&gt;"",TODAY()&gt;Q268),"En retard",""))</f>
        <v/>
      </c>
      <c r="V268" s="37" t="n"/>
    </row>
    <row r="269">
      <c r="B269" s="36" t="n"/>
      <c r="C269" s="36" t="n"/>
      <c r="D269" s="36" t="n"/>
      <c r="E269" s="37" t="n"/>
      <c r="F269" s="37" t="n"/>
      <c r="G269" s="37" t="n"/>
      <c r="H269" s="38" t="n"/>
      <c r="I269" s="36" t="n"/>
      <c r="J269" s="36" t="n"/>
      <c r="K269" s="39" t="n"/>
      <c r="L269" s="16">
        <f>IF($B269="","",IF(J269="Complétée",1,IF(J269="Abandonnée",0,IF(K269&lt;&gt;"",K269,IFERROR(VLOOKUP(J269,Parametres!$B$6:$C$12,2,FALSE),0)))))</f>
        <v/>
      </c>
      <c r="M269" s="15">
        <f>IF($B269="","",IF(J269="Abandonnée",0,H269))</f>
        <v/>
      </c>
      <c r="N269" s="15">
        <f>IF($B269="","",M269*L269)</f>
        <v/>
      </c>
      <c r="O269" s="37" t="n"/>
      <c r="P269" s="40" t="n"/>
      <c r="Q269" s="40" t="n"/>
      <c r="R269" s="40" t="n"/>
      <c r="S269" s="37" t="n"/>
      <c r="T269" s="36" t="n"/>
      <c r="U269" s="13">
        <f>IF($B269="","",IF(AND(J269&lt;&gt;"Complétée",J269&lt;&gt;"Abandonnée",Q269&lt;&gt;"",TODAY()&gt;Q269),"En retard",""))</f>
        <v/>
      </c>
      <c r="V269" s="37" t="n"/>
    </row>
    <row r="270">
      <c r="B270" s="36" t="n"/>
      <c r="C270" s="36" t="n"/>
      <c r="D270" s="36" t="n"/>
      <c r="E270" s="37" t="n"/>
      <c r="F270" s="37" t="n"/>
      <c r="G270" s="37" t="n"/>
      <c r="H270" s="38" t="n"/>
      <c r="I270" s="36" t="n"/>
      <c r="J270" s="36" t="n"/>
      <c r="K270" s="39" t="n"/>
      <c r="L270" s="16">
        <f>IF($B270="","",IF(J270="Complétée",1,IF(J270="Abandonnée",0,IF(K270&lt;&gt;"",K270,IFERROR(VLOOKUP(J270,Parametres!$B$6:$C$12,2,FALSE),0)))))</f>
        <v/>
      </c>
      <c r="M270" s="15">
        <f>IF($B270="","",IF(J270="Abandonnée",0,H270))</f>
        <v/>
      </c>
      <c r="N270" s="15">
        <f>IF($B270="","",M270*L270)</f>
        <v/>
      </c>
      <c r="O270" s="37" t="n"/>
      <c r="P270" s="40" t="n"/>
      <c r="Q270" s="40" t="n"/>
      <c r="R270" s="40" t="n"/>
      <c r="S270" s="37" t="n"/>
      <c r="T270" s="36" t="n"/>
      <c r="U270" s="13">
        <f>IF($B270="","",IF(AND(J270&lt;&gt;"Complétée",J270&lt;&gt;"Abandonnée",Q270&lt;&gt;"",TODAY()&gt;Q270),"En retard",""))</f>
        <v/>
      </c>
      <c r="V270" s="37" t="n"/>
    </row>
    <row r="271">
      <c r="B271" s="36" t="n"/>
      <c r="C271" s="36" t="n"/>
      <c r="D271" s="36" t="n"/>
      <c r="E271" s="37" t="n"/>
      <c r="F271" s="37" t="n"/>
      <c r="G271" s="37" t="n"/>
      <c r="H271" s="38" t="n"/>
      <c r="I271" s="36" t="n"/>
      <c r="J271" s="36" t="n"/>
      <c r="K271" s="39" t="n"/>
      <c r="L271" s="16">
        <f>IF($B271="","",IF(J271="Complétée",1,IF(J271="Abandonnée",0,IF(K271&lt;&gt;"",K271,IFERROR(VLOOKUP(J271,Parametres!$B$6:$C$12,2,FALSE),0)))))</f>
        <v/>
      </c>
      <c r="M271" s="15">
        <f>IF($B271="","",IF(J271="Abandonnée",0,H271))</f>
        <v/>
      </c>
      <c r="N271" s="15">
        <f>IF($B271="","",M271*L271)</f>
        <v/>
      </c>
      <c r="O271" s="37" t="n"/>
      <c r="P271" s="40" t="n"/>
      <c r="Q271" s="40" t="n"/>
      <c r="R271" s="40" t="n"/>
      <c r="S271" s="37" t="n"/>
      <c r="T271" s="36" t="n"/>
      <c r="U271" s="13">
        <f>IF($B271="","",IF(AND(J271&lt;&gt;"Complétée",J271&lt;&gt;"Abandonnée",Q271&lt;&gt;"",TODAY()&gt;Q271),"En retard",""))</f>
        <v/>
      </c>
      <c r="V271" s="37" t="n"/>
    </row>
    <row r="272">
      <c r="B272" s="36" t="n"/>
      <c r="C272" s="36" t="n"/>
      <c r="D272" s="36" t="n"/>
      <c r="E272" s="37" t="n"/>
      <c r="F272" s="37" t="n"/>
      <c r="G272" s="37" t="n"/>
      <c r="H272" s="38" t="n"/>
      <c r="I272" s="36" t="n"/>
      <c r="J272" s="36" t="n"/>
      <c r="K272" s="39" t="n"/>
      <c r="L272" s="16">
        <f>IF($B272="","",IF(J272="Complétée",1,IF(J272="Abandonnée",0,IF(K272&lt;&gt;"",K272,IFERROR(VLOOKUP(J272,Parametres!$B$6:$C$12,2,FALSE),0)))))</f>
        <v/>
      </c>
      <c r="M272" s="15">
        <f>IF($B272="","",IF(J272="Abandonnée",0,H272))</f>
        <v/>
      </c>
      <c r="N272" s="15">
        <f>IF($B272="","",M272*L272)</f>
        <v/>
      </c>
      <c r="O272" s="37" t="n"/>
      <c r="P272" s="40" t="n"/>
      <c r="Q272" s="40" t="n"/>
      <c r="R272" s="40" t="n"/>
      <c r="S272" s="37" t="n"/>
      <c r="T272" s="36" t="n"/>
      <c r="U272" s="13">
        <f>IF($B272="","",IF(AND(J272&lt;&gt;"Complétée",J272&lt;&gt;"Abandonnée",Q272&lt;&gt;"",TODAY()&gt;Q272),"En retard",""))</f>
        <v/>
      </c>
      <c r="V272" s="37" t="n"/>
    </row>
    <row r="273">
      <c r="B273" s="36" t="n"/>
      <c r="C273" s="36" t="n"/>
      <c r="D273" s="36" t="n"/>
      <c r="E273" s="37" t="n"/>
      <c r="F273" s="37" t="n"/>
      <c r="G273" s="37" t="n"/>
      <c r="H273" s="38" t="n"/>
      <c r="I273" s="36" t="n"/>
      <c r="J273" s="36" t="n"/>
      <c r="K273" s="39" t="n"/>
      <c r="L273" s="16">
        <f>IF($B273="","",IF(J273="Complétée",1,IF(J273="Abandonnée",0,IF(K273&lt;&gt;"",K273,IFERROR(VLOOKUP(J273,Parametres!$B$6:$C$12,2,FALSE),0)))))</f>
        <v/>
      </c>
      <c r="M273" s="15">
        <f>IF($B273="","",IF(J273="Abandonnée",0,H273))</f>
        <v/>
      </c>
      <c r="N273" s="15">
        <f>IF($B273="","",M273*L273)</f>
        <v/>
      </c>
      <c r="O273" s="37" t="n"/>
      <c r="P273" s="40" t="n"/>
      <c r="Q273" s="40" t="n"/>
      <c r="R273" s="40" t="n"/>
      <c r="S273" s="37" t="n"/>
      <c r="T273" s="36" t="n"/>
      <c r="U273" s="13">
        <f>IF($B273="","",IF(AND(J273&lt;&gt;"Complétée",J273&lt;&gt;"Abandonnée",Q273&lt;&gt;"",TODAY()&gt;Q273),"En retard",""))</f>
        <v/>
      </c>
      <c r="V273" s="37" t="n"/>
    </row>
    <row r="274">
      <c r="B274" s="36" t="n"/>
      <c r="C274" s="36" t="n"/>
      <c r="D274" s="36" t="n"/>
      <c r="E274" s="37" t="n"/>
      <c r="F274" s="37" t="n"/>
      <c r="G274" s="37" t="n"/>
      <c r="H274" s="38" t="n"/>
      <c r="I274" s="36" t="n"/>
      <c r="J274" s="36" t="n"/>
      <c r="K274" s="39" t="n"/>
      <c r="L274" s="16">
        <f>IF($B274="","",IF(J274="Complétée",1,IF(J274="Abandonnée",0,IF(K274&lt;&gt;"",K274,IFERROR(VLOOKUP(J274,Parametres!$B$6:$C$12,2,FALSE),0)))))</f>
        <v/>
      </c>
      <c r="M274" s="15">
        <f>IF($B274="","",IF(J274="Abandonnée",0,H274))</f>
        <v/>
      </c>
      <c r="N274" s="15">
        <f>IF($B274="","",M274*L274)</f>
        <v/>
      </c>
      <c r="O274" s="37" t="n"/>
      <c r="P274" s="40" t="n"/>
      <c r="Q274" s="40" t="n"/>
      <c r="R274" s="40" t="n"/>
      <c r="S274" s="37" t="n"/>
      <c r="T274" s="36" t="n"/>
      <c r="U274" s="13">
        <f>IF($B274="","",IF(AND(J274&lt;&gt;"Complétée",J274&lt;&gt;"Abandonnée",Q274&lt;&gt;"",TODAY()&gt;Q274),"En retard",""))</f>
        <v/>
      </c>
      <c r="V274" s="37" t="n"/>
    </row>
    <row r="275">
      <c r="B275" s="36" t="n"/>
      <c r="C275" s="36" t="n"/>
      <c r="D275" s="36" t="n"/>
      <c r="E275" s="37" t="n"/>
      <c r="F275" s="37" t="n"/>
      <c r="G275" s="37" t="n"/>
      <c r="H275" s="38" t="n"/>
      <c r="I275" s="36" t="n"/>
      <c r="J275" s="36" t="n"/>
      <c r="K275" s="39" t="n"/>
      <c r="L275" s="16">
        <f>IF($B275="","",IF(J275="Complétée",1,IF(J275="Abandonnée",0,IF(K275&lt;&gt;"",K275,IFERROR(VLOOKUP(J275,Parametres!$B$6:$C$12,2,FALSE),0)))))</f>
        <v/>
      </c>
      <c r="M275" s="15">
        <f>IF($B275="","",IF(J275="Abandonnée",0,H275))</f>
        <v/>
      </c>
      <c r="N275" s="15">
        <f>IF($B275="","",M275*L275)</f>
        <v/>
      </c>
      <c r="O275" s="37" t="n"/>
      <c r="P275" s="40" t="n"/>
      <c r="Q275" s="40" t="n"/>
      <c r="R275" s="40" t="n"/>
      <c r="S275" s="37" t="n"/>
      <c r="T275" s="36" t="n"/>
      <c r="U275" s="13">
        <f>IF($B275="","",IF(AND(J275&lt;&gt;"Complétée",J275&lt;&gt;"Abandonnée",Q275&lt;&gt;"",TODAY()&gt;Q275),"En retard",""))</f>
        <v/>
      </c>
      <c r="V275" s="37" t="n"/>
    </row>
    <row r="276">
      <c r="B276" s="36" t="n"/>
      <c r="C276" s="36" t="n"/>
      <c r="D276" s="36" t="n"/>
      <c r="E276" s="37" t="n"/>
      <c r="F276" s="37" t="n"/>
      <c r="G276" s="37" t="n"/>
      <c r="H276" s="38" t="n"/>
      <c r="I276" s="36" t="n"/>
      <c r="J276" s="36" t="n"/>
      <c r="K276" s="39" t="n"/>
      <c r="L276" s="16">
        <f>IF($B276="","",IF(J276="Complétée",1,IF(J276="Abandonnée",0,IF(K276&lt;&gt;"",K276,IFERROR(VLOOKUP(J276,Parametres!$B$6:$C$12,2,FALSE),0)))))</f>
        <v/>
      </c>
      <c r="M276" s="15">
        <f>IF($B276="","",IF(J276="Abandonnée",0,H276))</f>
        <v/>
      </c>
      <c r="N276" s="15">
        <f>IF($B276="","",M276*L276)</f>
        <v/>
      </c>
      <c r="O276" s="37" t="n"/>
      <c r="P276" s="40" t="n"/>
      <c r="Q276" s="40" t="n"/>
      <c r="R276" s="40" t="n"/>
      <c r="S276" s="37" t="n"/>
      <c r="T276" s="36" t="n"/>
      <c r="U276" s="13">
        <f>IF($B276="","",IF(AND(J276&lt;&gt;"Complétée",J276&lt;&gt;"Abandonnée",Q276&lt;&gt;"",TODAY()&gt;Q276),"En retard",""))</f>
        <v/>
      </c>
      <c r="V276" s="37" t="n"/>
    </row>
    <row r="277">
      <c r="B277" s="36" t="n"/>
      <c r="C277" s="36" t="n"/>
      <c r="D277" s="36" t="n"/>
      <c r="E277" s="37" t="n"/>
      <c r="F277" s="37" t="n"/>
      <c r="G277" s="37" t="n"/>
      <c r="H277" s="38" t="n"/>
      <c r="I277" s="36" t="n"/>
      <c r="J277" s="36" t="n"/>
      <c r="K277" s="39" t="n"/>
      <c r="L277" s="16">
        <f>IF($B277="","",IF(J277="Complétée",1,IF(J277="Abandonnée",0,IF(K277&lt;&gt;"",K277,IFERROR(VLOOKUP(J277,Parametres!$B$6:$C$12,2,FALSE),0)))))</f>
        <v/>
      </c>
      <c r="M277" s="15">
        <f>IF($B277="","",IF(J277="Abandonnée",0,H277))</f>
        <v/>
      </c>
      <c r="N277" s="15">
        <f>IF($B277="","",M277*L277)</f>
        <v/>
      </c>
      <c r="O277" s="37" t="n"/>
      <c r="P277" s="40" t="n"/>
      <c r="Q277" s="40" t="n"/>
      <c r="R277" s="40" t="n"/>
      <c r="S277" s="37" t="n"/>
      <c r="T277" s="36" t="n"/>
      <c r="U277" s="13">
        <f>IF($B277="","",IF(AND(J277&lt;&gt;"Complétée",J277&lt;&gt;"Abandonnée",Q277&lt;&gt;"",TODAY()&gt;Q277),"En retard",""))</f>
        <v/>
      </c>
      <c r="V277" s="37" t="n"/>
    </row>
    <row r="278">
      <c r="B278" s="36" t="n"/>
      <c r="C278" s="36" t="n"/>
      <c r="D278" s="36" t="n"/>
      <c r="E278" s="37" t="n"/>
      <c r="F278" s="37" t="n"/>
      <c r="G278" s="37" t="n"/>
      <c r="H278" s="38" t="n"/>
      <c r="I278" s="36" t="n"/>
      <c r="J278" s="36" t="n"/>
      <c r="K278" s="39" t="n"/>
      <c r="L278" s="16">
        <f>IF($B278="","",IF(J278="Complétée",1,IF(J278="Abandonnée",0,IF(K278&lt;&gt;"",K278,IFERROR(VLOOKUP(J278,Parametres!$B$6:$C$12,2,FALSE),0)))))</f>
        <v/>
      </c>
      <c r="M278" s="15">
        <f>IF($B278="","",IF(J278="Abandonnée",0,H278))</f>
        <v/>
      </c>
      <c r="N278" s="15">
        <f>IF($B278="","",M278*L278)</f>
        <v/>
      </c>
      <c r="O278" s="37" t="n"/>
      <c r="P278" s="40" t="n"/>
      <c r="Q278" s="40" t="n"/>
      <c r="R278" s="40" t="n"/>
      <c r="S278" s="37" t="n"/>
      <c r="T278" s="36" t="n"/>
      <c r="U278" s="13">
        <f>IF($B278="","",IF(AND(J278&lt;&gt;"Complétée",J278&lt;&gt;"Abandonnée",Q278&lt;&gt;"",TODAY()&gt;Q278),"En retard",""))</f>
        <v/>
      </c>
      <c r="V278" s="37" t="n"/>
    </row>
    <row r="279">
      <c r="B279" s="36" t="n"/>
      <c r="C279" s="36" t="n"/>
      <c r="D279" s="36" t="n"/>
      <c r="E279" s="37" t="n"/>
      <c r="F279" s="37" t="n"/>
      <c r="G279" s="37" t="n"/>
      <c r="H279" s="38" t="n"/>
      <c r="I279" s="36" t="n"/>
      <c r="J279" s="36" t="n"/>
      <c r="K279" s="39" t="n"/>
      <c r="L279" s="16">
        <f>IF($B279="","",IF(J279="Complétée",1,IF(J279="Abandonnée",0,IF(K279&lt;&gt;"",K279,IFERROR(VLOOKUP(J279,Parametres!$B$6:$C$12,2,FALSE),0)))))</f>
        <v/>
      </c>
      <c r="M279" s="15">
        <f>IF($B279="","",IF(J279="Abandonnée",0,H279))</f>
        <v/>
      </c>
      <c r="N279" s="15">
        <f>IF($B279="","",M279*L279)</f>
        <v/>
      </c>
      <c r="O279" s="37" t="n"/>
      <c r="P279" s="40" t="n"/>
      <c r="Q279" s="40" t="n"/>
      <c r="R279" s="40" t="n"/>
      <c r="S279" s="37" t="n"/>
      <c r="T279" s="36" t="n"/>
      <c r="U279" s="13">
        <f>IF($B279="","",IF(AND(J279&lt;&gt;"Complétée",J279&lt;&gt;"Abandonnée",Q279&lt;&gt;"",TODAY()&gt;Q279),"En retard",""))</f>
        <v/>
      </c>
      <c r="V279" s="37" t="n"/>
    </row>
    <row r="280">
      <c r="B280" s="36" t="n"/>
      <c r="C280" s="36" t="n"/>
      <c r="D280" s="36" t="n"/>
      <c r="E280" s="37" t="n"/>
      <c r="F280" s="37" t="n"/>
      <c r="G280" s="37" t="n"/>
      <c r="H280" s="38" t="n"/>
      <c r="I280" s="36" t="n"/>
      <c r="J280" s="36" t="n"/>
      <c r="K280" s="39" t="n"/>
      <c r="L280" s="16">
        <f>IF($B280="","",IF(J280="Complétée",1,IF(J280="Abandonnée",0,IF(K280&lt;&gt;"",K280,IFERROR(VLOOKUP(J280,Parametres!$B$6:$C$12,2,FALSE),0)))))</f>
        <v/>
      </c>
      <c r="M280" s="15">
        <f>IF($B280="","",IF(J280="Abandonnée",0,H280))</f>
        <v/>
      </c>
      <c r="N280" s="15">
        <f>IF($B280="","",M280*L280)</f>
        <v/>
      </c>
      <c r="O280" s="37" t="n"/>
      <c r="P280" s="40" t="n"/>
      <c r="Q280" s="40" t="n"/>
      <c r="R280" s="40" t="n"/>
      <c r="S280" s="37" t="n"/>
      <c r="T280" s="36" t="n"/>
      <c r="U280" s="13">
        <f>IF($B280="","",IF(AND(J280&lt;&gt;"Complétée",J280&lt;&gt;"Abandonnée",Q280&lt;&gt;"",TODAY()&gt;Q280),"En retard",""))</f>
        <v/>
      </c>
      <c r="V280" s="37" t="n"/>
    </row>
    <row r="281">
      <c r="B281" s="36" t="n"/>
      <c r="C281" s="36" t="n"/>
      <c r="D281" s="36" t="n"/>
      <c r="E281" s="37" t="n"/>
      <c r="F281" s="37" t="n"/>
      <c r="G281" s="37" t="n"/>
      <c r="H281" s="38" t="n"/>
      <c r="I281" s="36" t="n"/>
      <c r="J281" s="36" t="n"/>
      <c r="K281" s="39" t="n"/>
      <c r="L281" s="16">
        <f>IF($B281="","",IF(J281="Complétée",1,IF(J281="Abandonnée",0,IF(K281&lt;&gt;"",K281,IFERROR(VLOOKUP(J281,Parametres!$B$6:$C$12,2,FALSE),0)))))</f>
        <v/>
      </c>
      <c r="M281" s="15">
        <f>IF($B281="","",IF(J281="Abandonnée",0,H281))</f>
        <v/>
      </c>
      <c r="N281" s="15">
        <f>IF($B281="","",M281*L281)</f>
        <v/>
      </c>
      <c r="O281" s="37" t="n"/>
      <c r="P281" s="40" t="n"/>
      <c r="Q281" s="40" t="n"/>
      <c r="R281" s="40" t="n"/>
      <c r="S281" s="37" t="n"/>
      <c r="T281" s="36" t="n"/>
      <c r="U281" s="13">
        <f>IF($B281="","",IF(AND(J281&lt;&gt;"Complétée",J281&lt;&gt;"Abandonnée",Q281&lt;&gt;"",TODAY()&gt;Q281),"En retard",""))</f>
        <v/>
      </c>
      <c r="V281" s="37" t="n"/>
    </row>
    <row r="282">
      <c r="B282" s="36" t="n"/>
      <c r="C282" s="36" t="n"/>
      <c r="D282" s="36" t="n"/>
      <c r="E282" s="37" t="n"/>
      <c r="F282" s="37" t="n"/>
      <c r="G282" s="37" t="n"/>
      <c r="H282" s="38" t="n"/>
      <c r="I282" s="36" t="n"/>
      <c r="J282" s="36" t="n"/>
      <c r="K282" s="39" t="n"/>
      <c r="L282" s="16">
        <f>IF($B282="","",IF(J282="Complétée",1,IF(J282="Abandonnée",0,IF(K282&lt;&gt;"",K282,IFERROR(VLOOKUP(J282,Parametres!$B$6:$C$12,2,FALSE),0)))))</f>
        <v/>
      </c>
      <c r="M282" s="15">
        <f>IF($B282="","",IF(J282="Abandonnée",0,H282))</f>
        <v/>
      </c>
      <c r="N282" s="15">
        <f>IF($B282="","",M282*L282)</f>
        <v/>
      </c>
      <c r="O282" s="37" t="n"/>
      <c r="P282" s="40" t="n"/>
      <c r="Q282" s="40" t="n"/>
      <c r="R282" s="40" t="n"/>
      <c r="S282" s="37" t="n"/>
      <c r="T282" s="36" t="n"/>
      <c r="U282" s="13">
        <f>IF($B282="","",IF(AND(J282&lt;&gt;"Complétée",J282&lt;&gt;"Abandonnée",Q282&lt;&gt;"",TODAY()&gt;Q282),"En retard",""))</f>
        <v/>
      </c>
      <c r="V282" s="37" t="n"/>
    </row>
    <row r="283">
      <c r="B283" s="36" t="n"/>
      <c r="C283" s="36" t="n"/>
      <c r="D283" s="36" t="n"/>
      <c r="E283" s="37" t="n"/>
      <c r="F283" s="37" t="n"/>
      <c r="G283" s="37" t="n"/>
      <c r="H283" s="38" t="n"/>
      <c r="I283" s="36" t="n"/>
      <c r="J283" s="36" t="n"/>
      <c r="K283" s="39" t="n"/>
      <c r="L283" s="16">
        <f>IF($B283="","",IF(J283="Complétée",1,IF(J283="Abandonnée",0,IF(K283&lt;&gt;"",K283,IFERROR(VLOOKUP(J283,Parametres!$B$6:$C$12,2,FALSE),0)))))</f>
        <v/>
      </c>
      <c r="M283" s="15">
        <f>IF($B283="","",IF(J283="Abandonnée",0,H283))</f>
        <v/>
      </c>
      <c r="N283" s="15">
        <f>IF($B283="","",M283*L283)</f>
        <v/>
      </c>
      <c r="O283" s="37" t="n"/>
      <c r="P283" s="40" t="n"/>
      <c r="Q283" s="40" t="n"/>
      <c r="R283" s="40" t="n"/>
      <c r="S283" s="37" t="n"/>
      <c r="T283" s="36" t="n"/>
      <c r="U283" s="13">
        <f>IF($B283="","",IF(AND(J283&lt;&gt;"Complétée",J283&lt;&gt;"Abandonnée",Q283&lt;&gt;"",TODAY()&gt;Q283),"En retard",""))</f>
        <v/>
      </c>
      <c r="V283" s="37" t="n"/>
    </row>
    <row r="284">
      <c r="B284" s="36" t="n"/>
      <c r="C284" s="36" t="n"/>
      <c r="D284" s="36" t="n"/>
      <c r="E284" s="37" t="n"/>
      <c r="F284" s="37" t="n"/>
      <c r="G284" s="37" t="n"/>
      <c r="H284" s="38" t="n"/>
      <c r="I284" s="36" t="n"/>
      <c r="J284" s="36" t="n"/>
      <c r="K284" s="39" t="n"/>
      <c r="L284" s="16">
        <f>IF($B284="","",IF(J284="Complétée",1,IF(J284="Abandonnée",0,IF(K284&lt;&gt;"",K284,IFERROR(VLOOKUP(J284,Parametres!$B$6:$C$12,2,FALSE),0)))))</f>
        <v/>
      </c>
      <c r="M284" s="15">
        <f>IF($B284="","",IF(J284="Abandonnée",0,H284))</f>
        <v/>
      </c>
      <c r="N284" s="15">
        <f>IF($B284="","",M284*L284)</f>
        <v/>
      </c>
      <c r="O284" s="37" t="n"/>
      <c r="P284" s="40" t="n"/>
      <c r="Q284" s="40" t="n"/>
      <c r="R284" s="40" t="n"/>
      <c r="S284" s="37" t="n"/>
      <c r="T284" s="36" t="n"/>
      <c r="U284" s="13">
        <f>IF($B284="","",IF(AND(J284&lt;&gt;"Complétée",J284&lt;&gt;"Abandonnée",Q284&lt;&gt;"",TODAY()&gt;Q284),"En retard",""))</f>
        <v/>
      </c>
      <c r="V284" s="37" t="n"/>
    </row>
    <row r="285">
      <c r="B285" s="36" t="n"/>
      <c r="C285" s="36" t="n"/>
      <c r="D285" s="36" t="n"/>
      <c r="E285" s="37" t="n"/>
      <c r="F285" s="37" t="n"/>
      <c r="G285" s="37" t="n"/>
      <c r="H285" s="38" t="n"/>
      <c r="I285" s="36" t="n"/>
      <c r="J285" s="36" t="n"/>
      <c r="K285" s="39" t="n"/>
      <c r="L285" s="16">
        <f>IF($B285="","",IF(J285="Complétée",1,IF(J285="Abandonnée",0,IF(K285&lt;&gt;"",K285,IFERROR(VLOOKUP(J285,Parametres!$B$6:$C$12,2,FALSE),0)))))</f>
        <v/>
      </c>
      <c r="M285" s="15">
        <f>IF($B285="","",IF(J285="Abandonnée",0,H285))</f>
        <v/>
      </c>
      <c r="N285" s="15">
        <f>IF($B285="","",M285*L285)</f>
        <v/>
      </c>
      <c r="O285" s="37" t="n"/>
      <c r="P285" s="40" t="n"/>
      <c r="Q285" s="40" t="n"/>
      <c r="R285" s="40" t="n"/>
      <c r="S285" s="37" t="n"/>
      <c r="T285" s="36" t="n"/>
      <c r="U285" s="13">
        <f>IF($B285="","",IF(AND(J285&lt;&gt;"Complétée",J285&lt;&gt;"Abandonnée",Q285&lt;&gt;"",TODAY()&gt;Q285),"En retard",""))</f>
        <v/>
      </c>
      <c r="V285" s="37" t="n"/>
    </row>
    <row r="286">
      <c r="B286" s="36" t="n"/>
      <c r="C286" s="36" t="n"/>
      <c r="D286" s="36" t="n"/>
      <c r="E286" s="37" t="n"/>
      <c r="F286" s="37" t="n"/>
      <c r="G286" s="37" t="n"/>
      <c r="H286" s="38" t="n"/>
      <c r="I286" s="36" t="n"/>
      <c r="J286" s="36" t="n"/>
      <c r="K286" s="39" t="n"/>
      <c r="L286" s="16">
        <f>IF($B286="","",IF(J286="Complétée",1,IF(J286="Abandonnée",0,IF(K286&lt;&gt;"",K286,IFERROR(VLOOKUP(J286,Parametres!$B$6:$C$12,2,FALSE),0)))))</f>
        <v/>
      </c>
      <c r="M286" s="15">
        <f>IF($B286="","",IF(J286="Abandonnée",0,H286))</f>
        <v/>
      </c>
      <c r="N286" s="15">
        <f>IF($B286="","",M286*L286)</f>
        <v/>
      </c>
      <c r="O286" s="37" t="n"/>
      <c r="P286" s="40" t="n"/>
      <c r="Q286" s="40" t="n"/>
      <c r="R286" s="40" t="n"/>
      <c r="S286" s="37" t="n"/>
      <c r="T286" s="36" t="n"/>
      <c r="U286" s="13">
        <f>IF($B286="","",IF(AND(J286&lt;&gt;"Complétée",J286&lt;&gt;"Abandonnée",Q286&lt;&gt;"",TODAY()&gt;Q286),"En retard",""))</f>
        <v/>
      </c>
      <c r="V286" s="37" t="n"/>
    </row>
    <row r="287">
      <c r="B287" s="36" t="n"/>
      <c r="C287" s="36" t="n"/>
      <c r="D287" s="36" t="n"/>
      <c r="E287" s="37" t="n"/>
      <c r="F287" s="37" t="n"/>
      <c r="G287" s="37" t="n"/>
      <c r="H287" s="38" t="n"/>
      <c r="I287" s="36" t="n"/>
      <c r="J287" s="36" t="n"/>
      <c r="K287" s="39" t="n"/>
      <c r="L287" s="16">
        <f>IF($B287="","",IF(J287="Complétée",1,IF(J287="Abandonnée",0,IF(K287&lt;&gt;"",K287,IFERROR(VLOOKUP(J287,Parametres!$B$6:$C$12,2,FALSE),0)))))</f>
        <v/>
      </c>
      <c r="M287" s="15">
        <f>IF($B287="","",IF(J287="Abandonnée",0,H287))</f>
        <v/>
      </c>
      <c r="N287" s="15">
        <f>IF($B287="","",M287*L287)</f>
        <v/>
      </c>
      <c r="O287" s="37" t="n"/>
      <c r="P287" s="40" t="n"/>
      <c r="Q287" s="40" t="n"/>
      <c r="R287" s="40" t="n"/>
      <c r="S287" s="37" t="n"/>
      <c r="T287" s="36" t="n"/>
      <c r="U287" s="13">
        <f>IF($B287="","",IF(AND(J287&lt;&gt;"Complétée",J287&lt;&gt;"Abandonnée",Q287&lt;&gt;"",TODAY()&gt;Q287),"En retard",""))</f>
        <v/>
      </c>
      <c r="V287" s="37" t="n"/>
    </row>
    <row r="288">
      <c r="B288" s="36" t="n"/>
      <c r="C288" s="36" t="n"/>
      <c r="D288" s="36" t="n"/>
      <c r="E288" s="37" t="n"/>
      <c r="F288" s="37" t="n"/>
      <c r="G288" s="37" t="n"/>
      <c r="H288" s="38" t="n"/>
      <c r="I288" s="36" t="n"/>
      <c r="J288" s="36" t="n"/>
      <c r="K288" s="39" t="n"/>
      <c r="L288" s="16">
        <f>IF($B288="","",IF(J288="Complétée",1,IF(J288="Abandonnée",0,IF(K288&lt;&gt;"",K288,IFERROR(VLOOKUP(J288,Parametres!$B$6:$C$12,2,FALSE),0)))))</f>
        <v/>
      </c>
      <c r="M288" s="15">
        <f>IF($B288="","",IF(J288="Abandonnée",0,H288))</f>
        <v/>
      </c>
      <c r="N288" s="15">
        <f>IF($B288="","",M288*L288)</f>
        <v/>
      </c>
      <c r="O288" s="37" t="n"/>
      <c r="P288" s="40" t="n"/>
      <c r="Q288" s="40" t="n"/>
      <c r="R288" s="40" t="n"/>
      <c r="S288" s="37" t="n"/>
      <c r="T288" s="36" t="n"/>
      <c r="U288" s="13">
        <f>IF($B288="","",IF(AND(J288&lt;&gt;"Complétée",J288&lt;&gt;"Abandonnée",Q288&lt;&gt;"",TODAY()&gt;Q288),"En retard",""))</f>
        <v/>
      </c>
      <c r="V288" s="37" t="n"/>
    </row>
    <row r="289">
      <c r="B289" s="36" t="n"/>
      <c r="C289" s="36" t="n"/>
      <c r="D289" s="36" t="n"/>
      <c r="E289" s="37" t="n"/>
      <c r="F289" s="37" t="n"/>
      <c r="G289" s="37" t="n"/>
      <c r="H289" s="38" t="n"/>
      <c r="I289" s="36" t="n"/>
      <c r="J289" s="36" t="n"/>
      <c r="K289" s="39" t="n"/>
      <c r="L289" s="16">
        <f>IF($B289="","",IF(J289="Complétée",1,IF(J289="Abandonnée",0,IF(K289&lt;&gt;"",K289,IFERROR(VLOOKUP(J289,Parametres!$B$6:$C$12,2,FALSE),0)))))</f>
        <v/>
      </c>
      <c r="M289" s="15">
        <f>IF($B289="","",IF(J289="Abandonnée",0,H289))</f>
        <v/>
      </c>
      <c r="N289" s="15">
        <f>IF($B289="","",M289*L289)</f>
        <v/>
      </c>
      <c r="O289" s="37" t="n"/>
      <c r="P289" s="40" t="n"/>
      <c r="Q289" s="40" t="n"/>
      <c r="R289" s="40" t="n"/>
      <c r="S289" s="37" t="n"/>
      <c r="T289" s="36" t="n"/>
      <c r="U289" s="13">
        <f>IF($B289="","",IF(AND(J289&lt;&gt;"Complétée",J289&lt;&gt;"Abandonnée",Q289&lt;&gt;"",TODAY()&gt;Q289),"En retard",""))</f>
        <v/>
      </c>
      <c r="V289" s="37" t="n"/>
    </row>
    <row r="290">
      <c r="B290" s="36" t="n"/>
      <c r="C290" s="36" t="n"/>
      <c r="D290" s="36" t="n"/>
      <c r="E290" s="37" t="n"/>
      <c r="F290" s="37" t="n"/>
      <c r="G290" s="37" t="n"/>
      <c r="H290" s="38" t="n"/>
      <c r="I290" s="36" t="n"/>
      <c r="J290" s="36" t="n"/>
      <c r="K290" s="39" t="n"/>
      <c r="L290" s="16">
        <f>IF($B290="","",IF(J290="Complétée",1,IF(J290="Abandonnée",0,IF(K290&lt;&gt;"",K290,IFERROR(VLOOKUP(J290,Parametres!$B$6:$C$12,2,FALSE),0)))))</f>
        <v/>
      </c>
      <c r="M290" s="15">
        <f>IF($B290="","",IF(J290="Abandonnée",0,H290))</f>
        <v/>
      </c>
      <c r="N290" s="15">
        <f>IF($B290="","",M290*L290)</f>
        <v/>
      </c>
      <c r="O290" s="37" t="n"/>
      <c r="P290" s="40" t="n"/>
      <c r="Q290" s="40" t="n"/>
      <c r="R290" s="40" t="n"/>
      <c r="S290" s="37" t="n"/>
      <c r="T290" s="36" t="n"/>
      <c r="U290" s="13">
        <f>IF($B290="","",IF(AND(J290&lt;&gt;"Complétée",J290&lt;&gt;"Abandonnée",Q290&lt;&gt;"",TODAY()&gt;Q290),"En retard",""))</f>
        <v/>
      </c>
      <c r="V290" s="37" t="n"/>
    </row>
    <row r="291">
      <c r="B291" s="36" t="n"/>
      <c r="C291" s="36" t="n"/>
      <c r="D291" s="36" t="n"/>
      <c r="E291" s="37" t="n"/>
      <c r="F291" s="37" t="n"/>
      <c r="G291" s="37" t="n"/>
      <c r="H291" s="38" t="n"/>
      <c r="I291" s="36" t="n"/>
      <c r="J291" s="36" t="n"/>
      <c r="K291" s="39" t="n"/>
      <c r="L291" s="16">
        <f>IF($B291="","",IF(J291="Complétée",1,IF(J291="Abandonnée",0,IF(K291&lt;&gt;"",K291,IFERROR(VLOOKUP(J291,Parametres!$B$6:$C$12,2,FALSE),0)))))</f>
        <v/>
      </c>
      <c r="M291" s="15">
        <f>IF($B291="","",IF(J291="Abandonnée",0,H291))</f>
        <v/>
      </c>
      <c r="N291" s="15">
        <f>IF($B291="","",M291*L291)</f>
        <v/>
      </c>
      <c r="O291" s="37" t="n"/>
      <c r="P291" s="40" t="n"/>
      <c r="Q291" s="40" t="n"/>
      <c r="R291" s="40" t="n"/>
      <c r="S291" s="37" t="n"/>
      <c r="T291" s="36" t="n"/>
      <c r="U291" s="13">
        <f>IF($B291="","",IF(AND(J291&lt;&gt;"Complétée",J291&lt;&gt;"Abandonnée",Q291&lt;&gt;"",TODAY()&gt;Q291),"En retard",""))</f>
        <v/>
      </c>
      <c r="V291" s="37" t="n"/>
    </row>
    <row r="292">
      <c r="B292" s="36" t="n"/>
      <c r="C292" s="36" t="n"/>
      <c r="D292" s="36" t="n"/>
      <c r="E292" s="37" t="n"/>
      <c r="F292" s="37" t="n"/>
      <c r="G292" s="37" t="n"/>
      <c r="H292" s="38" t="n"/>
      <c r="I292" s="36" t="n"/>
      <c r="J292" s="36" t="n"/>
      <c r="K292" s="39" t="n"/>
      <c r="L292" s="16">
        <f>IF($B292="","",IF(J292="Complétée",1,IF(J292="Abandonnée",0,IF(K292&lt;&gt;"",K292,IFERROR(VLOOKUP(J292,Parametres!$B$6:$C$12,2,FALSE),0)))))</f>
        <v/>
      </c>
      <c r="M292" s="15">
        <f>IF($B292="","",IF(J292="Abandonnée",0,H292))</f>
        <v/>
      </c>
      <c r="N292" s="15">
        <f>IF($B292="","",M292*L292)</f>
        <v/>
      </c>
      <c r="O292" s="37" t="n"/>
      <c r="P292" s="40" t="n"/>
      <c r="Q292" s="40" t="n"/>
      <c r="R292" s="40" t="n"/>
      <c r="S292" s="37" t="n"/>
      <c r="T292" s="36" t="n"/>
      <c r="U292" s="13">
        <f>IF($B292="","",IF(AND(J292&lt;&gt;"Complétée",J292&lt;&gt;"Abandonnée",Q292&lt;&gt;"",TODAY()&gt;Q292),"En retard",""))</f>
        <v/>
      </c>
      <c r="V292" s="37" t="n"/>
    </row>
    <row r="293">
      <c r="B293" s="36" t="n"/>
      <c r="C293" s="36" t="n"/>
      <c r="D293" s="36" t="n"/>
      <c r="E293" s="37" t="n"/>
      <c r="F293" s="37" t="n"/>
      <c r="G293" s="37" t="n"/>
      <c r="H293" s="38" t="n"/>
      <c r="I293" s="36" t="n"/>
      <c r="J293" s="36" t="n"/>
      <c r="K293" s="39" t="n"/>
      <c r="L293" s="16">
        <f>IF($B293="","",IF(J293="Complétée",1,IF(J293="Abandonnée",0,IF(K293&lt;&gt;"",K293,IFERROR(VLOOKUP(J293,Parametres!$B$6:$C$12,2,FALSE),0)))))</f>
        <v/>
      </c>
      <c r="M293" s="15">
        <f>IF($B293="","",IF(J293="Abandonnée",0,H293))</f>
        <v/>
      </c>
      <c r="N293" s="15">
        <f>IF($B293="","",M293*L293)</f>
        <v/>
      </c>
      <c r="O293" s="37" t="n"/>
      <c r="P293" s="40" t="n"/>
      <c r="Q293" s="40" t="n"/>
      <c r="R293" s="40" t="n"/>
      <c r="S293" s="37" t="n"/>
      <c r="T293" s="36" t="n"/>
      <c r="U293" s="13">
        <f>IF($B293="","",IF(AND(J293&lt;&gt;"Complétée",J293&lt;&gt;"Abandonnée",Q293&lt;&gt;"",TODAY()&gt;Q293),"En retard",""))</f>
        <v/>
      </c>
      <c r="V293" s="37" t="n"/>
    </row>
    <row r="294">
      <c r="B294" s="36" t="n"/>
      <c r="C294" s="36" t="n"/>
      <c r="D294" s="36" t="n"/>
      <c r="E294" s="37" t="n"/>
      <c r="F294" s="37" t="n"/>
      <c r="G294" s="37" t="n"/>
      <c r="H294" s="38" t="n"/>
      <c r="I294" s="36" t="n"/>
      <c r="J294" s="36" t="n"/>
      <c r="K294" s="39" t="n"/>
      <c r="L294" s="16">
        <f>IF($B294="","",IF(J294="Complétée",1,IF(J294="Abandonnée",0,IF(K294&lt;&gt;"",K294,IFERROR(VLOOKUP(J294,Parametres!$B$6:$C$12,2,FALSE),0)))))</f>
        <v/>
      </c>
      <c r="M294" s="15">
        <f>IF($B294="","",IF(J294="Abandonnée",0,H294))</f>
        <v/>
      </c>
      <c r="N294" s="15">
        <f>IF($B294="","",M294*L294)</f>
        <v/>
      </c>
      <c r="O294" s="37" t="n"/>
      <c r="P294" s="40" t="n"/>
      <c r="Q294" s="40" t="n"/>
      <c r="R294" s="40" t="n"/>
      <c r="S294" s="37" t="n"/>
      <c r="T294" s="36" t="n"/>
      <c r="U294" s="13">
        <f>IF($B294="","",IF(AND(J294&lt;&gt;"Complétée",J294&lt;&gt;"Abandonnée",Q294&lt;&gt;"",TODAY()&gt;Q294),"En retard",""))</f>
        <v/>
      </c>
      <c r="V294" s="37" t="n"/>
    </row>
    <row r="295">
      <c r="B295" s="36" t="n"/>
      <c r="C295" s="36" t="n"/>
      <c r="D295" s="36" t="n"/>
      <c r="E295" s="37" t="n"/>
      <c r="F295" s="37" t="n"/>
      <c r="G295" s="37" t="n"/>
      <c r="H295" s="38" t="n"/>
      <c r="I295" s="36" t="n"/>
      <c r="J295" s="36" t="n"/>
      <c r="K295" s="39" t="n"/>
      <c r="L295" s="16">
        <f>IF($B295="","",IF(J295="Complétée",1,IF(J295="Abandonnée",0,IF(K295&lt;&gt;"",K295,IFERROR(VLOOKUP(J295,Parametres!$B$6:$C$12,2,FALSE),0)))))</f>
        <v/>
      </c>
      <c r="M295" s="15">
        <f>IF($B295="","",IF(J295="Abandonnée",0,H295))</f>
        <v/>
      </c>
      <c r="N295" s="15">
        <f>IF($B295="","",M295*L295)</f>
        <v/>
      </c>
      <c r="O295" s="37" t="n"/>
      <c r="P295" s="40" t="n"/>
      <c r="Q295" s="40" t="n"/>
      <c r="R295" s="40" t="n"/>
      <c r="S295" s="37" t="n"/>
      <c r="T295" s="36" t="n"/>
      <c r="U295" s="13">
        <f>IF($B295="","",IF(AND(J295&lt;&gt;"Complétée",J295&lt;&gt;"Abandonnée",Q295&lt;&gt;"",TODAY()&gt;Q295),"En retard",""))</f>
        <v/>
      </c>
      <c r="V295" s="37" t="n"/>
    </row>
    <row r="296">
      <c r="B296" s="36" t="n"/>
      <c r="C296" s="36" t="n"/>
      <c r="D296" s="36" t="n"/>
      <c r="E296" s="37" t="n"/>
      <c r="F296" s="37" t="n"/>
      <c r="G296" s="37" t="n"/>
      <c r="H296" s="38" t="n"/>
      <c r="I296" s="36" t="n"/>
      <c r="J296" s="36" t="n"/>
      <c r="K296" s="39" t="n"/>
      <c r="L296" s="16">
        <f>IF($B296="","",IF(J296="Complétée",1,IF(J296="Abandonnée",0,IF(K296&lt;&gt;"",K296,IFERROR(VLOOKUP(J296,Parametres!$B$6:$C$12,2,FALSE),0)))))</f>
        <v/>
      </c>
      <c r="M296" s="15">
        <f>IF($B296="","",IF(J296="Abandonnée",0,H296))</f>
        <v/>
      </c>
      <c r="N296" s="15">
        <f>IF($B296="","",M296*L296)</f>
        <v/>
      </c>
      <c r="O296" s="37" t="n"/>
      <c r="P296" s="40" t="n"/>
      <c r="Q296" s="40" t="n"/>
      <c r="R296" s="40" t="n"/>
      <c r="S296" s="37" t="n"/>
      <c r="T296" s="36" t="n"/>
      <c r="U296" s="13">
        <f>IF($B296="","",IF(AND(J296&lt;&gt;"Complétée",J296&lt;&gt;"Abandonnée",Q296&lt;&gt;"",TODAY()&gt;Q296),"En retard",""))</f>
        <v/>
      </c>
      <c r="V296" s="37" t="n"/>
    </row>
    <row r="297">
      <c r="B297" s="36" t="n"/>
      <c r="C297" s="36" t="n"/>
      <c r="D297" s="36" t="n"/>
      <c r="E297" s="37" t="n"/>
      <c r="F297" s="37" t="n"/>
      <c r="G297" s="37" t="n"/>
      <c r="H297" s="38" t="n"/>
      <c r="I297" s="36" t="n"/>
      <c r="J297" s="36" t="n"/>
      <c r="K297" s="39" t="n"/>
      <c r="L297" s="16">
        <f>IF($B297="","",IF(J297="Complétée",1,IF(J297="Abandonnée",0,IF(K297&lt;&gt;"",K297,IFERROR(VLOOKUP(J297,Parametres!$B$6:$C$12,2,FALSE),0)))))</f>
        <v/>
      </c>
      <c r="M297" s="15">
        <f>IF($B297="","",IF(J297="Abandonnée",0,H297))</f>
        <v/>
      </c>
      <c r="N297" s="15">
        <f>IF($B297="","",M297*L297)</f>
        <v/>
      </c>
      <c r="O297" s="37" t="n"/>
      <c r="P297" s="40" t="n"/>
      <c r="Q297" s="40" t="n"/>
      <c r="R297" s="40" t="n"/>
      <c r="S297" s="37" t="n"/>
      <c r="T297" s="36" t="n"/>
      <c r="U297" s="13">
        <f>IF($B297="","",IF(AND(J297&lt;&gt;"Complétée",J297&lt;&gt;"Abandonnée",Q297&lt;&gt;"",TODAY()&gt;Q297),"En retard",""))</f>
        <v/>
      </c>
      <c r="V297" s="37" t="n"/>
    </row>
    <row r="298">
      <c r="B298" s="36" t="n"/>
      <c r="C298" s="36" t="n"/>
      <c r="D298" s="36" t="n"/>
      <c r="E298" s="37" t="n"/>
      <c r="F298" s="37" t="n"/>
      <c r="G298" s="37" t="n"/>
      <c r="H298" s="38" t="n"/>
      <c r="I298" s="36" t="n"/>
      <c r="J298" s="36" t="n"/>
      <c r="K298" s="39" t="n"/>
      <c r="L298" s="16">
        <f>IF($B298="","",IF(J298="Complétée",1,IF(J298="Abandonnée",0,IF(K298&lt;&gt;"",K298,IFERROR(VLOOKUP(J298,Parametres!$B$6:$C$12,2,FALSE),0)))))</f>
        <v/>
      </c>
      <c r="M298" s="15">
        <f>IF($B298="","",IF(J298="Abandonnée",0,H298))</f>
        <v/>
      </c>
      <c r="N298" s="15">
        <f>IF($B298="","",M298*L298)</f>
        <v/>
      </c>
      <c r="O298" s="37" t="n"/>
      <c r="P298" s="40" t="n"/>
      <c r="Q298" s="40" t="n"/>
      <c r="R298" s="40" t="n"/>
      <c r="S298" s="37" t="n"/>
      <c r="T298" s="36" t="n"/>
      <c r="U298" s="13">
        <f>IF($B298="","",IF(AND(J298&lt;&gt;"Complétée",J298&lt;&gt;"Abandonnée",Q298&lt;&gt;"",TODAY()&gt;Q298),"En retard",""))</f>
        <v/>
      </c>
      <c r="V298" s="37" t="n"/>
    </row>
    <row r="299">
      <c r="B299" s="36" t="n"/>
      <c r="C299" s="36" t="n"/>
      <c r="D299" s="36" t="n"/>
      <c r="E299" s="37" t="n"/>
      <c r="F299" s="37" t="n"/>
      <c r="G299" s="37" t="n"/>
      <c r="H299" s="38" t="n"/>
      <c r="I299" s="36" t="n"/>
      <c r="J299" s="36" t="n"/>
      <c r="K299" s="39" t="n"/>
      <c r="L299" s="16">
        <f>IF($B299="","",IF(J299="Complétée",1,IF(J299="Abandonnée",0,IF(K299&lt;&gt;"",K299,IFERROR(VLOOKUP(J299,Parametres!$B$6:$C$12,2,FALSE),0)))))</f>
        <v/>
      </c>
      <c r="M299" s="15">
        <f>IF($B299="","",IF(J299="Abandonnée",0,H299))</f>
        <v/>
      </c>
      <c r="N299" s="15">
        <f>IF($B299="","",M299*L299)</f>
        <v/>
      </c>
      <c r="O299" s="37" t="n"/>
      <c r="P299" s="40" t="n"/>
      <c r="Q299" s="40" t="n"/>
      <c r="R299" s="40" t="n"/>
      <c r="S299" s="37" t="n"/>
      <c r="T299" s="36" t="n"/>
      <c r="U299" s="13">
        <f>IF($B299="","",IF(AND(J299&lt;&gt;"Complétée",J299&lt;&gt;"Abandonnée",Q299&lt;&gt;"",TODAY()&gt;Q299),"En retard",""))</f>
        <v/>
      </c>
      <c r="V299" s="37" t="n"/>
    </row>
    <row r="300">
      <c r="B300" s="36" t="n"/>
      <c r="C300" s="36" t="n"/>
      <c r="D300" s="36" t="n"/>
      <c r="E300" s="37" t="n"/>
      <c r="F300" s="37" t="n"/>
      <c r="G300" s="37" t="n"/>
      <c r="H300" s="38" t="n"/>
      <c r="I300" s="36" t="n"/>
      <c r="J300" s="36" t="n"/>
      <c r="K300" s="39" t="n"/>
      <c r="L300" s="16">
        <f>IF($B300="","",IF(J300="Complétée",1,IF(J300="Abandonnée",0,IF(K300&lt;&gt;"",K300,IFERROR(VLOOKUP(J300,Parametres!$B$6:$C$12,2,FALSE),0)))))</f>
        <v/>
      </c>
      <c r="M300" s="15">
        <f>IF($B300="","",IF(J300="Abandonnée",0,H300))</f>
        <v/>
      </c>
      <c r="N300" s="15">
        <f>IF($B300="","",M300*L300)</f>
        <v/>
      </c>
      <c r="O300" s="37" t="n"/>
      <c r="P300" s="40" t="n"/>
      <c r="Q300" s="40" t="n"/>
      <c r="R300" s="40" t="n"/>
      <c r="S300" s="37" t="n"/>
      <c r="T300" s="36" t="n"/>
      <c r="U300" s="13">
        <f>IF($B300="","",IF(AND(J300&lt;&gt;"Complétée",J300&lt;&gt;"Abandonnée",Q300&lt;&gt;"",TODAY()&gt;Q300),"En retard",""))</f>
        <v/>
      </c>
      <c r="V300" s="37" t="n"/>
    </row>
    <row r="301">
      <c r="B301" s="36" t="n"/>
      <c r="C301" s="36" t="n"/>
      <c r="D301" s="36" t="n"/>
      <c r="E301" s="37" t="n"/>
      <c r="F301" s="37" t="n"/>
      <c r="G301" s="37" t="n"/>
      <c r="H301" s="38" t="n"/>
      <c r="I301" s="36" t="n"/>
      <c r="J301" s="36" t="n"/>
      <c r="K301" s="39" t="n"/>
      <c r="L301" s="16">
        <f>IF($B301="","",IF(J301="Complétée",1,IF(J301="Abandonnée",0,IF(K301&lt;&gt;"",K301,IFERROR(VLOOKUP(J301,Parametres!$B$6:$C$12,2,FALSE),0)))))</f>
        <v/>
      </c>
      <c r="M301" s="15">
        <f>IF($B301="","",IF(J301="Abandonnée",0,H301))</f>
        <v/>
      </c>
      <c r="N301" s="15">
        <f>IF($B301="","",M301*L301)</f>
        <v/>
      </c>
      <c r="O301" s="37" t="n"/>
      <c r="P301" s="40" t="n"/>
      <c r="Q301" s="40" t="n"/>
      <c r="R301" s="40" t="n"/>
      <c r="S301" s="37" t="n"/>
      <c r="T301" s="36" t="n"/>
      <c r="U301" s="13">
        <f>IF($B301="","",IF(AND(J301&lt;&gt;"Complétée",J301&lt;&gt;"Abandonnée",Q301&lt;&gt;"",TODAY()&gt;Q301),"En retard",""))</f>
        <v/>
      </c>
      <c r="V301" s="37" t="n"/>
    </row>
    <row r="302">
      <c r="B302" s="36" t="n"/>
      <c r="C302" s="36" t="n"/>
      <c r="D302" s="36" t="n"/>
      <c r="E302" s="37" t="n"/>
      <c r="F302" s="37" t="n"/>
      <c r="G302" s="37" t="n"/>
      <c r="H302" s="38" t="n"/>
      <c r="I302" s="36" t="n"/>
      <c r="J302" s="36" t="n"/>
      <c r="K302" s="39" t="n"/>
      <c r="L302" s="16">
        <f>IF($B302="","",IF(J302="Complétée",1,IF(J302="Abandonnée",0,IF(K302&lt;&gt;"",K302,IFERROR(VLOOKUP(J302,Parametres!$B$6:$C$12,2,FALSE),0)))))</f>
        <v/>
      </c>
      <c r="M302" s="15">
        <f>IF($B302="","",IF(J302="Abandonnée",0,H302))</f>
        <v/>
      </c>
      <c r="N302" s="15">
        <f>IF($B302="","",M302*L302)</f>
        <v/>
      </c>
      <c r="O302" s="37" t="n"/>
      <c r="P302" s="40" t="n"/>
      <c r="Q302" s="40" t="n"/>
      <c r="R302" s="40" t="n"/>
      <c r="S302" s="37" t="n"/>
      <c r="T302" s="36" t="n"/>
      <c r="U302" s="13">
        <f>IF($B302="","",IF(AND(J302&lt;&gt;"Complétée",J302&lt;&gt;"Abandonnée",Q302&lt;&gt;"",TODAY()&gt;Q302),"En retard",""))</f>
        <v/>
      </c>
      <c r="V302" s="37" t="n"/>
    </row>
    <row r="303">
      <c r="B303" s="36" t="n"/>
      <c r="C303" s="36" t="n"/>
      <c r="D303" s="36" t="n"/>
      <c r="E303" s="37" t="n"/>
      <c r="F303" s="37" t="n"/>
      <c r="G303" s="37" t="n"/>
      <c r="H303" s="38" t="n"/>
      <c r="I303" s="36" t="n"/>
      <c r="J303" s="36" t="n"/>
      <c r="K303" s="39" t="n"/>
      <c r="L303" s="16">
        <f>IF($B303="","",IF(J303="Complétée",1,IF(J303="Abandonnée",0,IF(K303&lt;&gt;"",K303,IFERROR(VLOOKUP(J303,Parametres!$B$6:$C$12,2,FALSE),0)))))</f>
        <v/>
      </c>
      <c r="M303" s="15">
        <f>IF($B303="","",IF(J303="Abandonnée",0,H303))</f>
        <v/>
      </c>
      <c r="N303" s="15">
        <f>IF($B303="","",M303*L303)</f>
        <v/>
      </c>
      <c r="O303" s="37" t="n"/>
      <c r="P303" s="40" t="n"/>
      <c r="Q303" s="40" t="n"/>
      <c r="R303" s="40" t="n"/>
      <c r="S303" s="37" t="n"/>
      <c r="T303" s="36" t="n"/>
      <c r="U303" s="13">
        <f>IF($B303="","",IF(AND(J303&lt;&gt;"Complétée",J303&lt;&gt;"Abandonnée",Q303&lt;&gt;"",TODAY()&gt;Q303),"En retard",""))</f>
        <v/>
      </c>
      <c r="V303" s="37" t="n"/>
    </row>
    <row r="304">
      <c r="B304" s="36" t="n"/>
      <c r="C304" s="36" t="n"/>
      <c r="D304" s="36" t="n"/>
      <c r="E304" s="37" t="n"/>
      <c r="F304" s="37" t="n"/>
      <c r="G304" s="37" t="n"/>
      <c r="H304" s="38" t="n"/>
      <c r="I304" s="36" t="n"/>
      <c r="J304" s="36" t="n"/>
      <c r="K304" s="39" t="n"/>
      <c r="L304" s="16">
        <f>IF($B304="","",IF(J304="Complétée",1,IF(J304="Abandonnée",0,IF(K304&lt;&gt;"",K304,IFERROR(VLOOKUP(J304,Parametres!$B$6:$C$12,2,FALSE),0)))))</f>
        <v/>
      </c>
      <c r="M304" s="15">
        <f>IF($B304="","",IF(J304="Abandonnée",0,H304))</f>
        <v/>
      </c>
      <c r="N304" s="15">
        <f>IF($B304="","",M304*L304)</f>
        <v/>
      </c>
      <c r="O304" s="37" t="n"/>
      <c r="P304" s="40" t="n"/>
      <c r="Q304" s="40" t="n"/>
      <c r="R304" s="40" t="n"/>
      <c r="S304" s="37" t="n"/>
      <c r="T304" s="36" t="n"/>
      <c r="U304" s="13">
        <f>IF($B304="","",IF(AND(J304&lt;&gt;"Complétée",J304&lt;&gt;"Abandonnée",Q304&lt;&gt;"",TODAY()&gt;Q304),"En retard",""))</f>
        <v/>
      </c>
      <c r="V304" s="37" t="n"/>
    </row>
    <row r="305">
      <c r="B305" s="36" t="n"/>
      <c r="C305" s="36" t="n"/>
      <c r="D305" s="36" t="n"/>
      <c r="E305" s="37" t="n"/>
      <c r="F305" s="37" t="n"/>
      <c r="G305" s="37" t="n"/>
      <c r="H305" s="38" t="n"/>
      <c r="I305" s="36" t="n"/>
      <c r="J305" s="36" t="n"/>
      <c r="K305" s="39" t="n"/>
      <c r="L305" s="16">
        <f>IF($B305="","",IF(J305="Complétée",1,IF(J305="Abandonnée",0,IF(K305&lt;&gt;"",K305,IFERROR(VLOOKUP(J305,Parametres!$B$6:$C$12,2,FALSE),0)))))</f>
        <v/>
      </c>
      <c r="M305" s="15">
        <f>IF($B305="","",IF(J305="Abandonnée",0,H305))</f>
        <v/>
      </c>
      <c r="N305" s="15">
        <f>IF($B305="","",M305*L305)</f>
        <v/>
      </c>
      <c r="O305" s="37" t="n"/>
      <c r="P305" s="40" t="n"/>
      <c r="Q305" s="40" t="n"/>
      <c r="R305" s="40" t="n"/>
      <c r="S305" s="37" t="n"/>
      <c r="T305" s="36" t="n"/>
      <c r="U305" s="13">
        <f>IF($B305="","",IF(AND(J305&lt;&gt;"Complétée",J305&lt;&gt;"Abandonnée",Q305&lt;&gt;"",TODAY()&gt;Q305),"En retard",""))</f>
        <v/>
      </c>
      <c r="V305" s="37" t="n"/>
    </row>
    <row r="306">
      <c r="B306" s="36" t="n"/>
      <c r="C306" s="36" t="n"/>
      <c r="D306" s="36" t="n"/>
      <c r="E306" s="37" t="n"/>
      <c r="F306" s="37" t="n"/>
      <c r="G306" s="37" t="n"/>
      <c r="H306" s="38" t="n"/>
      <c r="I306" s="36" t="n"/>
      <c r="J306" s="36" t="n"/>
      <c r="K306" s="39" t="n"/>
      <c r="L306" s="16">
        <f>IF($B306="","",IF(J306="Complétée",1,IF(J306="Abandonnée",0,IF(K306&lt;&gt;"",K306,IFERROR(VLOOKUP(J306,Parametres!$B$6:$C$12,2,FALSE),0)))))</f>
        <v/>
      </c>
      <c r="M306" s="15">
        <f>IF($B306="","",IF(J306="Abandonnée",0,H306))</f>
        <v/>
      </c>
      <c r="N306" s="15">
        <f>IF($B306="","",M306*L306)</f>
        <v/>
      </c>
      <c r="O306" s="37" t="n"/>
      <c r="P306" s="40" t="n"/>
      <c r="Q306" s="40" t="n"/>
      <c r="R306" s="40" t="n"/>
      <c r="S306" s="37" t="n"/>
      <c r="T306" s="36" t="n"/>
      <c r="U306" s="13">
        <f>IF($B306="","",IF(AND(J306&lt;&gt;"Complétée",J306&lt;&gt;"Abandonnée",Q306&lt;&gt;"",TODAY()&gt;Q306),"En retard",""))</f>
        <v/>
      </c>
      <c r="V306" s="37" t="n"/>
    </row>
    <row r="307">
      <c r="B307" s="36" t="n"/>
      <c r="C307" s="36" t="n"/>
      <c r="D307" s="36" t="n"/>
      <c r="E307" s="37" t="n"/>
      <c r="F307" s="37" t="n"/>
      <c r="G307" s="37" t="n"/>
      <c r="H307" s="38" t="n"/>
      <c r="I307" s="36" t="n"/>
      <c r="J307" s="36" t="n"/>
      <c r="K307" s="39" t="n"/>
      <c r="L307" s="16">
        <f>IF($B307="","",IF(J307="Complétée",1,IF(J307="Abandonnée",0,IF(K307&lt;&gt;"",K307,IFERROR(VLOOKUP(J307,Parametres!$B$6:$C$12,2,FALSE),0)))))</f>
        <v/>
      </c>
      <c r="M307" s="15">
        <f>IF($B307="","",IF(J307="Abandonnée",0,H307))</f>
        <v/>
      </c>
      <c r="N307" s="15">
        <f>IF($B307="","",M307*L307)</f>
        <v/>
      </c>
      <c r="O307" s="37" t="n"/>
      <c r="P307" s="40" t="n"/>
      <c r="Q307" s="40" t="n"/>
      <c r="R307" s="40" t="n"/>
      <c r="S307" s="37" t="n"/>
      <c r="T307" s="36" t="n"/>
      <c r="U307" s="13">
        <f>IF($B307="","",IF(AND(J307&lt;&gt;"Complétée",J307&lt;&gt;"Abandonnée",Q307&lt;&gt;"",TODAY()&gt;Q307),"En retard",""))</f>
        <v/>
      </c>
      <c r="V307" s="37" t="n"/>
    </row>
    <row r="308">
      <c r="B308" s="36" t="n"/>
      <c r="C308" s="36" t="n"/>
      <c r="D308" s="36" t="n"/>
      <c r="E308" s="37" t="n"/>
      <c r="F308" s="37" t="n"/>
      <c r="G308" s="37" t="n"/>
      <c r="H308" s="38" t="n"/>
      <c r="I308" s="36" t="n"/>
      <c r="J308" s="36" t="n"/>
      <c r="K308" s="39" t="n"/>
      <c r="L308" s="16">
        <f>IF($B308="","",IF(J308="Complétée",1,IF(J308="Abandonnée",0,IF(K308&lt;&gt;"",K308,IFERROR(VLOOKUP(J308,Parametres!$B$6:$C$12,2,FALSE),0)))))</f>
        <v/>
      </c>
      <c r="M308" s="15">
        <f>IF($B308="","",IF(J308="Abandonnée",0,H308))</f>
        <v/>
      </c>
      <c r="N308" s="15">
        <f>IF($B308="","",M308*L308)</f>
        <v/>
      </c>
      <c r="O308" s="37" t="n"/>
      <c r="P308" s="40" t="n"/>
      <c r="Q308" s="40" t="n"/>
      <c r="R308" s="40" t="n"/>
      <c r="S308" s="37" t="n"/>
      <c r="T308" s="36" t="n"/>
      <c r="U308" s="13">
        <f>IF($B308="","",IF(AND(J308&lt;&gt;"Complétée",J308&lt;&gt;"Abandonnée",Q308&lt;&gt;"",TODAY()&gt;Q308),"En retard",""))</f>
        <v/>
      </c>
      <c r="V308" s="37" t="n"/>
    </row>
    <row r="309">
      <c r="B309" s="36" t="n"/>
      <c r="C309" s="36" t="n"/>
      <c r="D309" s="36" t="n"/>
      <c r="E309" s="37" t="n"/>
      <c r="F309" s="37" t="n"/>
      <c r="G309" s="37" t="n"/>
      <c r="H309" s="38" t="n"/>
      <c r="I309" s="36" t="n"/>
      <c r="J309" s="36" t="n"/>
      <c r="K309" s="39" t="n"/>
      <c r="L309" s="16">
        <f>IF($B309="","",IF(J309="Complétée",1,IF(J309="Abandonnée",0,IF(K309&lt;&gt;"",K309,IFERROR(VLOOKUP(J309,Parametres!$B$6:$C$12,2,FALSE),0)))))</f>
        <v/>
      </c>
      <c r="M309" s="15">
        <f>IF($B309="","",IF(J309="Abandonnée",0,H309))</f>
        <v/>
      </c>
      <c r="N309" s="15">
        <f>IF($B309="","",M309*L309)</f>
        <v/>
      </c>
      <c r="O309" s="37" t="n"/>
      <c r="P309" s="40" t="n"/>
      <c r="Q309" s="40" t="n"/>
      <c r="R309" s="40" t="n"/>
      <c r="S309" s="37" t="n"/>
      <c r="T309" s="36" t="n"/>
      <c r="U309" s="13">
        <f>IF($B309="","",IF(AND(J309&lt;&gt;"Complétée",J309&lt;&gt;"Abandonnée",Q309&lt;&gt;"",TODAY()&gt;Q309),"En retard",""))</f>
        <v/>
      </c>
      <c r="V309" s="37" t="n"/>
    </row>
    <row r="310">
      <c r="B310" s="36" t="n"/>
      <c r="C310" s="36" t="n"/>
      <c r="D310" s="36" t="n"/>
      <c r="E310" s="37" t="n"/>
      <c r="F310" s="37" t="n"/>
      <c r="G310" s="37" t="n"/>
      <c r="H310" s="38" t="n"/>
      <c r="I310" s="36" t="n"/>
      <c r="J310" s="36" t="n"/>
      <c r="K310" s="39" t="n"/>
      <c r="L310" s="16">
        <f>IF($B310="","",IF(J310="Complétée",1,IF(J310="Abandonnée",0,IF(K310&lt;&gt;"",K310,IFERROR(VLOOKUP(J310,Parametres!$B$6:$C$12,2,FALSE),0)))))</f>
        <v/>
      </c>
      <c r="M310" s="15">
        <f>IF($B310="","",IF(J310="Abandonnée",0,H310))</f>
        <v/>
      </c>
      <c r="N310" s="15">
        <f>IF($B310="","",M310*L310)</f>
        <v/>
      </c>
      <c r="O310" s="37" t="n"/>
      <c r="P310" s="40" t="n"/>
      <c r="Q310" s="40" t="n"/>
      <c r="R310" s="40" t="n"/>
      <c r="S310" s="37" t="n"/>
      <c r="T310" s="36" t="n"/>
      <c r="U310" s="13">
        <f>IF($B310="","",IF(AND(J310&lt;&gt;"Complétée",J310&lt;&gt;"Abandonnée",Q310&lt;&gt;"",TODAY()&gt;Q310),"En retard",""))</f>
        <v/>
      </c>
      <c r="V310" s="37" t="n"/>
    </row>
    <row r="311">
      <c r="B311" s="36" t="n"/>
      <c r="C311" s="36" t="n"/>
      <c r="D311" s="36" t="n"/>
      <c r="E311" s="37" t="n"/>
      <c r="F311" s="37" t="n"/>
      <c r="G311" s="37" t="n"/>
      <c r="H311" s="38" t="n"/>
      <c r="I311" s="36" t="n"/>
      <c r="J311" s="36" t="n"/>
      <c r="K311" s="39" t="n"/>
      <c r="L311" s="16">
        <f>IF($B311="","",IF(J311="Complétée",1,IF(J311="Abandonnée",0,IF(K311&lt;&gt;"",K311,IFERROR(VLOOKUP(J311,Parametres!$B$6:$C$12,2,FALSE),0)))))</f>
        <v/>
      </c>
      <c r="M311" s="15">
        <f>IF($B311="","",IF(J311="Abandonnée",0,H311))</f>
        <v/>
      </c>
      <c r="N311" s="15">
        <f>IF($B311="","",M311*L311)</f>
        <v/>
      </c>
      <c r="O311" s="37" t="n"/>
      <c r="P311" s="40" t="n"/>
      <c r="Q311" s="40" t="n"/>
      <c r="R311" s="40" t="n"/>
      <c r="S311" s="37" t="n"/>
      <c r="T311" s="36" t="n"/>
      <c r="U311" s="13">
        <f>IF($B311="","",IF(AND(J311&lt;&gt;"Complétée",J311&lt;&gt;"Abandonnée",Q311&lt;&gt;"",TODAY()&gt;Q311),"En retard",""))</f>
        <v/>
      </c>
      <c r="V311" s="37" t="n"/>
    </row>
    <row r="312">
      <c r="B312" s="36" t="n"/>
      <c r="C312" s="36" t="n"/>
      <c r="D312" s="36" t="n"/>
      <c r="E312" s="37" t="n"/>
      <c r="F312" s="37" t="n"/>
      <c r="G312" s="37" t="n"/>
      <c r="H312" s="38" t="n"/>
      <c r="I312" s="36" t="n"/>
      <c r="J312" s="36" t="n"/>
      <c r="K312" s="39" t="n"/>
      <c r="L312" s="16">
        <f>IF($B312="","",IF(J312="Complétée",1,IF(J312="Abandonnée",0,IF(K312&lt;&gt;"",K312,IFERROR(VLOOKUP(J312,Parametres!$B$6:$C$12,2,FALSE),0)))))</f>
        <v/>
      </c>
      <c r="M312" s="15">
        <f>IF($B312="","",IF(J312="Abandonnée",0,H312))</f>
        <v/>
      </c>
      <c r="N312" s="15">
        <f>IF($B312="","",M312*L312)</f>
        <v/>
      </c>
      <c r="O312" s="37" t="n"/>
      <c r="P312" s="40" t="n"/>
      <c r="Q312" s="40" t="n"/>
      <c r="R312" s="40" t="n"/>
      <c r="S312" s="37" t="n"/>
      <c r="T312" s="36" t="n"/>
      <c r="U312" s="13">
        <f>IF($B312="","",IF(AND(J312&lt;&gt;"Complétée",J312&lt;&gt;"Abandonnée",Q312&lt;&gt;"",TODAY()&gt;Q312),"En retard",""))</f>
        <v/>
      </c>
      <c r="V312" s="37" t="n"/>
    </row>
    <row r="313">
      <c r="B313" s="36" t="n"/>
      <c r="C313" s="36" t="n"/>
      <c r="D313" s="36" t="n"/>
      <c r="E313" s="37" t="n"/>
      <c r="F313" s="37" t="n"/>
      <c r="G313" s="37" t="n"/>
      <c r="H313" s="38" t="n"/>
      <c r="I313" s="36" t="n"/>
      <c r="J313" s="36" t="n"/>
      <c r="K313" s="39" t="n"/>
      <c r="L313" s="16">
        <f>IF($B313="","",IF(J313="Complétée",1,IF(J313="Abandonnée",0,IF(K313&lt;&gt;"",K313,IFERROR(VLOOKUP(J313,Parametres!$B$6:$C$12,2,FALSE),0)))))</f>
        <v/>
      </c>
      <c r="M313" s="15">
        <f>IF($B313="","",IF(J313="Abandonnée",0,H313))</f>
        <v/>
      </c>
      <c r="N313" s="15">
        <f>IF($B313="","",M313*L313)</f>
        <v/>
      </c>
      <c r="O313" s="37" t="n"/>
      <c r="P313" s="40" t="n"/>
      <c r="Q313" s="40" t="n"/>
      <c r="R313" s="40" t="n"/>
      <c r="S313" s="37" t="n"/>
      <c r="T313" s="36" t="n"/>
      <c r="U313" s="13">
        <f>IF($B313="","",IF(AND(J313&lt;&gt;"Complétée",J313&lt;&gt;"Abandonnée",Q313&lt;&gt;"",TODAY()&gt;Q313),"En retard",""))</f>
        <v/>
      </c>
      <c r="V313" s="37" t="n"/>
    </row>
    <row r="314">
      <c r="B314" s="36" t="n"/>
      <c r="C314" s="36" t="n"/>
      <c r="D314" s="36" t="n"/>
      <c r="E314" s="37" t="n"/>
      <c r="F314" s="37" t="n"/>
      <c r="G314" s="37" t="n"/>
      <c r="H314" s="38" t="n"/>
      <c r="I314" s="36" t="n"/>
      <c r="J314" s="36" t="n"/>
      <c r="K314" s="39" t="n"/>
      <c r="L314" s="16">
        <f>IF($B314="","",IF(J314="Complétée",1,IF(J314="Abandonnée",0,IF(K314&lt;&gt;"",K314,IFERROR(VLOOKUP(J314,Parametres!$B$6:$C$12,2,FALSE),0)))))</f>
        <v/>
      </c>
      <c r="M314" s="15">
        <f>IF($B314="","",IF(J314="Abandonnée",0,H314))</f>
        <v/>
      </c>
      <c r="N314" s="15">
        <f>IF($B314="","",M314*L314)</f>
        <v/>
      </c>
      <c r="O314" s="37" t="n"/>
      <c r="P314" s="40" t="n"/>
      <c r="Q314" s="40" t="n"/>
      <c r="R314" s="40" t="n"/>
      <c r="S314" s="37" t="n"/>
      <c r="T314" s="36" t="n"/>
      <c r="U314" s="13">
        <f>IF($B314="","",IF(AND(J314&lt;&gt;"Complétée",J314&lt;&gt;"Abandonnée",Q314&lt;&gt;"",TODAY()&gt;Q314),"En retard",""))</f>
        <v/>
      </c>
      <c r="V314" s="37" t="n"/>
    </row>
    <row r="315">
      <c r="B315" s="36" t="n"/>
      <c r="C315" s="36" t="n"/>
      <c r="D315" s="36" t="n"/>
      <c r="E315" s="37" t="n"/>
      <c r="F315" s="37" t="n"/>
      <c r="G315" s="37" t="n"/>
      <c r="H315" s="38" t="n"/>
      <c r="I315" s="36" t="n"/>
      <c r="J315" s="36" t="n"/>
      <c r="K315" s="39" t="n"/>
      <c r="L315" s="16">
        <f>IF($B315="","",IF(J315="Complétée",1,IF(J315="Abandonnée",0,IF(K315&lt;&gt;"",K315,IFERROR(VLOOKUP(J315,Parametres!$B$6:$C$12,2,FALSE),0)))))</f>
        <v/>
      </c>
      <c r="M315" s="15">
        <f>IF($B315="","",IF(J315="Abandonnée",0,H315))</f>
        <v/>
      </c>
      <c r="N315" s="15">
        <f>IF($B315="","",M315*L315)</f>
        <v/>
      </c>
      <c r="O315" s="37" t="n"/>
      <c r="P315" s="40" t="n"/>
      <c r="Q315" s="40" t="n"/>
      <c r="R315" s="40" t="n"/>
      <c r="S315" s="37" t="n"/>
      <c r="T315" s="36" t="n"/>
      <c r="U315" s="13">
        <f>IF($B315="","",IF(AND(J315&lt;&gt;"Complétée",J315&lt;&gt;"Abandonnée",Q315&lt;&gt;"",TODAY()&gt;Q315),"En retard",""))</f>
        <v/>
      </c>
      <c r="V315" s="37" t="n"/>
    </row>
    <row r="316">
      <c r="B316" s="36" t="n"/>
      <c r="C316" s="36" t="n"/>
      <c r="D316" s="36" t="n"/>
      <c r="E316" s="37" t="n"/>
      <c r="F316" s="37" t="n"/>
      <c r="G316" s="37" t="n"/>
      <c r="H316" s="38" t="n"/>
      <c r="I316" s="36" t="n"/>
      <c r="J316" s="36" t="n"/>
      <c r="K316" s="39" t="n"/>
      <c r="L316" s="16">
        <f>IF($B316="","",IF(J316="Complétée",1,IF(J316="Abandonnée",0,IF(K316&lt;&gt;"",K316,IFERROR(VLOOKUP(J316,Parametres!$B$6:$C$12,2,FALSE),0)))))</f>
        <v/>
      </c>
      <c r="M316" s="15">
        <f>IF($B316="","",IF(J316="Abandonnée",0,H316))</f>
        <v/>
      </c>
      <c r="N316" s="15">
        <f>IF($B316="","",M316*L316)</f>
        <v/>
      </c>
      <c r="O316" s="37" t="n"/>
      <c r="P316" s="40" t="n"/>
      <c r="Q316" s="40" t="n"/>
      <c r="R316" s="40" t="n"/>
      <c r="S316" s="37" t="n"/>
      <c r="T316" s="36" t="n"/>
      <c r="U316" s="13">
        <f>IF($B316="","",IF(AND(J316&lt;&gt;"Complétée",J316&lt;&gt;"Abandonnée",Q316&lt;&gt;"",TODAY()&gt;Q316),"En retard",""))</f>
        <v/>
      </c>
      <c r="V316" s="37" t="n"/>
    </row>
    <row r="317">
      <c r="B317" s="36" t="n"/>
      <c r="C317" s="36" t="n"/>
      <c r="D317" s="36" t="n"/>
      <c r="E317" s="37" t="n"/>
      <c r="F317" s="37" t="n"/>
      <c r="G317" s="37" t="n"/>
      <c r="H317" s="38" t="n"/>
      <c r="I317" s="36" t="n"/>
      <c r="J317" s="36" t="n"/>
      <c r="K317" s="39" t="n"/>
      <c r="L317" s="16">
        <f>IF($B317="","",IF(J317="Complétée",1,IF(J317="Abandonnée",0,IF(K317&lt;&gt;"",K317,IFERROR(VLOOKUP(J317,Parametres!$B$6:$C$12,2,FALSE),0)))))</f>
        <v/>
      </c>
      <c r="M317" s="15">
        <f>IF($B317="","",IF(J317="Abandonnée",0,H317))</f>
        <v/>
      </c>
      <c r="N317" s="15">
        <f>IF($B317="","",M317*L317)</f>
        <v/>
      </c>
      <c r="O317" s="37" t="n"/>
      <c r="P317" s="40" t="n"/>
      <c r="Q317" s="40" t="n"/>
      <c r="R317" s="40" t="n"/>
      <c r="S317" s="37" t="n"/>
      <c r="T317" s="36" t="n"/>
      <c r="U317" s="13">
        <f>IF($B317="","",IF(AND(J317&lt;&gt;"Complétée",J317&lt;&gt;"Abandonnée",Q317&lt;&gt;"",TODAY()&gt;Q317),"En retard",""))</f>
        <v/>
      </c>
      <c r="V317" s="37" t="n"/>
    </row>
    <row r="318">
      <c r="B318" s="36" t="n"/>
      <c r="C318" s="36" t="n"/>
      <c r="D318" s="36" t="n"/>
      <c r="E318" s="37" t="n"/>
      <c r="F318" s="37" t="n"/>
      <c r="G318" s="37" t="n"/>
      <c r="H318" s="38" t="n"/>
      <c r="I318" s="36" t="n"/>
      <c r="J318" s="36" t="n"/>
      <c r="K318" s="39" t="n"/>
      <c r="L318" s="16">
        <f>IF($B318="","",IF(J318="Complétée",1,IF(J318="Abandonnée",0,IF(K318&lt;&gt;"",K318,IFERROR(VLOOKUP(J318,Parametres!$B$6:$C$12,2,FALSE),0)))))</f>
        <v/>
      </c>
      <c r="M318" s="15">
        <f>IF($B318="","",IF(J318="Abandonnée",0,H318))</f>
        <v/>
      </c>
      <c r="N318" s="15">
        <f>IF($B318="","",M318*L318)</f>
        <v/>
      </c>
      <c r="O318" s="37" t="n"/>
      <c r="P318" s="40" t="n"/>
      <c r="Q318" s="40" t="n"/>
      <c r="R318" s="40" t="n"/>
      <c r="S318" s="37" t="n"/>
      <c r="T318" s="36" t="n"/>
      <c r="U318" s="13">
        <f>IF($B318="","",IF(AND(J318&lt;&gt;"Complétée",J318&lt;&gt;"Abandonnée",Q318&lt;&gt;"",TODAY()&gt;Q318),"En retard",""))</f>
        <v/>
      </c>
      <c r="V318" s="37" t="n"/>
    </row>
    <row r="319">
      <c r="B319" s="36" t="n"/>
      <c r="C319" s="36" t="n"/>
      <c r="D319" s="36" t="n"/>
      <c r="E319" s="37" t="n"/>
      <c r="F319" s="37" t="n"/>
      <c r="G319" s="37" t="n"/>
      <c r="H319" s="38" t="n"/>
      <c r="I319" s="36" t="n"/>
      <c r="J319" s="36" t="n"/>
      <c r="K319" s="39" t="n"/>
      <c r="L319" s="16">
        <f>IF($B319="","",IF(J319="Complétée",1,IF(J319="Abandonnée",0,IF(K319&lt;&gt;"",K319,IFERROR(VLOOKUP(J319,Parametres!$B$6:$C$12,2,FALSE),0)))))</f>
        <v/>
      </c>
      <c r="M319" s="15">
        <f>IF($B319="","",IF(J319="Abandonnée",0,H319))</f>
        <v/>
      </c>
      <c r="N319" s="15">
        <f>IF($B319="","",M319*L319)</f>
        <v/>
      </c>
      <c r="O319" s="37" t="n"/>
      <c r="P319" s="40" t="n"/>
      <c r="Q319" s="40" t="n"/>
      <c r="R319" s="40" t="n"/>
      <c r="S319" s="37" t="n"/>
      <c r="T319" s="36" t="n"/>
      <c r="U319" s="13">
        <f>IF($B319="","",IF(AND(J319&lt;&gt;"Complétée",J319&lt;&gt;"Abandonnée",Q319&lt;&gt;"",TODAY()&gt;Q319),"En retard",""))</f>
        <v/>
      </c>
      <c r="V319" s="37" t="n"/>
    </row>
    <row r="320">
      <c r="B320" s="36" t="n"/>
      <c r="C320" s="36" t="n"/>
      <c r="D320" s="36" t="n"/>
      <c r="E320" s="37" t="n"/>
      <c r="F320" s="37" t="n"/>
      <c r="G320" s="37" t="n"/>
      <c r="H320" s="38" t="n"/>
      <c r="I320" s="36" t="n"/>
      <c r="J320" s="36" t="n"/>
      <c r="K320" s="39" t="n"/>
      <c r="L320" s="16">
        <f>IF($B320="","",IF(J320="Complétée",1,IF(J320="Abandonnée",0,IF(K320&lt;&gt;"",K320,IFERROR(VLOOKUP(J320,Parametres!$B$6:$C$12,2,FALSE),0)))))</f>
        <v/>
      </c>
      <c r="M320" s="15">
        <f>IF($B320="","",IF(J320="Abandonnée",0,H320))</f>
        <v/>
      </c>
      <c r="N320" s="15">
        <f>IF($B320="","",M320*L320)</f>
        <v/>
      </c>
      <c r="O320" s="37" t="n"/>
      <c r="P320" s="40" t="n"/>
      <c r="Q320" s="40" t="n"/>
      <c r="R320" s="40" t="n"/>
      <c r="S320" s="37" t="n"/>
      <c r="T320" s="36" t="n"/>
      <c r="U320" s="13">
        <f>IF($B320="","",IF(AND(J320&lt;&gt;"Complétée",J320&lt;&gt;"Abandonnée",Q320&lt;&gt;"",TODAY()&gt;Q320),"En retard",""))</f>
        <v/>
      </c>
      <c r="V320" s="37" t="n"/>
    </row>
    <row r="321">
      <c r="B321" s="36" t="n"/>
      <c r="C321" s="36" t="n"/>
      <c r="D321" s="36" t="n"/>
      <c r="E321" s="37" t="n"/>
      <c r="F321" s="37" t="n"/>
      <c r="G321" s="37" t="n"/>
      <c r="H321" s="38" t="n"/>
      <c r="I321" s="36" t="n"/>
      <c r="J321" s="36" t="n"/>
      <c r="K321" s="39" t="n"/>
      <c r="L321" s="16">
        <f>IF($B321="","",IF(J321="Complétée",1,IF(J321="Abandonnée",0,IF(K321&lt;&gt;"",K321,IFERROR(VLOOKUP(J321,Parametres!$B$6:$C$12,2,FALSE),0)))))</f>
        <v/>
      </c>
      <c r="M321" s="15">
        <f>IF($B321="","",IF(J321="Abandonnée",0,H321))</f>
        <v/>
      </c>
      <c r="N321" s="15">
        <f>IF($B321="","",M321*L321)</f>
        <v/>
      </c>
      <c r="O321" s="37" t="n"/>
      <c r="P321" s="40" t="n"/>
      <c r="Q321" s="40" t="n"/>
      <c r="R321" s="40" t="n"/>
      <c r="S321" s="37" t="n"/>
      <c r="T321" s="36" t="n"/>
      <c r="U321" s="13">
        <f>IF($B321="","",IF(AND(J321&lt;&gt;"Complétée",J321&lt;&gt;"Abandonnée",Q321&lt;&gt;"",TODAY()&gt;Q321),"En retard",""))</f>
        <v/>
      </c>
      <c r="V321" s="37" t="n"/>
    </row>
    <row r="322">
      <c r="B322" s="36" t="n"/>
      <c r="C322" s="36" t="n"/>
      <c r="D322" s="36" t="n"/>
      <c r="E322" s="37" t="n"/>
      <c r="F322" s="37" t="n"/>
      <c r="G322" s="37" t="n"/>
      <c r="H322" s="38" t="n"/>
      <c r="I322" s="36" t="n"/>
      <c r="J322" s="36" t="n"/>
      <c r="K322" s="39" t="n"/>
      <c r="L322" s="16">
        <f>IF($B322="","",IF(J322="Complétée",1,IF(J322="Abandonnée",0,IF(K322&lt;&gt;"",K322,IFERROR(VLOOKUP(J322,Parametres!$B$6:$C$12,2,FALSE),0)))))</f>
        <v/>
      </c>
      <c r="M322" s="15">
        <f>IF($B322="","",IF(J322="Abandonnée",0,H322))</f>
        <v/>
      </c>
      <c r="N322" s="15">
        <f>IF($B322="","",M322*L322)</f>
        <v/>
      </c>
      <c r="O322" s="37" t="n"/>
      <c r="P322" s="40" t="n"/>
      <c r="Q322" s="40" t="n"/>
      <c r="R322" s="40" t="n"/>
      <c r="S322" s="37" t="n"/>
      <c r="T322" s="36" t="n"/>
      <c r="U322" s="13">
        <f>IF($B322="","",IF(AND(J322&lt;&gt;"Complétée",J322&lt;&gt;"Abandonnée",Q322&lt;&gt;"",TODAY()&gt;Q322),"En retard",""))</f>
        <v/>
      </c>
      <c r="V322" s="37" t="n"/>
    </row>
    <row r="323">
      <c r="B323" s="36" t="n"/>
      <c r="C323" s="36" t="n"/>
      <c r="D323" s="36" t="n"/>
      <c r="E323" s="37" t="n"/>
      <c r="F323" s="37" t="n"/>
      <c r="G323" s="37" t="n"/>
      <c r="H323" s="38" t="n"/>
      <c r="I323" s="36" t="n"/>
      <c r="J323" s="36" t="n"/>
      <c r="K323" s="39" t="n"/>
      <c r="L323" s="16">
        <f>IF($B323="","",IF(J323="Complétée",1,IF(J323="Abandonnée",0,IF(K323&lt;&gt;"",K323,IFERROR(VLOOKUP(J323,Parametres!$B$6:$C$12,2,FALSE),0)))))</f>
        <v/>
      </c>
      <c r="M323" s="15">
        <f>IF($B323="","",IF(J323="Abandonnée",0,H323))</f>
        <v/>
      </c>
      <c r="N323" s="15">
        <f>IF($B323="","",M323*L323)</f>
        <v/>
      </c>
      <c r="O323" s="37" t="n"/>
      <c r="P323" s="40" t="n"/>
      <c r="Q323" s="40" t="n"/>
      <c r="R323" s="40" t="n"/>
      <c r="S323" s="37" t="n"/>
      <c r="T323" s="36" t="n"/>
      <c r="U323" s="13">
        <f>IF($B323="","",IF(AND(J323&lt;&gt;"Complétée",J323&lt;&gt;"Abandonnée",Q323&lt;&gt;"",TODAY()&gt;Q323),"En retard",""))</f>
        <v/>
      </c>
      <c r="V323" s="37" t="n"/>
    </row>
    <row r="324">
      <c r="B324" s="36" t="n"/>
      <c r="C324" s="36" t="n"/>
      <c r="D324" s="36" t="n"/>
      <c r="E324" s="37" t="n"/>
      <c r="F324" s="37" t="n"/>
      <c r="G324" s="37" t="n"/>
      <c r="H324" s="38" t="n"/>
      <c r="I324" s="36" t="n"/>
      <c r="J324" s="36" t="n"/>
      <c r="K324" s="39" t="n"/>
      <c r="L324" s="16">
        <f>IF($B324="","",IF(J324="Complétée",1,IF(J324="Abandonnée",0,IF(K324&lt;&gt;"",K324,IFERROR(VLOOKUP(J324,Parametres!$B$6:$C$12,2,FALSE),0)))))</f>
        <v/>
      </c>
      <c r="M324" s="15">
        <f>IF($B324="","",IF(J324="Abandonnée",0,H324))</f>
        <v/>
      </c>
      <c r="N324" s="15">
        <f>IF($B324="","",M324*L324)</f>
        <v/>
      </c>
      <c r="O324" s="37" t="n"/>
      <c r="P324" s="40" t="n"/>
      <c r="Q324" s="40" t="n"/>
      <c r="R324" s="40" t="n"/>
      <c r="S324" s="37" t="n"/>
      <c r="T324" s="36" t="n"/>
      <c r="U324" s="13">
        <f>IF($B324="","",IF(AND(J324&lt;&gt;"Complétée",J324&lt;&gt;"Abandonnée",Q324&lt;&gt;"",TODAY()&gt;Q324),"En retard",""))</f>
        <v/>
      </c>
      <c r="V324" s="37" t="n"/>
    </row>
    <row r="325">
      <c r="B325" s="36" t="n"/>
      <c r="C325" s="36" t="n"/>
      <c r="D325" s="36" t="n"/>
      <c r="E325" s="37" t="n"/>
      <c r="F325" s="37" t="n"/>
      <c r="G325" s="37" t="n"/>
      <c r="H325" s="38" t="n"/>
      <c r="I325" s="36" t="n"/>
      <c r="J325" s="36" t="n"/>
      <c r="K325" s="39" t="n"/>
      <c r="L325" s="16">
        <f>IF($B325="","",IF(J325="Complétée",1,IF(J325="Abandonnée",0,IF(K325&lt;&gt;"",K325,IFERROR(VLOOKUP(J325,Parametres!$B$6:$C$12,2,FALSE),0)))))</f>
        <v/>
      </c>
      <c r="M325" s="15">
        <f>IF($B325="","",IF(J325="Abandonnée",0,H325))</f>
        <v/>
      </c>
      <c r="N325" s="15">
        <f>IF($B325="","",M325*L325)</f>
        <v/>
      </c>
      <c r="O325" s="37" t="n"/>
      <c r="P325" s="40" t="n"/>
      <c r="Q325" s="40" t="n"/>
      <c r="R325" s="40" t="n"/>
      <c r="S325" s="37" t="n"/>
      <c r="T325" s="36" t="n"/>
      <c r="U325" s="13">
        <f>IF($B325="","",IF(AND(J325&lt;&gt;"Complétée",J325&lt;&gt;"Abandonnée",Q325&lt;&gt;"",TODAY()&gt;Q325),"En retard",""))</f>
        <v/>
      </c>
      <c r="V325" s="37" t="n"/>
    </row>
  </sheetData>
  <autoFilter ref="B5:V325"/>
  <conditionalFormatting sqref="J6:J325">
    <cfRule type="expression" priority="1" dxfId="2">
      <formula>J6="Complétée"</formula>
    </cfRule>
    <cfRule type="expression" priority="2" dxfId="5">
      <formula>J6="En cours"</formula>
    </cfRule>
    <cfRule type="expression" priority="3" dxfId="6">
      <formula>J6="En revue"</formula>
    </cfRule>
    <cfRule type="expression" priority="4" dxfId="1">
      <formula>J6="Bloquée"</formula>
    </cfRule>
  </conditionalFormatting>
  <conditionalFormatting sqref="U6:U325">
    <cfRule type="expression" priority="5" dxfId="1">
      <formula>U6="En retard"</formula>
    </cfRule>
  </conditionalFormatting>
  <conditionalFormatting sqref="T6:T325">
    <cfRule type="expression" priority="6" dxfId="4">
      <formula>T6="Oui"</formula>
    </cfRule>
  </conditionalFormatting>
  <conditionalFormatting sqref="L6:L325">
    <cfRule type="dataBar" priority="7">
      <dataBar>
        <cfvo type="num" val="0"/>
        <cfvo type="num" val="1"/>
        <color rgb="006678F1"/>
      </dataBar>
    </cfRule>
  </conditionalFormatting>
  <dataValidations count="7">
    <dataValidation sqref="J6:J325" showDropDown="0" showInputMessage="0" showErrorMessage="0" allowBlank="1" type="list">
      <formula1>=Parametres!$B$6:$B$12</formula1>
    </dataValidation>
    <dataValidation sqref="I6:I325" showDropDown="0" showInputMessage="0" showErrorMessage="0" allowBlank="1" type="list">
      <formula1>=Parametres!$F$6:$F$8</formula1>
    </dataValidation>
    <dataValidation sqref="C6:C325" showDropDown="0" showInputMessage="0" showErrorMessage="0" allowBlank="1" type="list">
      <formula1>=Parametres!$H$6:$H$10</formula1>
    </dataValidation>
    <dataValidation sqref="D6:D325" showDropDown="0" showInputMessage="0" showErrorMessage="0" allowBlank="1" type="list">
      <formula1>=Parametres!$J$6:$J$25</formula1>
    </dataValidation>
    <dataValidation sqref="T6:T325" showDropDown="0" showInputMessage="0" showErrorMessage="0" allowBlank="1" type="list">
      <formula1>=Parametres!$L$6:$L$7</formula1>
    </dataValidation>
    <dataValidation sqref="K6:K325" showDropDown="0" showInputMessage="0" showErrorMessage="0" allowBlank="1" type="decimal" operator="between">
      <formula1>0</formula1>
      <formula2>1</formula2>
    </dataValidation>
    <dataValidation sqref="O6:O325" showDropDown="0" showInputMessage="0" showErrorMessage="0" allowBlank="1" type="list">
      <formula1>=Equipe!$B$6:$B$45</formula1>
    </dataValidation>
  </dataValidations>
  <pageMargins left="0.75" right="0.75" top="1" bottom="1" header="0.5" footer="0.5"/>
</worksheet>
</file>

<file path=xl/worksheets/sheet6.xml><?xml version="1.0" encoding="utf-8"?>
<worksheet xmlns="http://schemas.openxmlformats.org/spreadsheetml/2006/main">
  <sheetPr>
    <tabColor rgb="006678F1"/>
    <outlinePr summaryBelow="1" summaryRight="1"/>
    <pageSetUpPr/>
  </sheetPr>
  <dimension ref="B2:R4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24" customWidth="1" min="3" max="3"/>
    <col width="14" customWidth="1" min="4" max="4"/>
    <col width="22" customWidth="1" min="5" max="5"/>
    <col width="11" customWidth="1" min="6" max="6"/>
    <col width="11" customWidth="1" min="7" max="7"/>
    <col width="7" customWidth="1" min="8" max="8"/>
    <col width="10" customWidth="1" min="9" max="9"/>
    <col width="11" customWidth="1" min="10" max="10"/>
    <col width="11" customWidth="1" min="11" max="11"/>
    <col width="11" customWidth="1" min="12" max="12"/>
    <col width="9" customWidth="1" min="13" max="13"/>
    <col width="9" customWidth="1" min="14" max="14"/>
    <col width="9" customWidth="1" min="15" max="15"/>
    <col width="10" customWidth="1" min="16" max="16"/>
    <col width="12" customWidth="1" min="17" max="17"/>
    <col width="30" customWidth="1" min="18" max="18"/>
  </cols>
  <sheetData>
    <row r="2">
      <c r="B2" s="1" t="inlineStr">
        <is>
          <t>Équipe projet</t>
        </is>
      </c>
    </row>
    <row r="3">
      <c r="B3" s="17" t="inlineStr">
        <is>
          <t>Chaque développeur s'inscrit ici (colonnes jaunes). Son nom devient alors sélectionnable dans la colonne Responsable de l'onglet Taches. Charges et avancement calculés.</t>
        </is>
      </c>
    </row>
    <row r="5" ht="32" customHeight="1">
      <c r="B5" s="11" t="inlineStr">
        <is>
          <t>Nom complet</t>
        </is>
      </c>
      <c r="C5" s="11" t="inlineStr">
        <is>
          <t>Rôle</t>
        </is>
      </c>
      <c r="D5" s="11" t="inlineStr">
        <is>
          <t>Organisation</t>
        </is>
      </c>
      <c r="E5" s="11" t="inlineStr">
        <is>
          <t>Contact</t>
        </is>
      </c>
      <c r="F5" s="11" t="inlineStr">
        <is>
          <t>Disponibilité</t>
        </is>
      </c>
      <c r="G5" s="11" t="inlineStr">
        <is>
          <t>Arrivée</t>
        </is>
      </c>
      <c r="H5" s="11" t="inlineStr">
        <is>
          <t>Actif</t>
        </is>
      </c>
      <c r="I5" s="11" t="inlineStr">
        <is>
          <t>Tâches assignées</t>
        </is>
      </c>
      <c r="J5" s="11" t="inlineStr">
        <is>
          <t>Charge assignée (j/p)</t>
        </is>
      </c>
      <c r="K5" s="11" t="inlineStr">
        <is>
          <t>Charge réalisée (j/p)</t>
        </is>
      </c>
      <c r="L5" s="11" t="inlineStr">
        <is>
          <t>Avancement</t>
        </is>
      </c>
      <c r="M5" s="11" t="inlineStr">
        <is>
          <t>En cours</t>
        </is>
      </c>
      <c r="N5" s="11" t="inlineStr">
        <is>
          <t>Bloquées</t>
        </is>
      </c>
      <c r="O5" s="11" t="inlineStr">
        <is>
          <t>En retard</t>
        </is>
      </c>
      <c r="P5" s="11" t="inlineStr">
        <is>
          <t>Complétées</t>
        </is>
      </c>
      <c r="Q5" s="11" t="inlineStr">
        <is>
          <t>Charge restante (j/p)</t>
        </is>
      </c>
      <c r="R5" s="11" t="inlineStr">
        <is>
          <t>Commentaire</t>
        </is>
      </c>
    </row>
    <row r="6">
      <c r="B6" s="37" t="inlineStr">
        <is>
          <t>Abdou-Raouf</t>
        </is>
      </c>
      <c r="C6" s="37" t="inlineStr">
        <is>
          <t>Chef de projet / architecte</t>
        </is>
      </c>
      <c r="D6" s="37" t="inlineStr">
        <is>
          <t>DealPME</t>
        </is>
      </c>
      <c r="E6" s="37" t="inlineStr"/>
      <c r="F6" s="39" t="n">
        <v>1</v>
      </c>
      <c r="G6" s="40" t="n">
        <v>46274</v>
      </c>
      <c r="H6" s="36" t="inlineStr">
        <is>
          <t>Oui</t>
        </is>
      </c>
      <c r="I6" s="12">
        <f>IF($B6="","",COUNTIFS(Taches!$O$6:$O$325,$B6,Taches!$J$6:$J$325,"&lt;&gt;Abandonnée"))</f>
        <v/>
      </c>
      <c r="J6" s="15">
        <f>IF($B6="","",SUMIF(Taches!$O$6:$O$325,$B6,Taches!$M$6:$M$325))</f>
        <v/>
      </c>
      <c r="K6" s="15">
        <f>IF($B6="","",SUMIF(Taches!$O$6:$O$325,$B6,Taches!$N$6:$N$325))</f>
        <v/>
      </c>
      <c r="L6" s="16">
        <f>IF(OR($B6="",J6=0),"",K6/J6)</f>
        <v/>
      </c>
      <c r="M6" s="12">
        <f>IF($B6="","",COUNTIFS(Taches!$O$6:$O$325,$B6,Taches!$J$6:$J$325,"En cours")+COUNTIFS(Taches!$O$6:$O$325,$B6,Taches!$J$6:$J$325,"En revue"))</f>
        <v/>
      </c>
      <c r="N6" s="12">
        <f>IF($B6="","",COUNTIFS(Taches!$O$6:$O$325,$B6,Taches!$J$6:$J$325,"Bloquée"))</f>
        <v/>
      </c>
      <c r="O6" s="12">
        <f>IF($B6="","",COUNTIFS(Taches!$O$6:$O$325,$B6,Taches!$U$6:$U$325,"En retard"))</f>
        <v/>
      </c>
      <c r="P6" s="12">
        <f>IF($B6="","",COUNTIFS(Taches!$O$6:$O$325,$B6,Taches!$J$6:$J$325,"Complétée"))</f>
        <v/>
      </c>
      <c r="Q6" s="15">
        <f>IF($B6="","",J6-K6)</f>
        <v/>
      </c>
      <c r="R6" s="37" t="inlineStr">
        <is>
          <t>Pilotage, architecture, revue de code</t>
        </is>
      </c>
    </row>
    <row r="7">
      <c r="B7" s="37" t="n"/>
      <c r="C7" s="37" t="n"/>
      <c r="D7" s="37" t="n"/>
      <c r="E7" s="37" t="n"/>
      <c r="F7" s="39" t="n"/>
      <c r="G7" s="40" t="n"/>
      <c r="H7" s="36" t="n"/>
      <c r="I7" s="12">
        <f>IF($B7="","",COUNTIFS(Taches!$O$6:$O$325,$B7,Taches!$J$6:$J$325,"&lt;&gt;Abandonnée"))</f>
        <v/>
      </c>
      <c r="J7" s="15">
        <f>IF($B7="","",SUMIF(Taches!$O$6:$O$325,$B7,Taches!$M$6:$M$325))</f>
        <v/>
      </c>
      <c r="K7" s="15">
        <f>IF($B7="","",SUMIF(Taches!$O$6:$O$325,$B7,Taches!$N$6:$N$325))</f>
        <v/>
      </c>
      <c r="L7" s="16">
        <f>IF(OR($B7="",J7=0),"",K7/J7)</f>
        <v/>
      </c>
      <c r="M7" s="12">
        <f>IF($B7="","",COUNTIFS(Taches!$O$6:$O$325,$B7,Taches!$J$6:$J$325,"En cours")+COUNTIFS(Taches!$O$6:$O$325,$B7,Taches!$J$6:$J$325,"En revue"))</f>
        <v/>
      </c>
      <c r="N7" s="12">
        <f>IF($B7="","",COUNTIFS(Taches!$O$6:$O$325,$B7,Taches!$J$6:$J$325,"Bloquée"))</f>
        <v/>
      </c>
      <c r="O7" s="12">
        <f>IF($B7="","",COUNTIFS(Taches!$O$6:$O$325,$B7,Taches!$U$6:$U$325,"En retard"))</f>
        <v/>
      </c>
      <c r="P7" s="12">
        <f>IF($B7="","",COUNTIFS(Taches!$O$6:$O$325,$B7,Taches!$J$6:$J$325,"Complétée"))</f>
        <v/>
      </c>
      <c r="Q7" s="15">
        <f>IF($B7="","",J7-K7)</f>
        <v/>
      </c>
      <c r="R7" s="37" t="n"/>
    </row>
    <row r="8">
      <c r="B8" s="37" t="n"/>
      <c r="C8" s="37" t="n"/>
      <c r="D8" s="37" t="n"/>
      <c r="E8" s="37" t="n"/>
      <c r="F8" s="39" t="n"/>
      <c r="G8" s="40" t="n"/>
      <c r="H8" s="36" t="n"/>
      <c r="I8" s="12">
        <f>IF($B8="","",COUNTIFS(Taches!$O$6:$O$325,$B8,Taches!$J$6:$J$325,"&lt;&gt;Abandonnée"))</f>
        <v/>
      </c>
      <c r="J8" s="15">
        <f>IF($B8="","",SUMIF(Taches!$O$6:$O$325,$B8,Taches!$M$6:$M$325))</f>
        <v/>
      </c>
      <c r="K8" s="15">
        <f>IF($B8="","",SUMIF(Taches!$O$6:$O$325,$B8,Taches!$N$6:$N$325))</f>
        <v/>
      </c>
      <c r="L8" s="16">
        <f>IF(OR($B8="",J8=0),"",K8/J8)</f>
        <v/>
      </c>
      <c r="M8" s="12">
        <f>IF($B8="","",COUNTIFS(Taches!$O$6:$O$325,$B8,Taches!$J$6:$J$325,"En cours")+COUNTIFS(Taches!$O$6:$O$325,$B8,Taches!$J$6:$J$325,"En revue"))</f>
        <v/>
      </c>
      <c r="N8" s="12">
        <f>IF($B8="","",COUNTIFS(Taches!$O$6:$O$325,$B8,Taches!$J$6:$J$325,"Bloquée"))</f>
        <v/>
      </c>
      <c r="O8" s="12">
        <f>IF($B8="","",COUNTIFS(Taches!$O$6:$O$325,$B8,Taches!$U$6:$U$325,"En retard"))</f>
        <v/>
      </c>
      <c r="P8" s="12">
        <f>IF($B8="","",COUNTIFS(Taches!$O$6:$O$325,$B8,Taches!$J$6:$J$325,"Complétée"))</f>
        <v/>
      </c>
      <c r="Q8" s="15">
        <f>IF($B8="","",J8-K8)</f>
        <v/>
      </c>
      <c r="R8" s="37" t="n"/>
    </row>
    <row r="9">
      <c r="B9" s="37" t="n"/>
      <c r="C9" s="37" t="n"/>
      <c r="D9" s="37" t="n"/>
      <c r="E9" s="37" t="n"/>
      <c r="F9" s="39" t="n"/>
      <c r="G9" s="40" t="n"/>
      <c r="H9" s="36" t="n"/>
      <c r="I9" s="12">
        <f>IF($B9="","",COUNTIFS(Taches!$O$6:$O$325,$B9,Taches!$J$6:$J$325,"&lt;&gt;Abandonnée"))</f>
        <v/>
      </c>
      <c r="J9" s="15">
        <f>IF($B9="","",SUMIF(Taches!$O$6:$O$325,$B9,Taches!$M$6:$M$325))</f>
        <v/>
      </c>
      <c r="K9" s="15">
        <f>IF($B9="","",SUMIF(Taches!$O$6:$O$325,$B9,Taches!$N$6:$N$325))</f>
        <v/>
      </c>
      <c r="L9" s="16">
        <f>IF(OR($B9="",J9=0),"",K9/J9)</f>
        <v/>
      </c>
      <c r="M9" s="12">
        <f>IF($B9="","",COUNTIFS(Taches!$O$6:$O$325,$B9,Taches!$J$6:$J$325,"En cours")+COUNTIFS(Taches!$O$6:$O$325,$B9,Taches!$J$6:$J$325,"En revue"))</f>
        <v/>
      </c>
      <c r="N9" s="12">
        <f>IF($B9="","",COUNTIFS(Taches!$O$6:$O$325,$B9,Taches!$J$6:$J$325,"Bloquée"))</f>
        <v/>
      </c>
      <c r="O9" s="12">
        <f>IF($B9="","",COUNTIFS(Taches!$O$6:$O$325,$B9,Taches!$U$6:$U$325,"En retard"))</f>
        <v/>
      </c>
      <c r="P9" s="12">
        <f>IF($B9="","",COUNTIFS(Taches!$O$6:$O$325,$B9,Taches!$J$6:$J$325,"Complétée"))</f>
        <v/>
      </c>
      <c r="Q9" s="15">
        <f>IF($B9="","",J9-K9)</f>
        <v/>
      </c>
      <c r="R9" s="37" t="n"/>
    </row>
    <row r="10">
      <c r="B10" s="37" t="n"/>
      <c r="C10" s="37" t="n"/>
      <c r="D10" s="37" t="n"/>
      <c r="E10" s="37" t="n"/>
      <c r="F10" s="39" t="n"/>
      <c r="G10" s="40" t="n"/>
      <c r="H10" s="36" t="n"/>
      <c r="I10" s="12">
        <f>IF($B10="","",COUNTIFS(Taches!$O$6:$O$325,$B10,Taches!$J$6:$J$325,"&lt;&gt;Abandonnée"))</f>
        <v/>
      </c>
      <c r="J10" s="15">
        <f>IF($B10="","",SUMIF(Taches!$O$6:$O$325,$B10,Taches!$M$6:$M$325))</f>
        <v/>
      </c>
      <c r="K10" s="15">
        <f>IF($B10="","",SUMIF(Taches!$O$6:$O$325,$B10,Taches!$N$6:$N$325))</f>
        <v/>
      </c>
      <c r="L10" s="16">
        <f>IF(OR($B10="",J10=0),"",K10/J10)</f>
        <v/>
      </c>
      <c r="M10" s="12">
        <f>IF($B10="","",COUNTIFS(Taches!$O$6:$O$325,$B10,Taches!$J$6:$J$325,"En cours")+COUNTIFS(Taches!$O$6:$O$325,$B10,Taches!$J$6:$J$325,"En revue"))</f>
        <v/>
      </c>
      <c r="N10" s="12">
        <f>IF($B10="","",COUNTIFS(Taches!$O$6:$O$325,$B10,Taches!$J$6:$J$325,"Bloquée"))</f>
        <v/>
      </c>
      <c r="O10" s="12">
        <f>IF($B10="","",COUNTIFS(Taches!$O$6:$O$325,$B10,Taches!$U$6:$U$325,"En retard"))</f>
        <v/>
      </c>
      <c r="P10" s="12">
        <f>IF($B10="","",COUNTIFS(Taches!$O$6:$O$325,$B10,Taches!$J$6:$J$325,"Complétée"))</f>
        <v/>
      </c>
      <c r="Q10" s="15">
        <f>IF($B10="","",J10-K10)</f>
        <v/>
      </c>
      <c r="R10" s="37" t="n"/>
    </row>
    <row r="11">
      <c r="B11" s="37" t="n"/>
      <c r="C11" s="37" t="n"/>
      <c r="D11" s="37" t="n"/>
      <c r="E11" s="37" t="n"/>
      <c r="F11" s="39" t="n"/>
      <c r="G11" s="40" t="n"/>
      <c r="H11" s="36" t="n"/>
      <c r="I11" s="12">
        <f>IF($B11="","",COUNTIFS(Taches!$O$6:$O$325,$B11,Taches!$J$6:$J$325,"&lt;&gt;Abandonnée"))</f>
        <v/>
      </c>
      <c r="J11" s="15">
        <f>IF($B11="","",SUMIF(Taches!$O$6:$O$325,$B11,Taches!$M$6:$M$325))</f>
        <v/>
      </c>
      <c r="K11" s="15">
        <f>IF($B11="","",SUMIF(Taches!$O$6:$O$325,$B11,Taches!$N$6:$N$325))</f>
        <v/>
      </c>
      <c r="L11" s="16">
        <f>IF(OR($B11="",J11=0),"",K11/J11)</f>
        <v/>
      </c>
      <c r="M11" s="12">
        <f>IF($B11="","",COUNTIFS(Taches!$O$6:$O$325,$B11,Taches!$J$6:$J$325,"En cours")+COUNTIFS(Taches!$O$6:$O$325,$B11,Taches!$J$6:$J$325,"En revue"))</f>
        <v/>
      </c>
      <c r="N11" s="12">
        <f>IF($B11="","",COUNTIFS(Taches!$O$6:$O$325,$B11,Taches!$J$6:$J$325,"Bloquée"))</f>
        <v/>
      </c>
      <c r="O11" s="12">
        <f>IF($B11="","",COUNTIFS(Taches!$O$6:$O$325,$B11,Taches!$U$6:$U$325,"En retard"))</f>
        <v/>
      </c>
      <c r="P11" s="12">
        <f>IF($B11="","",COUNTIFS(Taches!$O$6:$O$325,$B11,Taches!$J$6:$J$325,"Complétée"))</f>
        <v/>
      </c>
      <c r="Q11" s="15">
        <f>IF($B11="","",J11-K11)</f>
        <v/>
      </c>
      <c r="R11" s="37" t="n"/>
    </row>
    <row r="12">
      <c r="B12" s="37" t="n"/>
      <c r="C12" s="37" t="n"/>
      <c r="D12" s="37" t="n"/>
      <c r="E12" s="37" t="n"/>
      <c r="F12" s="39" t="n"/>
      <c r="G12" s="40" t="n"/>
      <c r="H12" s="36" t="n"/>
      <c r="I12" s="12">
        <f>IF($B12="","",COUNTIFS(Taches!$O$6:$O$325,$B12,Taches!$J$6:$J$325,"&lt;&gt;Abandonnée"))</f>
        <v/>
      </c>
      <c r="J12" s="15">
        <f>IF($B12="","",SUMIF(Taches!$O$6:$O$325,$B12,Taches!$M$6:$M$325))</f>
        <v/>
      </c>
      <c r="K12" s="15">
        <f>IF($B12="","",SUMIF(Taches!$O$6:$O$325,$B12,Taches!$N$6:$N$325))</f>
        <v/>
      </c>
      <c r="L12" s="16">
        <f>IF(OR($B12="",J12=0),"",K12/J12)</f>
        <v/>
      </c>
      <c r="M12" s="12">
        <f>IF($B12="","",COUNTIFS(Taches!$O$6:$O$325,$B12,Taches!$J$6:$J$325,"En cours")+COUNTIFS(Taches!$O$6:$O$325,$B12,Taches!$J$6:$J$325,"En revue"))</f>
        <v/>
      </c>
      <c r="N12" s="12">
        <f>IF($B12="","",COUNTIFS(Taches!$O$6:$O$325,$B12,Taches!$J$6:$J$325,"Bloquée"))</f>
        <v/>
      </c>
      <c r="O12" s="12">
        <f>IF($B12="","",COUNTIFS(Taches!$O$6:$O$325,$B12,Taches!$U$6:$U$325,"En retard"))</f>
        <v/>
      </c>
      <c r="P12" s="12">
        <f>IF($B12="","",COUNTIFS(Taches!$O$6:$O$325,$B12,Taches!$J$6:$J$325,"Complétée"))</f>
        <v/>
      </c>
      <c r="Q12" s="15">
        <f>IF($B12="","",J12-K12)</f>
        <v/>
      </c>
      <c r="R12" s="37" t="n"/>
    </row>
    <row r="13">
      <c r="B13" s="37" t="n"/>
      <c r="C13" s="37" t="n"/>
      <c r="D13" s="37" t="n"/>
      <c r="E13" s="37" t="n"/>
      <c r="F13" s="39" t="n"/>
      <c r="G13" s="40" t="n"/>
      <c r="H13" s="36" t="n"/>
      <c r="I13" s="12">
        <f>IF($B13="","",COUNTIFS(Taches!$O$6:$O$325,$B13,Taches!$J$6:$J$325,"&lt;&gt;Abandonnée"))</f>
        <v/>
      </c>
      <c r="J13" s="15">
        <f>IF($B13="","",SUMIF(Taches!$O$6:$O$325,$B13,Taches!$M$6:$M$325))</f>
        <v/>
      </c>
      <c r="K13" s="15">
        <f>IF($B13="","",SUMIF(Taches!$O$6:$O$325,$B13,Taches!$N$6:$N$325))</f>
        <v/>
      </c>
      <c r="L13" s="16">
        <f>IF(OR($B13="",J13=0),"",K13/J13)</f>
        <v/>
      </c>
      <c r="M13" s="12">
        <f>IF($B13="","",COUNTIFS(Taches!$O$6:$O$325,$B13,Taches!$J$6:$J$325,"En cours")+COUNTIFS(Taches!$O$6:$O$325,$B13,Taches!$J$6:$J$325,"En revue"))</f>
        <v/>
      </c>
      <c r="N13" s="12">
        <f>IF($B13="","",COUNTIFS(Taches!$O$6:$O$325,$B13,Taches!$J$6:$J$325,"Bloquée"))</f>
        <v/>
      </c>
      <c r="O13" s="12">
        <f>IF($B13="","",COUNTIFS(Taches!$O$6:$O$325,$B13,Taches!$U$6:$U$325,"En retard"))</f>
        <v/>
      </c>
      <c r="P13" s="12">
        <f>IF($B13="","",COUNTIFS(Taches!$O$6:$O$325,$B13,Taches!$J$6:$J$325,"Complétée"))</f>
        <v/>
      </c>
      <c r="Q13" s="15">
        <f>IF($B13="","",J13-K13)</f>
        <v/>
      </c>
      <c r="R13" s="37" t="n"/>
    </row>
    <row r="14">
      <c r="B14" s="37" t="n"/>
      <c r="C14" s="37" t="n"/>
      <c r="D14" s="37" t="n"/>
      <c r="E14" s="37" t="n"/>
      <c r="F14" s="39" t="n"/>
      <c r="G14" s="40" t="n"/>
      <c r="H14" s="36" t="n"/>
      <c r="I14" s="12">
        <f>IF($B14="","",COUNTIFS(Taches!$O$6:$O$325,$B14,Taches!$J$6:$J$325,"&lt;&gt;Abandonnée"))</f>
        <v/>
      </c>
      <c r="J14" s="15">
        <f>IF($B14="","",SUMIF(Taches!$O$6:$O$325,$B14,Taches!$M$6:$M$325))</f>
        <v/>
      </c>
      <c r="K14" s="15">
        <f>IF($B14="","",SUMIF(Taches!$O$6:$O$325,$B14,Taches!$N$6:$N$325))</f>
        <v/>
      </c>
      <c r="L14" s="16">
        <f>IF(OR($B14="",J14=0),"",K14/J14)</f>
        <v/>
      </c>
      <c r="M14" s="12">
        <f>IF($B14="","",COUNTIFS(Taches!$O$6:$O$325,$B14,Taches!$J$6:$J$325,"En cours")+COUNTIFS(Taches!$O$6:$O$325,$B14,Taches!$J$6:$J$325,"En revue"))</f>
        <v/>
      </c>
      <c r="N14" s="12">
        <f>IF($B14="","",COUNTIFS(Taches!$O$6:$O$325,$B14,Taches!$J$6:$J$325,"Bloquée"))</f>
        <v/>
      </c>
      <c r="O14" s="12">
        <f>IF($B14="","",COUNTIFS(Taches!$O$6:$O$325,$B14,Taches!$U$6:$U$325,"En retard"))</f>
        <v/>
      </c>
      <c r="P14" s="12">
        <f>IF($B14="","",COUNTIFS(Taches!$O$6:$O$325,$B14,Taches!$J$6:$J$325,"Complétée"))</f>
        <v/>
      </c>
      <c r="Q14" s="15">
        <f>IF($B14="","",J14-K14)</f>
        <v/>
      </c>
      <c r="R14" s="37" t="n"/>
    </row>
    <row r="15">
      <c r="B15" s="37" t="n"/>
      <c r="C15" s="37" t="n"/>
      <c r="D15" s="37" t="n"/>
      <c r="E15" s="37" t="n"/>
      <c r="F15" s="39" t="n"/>
      <c r="G15" s="40" t="n"/>
      <c r="H15" s="36" t="n"/>
      <c r="I15" s="12">
        <f>IF($B15="","",COUNTIFS(Taches!$O$6:$O$325,$B15,Taches!$J$6:$J$325,"&lt;&gt;Abandonnée"))</f>
        <v/>
      </c>
      <c r="J15" s="15">
        <f>IF($B15="","",SUMIF(Taches!$O$6:$O$325,$B15,Taches!$M$6:$M$325))</f>
        <v/>
      </c>
      <c r="K15" s="15">
        <f>IF($B15="","",SUMIF(Taches!$O$6:$O$325,$B15,Taches!$N$6:$N$325))</f>
        <v/>
      </c>
      <c r="L15" s="16">
        <f>IF(OR($B15="",J15=0),"",K15/J15)</f>
        <v/>
      </c>
      <c r="M15" s="12">
        <f>IF($B15="","",COUNTIFS(Taches!$O$6:$O$325,$B15,Taches!$J$6:$J$325,"En cours")+COUNTIFS(Taches!$O$6:$O$325,$B15,Taches!$J$6:$J$325,"En revue"))</f>
        <v/>
      </c>
      <c r="N15" s="12">
        <f>IF($B15="","",COUNTIFS(Taches!$O$6:$O$325,$B15,Taches!$J$6:$J$325,"Bloquée"))</f>
        <v/>
      </c>
      <c r="O15" s="12">
        <f>IF($B15="","",COUNTIFS(Taches!$O$6:$O$325,$B15,Taches!$U$6:$U$325,"En retard"))</f>
        <v/>
      </c>
      <c r="P15" s="12">
        <f>IF($B15="","",COUNTIFS(Taches!$O$6:$O$325,$B15,Taches!$J$6:$J$325,"Complétée"))</f>
        <v/>
      </c>
      <c r="Q15" s="15">
        <f>IF($B15="","",J15-K15)</f>
        <v/>
      </c>
      <c r="R15" s="37" t="n"/>
    </row>
    <row r="16">
      <c r="B16" s="37" t="n"/>
      <c r="C16" s="37" t="n"/>
      <c r="D16" s="37" t="n"/>
      <c r="E16" s="37" t="n"/>
      <c r="F16" s="39" t="n"/>
      <c r="G16" s="40" t="n"/>
      <c r="H16" s="36" t="n"/>
      <c r="I16" s="12">
        <f>IF($B16="","",COUNTIFS(Taches!$O$6:$O$325,$B16,Taches!$J$6:$J$325,"&lt;&gt;Abandonnée"))</f>
        <v/>
      </c>
      <c r="J16" s="15">
        <f>IF($B16="","",SUMIF(Taches!$O$6:$O$325,$B16,Taches!$M$6:$M$325))</f>
        <v/>
      </c>
      <c r="K16" s="15">
        <f>IF($B16="","",SUMIF(Taches!$O$6:$O$325,$B16,Taches!$N$6:$N$325))</f>
        <v/>
      </c>
      <c r="L16" s="16">
        <f>IF(OR($B16="",J16=0),"",K16/J16)</f>
        <v/>
      </c>
      <c r="M16" s="12">
        <f>IF($B16="","",COUNTIFS(Taches!$O$6:$O$325,$B16,Taches!$J$6:$J$325,"En cours")+COUNTIFS(Taches!$O$6:$O$325,$B16,Taches!$J$6:$J$325,"En revue"))</f>
        <v/>
      </c>
      <c r="N16" s="12">
        <f>IF($B16="","",COUNTIFS(Taches!$O$6:$O$325,$B16,Taches!$J$6:$J$325,"Bloquée"))</f>
        <v/>
      </c>
      <c r="O16" s="12">
        <f>IF($B16="","",COUNTIFS(Taches!$O$6:$O$325,$B16,Taches!$U$6:$U$325,"En retard"))</f>
        <v/>
      </c>
      <c r="P16" s="12">
        <f>IF($B16="","",COUNTIFS(Taches!$O$6:$O$325,$B16,Taches!$J$6:$J$325,"Complétée"))</f>
        <v/>
      </c>
      <c r="Q16" s="15">
        <f>IF($B16="","",J16-K16)</f>
        <v/>
      </c>
      <c r="R16" s="37" t="n"/>
    </row>
    <row r="17">
      <c r="B17" s="37" t="n"/>
      <c r="C17" s="37" t="n"/>
      <c r="D17" s="37" t="n"/>
      <c r="E17" s="37" t="n"/>
      <c r="F17" s="39" t="n"/>
      <c r="G17" s="40" t="n"/>
      <c r="H17" s="36" t="n"/>
      <c r="I17" s="12">
        <f>IF($B17="","",COUNTIFS(Taches!$O$6:$O$325,$B17,Taches!$J$6:$J$325,"&lt;&gt;Abandonnée"))</f>
        <v/>
      </c>
      <c r="J17" s="15">
        <f>IF($B17="","",SUMIF(Taches!$O$6:$O$325,$B17,Taches!$M$6:$M$325))</f>
        <v/>
      </c>
      <c r="K17" s="15">
        <f>IF($B17="","",SUMIF(Taches!$O$6:$O$325,$B17,Taches!$N$6:$N$325))</f>
        <v/>
      </c>
      <c r="L17" s="16">
        <f>IF(OR($B17="",J17=0),"",K17/J17)</f>
        <v/>
      </c>
      <c r="M17" s="12">
        <f>IF($B17="","",COUNTIFS(Taches!$O$6:$O$325,$B17,Taches!$J$6:$J$325,"En cours")+COUNTIFS(Taches!$O$6:$O$325,$B17,Taches!$J$6:$J$325,"En revue"))</f>
        <v/>
      </c>
      <c r="N17" s="12">
        <f>IF($B17="","",COUNTIFS(Taches!$O$6:$O$325,$B17,Taches!$J$6:$J$325,"Bloquée"))</f>
        <v/>
      </c>
      <c r="O17" s="12">
        <f>IF($B17="","",COUNTIFS(Taches!$O$6:$O$325,$B17,Taches!$U$6:$U$325,"En retard"))</f>
        <v/>
      </c>
      <c r="P17" s="12">
        <f>IF($B17="","",COUNTIFS(Taches!$O$6:$O$325,$B17,Taches!$J$6:$J$325,"Complétée"))</f>
        <v/>
      </c>
      <c r="Q17" s="15">
        <f>IF($B17="","",J17-K17)</f>
        <v/>
      </c>
      <c r="R17" s="37" t="n"/>
    </row>
    <row r="18">
      <c r="B18" s="37" t="n"/>
      <c r="C18" s="37" t="n"/>
      <c r="D18" s="37" t="n"/>
      <c r="E18" s="37" t="n"/>
      <c r="F18" s="39" t="n"/>
      <c r="G18" s="40" t="n"/>
      <c r="H18" s="36" t="n"/>
      <c r="I18" s="12">
        <f>IF($B18="","",COUNTIFS(Taches!$O$6:$O$325,$B18,Taches!$J$6:$J$325,"&lt;&gt;Abandonnée"))</f>
        <v/>
      </c>
      <c r="J18" s="15">
        <f>IF($B18="","",SUMIF(Taches!$O$6:$O$325,$B18,Taches!$M$6:$M$325))</f>
        <v/>
      </c>
      <c r="K18" s="15">
        <f>IF($B18="","",SUMIF(Taches!$O$6:$O$325,$B18,Taches!$N$6:$N$325))</f>
        <v/>
      </c>
      <c r="L18" s="16">
        <f>IF(OR($B18="",J18=0),"",K18/J18)</f>
        <v/>
      </c>
      <c r="M18" s="12">
        <f>IF($B18="","",COUNTIFS(Taches!$O$6:$O$325,$B18,Taches!$J$6:$J$325,"En cours")+COUNTIFS(Taches!$O$6:$O$325,$B18,Taches!$J$6:$J$325,"En revue"))</f>
        <v/>
      </c>
      <c r="N18" s="12">
        <f>IF($B18="","",COUNTIFS(Taches!$O$6:$O$325,$B18,Taches!$J$6:$J$325,"Bloquée"))</f>
        <v/>
      </c>
      <c r="O18" s="12">
        <f>IF($B18="","",COUNTIFS(Taches!$O$6:$O$325,$B18,Taches!$U$6:$U$325,"En retard"))</f>
        <v/>
      </c>
      <c r="P18" s="12">
        <f>IF($B18="","",COUNTIFS(Taches!$O$6:$O$325,$B18,Taches!$J$6:$J$325,"Complétée"))</f>
        <v/>
      </c>
      <c r="Q18" s="15">
        <f>IF($B18="","",J18-K18)</f>
        <v/>
      </c>
      <c r="R18" s="37" t="n"/>
    </row>
    <row r="19">
      <c r="B19" s="37" t="n"/>
      <c r="C19" s="37" t="n"/>
      <c r="D19" s="37" t="n"/>
      <c r="E19" s="37" t="n"/>
      <c r="F19" s="39" t="n"/>
      <c r="G19" s="40" t="n"/>
      <c r="H19" s="36" t="n"/>
      <c r="I19" s="12">
        <f>IF($B19="","",COUNTIFS(Taches!$O$6:$O$325,$B19,Taches!$J$6:$J$325,"&lt;&gt;Abandonnée"))</f>
        <v/>
      </c>
      <c r="J19" s="15">
        <f>IF($B19="","",SUMIF(Taches!$O$6:$O$325,$B19,Taches!$M$6:$M$325))</f>
        <v/>
      </c>
      <c r="K19" s="15">
        <f>IF($B19="","",SUMIF(Taches!$O$6:$O$325,$B19,Taches!$N$6:$N$325))</f>
        <v/>
      </c>
      <c r="L19" s="16">
        <f>IF(OR($B19="",J19=0),"",K19/J19)</f>
        <v/>
      </c>
      <c r="M19" s="12">
        <f>IF($B19="","",COUNTIFS(Taches!$O$6:$O$325,$B19,Taches!$J$6:$J$325,"En cours")+COUNTIFS(Taches!$O$6:$O$325,$B19,Taches!$J$6:$J$325,"En revue"))</f>
        <v/>
      </c>
      <c r="N19" s="12">
        <f>IF($B19="","",COUNTIFS(Taches!$O$6:$O$325,$B19,Taches!$J$6:$J$325,"Bloquée"))</f>
        <v/>
      </c>
      <c r="O19" s="12">
        <f>IF($B19="","",COUNTIFS(Taches!$O$6:$O$325,$B19,Taches!$U$6:$U$325,"En retard"))</f>
        <v/>
      </c>
      <c r="P19" s="12">
        <f>IF($B19="","",COUNTIFS(Taches!$O$6:$O$325,$B19,Taches!$J$6:$J$325,"Complétée"))</f>
        <v/>
      </c>
      <c r="Q19" s="15">
        <f>IF($B19="","",J19-K19)</f>
        <v/>
      </c>
      <c r="R19" s="37" t="n"/>
    </row>
    <row r="20">
      <c r="B20" s="37" t="n"/>
      <c r="C20" s="37" t="n"/>
      <c r="D20" s="37" t="n"/>
      <c r="E20" s="37" t="n"/>
      <c r="F20" s="39" t="n"/>
      <c r="G20" s="40" t="n"/>
      <c r="H20" s="36" t="n"/>
      <c r="I20" s="12">
        <f>IF($B20="","",COUNTIFS(Taches!$O$6:$O$325,$B20,Taches!$J$6:$J$325,"&lt;&gt;Abandonnée"))</f>
        <v/>
      </c>
      <c r="J20" s="15">
        <f>IF($B20="","",SUMIF(Taches!$O$6:$O$325,$B20,Taches!$M$6:$M$325))</f>
        <v/>
      </c>
      <c r="K20" s="15">
        <f>IF($B20="","",SUMIF(Taches!$O$6:$O$325,$B20,Taches!$N$6:$N$325))</f>
        <v/>
      </c>
      <c r="L20" s="16">
        <f>IF(OR($B20="",J20=0),"",K20/J20)</f>
        <v/>
      </c>
      <c r="M20" s="12">
        <f>IF($B20="","",COUNTIFS(Taches!$O$6:$O$325,$B20,Taches!$J$6:$J$325,"En cours")+COUNTIFS(Taches!$O$6:$O$325,$B20,Taches!$J$6:$J$325,"En revue"))</f>
        <v/>
      </c>
      <c r="N20" s="12">
        <f>IF($B20="","",COUNTIFS(Taches!$O$6:$O$325,$B20,Taches!$J$6:$J$325,"Bloquée"))</f>
        <v/>
      </c>
      <c r="O20" s="12">
        <f>IF($B20="","",COUNTIFS(Taches!$O$6:$O$325,$B20,Taches!$U$6:$U$325,"En retard"))</f>
        <v/>
      </c>
      <c r="P20" s="12">
        <f>IF($B20="","",COUNTIFS(Taches!$O$6:$O$325,$B20,Taches!$J$6:$J$325,"Complétée"))</f>
        <v/>
      </c>
      <c r="Q20" s="15">
        <f>IF($B20="","",J20-K20)</f>
        <v/>
      </c>
      <c r="R20" s="37" t="n"/>
    </row>
    <row r="21">
      <c r="B21" s="37" t="n"/>
      <c r="C21" s="37" t="n"/>
      <c r="D21" s="37" t="n"/>
      <c r="E21" s="37" t="n"/>
      <c r="F21" s="39" t="n"/>
      <c r="G21" s="40" t="n"/>
      <c r="H21" s="36" t="n"/>
      <c r="I21" s="12">
        <f>IF($B21="","",COUNTIFS(Taches!$O$6:$O$325,$B21,Taches!$J$6:$J$325,"&lt;&gt;Abandonnée"))</f>
        <v/>
      </c>
      <c r="J21" s="15">
        <f>IF($B21="","",SUMIF(Taches!$O$6:$O$325,$B21,Taches!$M$6:$M$325))</f>
        <v/>
      </c>
      <c r="K21" s="15">
        <f>IF($B21="","",SUMIF(Taches!$O$6:$O$325,$B21,Taches!$N$6:$N$325))</f>
        <v/>
      </c>
      <c r="L21" s="16">
        <f>IF(OR($B21="",J21=0),"",K21/J21)</f>
        <v/>
      </c>
      <c r="M21" s="12">
        <f>IF($B21="","",COUNTIFS(Taches!$O$6:$O$325,$B21,Taches!$J$6:$J$325,"En cours")+COUNTIFS(Taches!$O$6:$O$325,$B21,Taches!$J$6:$J$325,"En revue"))</f>
        <v/>
      </c>
      <c r="N21" s="12">
        <f>IF($B21="","",COUNTIFS(Taches!$O$6:$O$325,$B21,Taches!$J$6:$J$325,"Bloquée"))</f>
        <v/>
      </c>
      <c r="O21" s="12">
        <f>IF($B21="","",COUNTIFS(Taches!$O$6:$O$325,$B21,Taches!$U$6:$U$325,"En retard"))</f>
        <v/>
      </c>
      <c r="P21" s="12">
        <f>IF($B21="","",COUNTIFS(Taches!$O$6:$O$325,$B21,Taches!$J$6:$J$325,"Complétée"))</f>
        <v/>
      </c>
      <c r="Q21" s="15">
        <f>IF($B21="","",J21-K21)</f>
        <v/>
      </c>
      <c r="R21" s="37" t="n"/>
    </row>
    <row r="22">
      <c r="B22" s="37" t="n"/>
      <c r="C22" s="37" t="n"/>
      <c r="D22" s="37" t="n"/>
      <c r="E22" s="37" t="n"/>
      <c r="F22" s="39" t="n"/>
      <c r="G22" s="40" t="n"/>
      <c r="H22" s="36" t="n"/>
      <c r="I22" s="12">
        <f>IF($B22="","",COUNTIFS(Taches!$O$6:$O$325,$B22,Taches!$J$6:$J$325,"&lt;&gt;Abandonnée"))</f>
        <v/>
      </c>
      <c r="J22" s="15">
        <f>IF($B22="","",SUMIF(Taches!$O$6:$O$325,$B22,Taches!$M$6:$M$325))</f>
        <v/>
      </c>
      <c r="K22" s="15">
        <f>IF($B22="","",SUMIF(Taches!$O$6:$O$325,$B22,Taches!$N$6:$N$325))</f>
        <v/>
      </c>
      <c r="L22" s="16">
        <f>IF(OR($B22="",J22=0),"",K22/J22)</f>
        <v/>
      </c>
      <c r="M22" s="12">
        <f>IF($B22="","",COUNTIFS(Taches!$O$6:$O$325,$B22,Taches!$J$6:$J$325,"En cours")+COUNTIFS(Taches!$O$6:$O$325,$B22,Taches!$J$6:$J$325,"En revue"))</f>
        <v/>
      </c>
      <c r="N22" s="12">
        <f>IF($B22="","",COUNTIFS(Taches!$O$6:$O$325,$B22,Taches!$J$6:$J$325,"Bloquée"))</f>
        <v/>
      </c>
      <c r="O22" s="12">
        <f>IF($B22="","",COUNTIFS(Taches!$O$6:$O$325,$B22,Taches!$U$6:$U$325,"En retard"))</f>
        <v/>
      </c>
      <c r="P22" s="12">
        <f>IF($B22="","",COUNTIFS(Taches!$O$6:$O$325,$B22,Taches!$J$6:$J$325,"Complétée"))</f>
        <v/>
      </c>
      <c r="Q22" s="15">
        <f>IF($B22="","",J22-K22)</f>
        <v/>
      </c>
      <c r="R22" s="37" t="n"/>
    </row>
    <row r="23">
      <c r="B23" s="37" t="n"/>
      <c r="C23" s="37" t="n"/>
      <c r="D23" s="37" t="n"/>
      <c r="E23" s="37" t="n"/>
      <c r="F23" s="39" t="n"/>
      <c r="G23" s="40" t="n"/>
      <c r="H23" s="36" t="n"/>
      <c r="I23" s="12">
        <f>IF($B23="","",COUNTIFS(Taches!$O$6:$O$325,$B23,Taches!$J$6:$J$325,"&lt;&gt;Abandonnée"))</f>
        <v/>
      </c>
      <c r="J23" s="15">
        <f>IF($B23="","",SUMIF(Taches!$O$6:$O$325,$B23,Taches!$M$6:$M$325))</f>
        <v/>
      </c>
      <c r="K23" s="15">
        <f>IF($B23="","",SUMIF(Taches!$O$6:$O$325,$B23,Taches!$N$6:$N$325))</f>
        <v/>
      </c>
      <c r="L23" s="16">
        <f>IF(OR($B23="",J23=0),"",K23/J23)</f>
        <v/>
      </c>
      <c r="M23" s="12">
        <f>IF($B23="","",COUNTIFS(Taches!$O$6:$O$325,$B23,Taches!$J$6:$J$325,"En cours")+COUNTIFS(Taches!$O$6:$O$325,$B23,Taches!$J$6:$J$325,"En revue"))</f>
        <v/>
      </c>
      <c r="N23" s="12">
        <f>IF($B23="","",COUNTIFS(Taches!$O$6:$O$325,$B23,Taches!$J$6:$J$325,"Bloquée"))</f>
        <v/>
      </c>
      <c r="O23" s="12">
        <f>IF($B23="","",COUNTIFS(Taches!$O$6:$O$325,$B23,Taches!$U$6:$U$325,"En retard"))</f>
        <v/>
      </c>
      <c r="P23" s="12">
        <f>IF($B23="","",COUNTIFS(Taches!$O$6:$O$325,$B23,Taches!$J$6:$J$325,"Complétée"))</f>
        <v/>
      </c>
      <c r="Q23" s="15">
        <f>IF($B23="","",J23-K23)</f>
        <v/>
      </c>
      <c r="R23" s="37" t="n"/>
    </row>
    <row r="24">
      <c r="B24" s="37" t="n"/>
      <c r="C24" s="37" t="n"/>
      <c r="D24" s="37" t="n"/>
      <c r="E24" s="37" t="n"/>
      <c r="F24" s="39" t="n"/>
      <c r="G24" s="40" t="n"/>
      <c r="H24" s="36" t="n"/>
      <c r="I24" s="12">
        <f>IF($B24="","",COUNTIFS(Taches!$O$6:$O$325,$B24,Taches!$J$6:$J$325,"&lt;&gt;Abandonnée"))</f>
        <v/>
      </c>
      <c r="J24" s="15">
        <f>IF($B24="","",SUMIF(Taches!$O$6:$O$325,$B24,Taches!$M$6:$M$325))</f>
        <v/>
      </c>
      <c r="K24" s="15">
        <f>IF($B24="","",SUMIF(Taches!$O$6:$O$325,$B24,Taches!$N$6:$N$325))</f>
        <v/>
      </c>
      <c r="L24" s="16">
        <f>IF(OR($B24="",J24=0),"",K24/J24)</f>
        <v/>
      </c>
      <c r="M24" s="12">
        <f>IF($B24="","",COUNTIFS(Taches!$O$6:$O$325,$B24,Taches!$J$6:$J$325,"En cours")+COUNTIFS(Taches!$O$6:$O$325,$B24,Taches!$J$6:$J$325,"En revue"))</f>
        <v/>
      </c>
      <c r="N24" s="12">
        <f>IF($B24="","",COUNTIFS(Taches!$O$6:$O$325,$B24,Taches!$J$6:$J$325,"Bloquée"))</f>
        <v/>
      </c>
      <c r="O24" s="12">
        <f>IF($B24="","",COUNTIFS(Taches!$O$6:$O$325,$B24,Taches!$U$6:$U$325,"En retard"))</f>
        <v/>
      </c>
      <c r="P24" s="12">
        <f>IF($B24="","",COUNTIFS(Taches!$O$6:$O$325,$B24,Taches!$J$6:$J$325,"Complétée"))</f>
        <v/>
      </c>
      <c r="Q24" s="15">
        <f>IF($B24="","",J24-K24)</f>
        <v/>
      </c>
      <c r="R24" s="37" t="n"/>
    </row>
    <row r="25">
      <c r="B25" s="37" t="n"/>
      <c r="C25" s="37" t="n"/>
      <c r="D25" s="37" t="n"/>
      <c r="E25" s="37" t="n"/>
      <c r="F25" s="39" t="n"/>
      <c r="G25" s="40" t="n"/>
      <c r="H25" s="36" t="n"/>
      <c r="I25" s="12">
        <f>IF($B25="","",COUNTIFS(Taches!$O$6:$O$325,$B25,Taches!$J$6:$J$325,"&lt;&gt;Abandonnée"))</f>
        <v/>
      </c>
      <c r="J25" s="15">
        <f>IF($B25="","",SUMIF(Taches!$O$6:$O$325,$B25,Taches!$M$6:$M$325))</f>
        <v/>
      </c>
      <c r="K25" s="15">
        <f>IF($B25="","",SUMIF(Taches!$O$6:$O$325,$B25,Taches!$N$6:$N$325))</f>
        <v/>
      </c>
      <c r="L25" s="16">
        <f>IF(OR($B25="",J25=0),"",K25/J25)</f>
        <v/>
      </c>
      <c r="M25" s="12">
        <f>IF($B25="","",COUNTIFS(Taches!$O$6:$O$325,$B25,Taches!$J$6:$J$325,"En cours")+COUNTIFS(Taches!$O$6:$O$325,$B25,Taches!$J$6:$J$325,"En revue"))</f>
        <v/>
      </c>
      <c r="N25" s="12">
        <f>IF($B25="","",COUNTIFS(Taches!$O$6:$O$325,$B25,Taches!$J$6:$J$325,"Bloquée"))</f>
        <v/>
      </c>
      <c r="O25" s="12">
        <f>IF($B25="","",COUNTIFS(Taches!$O$6:$O$325,$B25,Taches!$U$6:$U$325,"En retard"))</f>
        <v/>
      </c>
      <c r="P25" s="12">
        <f>IF($B25="","",COUNTIFS(Taches!$O$6:$O$325,$B25,Taches!$J$6:$J$325,"Complétée"))</f>
        <v/>
      </c>
      <c r="Q25" s="15">
        <f>IF($B25="","",J25-K25)</f>
        <v/>
      </c>
      <c r="R25" s="37" t="n"/>
    </row>
    <row r="26">
      <c r="B26" s="37" t="n"/>
      <c r="C26" s="37" t="n"/>
      <c r="D26" s="37" t="n"/>
      <c r="E26" s="37" t="n"/>
      <c r="F26" s="39" t="n"/>
      <c r="G26" s="40" t="n"/>
      <c r="H26" s="36" t="n"/>
      <c r="I26" s="12">
        <f>IF($B26="","",COUNTIFS(Taches!$O$6:$O$325,$B26,Taches!$J$6:$J$325,"&lt;&gt;Abandonnée"))</f>
        <v/>
      </c>
      <c r="J26" s="15">
        <f>IF($B26="","",SUMIF(Taches!$O$6:$O$325,$B26,Taches!$M$6:$M$325))</f>
        <v/>
      </c>
      <c r="K26" s="15">
        <f>IF($B26="","",SUMIF(Taches!$O$6:$O$325,$B26,Taches!$N$6:$N$325))</f>
        <v/>
      </c>
      <c r="L26" s="16">
        <f>IF(OR($B26="",J26=0),"",K26/J26)</f>
        <v/>
      </c>
      <c r="M26" s="12">
        <f>IF($B26="","",COUNTIFS(Taches!$O$6:$O$325,$B26,Taches!$J$6:$J$325,"En cours")+COUNTIFS(Taches!$O$6:$O$325,$B26,Taches!$J$6:$J$325,"En revue"))</f>
        <v/>
      </c>
      <c r="N26" s="12">
        <f>IF($B26="","",COUNTIFS(Taches!$O$6:$O$325,$B26,Taches!$J$6:$J$325,"Bloquée"))</f>
        <v/>
      </c>
      <c r="O26" s="12">
        <f>IF($B26="","",COUNTIFS(Taches!$O$6:$O$325,$B26,Taches!$U$6:$U$325,"En retard"))</f>
        <v/>
      </c>
      <c r="P26" s="12">
        <f>IF($B26="","",COUNTIFS(Taches!$O$6:$O$325,$B26,Taches!$J$6:$J$325,"Complétée"))</f>
        <v/>
      </c>
      <c r="Q26" s="15">
        <f>IF($B26="","",J26-K26)</f>
        <v/>
      </c>
      <c r="R26" s="37" t="n"/>
    </row>
    <row r="27">
      <c r="B27" s="37" t="n"/>
      <c r="C27" s="37" t="n"/>
      <c r="D27" s="37" t="n"/>
      <c r="E27" s="37" t="n"/>
      <c r="F27" s="39" t="n"/>
      <c r="G27" s="40" t="n"/>
      <c r="H27" s="36" t="n"/>
      <c r="I27" s="12">
        <f>IF($B27="","",COUNTIFS(Taches!$O$6:$O$325,$B27,Taches!$J$6:$J$325,"&lt;&gt;Abandonnée"))</f>
        <v/>
      </c>
      <c r="J27" s="15">
        <f>IF($B27="","",SUMIF(Taches!$O$6:$O$325,$B27,Taches!$M$6:$M$325))</f>
        <v/>
      </c>
      <c r="K27" s="15">
        <f>IF($B27="","",SUMIF(Taches!$O$6:$O$325,$B27,Taches!$N$6:$N$325))</f>
        <v/>
      </c>
      <c r="L27" s="16">
        <f>IF(OR($B27="",J27=0),"",K27/J27)</f>
        <v/>
      </c>
      <c r="M27" s="12">
        <f>IF($B27="","",COUNTIFS(Taches!$O$6:$O$325,$B27,Taches!$J$6:$J$325,"En cours")+COUNTIFS(Taches!$O$6:$O$325,$B27,Taches!$J$6:$J$325,"En revue"))</f>
        <v/>
      </c>
      <c r="N27" s="12">
        <f>IF($B27="","",COUNTIFS(Taches!$O$6:$O$325,$B27,Taches!$J$6:$J$325,"Bloquée"))</f>
        <v/>
      </c>
      <c r="O27" s="12">
        <f>IF($B27="","",COUNTIFS(Taches!$O$6:$O$325,$B27,Taches!$U$6:$U$325,"En retard"))</f>
        <v/>
      </c>
      <c r="P27" s="12">
        <f>IF($B27="","",COUNTIFS(Taches!$O$6:$O$325,$B27,Taches!$J$6:$J$325,"Complétée"))</f>
        <v/>
      </c>
      <c r="Q27" s="15">
        <f>IF($B27="","",J27-K27)</f>
        <v/>
      </c>
      <c r="R27" s="37" t="n"/>
    </row>
    <row r="28">
      <c r="B28" s="37" t="n"/>
      <c r="C28" s="37" t="n"/>
      <c r="D28" s="37" t="n"/>
      <c r="E28" s="37" t="n"/>
      <c r="F28" s="39" t="n"/>
      <c r="G28" s="40" t="n"/>
      <c r="H28" s="36" t="n"/>
      <c r="I28" s="12">
        <f>IF($B28="","",COUNTIFS(Taches!$O$6:$O$325,$B28,Taches!$J$6:$J$325,"&lt;&gt;Abandonnée"))</f>
        <v/>
      </c>
      <c r="J28" s="15">
        <f>IF($B28="","",SUMIF(Taches!$O$6:$O$325,$B28,Taches!$M$6:$M$325))</f>
        <v/>
      </c>
      <c r="K28" s="15">
        <f>IF($B28="","",SUMIF(Taches!$O$6:$O$325,$B28,Taches!$N$6:$N$325))</f>
        <v/>
      </c>
      <c r="L28" s="16">
        <f>IF(OR($B28="",J28=0),"",K28/J28)</f>
        <v/>
      </c>
      <c r="M28" s="12">
        <f>IF($B28="","",COUNTIFS(Taches!$O$6:$O$325,$B28,Taches!$J$6:$J$325,"En cours")+COUNTIFS(Taches!$O$6:$O$325,$B28,Taches!$J$6:$J$325,"En revue"))</f>
        <v/>
      </c>
      <c r="N28" s="12">
        <f>IF($B28="","",COUNTIFS(Taches!$O$6:$O$325,$B28,Taches!$J$6:$J$325,"Bloquée"))</f>
        <v/>
      </c>
      <c r="O28" s="12">
        <f>IF($B28="","",COUNTIFS(Taches!$O$6:$O$325,$B28,Taches!$U$6:$U$325,"En retard"))</f>
        <v/>
      </c>
      <c r="P28" s="12">
        <f>IF($B28="","",COUNTIFS(Taches!$O$6:$O$325,$B28,Taches!$J$6:$J$325,"Complétée"))</f>
        <v/>
      </c>
      <c r="Q28" s="15">
        <f>IF($B28="","",J28-K28)</f>
        <v/>
      </c>
      <c r="R28" s="37" t="n"/>
    </row>
    <row r="29">
      <c r="B29" s="37" t="n"/>
      <c r="C29" s="37" t="n"/>
      <c r="D29" s="37" t="n"/>
      <c r="E29" s="37" t="n"/>
      <c r="F29" s="39" t="n"/>
      <c r="G29" s="40" t="n"/>
      <c r="H29" s="36" t="n"/>
      <c r="I29" s="12">
        <f>IF($B29="","",COUNTIFS(Taches!$O$6:$O$325,$B29,Taches!$J$6:$J$325,"&lt;&gt;Abandonnée"))</f>
        <v/>
      </c>
      <c r="J29" s="15">
        <f>IF($B29="","",SUMIF(Taches!$O$6:$O$325,$B29,Taches!$M$6:$M$325))</f>
        <v/>
      </c>
      <c r="K29" s="15">
        <f>IF($B29="","",SUMIF(Taches!$O$6:$O$325,$B29,Taches!$N$6:$N$325))</f>
        <v/>
      </c>
      <c r="L29" s="16">
        <f>IF(OR($B29="",J29=0),"",K29/J29)</f>
        <v/>
      </c>
      <c r="M29" s="12">
        <f>IF($B29="","",COUNTIFS(Taches!$O$6:$O$325,$B29,Taches!$J$6:$J$325,"En cours")+COUNTIFS(Taches!$O$6:$O$325,$B29,Taches!$J$6:$J$325,"En revue"))</f>
        <v/>
      </c>
      <c r="N29" s="12">
        <f>IF($B29="","",COUNTIFS(Taches!$O$6:$O$325,$B29,Taches!$J$6:$J$325,"Bloquée"))</f>
        <v/>
      </c>
      <c r="O29" s="12">
        <f>IF($B29="","",COUNTIFS(Taches!$O$6:$O$325,$B29,Taches!$U$6:$U$325,"En retard"))</f>
        <v/>
      </c>
      <c r="P29" s="12">
        <f>IF($B29="","",COUNTIFS(Taches!$O$6:$O$325,$B29,Taches!$J$6:$J$325,"Complétée"))</f>
        <v/>
      </c>
      <c r="Q29" s="15">
        <f>IF($B29="","",J29-K29)</f>
        <v/>
      </c>
      <c r="R29" s="37" t="n"/>
    </row>
    <row r="30">
      <c r="B30" s="37" t="n"/>
      <c r="C30" s="37" t="n"/>
      <c r="D30" s="37" t="n"/>
      <c r="E30" s="37" t="n"/>
      <c r="F30" s="39" t="n"/>
      <c r="G30" s="40" t="n"/>
      <c r="H30" s="36" t="n"/>
      <c r="I30" s="12">
        <f>IF($B30="","",COUNTIFS(Taches!$O$6:$O$325,$B30,Taches!$J$6:$J$325,"&lt;&gt;Abandonnée"))</f>
        <v/>
      </c>
      <c r="J30" s="15">
        <f>IF($B30="","",SUMIF(Taches!$O$6:$O$325,$B30,Taches!$M$6:$M$325))</f>
        <v/>
      </c>
      <c r="K30" s="15">
        <f>IF($B30="","",SUMIF(Taches!$O$6:$O$325,$B30,Taches!$N$6:$N$325))</f>
        <v/>
      </c>
      <c r="L30" s="16">
        <f>IF(OR($B30="",J30=0),"",K30/J30)</f>
        <v/>
      </c>
      <c r="M30" s="12">
        <f>IF($B30="","",COUNTIFS(Taches!$O$6:$O$325,$B30,Taches!$J$6:$J$325,"En cours")+COUNTIFS(Taches!$O$6:$O$325,$B30,Taches!$J$6:$J$325,"En revue"))</f>
        <v/>
      </c>
      <c r="N30" s="12">
        <f>IF($B30="","",COUNTIFS(Taches!$O$6:$O$325,$B30,Taches!$J$6:$J$325,"Bloquée"))</f>
        <v/>
      </c>
      <c r="O30" s="12">
        <f>IF($B30="","",COUNTIFS(Taches!$O$6:$O$325,$B30,Taches!$U$6:$U$325,"En retard"))</f>
        <v/>
      </c>
      <c r="P30" s="12">
        <f>IF($B30="","",COUNTIFS(Taches!$O$6:$O$325,$B30,Taches!$J$6:$J$325,"Complétée"))</f>
        <v/>
      </c>
      <c r="Q30" s="15">
        <f>IF($B30="","",J30-K30)</f>
        <v/>
      </c>
      <c r="R30" s="37" t="n"/>
    </row>
    <row r="31">
      <c r="B31" s="37" t="n"/>
      <c r="C31" s="37" t="n"/>
      <c r="D31" s="37" t="n"/>
      <c r="E31" s="37" t="n"/>
      <c r="F31" s="39" t="n"/>
      <c r="G31" s="40" t="n"/>
      <c r="H31" s="36" t="n"/>
      <c r="I31" s="12">
        <f>IF($B31="","",COUNTIFS(Taches!$O$6:$O$325,$B31,Taches!$J$6:$J$325,"&lt;&gt;Abandonnée"))</f>
        <v/>
      </c>
      <c r="J31" s="15">
        <f>IF($B31="","",SUMIF(Taches!$O$6:$O$325,$B31,Taches!$M$6:$M$325))</f>
        <v/>
      </c>
      <c r="K31" s="15">
        <f>IF($B31="","",SUMIF(Taches!$O$6:$O$325,$B31,Taches!$N$6:$N$325))</f>
        <v/>
      </c>
      <c r="L31" s="16">
        <f>IF(OR($B31="",J31=0),"",K31/J31)</f>
        <v/>
      </c>
      <c r="M31" s="12">
        <f>IF($B31="","",COUNTIFS(Taches!$O$6:$O$325,$B31,Taches!$J$6:$J$325,"En cours")+COUNTIFS(Taches!$O$6:$O$325,$B31,Taches!$J$6:$J$325,"En revue"))</f>
        <v/>
      </c>
      <c r="N31" s="12">
        <f>IF($B31="","",COUNTIFS(Taches!$O$6:$O$325,$B31,Taches!$J$6:$J$325,"Bloquée"))</f>
        <v/>
      </c>
      <c r="O31" s="12">
        <f>IF($B31="","",COUNTIFS(Taches!$O$6:$O$325,$B31,Taches!$U$6:$U$325,"En retard"))</f>
        <v/>
      </c>
      <c r="P31" s="12">
        <f>IF($B31="","",COUNTIFS(Taches!$O$6:$O$325,$B31,Taches!$J$6:$J$325,"Complétée"))</f>
        <v/>
      </c>
      <c r="Q31" s="15">
        <f>IF($B31="","",J31-K31)</f>
        <v/>
      </c>
      <c r="R31" s="37" t="n"/>
    </row>
    <row r="32">
      <c r="B32" s="37" t="n"/>
      <c r="C32" s="37" t="n"/>
      <c r="D32" s="37" t="n"/>
      <c r="E32" s="37" t="n"/>
      <c r="F32" s="39" t="n"/>
      <c r="G32" s="40" t="n"/>
      <c r="H32" s="36" t="n"/>
      <c r="I32" s="12">
        <f>IF($B32="","",COUNTIFS(Taches!$O$6:$O$325,$B32,Taches!$J$6:$J$325,"&lt;&gt;Abandonnée"))</f>
        <v/>
      </c>
      <c r="J32" s="15">
        <f>IF($B32="","",SUMIF(Taches!$O$6:$O$325,$B32,Taches!$M$6:$M$325))</f>
        <v/>
      </c>
      <c r="K32" s="15">
        <f>IF($B32="","",SUMIF(Taches!$O$6:$O$325,$B32,Taches!$N$6:$N$325))</f>
        <v/>
      </c>
      <c r="L32" s="16">
        <f>IF(OR($B32="",J32=0),"",K32/J32)</f>
        <v/>
      </c>
      <c r="M32" s="12">
        <f>IF($B32="","",COUNTIFS(Taches!$O$6:$O$325,$B32,Taches!$J$6:$J$325,"En cours")+COUNTIFS(Taches!$O$6:$O$325,$B32,Taches!$J$6:$J$325,"En revue"))</f>
        <v/>
      </c>
      <c r="N32" s="12">
        <f>IF($B32="","",COUNTIFS(Taches!$O$6:$O$325,$B32,Taches!$J$6:$J$325,"Bloquée"))</f>
        <v/>
      </c>
      <c r="O32" s="12">
        <f>IF($B32="","",COUNTIFS(Taches!$O$6:$O$325,$B32,Taches!$U$6:$U$325,"En retard"))</f>
        <v/>
      </c>
      <c r="P32" s="12">
        <f>IF($B32="","",COUNTIFS(Taches!$O$6:$O$325,$B32,Taches!$J$6:$J$325,"Complétée"))</f>
        <v/>
      </c>
      <c r="Q32" s="15">
        <f>IF($B32="","",J32-K32)</f>
        <v/>
      </c>
      <c r="R32" s="37" t="n"/>
    </row>
    <row r="33">
      <c r="B33" s="37" t="n"/>
      <c r="C33" s="37" t="n"/>
      <c r="D33" s="37" t="n"/>
      <c r="E33" s="37" t="n"/>
      <c r="F33" s="39" t="n"/>
      <c r="G33" s="40" t="n"/>
      <c r="H33" s="36" t="n"/>
      <c r="I33" s="12">
        <f>IF($B33="","",COUNTIFS(Taches!$O$6:$O$325,$B33,Taches!$J$6:$J$325,"&lt;&gt;Abandonnée"))</f>
        <v/>
      </c>
      <c r="J33" s="15">
        <f>IF($B33="","",SUMIF(Taches!$O$6:$O$325,$B33,Taches!$M$6:$M$325))</f>
        <v/>
      </c>
      <c r="K33" s="15">
        <f>IF($B33="","",SUMIF(Taches!$O$6:$O$325,$B33,Taches!$N$6:$N$325))</f>
        <v/>
      </c>
      <c r="L33" s="16">
        <f>IF(OR($B33="",J33=0),"",K33/J33)</f>
        <v/>
      </c>
      <c r="M33" s="12">
        <f>IF($B33="","",COUNTIFS(Taches!$O$6:$O$325,$B33,Taches!$J$6:$J$325,"En cours")+COUNTIFS(Taches!$O$6:$O$325,$B33,Taches!$J$6:$J$325,"En revue"))</f>
        <v/>
      </c>
      <c r="N33" s="12">
        <f>IF($B33="","",COUNTIFS(Taches!$O$6:$O$325,$B33,Taches!$J$6:$J$325,"Bloquée"))</f>
        <v/>
      </c>
      <c r="O33" s="12">
        <f>IF($B33="","",COUNTIFS(Taches!$O$6:$O$325,$B33,Taches!$U$6:$U$325,"En retard"))</f>
        <v/>
      </c>
      <c r="P33" s="12">
        <f>IF($B33="","",COUNTIFS(Taches!$O$6:$O$325,$B33,Taches!$J$6:$J$325,"Complétée"))</f>
        <v/>
      </c>
      <c r="Q33" s="15">
        <f>IF($B33="","",J33-K33)</f>
        <v/>
      </c>
      <c r="R33" s="37" t="n"/>
    </row>
    <row r="34">
      <c r="B34" s="37" t="n"/>
      <c r="C34" s="37" t="n"/>
      <c r="D34" s="37" t="n"/>
      <c r="E34" s="37" t="n"/>
      <c r="F34" s="39" t="n"/>
      <c r="G34" s="40" t="n"/>
      <c r="H34" s="36" t="n"/>
      <c r="I34" s="12">
        <f>IF($B34="","",COUNTIFS(Taches!$O$6:$O$325,$B34,Taches!$J$6:$J$325,"&lt;&gt;Abandonnée"))</f>
        <v/>
      </c>
      <c r="J34" s="15">
        <f>IF($B34="","",SUMIF(Taches!$O$6:$O$325,$B34,Taches!$M$6:$M$325))</f>
        <v/>
      </c>
      <c r="K34" s="15">
        <f>IF($B34="","",SUMIF(Taches!$O$6:$O$325,$B34,Taches!$N$6:$N$325))</f>
        <v/>
      </c>
      <c r="L34" s="16">
        <f>IF(OR($B34="",J34=0),"",K34/J34)</f>
        <v/>
      </c>
      <c r="M34" s="12">
        <f>IF($B34="","",COUNTIFS(Taches!$O$6:$O$325,$B34,Taches!$J$6:$J$325,"En cours")+COUNTIFS(Taches!$O$6:$O$325,$B34,Taches!$J$6:$J$325,"En revue"))</f>
        <v/>
      </c>
      <c r="N34" s="12">
        <f>IF($B34="","",COUNTIFS(Taches!$O$6:$O$325,$B34,Taches!$J$6:$J$325,"Bloquée"))</f>
        <v/>
      </c>
      <c r="O34" s="12">
        <f>IF($B34="","",COUNTIFS(Taches!$O$6:$O$325,$B34,Taches!$U$6:$U$325,"En retard"))</f>
        <v/>
      </c>
      <c r="P34" s="12">
        <f>IF($B34="","",COUNTIFS(Taches!$O$6:$O$325,$B34,Taches!$J$6:$J$325,"Complétée"))</f>
        <v/>
      </c>
      <c r="Q34" s="15">
        <f>IF($B34="","",J34-K34)</f>
        <v/>
      </c>
      <c r="R34" s="37" t="n"/>
    </row>
    <row r="35">
      <c r="B35" s="37" t="n"/>
      <c r="C35" s="37" t="n"/>
      <c r="D35" s="37" t="n"/>
      <c r="E35" s="37" t="n"/>
      <c r="F35" s="39" t="n"/>
      <c r="G35" s="40" t="n"/>
      <c r="H35" s="36" t="n"/>
      <c r="I35" s="12">
        <f>IF($B35="","",COUNTIFS(Taches!$O$6:$O$325,$B35,Taches!$J$6:$J$325,"&lt;&gt;Abandonnée"))</f>
        <v/>
      </c>
      <c r="J35" s="15">
        <f>IF($B35="","",SUMIF(Taches!$O$6:$O$325,$B35,Taches!$M$6:$M$325))</f>
        <v/>
      </c>
      <c r="K35" s="15">
        <f>IF($B35="","",SUMIF(Taches!$O$6:$O$325,$B35,Taches!$N$6:$N$325))</f>
        <v/>
      </c>
      <c r="L35" s="16">
        <f>IF(OR($B35="",J35=0),"",K35/J35)</f>
        <v/>
      </c>
      <c r="M35" s="12">
        <f>IF($B35="","",COUNTIFS(Taches!$O$6:$O$325,$B35,Taches!$J$6:$J$325,"En cours")+COUNTIFS(Taches!$O$6:$O$325,$B35,Taches!$J$6:$J$325,"En revue"))</f>
        <v/>
      </c>
      <c r="N35" s="12">
        <f>IF($B35="","",COUNTIFS(Taches!$O$6:$O$325,$B35,Taches!$J$6:$J$325,"Bloquée"))</f>
        <v/>
      </c>
      <c r="O35" s="12">
        <f>IF($B35="","",COUNTIFS(Taches!$O$6:$O$325,$B35,Taches!$U$6:$U$325,"En retard"))</f>
        <v/>
      </c>
      <c r="P35" s="12">
        <f>IF($B35="","",COUNTIFS(Taches!$O$6:$O$325,$B35,Taches!$J$6:$J$325,"Complétée"))</f>
        <v/>
      </c>
      <c r="Q35" s="15">
        <f>IF($B35="","",J35-K35)</f>
        <v/>
      </c>
      <c r="R35" s="37" t="n"/>
    </row>
    <row r="36">
      <c r="B36" s="37" t="n"/>
      <c r="C36" s="37" t="n"/>
      <c r="D36" s="37" t="n"/>
      <c r="E36" s="37" t="n"/>
      <c r="F36" s="39" t="n"/>
      <c r="G36" s="40" t="n"/>
      <c r="H36" s="36" t="n"/>
      <c r="I36" s="12">
        <f>IF($B36="","",COUNTIFS(Taches!$O$6:$O$325,$B36,Taches!$J$6:$J$325,"&lt;&gt;Abandonnée"))</f>
        <v/>
      </c>
      <c r="J36" s="15">
        <f>IF($B36="","",SUMIF(Taches!$O$6:$O$325,$B36,Taches!$M$6:$M$325))</f>
        <v/>
      </c>
      <c r="K36" s="15">
        <f>IF($B36="","",SUMIF(Taches!$O$6:$O$325,$B36,Taches!$N$6:$N$325))</f>
        <v/>
      </c>
      <c r="L36" s="16">
        <f>IF(OR($B36="",J36=0),"",K36/J36)</f>
        <v/>
      </c>
      <c r="M36" s="12">
        <f>IF($B36="","",COUNTIFS(Taches!$O$6:$O$325,$B36,Taches!$J$6:$J$325,"En cours")+COUNTIFS(Taches!$O$6:$O$325,$B36,Taches!$J$6:$J$325,"En revue"))</f>
        <v/>
      </c>
      <c r="N36" s="12">
        <f>IF($B36="","",COUNTIFS(Taches!$O$6:$O$325,$B36,Taches!$J$6:$J$325,"Bloquée"))</f>
        <v/>
      </c>
      <c r="O36" s="12">
        <f>IF($B36="","",COUNTIFS(Taches!$O$6:$O$325,$B36,Taches!$U$6:$U$325,"En retard"))</f>
        <v/>
      </c>
      <c r="P36" s="12">
        <f>IF($B36="","",COUNTIFS(Taches!$O$6:$O$325,$B36,Taches!$J$6:$J$325,"Complétée"))</f>
        <v/>
      </c>
      <c r="Q36" s="15">
        <f>IF($B36="","",J36-K36)</f>
        <v/>
      </c>
      <c r="R36" s="37" t="n"/>
    </row>
    <row r="37">
      <c r="B37" s="37" t="n"/>
      <c r="C37" s="37" t="n"/>
      <c r="D37" s="37" t="n"/>
      <c r="E37" s="37" t="n"/>
      <c r="F37" s="39" t="n"/>
      <c r="G37" s="40" t="n"/>
      <c r="H37" s="36" t="n"/>
      <c r="I37" s="12">
        <f>IF($B37="","",COUNTIFS(Taches!$O$6:$O$325,$B37,Taches!$J$6:$J$325,"&lt;&gt;Abandonnée"))</f>
        <v/>
      </c>
      <c r="J37" s="15">
        <f>IF($B37="","",SUMIF(Taches!$O$6:$O$325,$B37,Taches!$M$6:$M$325))</f>
        <v/>
      </c>
      <c r="K37" s="15">
        <f>IF($B37="","",SUMIF(Taches!$O$6:$O$325,$B37,Taches!$N$6:$N$325))</f>
        <v/>
      </c>
      <c r="L37" s="16">
        <f>IF(OR($B37="",J37=0),"",K37/J37)</f>
        <v/>
      </c>
      <c r="M37" s="12">
        <f>IF($B37="","",COUNTIFS(Taches!$O$6:$O$325,$B37,Taches!$J$6:$J$325,"En cours")+COUNTIFS(Taches!$O$6:$O$325,$B37,Taches!$J$6:$J$325,"En revue"))</f>
        <v/>
      </c>
      <c r="N37" s="12">
        <f>IF($B37="","",COUNTIFS(Taches!$O$6:$O$325,$B37,Taches!$J$6:$J$325,"Bloquée"))</f>
        <v/>
      </c>
      <c r="O37" s="12">
        <f>IF($B37="","",COUNTIFS(Taches!$O$6:$O$325,$B37,Taches!$U$6:$U$325,"En retard"))</f>
        <v/>
      </c>
      <c r="P37" s="12">
        <f>IF($B37="","",COUNTIFS(Taches!$O$6:$O$325,$B37,Taches!$J$6:$J$325,"Complétée"))</f>
        <v/>
      </c>
      <c r="Q37" s="15">
        <f>IF($B37="","",J37-K37)</f>
        <v/>
      </c>
      <c r="R37" s="37" t="n"/>
    </row>
    <row r="38">
      <c r="B38" s="37" t="n"/>
      <c r="C38" s="37" t="n"/>
      <c r="D38" s="37" t="n"/>
      <c r="E38" s="37" t="n"/>
      <c r="F38" s="39" t="n"/>
      <c r="G38" s="40" t="n"/>
      <c r="H38" s="36" t="n"/>
      <c r="I38" s="12">
        <f>IF($B38="","",COUNTIFS(Taches!$O$6:$O$325,$B38,Taches!$J$6:$J$325,"&lt;&gt;Abandonnée"))</f>
        <v/>
      </c>
      <c r="J38" s="15">
        <f>IF($B38="","",SUMIF(Taches!$O$6:$O$325,$B38,Taches!$M$6:$M$325))</f>
        <v/>
      </c>
      <c r="K38" s="15">
        <f>IF($B38="","",SUMIF(Taches!$O$6:$O$325,$B38,Taches!$N$6:$N$325))</f>
        <v/>
      </c>
      <c r="L38" s="16">
        <f>IF(OR($B38="",J38=0),"",K38/J38)</f>
        <v/>
      </c>
      <c r="M38" s="12">
        <f>IF($B38="","",COUNTIFS(Taches!$O$6:$O$325,$B38,Taches!$J$6:$J$325,"En cours")+COUNTIFS(Taches!$O$6:$O$325,$B38,Taches!$J$6:$J$325,"En revue"))</f>
        <v/>
      </c>
      <c r="N38" s="12">
        <f>IF($B38="","",COUNTIFS(Taches!$O$6:$O$325,$B38,Taches!$J$6:$J$325,"Bloquée"))</f>
        <v/>
      </c>
      <c r="O38" s="12">
        <f>IF($B38="","",COUNTIFS(Taches!$O$6:$O$325,$B38,Taches!$U$6:$U$325,"En retard"))</f>
        <v/>
      </c>
      <c r="P38" s="12">
        <f>IF($B38="","",COUNTIFS(Taches!$O$6:$O$325,$B38,Taches!$J$6:$J$325,"Complétée"))</f>
        <v/>
      </c>
      <c r="Q38" s="15">
        <f>IF($B38="","",J38-K38)</f>
        <v/>
      </c>
      <c r="R38" s="37" t="n"/>
    </row>
    <row r="39">
      <c r="B39" s="37" t="n"/>
      <c r="C39" s="37" t="n"/>
      <c r="D39" s="37" t="n"/>
      <c r="E39" s="37" t="n"/>
      <c r="F39" s="39" t="n"/>
      <c r="G39" s="40" t="n"/>
      <c r="H39" s="36" t="n"/>
      <c r="I39" s="12">
        <f>IF($B39="","",COUNTIFS(Taches!$O$6:$O$325,$B39,Taches!$J$6:$J$325,"&lt;&gt;Abandonnée"))</f>
        <v/>
      </c>
      <c r="J39" s="15">
        <f>IF($B39="","",SUMIF(Taches!$O$6:$O$325,$B39,Taches!$M$6:$M$325))</f>
        <v/>
      </c>
      <c r="K39" s="15">
        <f>IF($B39="","",SUMIF(Taches!$O$6:$O$325,$B39,Taches!$N$6:$N$325))</f>
        <v/>
      </c>
      <c r="L39" s="16">
        <f>IF(OR($B39="",J39=0),"",K39/J39)</f>
        <v/>
      </c>
      <c r="M39" s="12">
        <f>IF($B39="","",COUNTIFS(Taches!$O$6:$O$325,$B39,Taches!$J$6:$J$325,"En cours")+COUNTIFS(Taches!$O$6:$O$325,$B39,Taches!$J$6:$J$325,"En revue"))</f>
        <v/>
      </c>
      <c r="N39" s="12">
        <f>IF($B39="","",COUNTIFS(Taches!$O$6:$O$325,$B39,Taches!$J$6:$J$325,"Bloquée"))</f>
        <v/>
      </c>
      <c r="O39" s="12">
        <f>IF($B39="","",COUNTIFS(Taches!$O$6:$O$325,$B39,Taches!$U$6:$U$325,"En retard"))</f>
        <v/>
      </c>
      <c r="P39" s="12">
        <f>IF($B39="","",COUNTIFS(Taches!$O$6:$O$325,$B39,Taches!$J$6:$J$325,"Complétée"))</f>
        <v/>
      </c>
      <c r="Q39" s="15">
        <f>IF($B39="","",J39-K39)</f>
        <v/>
      </c>
      <c r="R39" s="37" t="n"/>
    </row>
    <row r="40">
      <c r="B40" s="37" t="n"/>
      <c r="C40" s="37" t="n"/>
      <c r="D40" s="37" t="n"/>
      <c r="E40" s="37" t="n"/>
      <c r="F40" s="39" t="n"/>
      <c r="G40" s="40" t="n"/>
      <c r="H40" s="36" t="n"/>
      <c r="I40" s="12">
        <f>IF($B40="","",COUNTIFS(Taches!$O$6:$O$325,$B40,Taches!$J$6:$J$325,"&lt;&gt;Abandonnée"))</f>
        <v/>
      </c>
      <c r="J40" s="15">
        <f>IF($B40="","",SUMIF(Taches!$O$6:$O$325,$B40,Taches!$M$6:$M$325))</f>
        <v/>
      </c>
      <c r="K40" s="15">
        <f>IF($B40="","",SUMIF(Taches!$O$6:$O$325,$B40,Taches!$N$6:$N$325))</f>
        <v/>
      </c>
      <c r="L40" s="16">
        <f>IF(OR($B40="",J40=0),"",K40/J40)</f>
        <v/>
      </c>
      <c r="M40" s="12">
        <f>IF($B40="","",COUNTIFS(Taches!$O$6:$O$325,$B40,Taches!$J$6:$J$325,"En cours")+COUNTIFS(Taches!$O$6:$O$325,$B40,Taches!$J$6:$J$325,"En revue"))</f>
        <v/>
      </c>
      <c r="N40" s="12">
        <f>IF($B40="","",COUNTIFS(Taches!$O$6:$O$325,$B40,Taches!$J$6:$J$325,"Bloquée"))</f>
        <v/>
      </c>
      <c r="O40" s="12">
        <f>IF($B40="","",COUNTIFS(Taches!$O$6:$O$325,$B40,Taches!$U$6:$U$325,"En retard"))</f>
        <v/>
      </c>
      <c r="P40" s="12">
        <f>IF($B40="","",COUNTIFS(Taches!$O$6:$O$325,$B40,Taches!$J$6:$J$325,"Complétée"))</f>
        <v/>
      </c>
      <c r="Q40" s="15">
        <f>IF($B40="","",J40-K40)</f>
        <v/>
      </c>
      <c r="R40" s="37" t="n"/>
    </row>
    <row r="41">
      <c r="B41" s="37" t="n"/>
      <c r="C41" s="37" t="n"/>
      <c r="D41" s="37" t="n"/>
      <c r="E41" s="37" t="n"/>
      <c r="F41" s="39" t="n"/>
      <c r="G41" s="40" t="n"/>
      <c r="H41" s="36" t="n"/>
      <c r="I41" s="12">
        <f>IF($B41="","",COUNTIFS(Taches!$O$6:$O$325,$B41,Taches!$J$6:$J$325,"&lt;&gt;Abandonnée"))</f>
        <v/>
      </c>
      <c r="J41" s="15">
        <f>IF($B41="","",SUMIF(Taches!$O$6:$O$325,$B41,Taches!$M$6:$M$325))</f>
        <v/>
      </c>
      <c r="K41" s="15">
        <f>IF($B41="","",SUMIF(Taches!$O$6:$O$325,$B41,Taches!$N$6:$N$325))</f>
        <v/>
      </c>
      <c r="L41" s="16">
        <f>IF(OR($B41="",J41=0),"",K41/J41)</f>
        <v/>
      </c>
      <c r="M41" s="12">
        <f>IF($B41="","",COUNTIFS(Taches!$O$6:$O$325,$B41,Taches!$J$6:$J$325,"En cours")+COUNTIFS(Taches!$O$6:$O$325,$B41,Taches!$J$6:$J$325,"En revue"))</f>
        <v/>
      </c>
      <c r="N41" s="12">
        <f>IF($B41="","",COUNTIFS(Taches!$O$6:$O$325,$B41,Taches!$J$6:$J$325,"Bloquée"))</f>
        <v/>
      </c>
      <c r="O41" s="12">
        <f>IF($B41="","",COUNTIFS(Taches!$O$6:$O$325,$B41,Taches!$U$6:$U$325,"En retard"))</f>
        <v/>
      </c>
      <c r="P41" s="12">
        <f>IF($B41="","",COUNTIFS(Taches!$O$6:$O$325,$B41,Taches!$J$6:$J$325,"Complétée"))</f>
        <v/>
      </c>
      <c r="Q41" s="15">
        <f>IF($B41="","",J41-K41)</f>
        <v/>
      </c>
      <c r="R41" s="37" t="n"/>
    </row>
    <row r="42">
      <c r="B42" s="37" t="n"/>
      <c r="C42" s="37" t="n"/>
      <c r="D42" s="37" t="n"/>
      <c r="E42" s="37" t="n"/>
      <c r="F42" s="39" t="n"/>
      <c r="G42" s="40" t="n"/>
      <c r="H42" s="36" t="n"/>
      <c r="I42" s="12">
        <f>IF($B42="","",COUNTIFS(Taches!$O$6:$O$325,$B42,Taches!$J$6:$J$325,"&lt;&gt;Abandonnée"))</f>
        <v/>
      </c>
      <c r="J42" s="15">
        <f>IF($B42="","",SUMIF(Taches!$O$6:$O$325,$B42,Taches!$M$6:$M$325))</f>
        <v/>
      </c>
      <c r="K42" s="15">
        <f>IF($B42="","",SUMIF(Taches!$O$6:$O$325,$B42,Taches!$N$6:$N$325))</f>
        <v/>
      </c>
      <c r="L42" s="16">
        <f>IF(OR($B42="",J42=0),"",K42/J42)</f>
        <v/>
      </c>
      <c r="M42" s="12">
        <f>IF($B42="","",COUNTIFS(Taches!$O$6:$O$325,$B42,Taches!$J$6:$J$325,"En cours")+COUNTIFS(Taches!$O$6:$O$325,$B42,Taches!$J$6:$J$325,"En revue"))</f>
        <v/>
      </c>
      <c r="N42" s="12">
        <f>IF($B42="","",COUNTIFS(Taches!$O$6:$O$325,$B42,Taches!$J$6:$J$325,"Bloquée"))</f>
        <v/>
      </c>
      <c r="O42" s="12">
        <f>IF($B42="","",COUNTIFS(Taches!$O$6:$O$325,$B42,Taches!$U$6:$U$325,"En retard"))</f>
        <v/>
      </c>
      <c r="P42" s="12">
        <f>IF($B42="","",COUNTIFS(Taches!$O$6:$O$325,$B42,Taches!$J$6:$J$325,"Complétée"))</f>
        <v/>
      </c>
      <c r="Q42" s="15">
        <f>IF($B42="","",J42-K42)</f>
        <v/>
      </c>
      <c r="R42" s="37" t="n"/>
    </row>
    <row r="43">
      <c r="B43" s="37" t="n"/>
      <c r="C43" s="37" t="n"/>
      <c r="D43" s="37" t="n"/>
      <c r="E43" s="37" t="n"/>
      <c r="F43" s="39" t="n"/>
      <c r="G43" s="40" t="n"/>
      <c r="H43" s="36" t="n"/>
      <c r="I43" s="12">
        <f>IF($B43="","",COUNTIFS(Taches!$O$6:$O$325,$B43,Taches!$J$6:$J$325,"&lt;&gt;Abandonnée"))</f>
        <v/>
      </c>
      <c r="J43" s="15">
        <f>IF($B43="","",SUMIF(Taches!$O$6:$O$325,$B43,Taches!$M$6:$M$325))</f>
        <v/>
      </c>
      <c r="K43" s="15">
        <f>IF($B43="","",SUMIF(Taches!$O$6:$O$325,$B43,Taches!$N$6:$N$325))</f>
        <v/>
      </c>
      <c r="L43" s="16">
        <f>IF(OR($B43="",J43=0),"",K43/J43)</f>
        <v/>
      </c>
      <c r="M43" s="12">
        <f>IF($B43="","",COUNTIFS(Taches!$O$6:$O$325,$B43,Taches!$J$6:$J$325,"En cours")+COUNTIFS(Taches!$O$6:$O$325,$B43,Taches!$J$6:$J$325,"En revue"))</f>
        <v/>
      </c>
      <c r="N43" s="12">
        <f>IF($B43="","",COUNTIFS(Taches!$O$6:$O$325,$B43,Taches!$J$6:$J$325,"Bloquée"))</f>
        <v/>
      </c>
      <c r="O43" s="12">
        <f>IF($B43="","",COUNTIFS(Taches!$O$6:$O$325,$B43,Taches!$U$6:$U$325,"En retard"))</f>
        <v/>
      </c>
      <c r="P43" s="12">
        <f>IF($B43="","",COUNTIFS(Taches!$O$6:$O$325,$B43,Taches!$J$6:$J$325,"Complétée"))</f>
        <v/>
      </c>
      <c r="Q43" s="15">
        <f>IF($B43="","",J43-K43)</f>
        <v/>
      </c>
      <c r="R43" s="37" t="n"/>
    </row>
    <row r="44">
      <c r="B44" s="37" t="n"/>
      <c r="C44" s="37" t="n"/>
      <c r="D44" s="37" t="n"/>
      <c r="E44" s="37" t="n"/>
      <c r="F44" s="39" t="n"/>
      <c r="G44" s="40" t="n"/>
      <c r="H44" s="36" t="n"/>
      <c r="I44" s="12">
        <f>IF($B44="","",COUNTIFS(Taches!$O$6:$O$325,$B44,Taches!$J$6:$J$325,"&lt;&gt;Abandonnée"))</f>
        <v/>
      </c>
      <c r="J44" s="15">
        <f>IF($B44="","",SUMIF(Taches!$O$6:$O$325,$B44,Taches!$M$6:$M$325))</f>
        <v/>
      </c>
      <c r="K44" s="15">
        <f>IF($B44="","",SUMIF(Taches!$O$6:$O$325,$B44,Taches!$N$6:$N$325))</f>
        <v/>
      </c>
      <c r="L44" s="16">
        <f>IF(OR($B44="",J44=0),"",K44/J44)</f>
        <v/>
      </c>
      <c r="M44" s="12">
        <f>IF($B44="","",COUNTIFS(Taches!$O$6:$O$325,$B44,Taches!$J$6:$J$325,"En cours")+COUNTIFS(Taches!$O$6:$O$325,$B44,Taches!$J$6:$J$325,"En revue"))</f>
        <v/>
      </c>
      <c r="N44" s="12">
        <f>IF($B44="","",COUNTIFS(Taches!$O$6:$O$325,$B44,Taches!$J$6:$J$325,"Bloquée"))</f>
        <v/>
      </c>
      <c r="O44" s="12">
        <f>IF($B44="","",COUNTIFS(Taches!$O$6:$O$325,$B44,Taches!$U$6:$U$325,"En retard"))</f>
        <v/>
      </c>
      <c r="P44" s="12">
        <f>IF($B44="","",COUNTIFS(Taches!$O$6:$O$325,$B44,Taches!$J$6:$J$325,"Complétée"))</f>
        <v/>
      </c>
      <c r="Q44" s="15">
        <f>IF($B44="","",J44-K44)</f>
        <v/>
      </c>
      <c r="R44" s="37" t="n"/>
    </row>
    <row r="45">
      <c r="B45" s="37" t="n"/>
      <c r="C45" s="37" t="n"/>
      <c r="D45" s="37" t="n"/>
      <c r="E45" s="37" t="n"/>
      <c r="F45" s="39" t="n"/>
      <c r="G45" s="40" t="n"/>
      <c r="H45" s="36" t="n"/>
      <c r="I45" s="12">
        <f>IF($B45="","",COUNTIFS(Taches!$O$6:$O$325,$B45,Taches!$J$6:$J$325,"&lt;&gt;Abandonnée"))</f>
        <v/>
      </c>
      <c r="J45" s="15">
        <f>IF($B45="","",SUMIF(Taches!$O$6:$O$325,$B45,Taches!$M$6:$M$325))</f>
        <v/>
      </c>
      <c r="K45" s="15">
        <f>IF($B45="","",SUMIF(Taches!$O$6:$O$325,$B45,Taches!$N$6:$N$325))</f>
        <v/>
      </c>
      <c r="L45" s="16">
        <f>IF(OR($B45="",J45=0),"",K45/J45)</f>
        <v/>
      </c>
      <c r="M45" s="12">
        <f>IF($B45="","",COUNTIFS(Taches!$O$6:$O$325,$B45,Taches!$J$6:$J$325,"En cours")+COUNTIFS(Taches!$O$6:$O$325,$B45,Taches!$J$6:$J$325,"En revue"))</f>
        <v/>
      </c>
      <c r="N45" s="12">
        <f>IF($B45="","",COUNTIFS(Taches!$O$6:$O$325,$B45,Taches!$J$6:$J$325,"Bloquée"))</f>
        <v/>
      </c>
      <c r="O45" s="12">
        <f>IF($B45="","",COUNTIFS(Taches!$O$6:$O$325,$B45,Taches!$U$6:$U$325,"En retard"))</f>
        <v/>
      </c>
      <c r="P45" s="12">
        <f>IF($B45="","",COUNTIFS(Taches!$O$6:$O$325,$B45,Taches!$J$6:$J$325,"Complétée"))</f>
        <v/>
      </c>
      <c r="Q45" s="15">
        <f>IF($B45="","",J45-K45)</f>
        <v/>
      </c>
      <c r="R45" s="37" t="n"/>
    </row>
    <row r="46">
      <c r="B46" s="30" t="inlineStr">
        <is>
          <t>Total équipe</t>
        </is>
      </c>
      <c r="C46" s="30" t="n"/>
      <c r="D46" s="30" t="n"/>
      <c r="E46" s="30" t="n"/>
      <c r="F46" s="30" t="n"/>
      <c r="G46" s="30" t="n"/>
      <c r="H46" s="30" t="n"/>
      <c r="I46" s="30">
        <f>SUM(I6:I45)</f>
        <v/>
      </c>
      <c r="J46" s="31">
        <f>SUM(J6:J45)</f>
        <v/>
      </c>
      <c r="K46" s="31">
        <f>SUM(K6:K45)</f>
        <v/>
      </c>
      <c r="L46" s="32">
        <f>IF(J46=0,0,K46/J46)</f>
        <v/>
      </c>
      <c r="M46" s="30">
        <f>SUM(M6:M45)</f>
        <v/>
      </c>
      <c r="N46" s="30">
        <f>SUM(N6:N45)</f>
        <v/>
      </c>
      <c r="O46" s="30">
        <f>SUM(O6:O45)</f>
        <v/>
      </c>
      <c r="P46" s="30">
        <f>SUM(P6:P45)</f>
        <v/>
      </c>
      <c r="Q46" s="31">
        <f>SUM(Q6:Q45)</f>
        <v/>
      </c>
      <c r="R46" s="30" t="n"/>
    </row>
    <row r="48">
      <c r="B48" s="3" t="inlineStr">
        <is>
          <t>Tâches sans responsable</t>
        </is>
      </c>
      <c r="C48" s="41">
        <f>COUNTIFS(Taches!$B$6:$B$325,"&lt;&gt;",Taches!$O$6:$O$325,"",Taches!$J$6:$J$325,"&lt;&gt;Abandonnée")</f>
        <v/>
      </c>
    </row>
    <row r="49">
      <c r="B49" s="3" t="inlineStr">
        <is>
          <t>Charge non assignée (j/p)</t>
        </is>
      </c>
      <c r="C49" s="42">
        <f>SUMIFS(Taches!$M$6:$M$325,Taches!$O$6:$O$325,"",Taches!$J$6:$J$325,"&lt;&gt;Abandonnée")</f>
        <v/>
      </c>
    </row>
  </sheetData>
  <conditionalFormatting sqref="L6:L45">
    <cfRule type="dataBar" priority="1">
      <dataBar>
        <cfvo type="num" val="0"/>
        <cfvo type="num" val="1"/>
        <color rgb="006678F1"/>
      </dataBar>
    </cfRule>
  </conditionalFormatting>
  <conditionalFormatting sqref="N6:O45">
    <cfRule type="expression" priority="2" dxfId="4">
      <formula>AND(N6&lt;&gt;"",N6&gt;0)</formula>
    </cfRule>
  </conditionalFormatting>
  <conditionalFormatting sqref="H6:H45">
    <cfRule type="expression" priority="3" dxfId="7">
      <formula>H6="Non"</formula>
    </cfRule>
  </conditionalFormatting>
  <dataValidations count="3">
    <dataValidation sqref="C6:C45" showDropDown="0" showInputMessage="0" showErrorMessage="0" allowBlank="1" type="list">
      <formula1>"Chef de projet / architecte,Développeur backend,Développeur frontend,Développeur full-stack,DevOps / SRE,QA / testeur,Designer UI/UX,Juridique / DPO,Référent CCI-Togo,Propriétaire produit,Autre"</formula1>
    </dataValidation>
    <dataValidation sqref="H6:H45" showDropDown="0" showInputMessage="0" showErrorMessage="0" allowBlank="1" type="list">
      <formula1>=Parametres!$L$6:$L$7</formula1>
    </dataValidation>
    <dataValidation sqref="F6:F45" showDropDown="0" showInputMessage="0" showErrorMessage="0" allowBlank="1" type="decimal" operator="between">
      <formula1>0</formula1>
      <formula2>1</formula2>
    </dataValidation>
  </dataValidations>
  <pageMargins left="0.75" right="0.75" top="1" bottom="1" header="0.5" footer="0.5"/>
</worksheet>
</file>

<file path=xl/worksheets/sheet7.xml><?xml version="1.0" encoding="utf-8"?>
<worksheet xmlns="http://schemas.openxmlformats.org/spreadsheetml/2006/main">
  <sheetPr>
    <tabColor rgb="002F6B4F"/>
    <outlinePr summaryBelow="1" summaryRight="1"/>
    <pageSetUpPr/>
  </sheetPr>
  <dimension ref="B2:Q3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44" customWidth="1" min="3" max="3"/>
    <col width="20" customWidth="1" min="4" max="4"/>
    <col width="12" customWidth="1" min="5" max="5"/>
    <col width="16" customWidth="1" min="6" max="6"/>
    <col width="10" customWidth="1" min="7" max="7"/>
    <col width="10" customWidth="1" min="8" max="8"/>
    <col width="11" customWidth="1" min="9" max="9"/>
    <col width="8" customWidth="1" min="10" max="10"/>
    <col width="8" customWidth="1" min="11" max="11"/>
    <col width="8" customWidth="1" min="12" max="12"/>
    <col width="8" customWidth="1" min="13" max="13"/>
    <col width="8" customWidth="1" min="14" max="14"/>
    <col width="14" customWidth="1" min="15" max="15"/>
    <col width="16" customWidth="1" min="16" max="16"/>
    <col width="40" customWidth="1" min="17" max="17"/>
  </cols>
  <sheetData>
    <row r="2">
      <c r="B2" s="1" t="inlineStr">
        <is>
          <t>Modules fonctionnels</t>
        </is>
      </c>
    </row>
    <row r="3">
      <c r="B3" s="17" t="inlineStr">
        <is>
          <t>Avancement calculé automatiquement depuis les tâches (pondéré par la charge). Seules les colonnes Responsable et Commentaire se saisissent.</t>
        </is>
      </c>
    </row>
    <row r="5" ht="30" customHeight="1">
      <c r="B5" s="11" t="inlineStr">
        <is>
          <t>Code</t>
        </is>
      </c>
      <c r="C5" s="11" t="inlineStr">
        <is>
          <t>Module</t>
        </is>
      </c>
      <c r="D5" s="11" t="inlineStr">
        <is>
          <t>Catégorie</t>
        </is>
      </c>
      <c r="E5" s="11" t="inlineStr">
        <is>
          <t>Processus liés</t>
        </is>
      </c>
      <c r="F5" s="11" t="inlineStr">
        <is>
          <t>Version cible</t>
        </is>
      </c>
      <c r="G5" s="11" t="inlineStr">
        <is>
          <t>Charge (j/p)</t>
        </is>
      </c>
      <c r="H5" s="11" t="inlineStr">
        <is>
          <t>Réalisé (j/p)</t>
        </is>
      </c>
      <c r="I5" s="11" t="inlineStr">
        <is>
          <t>Avancement</t>
        </is>
      </c>
      <c r="J5" s="11" t="inlineStr">
        <is>
          <t>Tâches</t>
        </is>
      </c>
      <c r="K5" s="11" t="inlineStr">
        <is>
          <t>Faites</t>
        </is>
      </c>
      <c r="L5" s="11" t="inlineStr">
        <is>
          <t>En cours</t>
        </is>
      </c>
      <c r="M5" s="11" t="inlineStr">
        <is>
          <t>Bloquées</t>
        </is>
      </c>
      <c r="N5" s="11" t="inlineStr">
        <is>
          <t>En retard</t>
        </is>
      </c>
      <c r="O5" s="11" t="inlineStr">
        <is>
          <t>État</t>
        </is>
      </c>
      <c r="P5" s="11" t="inlineStr">
        <is>
          <t>Responsable</t>
        </is>
      </c>
      <c r="Q5" s="11" t="inlineStr">
        <is>
          <t>Commentaire</t>
        </is>
      </c>
    </row>
    <row r="6">
      <c r="B6" s="20" t="inlineStr">
        <is>
          <t>FOND</t>
        </is>
      </c>
      <c r="C6" s="20" t="inlineStr">
        <is>
          <t>Fondations : modèle de données et bifurcation actif / titre</t>
        </is>
      </c>
      <c r="D6" s="43" t="inlineStr">
        <is>
          <t>Socle V0</t>
        </is>
      </c>
      <c r="E6" s="20" t="inlineStr">
        <is>
          <t>-</t>
        </is>
      </c>
      <c r="F6" s="20" t="inlineStr">
        <is>
          <t>V1</t>
        </is>
      </c>
      <c r="G6" s="44">
        <f>SUMIF(Taches!$D$6:$D$325,$B6,Taches!$M$6:$M$325)</f>
        <v/>
      </c>
      <c r="H6" s="15">
        <f>SUMIF(Taches!$D$6:$D$325,$B6,Taches!$N$6:$N$325)</f>
        <v/>
      </c>
      <c r="I6" s="16">
        <f>IF(G6=0,0,H6/G6)</f>
        <v/>
      </c>
      <c r="J6" s="12">
        <f>COUNTIFS(Taches!$D$6:$D$325,$B6,Taches!$J$6:$J$325,"&lt;&gt;Annulé",Taches!$B$6:$B$325,"&lt;&gt;")</f>
        <v/>
      </c>
      <c r="K6" s="12">
        <f>COUNTIFS(Taches!$D$6:$D$325,$B6,Taches!$J$6:$J$325,"Complétée")</f>
        <v/>
      </c>
      <c r="L6" s="12">
        <f>COUNTIFS(Taches!$D$6:$D$325,$B6,Taches!$J$6:$J$325,"En cours")+COUNTIFS(Taches!$D$6:$D$325,$B6,Taches!$J$6:$J$325,"En revue")</f>
        <v/>
      </c>
      <c r="M6" s="12">
        <f>COUNTIFS(Taches!$D$6:$D$325,$B6,Taches!$J$6:$J$325,"Bloquée")</f>
        <v/>
      </c>
      <c r="N6" s="12">
        <f>COUNTIFS(Taches!$D$6:$D$325,$B6,Taches!$U$6:$U$325,"En retard")</f>
        <v/>
      </c>
      <c r="O6" s="12">
        <f>IF(J6=0,"Sans tâche",IF(I6&gt;=0.999,"Terminé",IF(M6&gt;0,"Bloqué (partiel)",IF(I6=0,"Non démarré","En cours"))))</f>
        <v/>
      </c>
      <c r="P6" s="37" t="n"/>
      <c r="Q6" s="37" t="inlineStr">
        <is>
          <t>Conditionne tous les autres modules</t>
        </is>
      </c>
    </row>
    <row r="7">
      <c r="B7" s="20" t="inlineStr">
        <is>
          <t>TRV</t>
        </is>
      </c>
      <c r="C7" s="20" t="inlineStr">
        <is>
          <t>Transverse technique : infra, CI, design system, QA</t>
        </is>
      </c>
      <c r="D7" s="43" t="inlineStr">
        <is>
          <t>Socle V0</t>
        </is>
      </c>
      <c r="E7" s="20" t="inlineStr">
        <is>
          <t>-</t>
        </is>
      </c>
      <c r="F7" s="20" t="inlineStr">
        <is>
          <t>V1</t>
        </is>
      </c>
      <c r="G7" s="44">
        <f>SUMIF(Taches!$D$6:$D$325,$B7,Taches!$M$6:$M$325)</f>
        <v/>
      </c>
      <c r="H7" s="15">
        <f>SUMIF(Taches!$D$6:$D$325,$B7,Taches!$N$6:$N$325)</f>
        <v/>
      </c>
      <c r="I7" s="16">
        <f>IF(G7=0,0,H7/G7)</f>
        <v/>
      </c>
      <c r="J7" s="12">
        <f>COUNTIFS(Taches!$D$6:$D$325,$B7,Taches!$J$6:$J$325,"&lt;&gt;Annulé",Taches!$B$6:$B$325,"&lt;&gt;")</f>
        <v/>
      </c>
      <c r="K7" s="12">
        <f>COUNTIFS(Taches!$D$6:$D$325,$B7,Taches!$J$6:$J$325,"Complétée")</f>
        <v/>
      </c>
      <c r="L7" s="12">
        <f>COUNTIFS(Taches!$D$6:$D$325,$B7,Taches!$J$6:$J$325,"En cours")+COUNTIFS(Taches!$D$6:$D$325,$B7,Taches!$J$6:$J$325,"En revue")</f>
        <v/>
      </c>
      <c r="M7" s="12">
        <f>COUNTIFS(Taches!$D$6:$D$325,$B7,Taches!$J$6:$J$325,"Bloquée")</f>
        <v/>
      </c>
      <c r="N7" s="12">
        <f>COUNTIFS(Taches!$D$6:$D$325,$B7,Taches!$U$6:$U$325,"En retard")</f>
        <v/>
      </c>
      <c r="O7" s="12">
        <f>IF(J7=0,"Sans tâche",IF(I7&gt;=0.999,"Terminé",IF(M7&gt;0,"Bloqué (partiel)",IF(I7=0,"Non démarré","En cours"))))</f>
        <v/>
      </c>
      <c r="P7" s="37" t="n"/>
      <c r="Q7" s="37" t="inlineStr">
        <is>
          <t>Charge répartie sur chaque version</t>
        </is>
      </c>
    </row>
    <row r="8">
      <c r="B8" s="20" t="inlineStr">
        <is>
          <t>IDN</t>
        </is>
      </c>
      <c r="C8" s="20" t="inlineStr">
        <is>
          <t>Identité, abonnement et facturation</t>
        </is>
      </c>
      <c r="D8" s="43" t="inlineStr">
        <is>
          <t>Socle V0</t>
        </is>
      </c>
      <c r="E8" s="20" t="inlineStr">
        <is>
          <t>P08</t>
        </is>
      </c>
      <c r="F8" s="20" t="inlineStr">
        <is>
          <t>V1</t>
        </is>
      </c>
      <c r="G8" s="44">
        <f>SUMIF(Taches!$D$6:$D$325,$B8,Taches!$M$6:$M$325)</f>
        <v/>
      </c>
      <c r="H8" s="15">
        <f>SUMIF(Taches!$D$6:$D$325,$B8,Taches!$N$6:$N$325)</f>
        <v/>
      </c>
      <c r="I8" s="16">
        <f>IF(G8=0,0,H8/G8)</f>
        <v/>
      </c>
      <c r="J8" s="12">
        <f>COUNTIFS(Taches!$D$6:$D$325,$B8,Taches!$J$6:$J$325,"&lt;&gt;Annulé",Taches!$B$6:$B$325,"&lt;&gt;")</f>
        <v/>
      </c>
      <c r="K8" s="12">
        <f>COUNTIFS(Taches!$D$6:$D$325,$B8,Taches!$J$6:$J$325,"Complétée")</f>
        <v/>
      </c>
      <c r="L8" s="12">
        <f>COUNTIFS(Taches!$D$6:$D$325,$B8,Taches!$J$6:$J$325,"En cours")+COUNTIFS(Taches!$D$6:$D$325,$B8,Taches!$J$6:$J$325,"En revue")</f>
        <v/>
      </c>
      <c r="M8" s="12">
        <f>COUNTIFS(Taches!$D$6:$D$325,$B8,Taches!$J$6:$J$325,"Bloquée")</f>
        <v/>
      </c>
      <c r="N8" s="12">
        <f>COUNTIFS(Taches!$D$6:$D$325,$B8,Taches!$U$6:$U$325,"En retard")</f>
        <v/>
      </c>
      <c r="O8" s="12">
        <f>IF(J8=0,"Sans tâche",IF(I8&gt;=0.999,"Terminé",IF(M8&gt;0,"Bloqué (partiel)",IF(I8=0,"Non démarré","En cours"))))</f>
        <v/>
      </c>
      <c r="P8" s="37" t="n"/>
      <c r="Q8" s="37" t="inlineStr">
        <is>
          <t>KYC documentaire uniquement, pas de biométrie</t>
        </is>
      </c>
    </row>
    <row r="9">
      <c r="B9" s="20" t="inlineStr">
        <is>
          <t>GOV</t>
        </is>
      </c>
      <c r="C9" s="20" t="inlineStr">
        <is>
          <t>Console institutionnelle CCI-Togo et gouvernance</t>
        </is>
      </c>
      <c r="D9" s="43" t="inlineStr">
        <is>
          <t>Socle V0</t>
        </is>
      </c>
      <c r="E9" s="20" t="inlineStr">
        <is>
          <t>P22</t>
        </is>
      </c>
      <c r="F9" s="20" t="inlineStr">
        <is>
          <t>V1</t>
        </is>
      </c>
      <c r="G9" s="44">
        <f>SUMIF(Taches!$D$6:$D$325,$B9,Taches!$M$6:$M$325)</f>
        <v/>
      </c>
      <c r="H9" s="15">
        <f>SUMIF(Taches!$D$6:$D$325,$B9,Taches!$N$6:$N$325)</f>
        <v/>
      </c>
      <c r="I9" s="16">
        <f>IF(G9=0,0,H9/G9)</f>
        <v/>
      </c>
      <c r="J9" s="12">
        <f>COUNTIFS(Taches!$D$6:$D$325,$B9,Taches!$J$6:$J$325,"&lt;&gt;Annulé",Taches!$B$6:$B$325,"&lt;&gt;")</f>
        <v/>
      </c>
      <c r="K9" s="12">
        <f>COUNTIFS(Taches!$D$6:$D$325,$B9,Taches!$J$6:$J$325,"Complétée")</f>
        <v/>
      </c>
      <c r="L9" s="12">
        <f>COUNTIFS(Taches!$D$6:$D$325,$B9,Taches!$J$6:$J$325,"En cours")+COUNTIFS(Taches!$D$6:$D$325,$B9,Taches!$J$6:$J$325,"En revue")</f>
        <v/>
      </c>
      <c r="M9" s="12">
        <f>COUNTIFS(Taches!$D$6:$D$325,$B9,Taches!$J$6:$J$325,"Bloquée")</f>
        <v/>
      </c>
      <c r="N9" s="12">
        <f>COUNTIFS(Taches!$D$6:$D$325,$B9,Taches!$U$6:$U$325,"En retard")</f>
        <v/>
      </c>
      <c r="O9" s="12">
        <f>IF(J9=0,"Sans tâche",IF(I9&gt;=0.999,"Terminé",IF(M9&gt;0,"Bloqué (partiel)",IF(I9=0,"Non démarré","En cours"))))</f>
        <v/>
      </c>
      <c r="P9" s="37" t="n"/>
      <c r="Q9" s="37" t="inlineStr">
        <is>
          <t>Aucun import de la base des membres</t>
        </is>
      </c>
    </row>
    <row r="10">
      <c r="B10" s="20" t="inlineStr">
        <is>
          <t>CCI</t>
        </is>
      </c>
      <c r="C10" s="20" t="inlineStr">
        <is>
          <t>Deal-Ready : certification CCI-Togo</t>
        </is>
      </c>
      <c r="D10" s="43" t="inlineStr">
        <is>
          <t>Socle V0</t>
        </is>
      </c>
      <c r="E10" s="20" t="inlineStr">
        <is>
          <t>P06</t>
        </is>
      </c>
      <c r="F10" s="20" t="inlineStr">
        <is>
          <t>V1</t>
        </is>
      </c>
      <c r="G10" s="44">
        <f>SUMIF(Taches!$D$6:$D$325,$B10,Taches!$M$6:$M$325)</f>
        <v/>
      </c>
      <c r="H10" s="15">
        <f>SUMIF(Taches!$D$6:$D$325,$B10,Taches!$N$6:$N$325)</f>
        <v/>
      </c>
      <c r="I10" s="16">
        <f>IF(G10=0,0,H10/G10)</f>
        <v/>
      </c>
      <c r="J10" s="12">
        <f>COUNTIFS(Taches!$D$6:$D$325,$B10,Taches!$J$6:$J$325,"&lt;&gt;Annulé",Taches!$B$6:$B$325,"&lt;&gt;")</f>
        <v/>
      </c>
      <c r="K10" s="12">
        <f>COUNTIFS(Taches!$D$6:$D$325,$B10,Taches!$J$6:$J$325,"Complétée")</f>
        <v/>
      </c>
      <c r="L10" s="12">
        <f>COUNTIFS(Taches!$D$6:$D$325,$B10,Taches!$J$6:$J$325,"En cours")+COUNTIFS(Taches!$D$6:$D$325,$B10,Taches!$J$6:$J$325,"En revue")</f>
        <v/>
      </c>
      <c r="M10" s="12">
        <f>COUNTIFS(Taches!$D$6:$D$325,$B10,Taches!$J$6:$J$325,"Bloquée")</f>
        <v/>
      </c>
      <c r="N10" s="12">
        <f>COUNTIFS(Taches!$D$6:$D$325,$B10,Taches!$U$6:$U$325,"En retard")</f>
        <v/>
      </c>
      <c r="O10" s="12">
        <f>IF(J10=0,"Sans tâche",IF(I10&gt;=0.999,"Terminé",IF(M10&gt;0,"Bloqué (partiel)",IF(I10=0,"Non démarré","En cours"))))</f>
        <v/>
      </c>
      <c r="P10" s="37" t="n"/>
      <c r="Q10" s="37" t="inlineStr">
        <is>
          <t>Décision nominative, jamais automatique</t>
        </is>
      </c>
    </row>
    <row r="11">
      <c r="B11" s="20" t="inlineStr">
        <is>
          <t>MKT</t>
        </is>
      </c>
      <c r="C11" s="20" t="inlineStr">
        <is>
          <t>Pass Transmission : dossier cédant, marketplace, évaluation indicative</t>
        </is>
      </c>
      <c r="D11" s="43" t="inlineStr">
        <is>
          <t>Socle V0</t>
        </is>
      </c>
      <c r="E11" s="20" t="inlineStr">
        <is>
          <t>P04, P05, P09</t>
        </is>
      </c>
      <c r="F11" s="20" t="inlineStr">
        <is>
          <t>V1</t>
        </is>
      </c>
      <c r="G11" s="44">
        <f>SUMIF(Taches!$D$6:$D$325,$B11,Taches!$M$6:$M$325)</f>
        <v/>
      </c>
      <c r="H11" s="15">
        <f>SUMIF(Taches!$D$6:$D$325,$B11,Taches!$N$6:$N$325)</f>
        <v/>
      </c>
      <c r="I11" s="16">
        <f>IF(G11=0,0,H11/G11)</f>
        <v/>
      </c>
      <c r="J11" s="12">
        <f>COUNTIFS(Taches!$D$6:$D$325,$B11,Taches!$J$6:$J$325,"&lt;&gt;Annulé",Taches!$B$6:$B$325,"&lt;&gt;")</f>
        <v/>
      </c>
      <c r="K11" s="12">
        <f>COUNTIFS(Taches!$D$6:$D$325,$B11,Taches!$J$6:$J$325,"Complétée")</f>
        <v/>
      </c>
      <c r="L11" s="12">
        <f>COUNTIFS(Taches!$D$6:$D$325,$B11,Taches!$J$6:$J$325,"En cours")+COUNTIFS(Taches!$D$6:$D$325,$B11,Taches!$J$6:$J$325,"En revue")</f>
        <v/>
      </c>
      <c r="M11" s="12">
        <f>COUNTIFS(Taches!$D$6:$D$325,$B11,Taches!$J$6:$J$325,"Bloquée")</f>
        <v/>
      </c>
      <c r="N11" s="12">
        <f>COUNTIFS(Taches!$D$6:$D$325,$B11,Taches!$U$6:$U$325,"En retard")</f>
        <v/>
      </c>
      <c r="O11" s="12">
        <f>IF(J11=0,"Sans tâche",IF(I11&gt;=0.999,"Terminé",IF(M11&gt;0,"Bloqué (partiel)",IF(I11=0,"Non démarré","En cours"))))</f>
        <v/>
      </c>
      <c r="P11" s="37" t="n"/>
      <c r="Q11" s="37" t="inlineStr">
        <is>
          <t>V1 = actifs uniquement</t>
        </is>
      </c>
    </row>
    <row r="12">
      <c r="B12" s="20" t="inlineStr">
        <is>
          <t>RPS</t>
        </is>
      </c>
      <c r="C12" s="20" t="inlineStr">
        <is>
          <t>Regulatory Perimeter Service : divulgation T0/T1/T2</t>
        </is>
      </c>
      <c r="D12" s="43" t="inlineStr">
        <is>
          <t>Socle V0</t>
        </is>
      </c>
      <c r="E12" s="20" t="inlineStr">
        <is>
          <t>P07, P10</t>
        </is>
      </c>
      <c r="F12" s="20" t="inlineStr">
        <is>
          <t>V1 (démo) / V2 (réel)</t>
        </is>
      </c>
      <c r="G12" s="44">
        <f>SUMIF(Taches!$D$6:$D$325,$B12,Taches!$M$6:$M$325)</f>
        <v/>
      </c>
      <c r="H12" s="15">
        <f>SUMIF(Taches!$D$6:$D$325,$B12,Taches!$N$6:$N$325)</f>
        <v/>
      </c>
      <c r="I12" s="16">
        <f>IF(G12=0,0,H12/G12)</f>
        <v/>
      </c>
      <c r="J12" s="12">
        <f>COUNTIFS(Taches!$D$6:$D$325,$B12,Taches!$J$6:$J$325,"&lt;&gt;Annulé",Taches!$B$6:$B$325,"&lt;&gt;")</f>
        <v/>
      </c>
      <c r="K12" s="12">
        <f>COUNTIFS(Taches!$D$6:$D$325,$B12,Taches!$J$6:$J$325,"Complétée")</f>
        <v/>
      </c>
      <c r="L12" s="12">
        <f>COUNTIFS(Taches!$D$6:$D$325,$B12,Taches!$J$6:$J$325,"En cours")+COUNTIFS(Taches!$D$6:$D$325,$B12,Taches!$J$6:$J$325,"En revue")</f>
        <v/>
      </c>
      <c r="M12" s="12">
        <f>COUNTIFS(Taches!$D$6:$D$325,$B12,Taches!$J$6:$J$325,"Bloquée")</f>
        <v/>
      </c>
      <c r="N12" s="12">
        <f>COUNTIFS(Taches!$D$6:$D$325,$B12,Taches!$U$6:$U$325,"En retard")</f>
        <v/>
      </c>
      <c r="O12" s="12">
        <f>IF(J12=0,"Sans tâche",IF(I12&gt;=0.999,"Terminé",IF(M12&gt;0,"Bloqué (partiel)",IF(I12=0,"Non démarré","En cours"))))</f>
        <v/>
      </c>
      <c r="P12" s="37" t="n"/>
      <c r="Q12" s="37" t="inlineStr">
        <is>
          <t>Différenciateur central</t>
        </is>
      </c>
    </row>
    <row r="13">
      <c r="B13" s="20" t="inlineStr">
        <is>
          <t>SIG</t>
        </is>
      </c>
      <c r="C13" s="20" t="inlineStr">
        <is>
          <t>Signature électronique et preuve</t>
        </is>
      </c>
      <c r="D13" s="45" t="inlineStr">
        <is>
          <t>Partenaire-dépendant</t>
        </is>
      </c>
      <c r="E13" s="20" t="inlineStr">
        <is>
          <t>P11</t>
        </is>
      </c>
      <c r="F13" s="20" t="inlineStr">
        <is>
          <t>V2</t>
        </is>
      </c>
      <c r="G13" s="44">
        <f>SUMIF(Taches!$D$6:$D$325,$B13,Taches!$M$6:$M$325)</f>
        <v/>
      </c>
      <c r="H13" s="15">
        <f>SUMIF(Taches!$D$6:$D$325,$B13,Taches!$N$6:$N$325)</f>
        <v/>
      </c>
      <c r="I13" s="16">
        <f>IF(G13=0,0,H13/G13)</f>
        <v/>
      </c>
      <c r="J13" s="12">
        <f>COUNTIFS(Taches!$D$6:$D$325,$B13,Taches!$J$6:$J$325,"&lt;&gt;Annulé",Taches!$B$6:$B$325,"&lt;&gt;")</f>
        <v/>
      </c>
      <c r="K13" s="12">
        <f>COUNTIFS(Taches!$D$6:$D$325,$B13,Taches!$J$6:$J$325,"Complétée")</f>
        <v/>
      </c>
      <c r="L13" s="12">
        <f>COUNTIFS(Taches!$D$6:$D$325,$B13,Taches!$J$6:$J$325,"En cours")+COUNTIFS(Taches!$D$6:$D$325,$B13,Taches!$J$6:$J$325,"En revue")</f>
        <v/>
      </c>
      <c r="M13" s="12">
        <f>COUNTIFS(Taches!$D$6:$D$325,$B13,Taches!$J$6:$J$325,"Bloquée")</f>
        <v/>
      </c>
      <c r="N13" s="12">
        <f>COUNTIFS(Taches!$D$6:$D$325,$B13,Taches!$U$6:$U$325,"En retard")</f>
        <v/>
      </c>
      <c r="O13" s="12">
        <f>IF(J13=0,"Sans tâche",IF(I13&gt;=0.999,"Terminé",IF(M13&gt;0,"Bloqué (partiel)",IF(I13=0,"Non démarré","En cours"))))</f>
        <v/>
      </c>
      <c r="P13" s="37" t="n"/>
      <c r="Q13" s="37" t="inlineStr">
        <is>
          <t>Prestataire PSC accrédité ARCEP</t>
        </is>
      </c>
    </row>
    <row r="14">
      <c r="B14" s="20" t="inlineStr">
        <is>
          <t>VDR</t>
        </is>
      </c>
      <c r="C14" s="20" t="inlineStr">
        <is>
          <t>Data room et questions-réponses</t>
        </is>
      </c>
      <c r="D14" s="43" t="inlineStr">
        <is>
          <t>Socle V0</t>
        </is>
      </c>
      <c r="E14" s="20" t="inlineStr">
        <is>
          <t>P12</t>
        </is>
      </c>
      <c r="F14" s="20" t="inlineStr">
        <is>
          <t>V2</t>
        </is>
      </c>
      <c r="G14" s="44">
        <f>SUMIF(Taches!$D$6:$D$325,$B14,Taches!$M$6:$M$325)</f>
        <v/>
      </c>
      <c r="H14" s="15">
        <f>SUMIF(Taches!$D$6:$D$325,$B14,Taches!$N$6:$N$325)</f>
        <v/>
      </c>
      <c r="I14" s="16">
        <f>IF(G14=0,0,H14/G14)</f>
        <v/>
      </c>
      <c r="J14" s="12">
        <f>COUNTIFS(Taches!$D$6:$D$325,$B14,Taches!$J$6:$J$325,"&lt;&gt;Annulé",Taches!$B$6:$B$325,"&lt;&gt;")</f>
        <v/>
      </c>
      <c r="K14" s="12">
        <f>COUNTIFS(Taches!$D$6:$D$325,$B14,Taches!$J$6:$J$325,"Complétée")</f>
        <v/>
      </c>
      <c r="L14" s="12">
        <f>COUNTIFS(Taches!$D$6:$D$325,$B14,Taches!$J$6:$J$325,"En cours")+COUNTIFS(Taches!$D$6:$D$325,$B14,Taches!$J$6:$J$325,"En revue")</f>
        <v/>
      </c>
      <c r="M14" s="12">
        <f>COUNTIFS(Taches!$D$6:$D$325,$B14,Taches!$J$6:$J$325,"Bloquée")</f>
        <v/>
      </c>
      <c r="N14" s="12">
        <f>COUNTIFS(Taches!$D$6:$D$325,$B14,Taches!$U$6:$U$325,"En retard")</f>
        <v/>
      </c>
      <c r="O14" s="12">
        <f>IF(J14=0,"Sans tâche",IF(I14&gt;=0.999,"Terminé",IF(M14&gt;0,"Bloqué (partiel)",IF(I14=0,"Non démarré","En cours"))))</f>
        <v/>
      </c>
      <c r="P14" s="37" t="n"/>
      <c r="Q14" s="37" t="inlineStr">
        <is>
          <t>Rendu serveur, filigrane, révocation &lt; 60 s</t>
        </is>
      </c>
    </row>
    <row r="15">
      <c r="B15" s="20" t="inlineStr">
        <is>
          <t>NEG</t>
        </is>
      </c>
      <c r="C15" s="20" t="inlineStr">
        <is>
          <t>Négociation : offre, LOI, audit d'acquisition</t>
        </is>
      </c>
      <c r="D15" s="43" t="inlineStr">
        <is>
          <t>Socle V0</t>
        </is>
      </c>
      <c r="E15" s="20" t="inlineStr">
        <is>
          <t>P14, P15</t>
        </is>
      </c>
      <c r="F15" s="20" t="inlineStr">
        <is>
          <t>V3</t>
        </is>
      </c>
      <c r="G15" s="44">
        <f>SUMIF(Taches!$D$6:$D$325,$B15,Taches!$M$6:$M$325)</f>
        <v/>
      </c>
      <c r="H15" s="15">
        <f>SUMIF(Taches!$D$6:$D$325,$B15,Taches!$N$6:$N$325)</f>
        <v/>
      </c>
      <c r="I15" s="16">
        <f>IF(G15=0,0,H15/G15)</f>
        <v/>
      </c>
      <c r="J15" s="12">
        <f>COUNTIFS(Taches!$D$6:$D$325,$B15,Taches!$J$6:$J$325,"&lt;&gt;Annulé",Taches!$B$6:$B$325,"&lt;&gt;")</f>
        <v/>
      </c>
      <c r="K15" s="12">
        <f>COUNTIFS(Taches!$D$6:$D$325,$B15,Taches!$J$6:$J$325,"Complétée")</f>
        <v/>
      </c>
      <c r="L15" s="12">
        <f>COUNTIFS(Taches!$D$6:$D$325,$B15,Taches!$J$6:$J$325,"En cours")+COUNTIFS(Taches!$D$6:$D$325,$B15,Taches!$J$6:$J$325,"En revue")</f>
        <v/>
      </c>
      <c r="M15" s="12">
        <f>COUNTIFS(Taches!$D$6:$D$325,$B15,Taches!$J$6:$J$325,"Bloquée")</f>
        <v/>
      </c>
      <c r="N15" s="12">
        <f>COUNTIFS(Taches!$D$6:$D$325,$B15,Taches!$U$6:$U$325,"En retard")</f>
        <v/>
      </c>
      <c r="O15" s="12">
        <f>IF(J15=0,"Sans tâche",IF(I15&gt;=0.999,"Terminé",IF(M15&gt;0,"Bloqué (partiel)",IF(I15=0,"Non démarré","En cours"))))</f>
        <v/>
      </c>
      <c r="P15" s="37" t="n"/>
      <c r="Q15" s="37" t="inlineStr"/>
    </row>
    <row r="16">
      <c r="B16" s="20" t="inlineStr">
        <is>
          <t>REA</t>
        </is>
      </c>
      <c r="C16" s="20" t="inlineStr">
        <is>
          <t>Réalisation et traçabilité de la transmission</t>
        </is>
      </c>
      <c r="D16" s="43" t="inlineStr">
        <is>
          <t>Socle V0</t>
        </is>
      </c>
      <c r="E16" s="20" t="inlineStr">
        <is>
          <t>P16</t>
        </is>
      </c>
      <c r="F16" s="20" t="inlineStr">
        <is>
          <t>V3</t>
        </is>
      </c>
      <c r="G16" s="44">
        <f>SUMIF(Taches!$D$6:$D$325,$B16,Taches!$M$6:$M$325)</f>
        <v/>
      </c>
      <c r="H16" s="15">
        <f>SUMIF(Taches!$D$6:$D$325,$B16,Taches!$N$6:$N$325)</f>
        <v/>
      </c>
      <c r="I16" s="16">
        <f>IF(G16=0,0,H16/G16)</f>
        <v/>
      </c>
      <c r="J16" s="12">
        <f>COUNTIFS(Taches!$D$6:$D$325,$B16,Taches!$J$6:$J$325,"&lt;&gt;Annulé",Taches!$B$6:$B$325,"&lt;&gt;")</f>
        <v/>
      </c>
      <c r="K16" s="12">
        <f>COUNTIFS(Taches!$D$6:$D$325,$B16,Taches!$J$6:$J$325,"Complétée")</f>
        <v/>
      </c>
      <c r="L16" s="12">
        <f>COUNTIFS(Taches!$D$6:$D$325,$B16,Taches!$J$6:$J$325,"En cours")+COUNTIFS(Taches!$D$6:$D$325,$B16,Taches!$J$6:$J$325,"En revue")</f>
        <v/>
      </c>
      <c r="M16" s="12">
        <f>COUNTIFS(Taches!$D$6:$D$325,$B16,Taches!$J$6:$J$325,"Bloquée")</f>
        <v/>
      </c>
      <c r="N16" s="12">
        <f>COUNTIFS(Taches!$D$6:$D$325,$B16,Taches!$U$6:$U$325,"En retard")</f>
        <v/>
      </c>
      <c r="O16" s="12">
        <f>IF(J16=0,"Sans tâche",IF(I16&gt;=0.999,"Terminé",IF(M16&gt;0,"Bloqué (partiel)",IF(I16=0,"Non démarré","En cours"))))</f>
        <v/>
      </c>
      <c r="P16" s="37" t="n"/>
      <c r="Q16" s="37" t="inlineStr">
        <is>
          <t>Sans Deal-Pay natif</t>
        </is>
      </c>
    </row>
    <row r="17">
      <c r="B17" s="20" t="inlineStr">
        <is>
          <t>LEG</t>
        </is>
      </c>
      <c r="C17" s="20" t="inlineStr">
        <is>
          <t>LegalTech OHADA et conformité fiscale</t>
        </is>
      </c>
      <c r="D17" s="45" t="inlineStr">
        <is>
          <t>Partenaire-dépendant</t>
        </is>
      </c>
      <c r="E17" s="20" t="inlineStr">
        <is>
          <t>P19</t>
        </is>
      </c>
      <c r="F17" s="20" t="inlineStr">
        <is>
          <t>V3</t>
        </is>
      </c>
      <c r="G17" s="44">
        <f>SUMIF(Taches!$D$6:$D$325,$B17,Taches!$M$6:$M$325)</f>
        <v/>
      </c>
      <c r="H17" s="15">
        <f>SUMIF(Taches!$D$6:$D$325,$B17,Taches!$N$6:$N$325)</f>
        <v/>
      </c>
      <c r="I17" s="16">
        <f>IF(G17=0,0,H17/G17)</f>
        <v/>
      </c>
      <c r="J17" s="12">
        <f>COUNTIFS(Taches!$D$6:$D$325,$B17,Taches!$J$6:$J$325,"&lt;&gt;Annulé",Taches!$B$6:$B$325,"&lt;&gt;")</f>
        <v/>
      </c>
      <c r="K17" s="12">
        <f>COUNTIFS(Taches!$D$6:$D$325,$B17,Taches!$J$6:$J$325,"Complétée")</f>
        <v/>
      </c>
      <c r="L17" s="12">
        <f>COUNTIFS(Taches!$D$6:$D$325,$B17,Taches!$J$6:$J$325,"En cours")+COUNTIFS(Taches!$D$6:$D$325,$B17,Taches!$J$6:$J$325,"En revue")</f>
        <v/>
      </c>
      <c r="M17" s="12">
        <f>COUNTIFS(Taches!$D$6:$D$325,$B17,Taches!$J$6:$J$325,"Bloquée")</f>
        <v/>
      </c>
      <c r="N17" s="12">
        <f>COUNTIFS(Taches!$D$6:$D$325,$B17,Taches!$U$6:$U$325,"En retard")</f>
        <v/>
      </c>
      <c r="O17" s="12">
        <f>IF(J17=0,"Sans tâche",IF(I17&gt;=0.999,"Terminé",IF(M17&gt;0,"Bloqué (partiel)",IF(I17=0,"Non démarré","En cours"))))</f>
        <v/>
      </c>
      <c r="P17" s="37" t="n"/>
      <c r="Q17" s="37" t="inlineStr">
        <is>
          <t>Partenaire fiscal à confirmer</t>
        </is>
      </c>
    </row>
    <row r="18">
      <c r="B18" s="20" t="inlineStr">
        <is>
          <t>FIN</t>
        </is>
      </c>
      <c r="C18" s="20" t="inlineStr">
        <is>
          <t>Finance : frais, rétrocession CCI, reporting</t>
        </is>
      </c>
      <c r="D18" s="43" t="inlineStr">
        <is>
          <t>Socle V0</t>
        </is>
      </c>
      <c r="E18" s="20" t="inlineStr">
        <is>
          <t>P24</t>
        </is>
      </c>
      <c r="F18" s="20" t="inlineStr">
        <is>
          <t>V3</t>
        </is>
      </c>
      <c r="G18" s="44">
        <f>SUMIF(Taches!$D$6:$D$325,$B18,Taches!$M$6:$M$325)</f>
        <v/>
      </c>
      <c r="H18" s="15">
        <f>SUMIF(Taches!$D$6:$D$325,$B18,Taches!$N$6:$N$325)</f>
        <v/>
      </c>
      <c r="I18" s="16">
        <f>IF(G18=0,0,H18/G18)</f>
        <v/>
      </c>
      <c r="J18" s="12">
        <f>COUNTIFS(Taches!$D$6:$D$325,$B18,Taches!$J$6:$J$325,"&lt;&gt;Annulé",Taches!$B$6:$B$325,"&lt;&gt;")</f>
        <v/>
      </c>
      <c r="K18" s="12">
        <f>COUNTIFS(Taches!$D$6:$D$325,$B18,Taches!$J$6:$J$325,"Complétée")</f>
        <v/>
      </c>
      <c r="L18" s="12">
        <f>COUNTIFS(Taches!$D$6:$D$325,$B18,Taches!$J$6:$J$325,"En cours")+COUNTIFS(Taches!$D$6:$D$325,$B18,Taches!$J$6:$J$325,"En revue")</f>
        <v/>
      </c>
      <c r="M18" s="12">
        <f>COUNTIFS(Taches!$D$6:$D$325,$B18,Taches!$J$6:$J$325,"Bloquée")</f>
        <v/>
      </c>
      <c r="N18" s="12">
        <f>COUNTIFS(Taches!$D$6:$D$325,$B18,Taches!$U$6:$U$325,"En retard")</f>
        <v/>
      </c>
      <c r="O18" s="12">
        <f>IF(J18=0,"Sans tâche",IF(I18&gt;=0.999,"Terminé",IF(M18&gt;0,"Bloqué (partiel)",IF(I18=0,"Non démarré","En cours"))))</f>
        <v/>
      </c>
      <c r="P18" s="37" t="n"/>
      <c r="Q18" s="37" t="inlineStr">
        <is>
          <t>Barème activable après avis juridique écrit</t>
        </is>
      </c>
    </row>
    <row r="19">
      <c r="B19" s="20" t="inlineStr">
        <is>
          <t>SUP</t>
        </is>
      </c>
      <c r="C19" s="20" t="inlineStr">
        <is>
          <t>Support et accès privilégiés</t>
        </is>
      </c>
      <c r="D19" s="43" t="inlineStr">
        <is>
          <t>Socle V0</t>
        </is>
      </c>
      <c r="E19" s="20" t="inlineStr">
        <is>
          <t>P23</t>
        </is>
      </c>
      <c r="F19" s="20" t="inlineStr">
        <is>
          <t>V3</t>
        </is>
      </c>
      <c r="G19" s="44">
        <f>SUMIF(Taches!$D$6:$D$325,$B19,Taches!$M$6:$M$325)</f>
        <v/>
      </c>
      <c r="H19" s="15">
        <f>SUMIF(Taches!$D$6:$D$325,$B19,Taches!$N$6:$N$325)</f>
        <v/>
      </c>
      <c r="I19" s="16">
        <f>IF(G19=0,0,H19/G19)</f>
        <v/>
      </c>
      <c r="J19" s="12">
        <f>COUNTIFS(Taches!$D$6:$D$325,$B19,Taches!$J$6:$J$325,"&lt;&gt;Annulé",Taches!$B$6:$B$325,"&lt;&gt;")</f>
        <v/>
      </c>
      <c r="K19" s="12">
        <f>COUNTIFS(Taches!$D$6:$D$325,$B19,Taches!$J$6:$J$325,"Complétée")</f>
        <v/>
      </c>
      <c r="L19" s="12">
        <f>COUNTIFS(Taches!$D$6:$D$325,$B19,Taches!$J$6:$J$325,"En cours")+COUNTIFS(Taches!$D$6:$D$325,$B19,Taches!$J$6:$J$325,"En revue")</f>
        <v/>
      </c>
      <c r="M19" s="12">
        <f>COUNTIFS(Taches!$D$6:$D$325,$B19,Taches!$J$6:$J$325,"Bloquée")</f>
        <v/>
      </c>
      <c r="N19" s="12">
        <f>COUNTIFS(Taches!$D$6:$D$325,$B19,Taches!$U$6:$U$325,"En retard")</f>
        <v/>
      </c>
      <c r="O19" s="12">
        <f>IF(J19=0,"Sans tâche",IF(I19&gt;=0.999,"Terminé",IF(M19&gt;0,"Bloqué (partiel)",IF(I19=0,"Non démarré","En cours"))))</f>
        <v/>
      </c>
      <c r="P19" s="37" t="n"/>
      <c r="Q19" s="37" t="inlineStr">
        <is>
          <t>Moindre privilège</t>
        </is>
      </c>
    </row>
    <row r="20">
      <c r="B20" s="20" t="inlineStr">
        <is>
          <t>OPS</t>
        </is>
      </c>
      <c r="C20" s="20" t="inlineStr">
        <is>
          <t>Exploitation, sécurité, continuité (SLA 99,5 %)</t>
        </is>
      </c>
      <c r="D20" s="43" t="inlineStr">
        <is>
          <t>Socle V0</t>
        </is>
      </c>
      <c r="E20" s="20" t="inlineStr">
        <is>
          <t>P25</t>
        </is>
      </c>
      <c r="F20" s="20" t="inlineStr">
        <is>
          <t>V1 (base) / V3 (durci)</t>
        </is>
      </c>
      <c r="G20" s="44">
        <f>SUMIF(Taches!$D$6:$D$325,$B20,Taches!$M$6:$M$325)</f>
        <v/>
      </c>
      <c r="H20" s="15">
        <f>SUMIF(Taches!$D$6:$D$325,$B20,Taches!$N$6:$N$325)</f>
        <v/>
      </c>
      <c r="I20" s="16">
        <f>IF(G20=0,0,H20/G20)</f>
        <v/>
      </c>
      <c r="J20" s="12">
        <f>COUNTIFS(Taches!$D$6:$D$325,$B20,Taches!$J$6:$J$325,"&lt;&gt;Annulé",Taches!$B$6:$B$325,"&lt;&gt;")</f>
        <v/>
      </c>
      <c r="K20" s="12">
        <f>COUNTIFS(Taches!$D$6:$D$325,$B20,Taches!$J$6:$J$325,"Complétée")</f>
        <v/>
      </c>
      <c r="L20" s="12">
        <f>COUNTIFS(Taches!$D$6:$D$325,$B20,Taches!$J$6:$J$325,"En cours")+COUNTIFS(Taches!$D$6:$D$325,$B20,Taches!$J$6:$J$325,"En revue")</f>
        <v/>
      </c>
      <c r="M20" s="12">
        <f>COUNTIFS(Taches!$D$6:$D$325,$B20,Taches!$J$6:$J$325,"Bloquée")</f>
        <v/>
      </c>
      <c r="N20" s="12">
        <f>COUNTIFS(Taches!$D$6:$D$325,$B20,Taches!$U$6:$U$325,"En retard")</f>
        <v/>
      </c>
      <c r="O20" s="12">
        <f>IF(J20=0,"Sans tâche",IF(I20&gt;=0.999,"Terminé",IF(M20&gt;0,"Bloqué (partiel)",IF(I20=0,"Non démarré","En cours"))))</f>
        <v/>
      </c>
      <c r="P20" s="37" t="n"/>
      <c r="Q20" s="37" t="inlineStr">
        <is>
          <t>Obligation de résultat contractuelle</t>
        </is>
      </c>
    </row>
    <row r="21">
      <c r="B21" s="20" t="inlineStr">
        <is>
          <t>REB</t>
        </is>
      </c>
      <c r="C21" s="20" t="inlineStr">
        <is>
          <t>Alerte &amp; Rebond : entreprises en difficulté</t>
        </is>
      </c>
      <c r="D21" s="43" t="inlineStr">
        <is>
          <t>Socle V0</t>
        </is>
      </c>
      <c r="E21" s="20" t="inlineStr">
        <is>
          <t>P17, P18</t>
        </is>
      </c>
      <c r="F21" s="20" t="inlineStr">
        <is>
          <t>V4</t>
        </is>
      </c>
      <c r="G21" s="44">
        <f>SUMIF(Taches!$D$6:$D$325,$B21,Taches!$M$6:$M$325)</f>
        <v/>
      </c>
      <c r="H21" s="15">
        <f>SUMIF(Taches!$D$6:$D$325,$B21,Taches!$N$6:$N$325)</f>
        <v/>
      </c>
      <c r="I21" s="16">
        <f>IF(G21=0,0,H21/G21)</f>
        <v/>
      </c>
      <c r="J21" s="12">
        <f>COUNTIFS(Taches!$D$6:$D$325,$B21,Taches!$J$6:$J$325,"&lt;&gt;Annulé",Taches!$B$6:$B$325,"&lt;&gt;")</f>
        <v/>
      </c>
      <c r="K21" s="12">
        <f>COUNTIFS(Taches!$D$6:$D$325,$B21,Taches!$J$6:$J$325,"Complétée")</f>
        <v/>
      </c>
      <c r="L21" s="12">
        <f>COUNTIFS(Taches!$D$6:$D$325,$B21,Taches!$J$6:$J$325,"En cours")+COUNTIFS(Taches!$D$6:$D$325,$B21,Taches!$J$6:$J$325,"En revue")</f>
        <v/>
      </c>
      <c r="M21" s="12">
        <f>COUNTIFS(Taches!$D$6:$D$325,$B21,Taches!$J$6:$J$325,"Bloquée")</f>
        <v/>
      </c>
      <c r="N21" s="12">
        <f>COUNTIFS(Taches!$D$6:$D$325,$B21,Taches!$U$6:$U$325,"En retard")</f>
        <v/>
      </c>
      <c r="O21" s="12">
        <f>IF(J21=0,"Sans tâche",IF(I21&gt;=0.999,"Terminé",IF(M21&gt;0,"Bloqué (partiel)",IF(I21=0,"Non démarré","En cours"))))</f>
        <v/>
      </c>
      <c r="P21" s="37" t="n"/>
      <c r="Q21" s="37" t="inlineStr">
        <is>
          <t>Confidentialité renforcée</t>
        </is>
      </c>
    </row>
    <row r="22">
      <c r="B22" s="20" t="inlineStr">
        <is>
          <t>CNX</t>
        </is>
      </c>
      <c r="C22" s="20" t="inlineStr">
        <is>
          <t>Deal-Connect : événements B2B (Remo.co)</t>
        </is>
      </c>
      <c r="D22" s="43" t="inlineStr">
        <is>
          <t>Socle V0</t>
        </is>
      </c>
      <c r="E22" s="20" t="inlineStr">
        <is>
          <t>P20</t>
        </is>
      </c>
      <c r="F22" s="20" t="inlineStr">
        <is>
          <t>V4</t>
        </is>
      </c>
      <c r="G22" s="44">
        <f>SUMIF(Taches!$D$6:$D$325,$B22,Taches!$M$6:$M$325)</f>
        <v/>
      </c>
      <c r="H22" s="15">
        <f>SUMIF(Taches!$D$6:$D$325,$B22,Taches!$N$6:$N$325)</f>
        <v/>
      </c>
      <c r="I22" s="16">
        <f>IF(G22=0,0,H22/G22)</f>
        <v/>
      </c>
      <c r="J22" s="12">
        <f>COUNTIFS(Taches!$D$6:$D$325,$B22,Taches!$J$6:$J$325,"&lt;&gt;Annulé",Taches!$B$6:$B$325,"&lt;&gt;")</f>
        <v/>
      </c>
      <c r="K22" s="12">
        <f>COUNTIFS(Taches!$D$6:$D$325,$B22,Taches!$J$6:$J$325,"Complétée")</f>
        <v/>
      </c>
      <c r="L22" s="12">
        <f>COUNTIFS(Taches!$D$6:$D$325,$B22,Taches!$J$6:$J$325,"En cours")+COUNTIFS(Taches!$D$6:$D$325,$B22,Taches!$J$6:$J$325,"En revue")</f>
        <v/>
      </c>
      <c r="M22" s="12">
        <f>COUNTIFS(Taches!$D$6:$D$325,$B22,Taches!$J$6:$J$325,"Bloquée")</f>
        <v/>
      </c>
      <c r="N22" s="12">
        <f>COUNTIFS(Taches!$D$6:$D$325,$B22,Taches!$U$6:$U$325,"En retard")</f>
        <v/>
      </c>
      <c r="O22" s="12">
        <f>IF(J22=0,"Sans tâche",IF(I22&gt;=0.999,"Terminé",IF(M22&gt;0,"Bloqué (partiel)",IF(I22=0,"Non démarré","En cours"))))</f>
        <v/>
      </c>
      <c r="P22" s="37" t="n"/>
      <c r="Q22" s="37" t="inlineStr">
        <is>
          <t>Connecteur externe Remo.co</t>
        </is>
      </c>
    </row>
    <row r="23">
      <c r="B23" s="20" t="inlineStr">
        <is>
          <t>DIA</t>
        </is>
      </c>
      <c r="C23" s="20" t="inlineStr">
        <is>
          <t>Guichet Diaspora et investissement</t>
        </is>
      </c>
      <c r="D23" s="43" t="inlineStr">
        <is>
          <t>Socle V0</t>
        </is>
      </c>
      <c r="E23" s="20" t="inlineStr">
        <is>
          <t>P21</t>
        </is>
      </c>
      <c r="F23" s="20" t="inlineStr">
        <is>
          <t>V4</t>
        </is>
      </c>
      <c r="G23" s="44">
        <f>SUMIF(Taches!$D$6:$D$325,$B23,Taches!$M$6:$M$325)</f>
        <v/>
      </c>
      <c r="H23" s="15">
        <f>SUMIF(Taches!$D$6:$D$325,$B23,Taches!$N$6:$N$325)</f>
        <v/>
      </c>
      <c r="I23" s="16">
        <f>IF(G23=0,0,H23/G23)</f>
        <v/>
      </c>
      <c r="J23" s="12">
        <f>COUNTIFS(Taches!$D$6:$D$325,$B23,Taches!$J$6:$J$325,"&lt;&gt;Annulé",Taches!$B$6:$B$325,"&lt;&gt;")</f>
        <v/>
      </c>
      <c r="K23" s="12">
        <f>COUNTIFS(Taches!$D$6:$D$325,$B23,Taches!$J$6:$J$325,"Complétée")</f>
        <v/>
      </c>
      <c r="L23" s="12">
        <f>COUNTIFS(Taches!$D$6:$D$325,$B23,Taches!$J$6:$J$325,"En cours")+COUNTIFS(Taches!$D$6:$D$325,$B23,Taches!$J$6:$J$325,"En revue")</f>
        <v/>
      </c>
      <c r="M23" s="12">
        <f>COUNTIFS(Taches!$D$6:$D$325,$B23,Taches!$J$6:$J$325,"Bloquée")</f>
        <v/>
      </c>
      <c r="N23" s="12">
        <f>COUNTIFS(Taches!$D$6:$D$325,$B23,Taches!$U$6:$U$325,"En retard")</f>
        <v/>
      </c>
      <c r="O23" s="12">
        <f>IF(J23=0,"Sans tâche",IF(I23&gt;=0.999,"Terminé",IF(M23&gt;0,"Bloqué (partiel)",IF(I23=0,"Non démarré","En cours"))))</f>
        <v/>
      </c>
      <c r="P23" s="37" t="n"/>
      <c r="Q23" s="37" t="inlineStr">
        <is>
          <t>Rendez-vous vidéo via Remo.co</t>
        </is>
      </c>
    </row>
    <row r="24">
      <c r="B24" s="20" t="inlineStr">
        <is>
          <t>EXP</t>
        </is>
      </c>
      <c r="C24" s="20" t="inlineStr">
        <is>
          <t>Deal-Experts : mobilisation d'expert indépendant</t>
        </is>
      </c>
      <c r="D24" s="45" t="inlineStr">
        <is>
          <t>Arbitrage requis</t>
        </is>
      </c>
      <c r="E24" s="20" t="inlineStr">
        <is>
          <t>P13</t>
        </is>
      </c>
      <c r="F24" s="20" t="inlineStr">
        <is>
          <t>V4 (à confirmer)</t>
        </is>
      </c>
      <c r="G24" s="44">
        <f>SUMIF(Taches!$D$6:$D$325,$B24,Taches!$M$6:$M$325)</f>
        <v/>
      </c>
      <c r="H24" s="15">
        <f>SUMIF(Taches!$D$6:$D$325,$B24,Taches!$N$6:$N$325)</f>
        <v/>
      </c>
      <c r="I24" s="16">
        <f>IF(G24=0,0,H24/G24)</f>
        <v/>
      </c>
      <c r="J24" s="12">
        <f>COUNTIFS(Taches!$D$6:$D$325,$B24,Taches!$J$6:$J$325,"&lt;&gt;Annulé",Taches!$B$6:$B$325,"&lt;&gt;")</f>
        <v/>
      </c>
      <c r="K24" s="12">
        <f>COUNTIFS(Taches!$D$6:$D$325,$B24,Taches!$J$6:$J$325,"Complétée")</f>
        <v/>
      </c>
      <c r="L24" s="12">
        <f>COUNTIFS(Taches!$D$6:$D$325,$B24,Taches!$J$6:$J$325,"En cours")+COUNTIFS(Taches!$D$6:$D$325,$B24,Taches!$J$6:$J$325,"En revue")</f>
        <v/>
      </c>
      <c r="M24" s="12">
        <f>COUNTIFS(Taches!$D$6:$D$325,$B24,Taches!$J$6:$J$325,"Bloquée")</f>
        <v/>
      </c>
      <c r="N24" s="12">
        <f>COUNTIFS(Taches!$D$6:$D$325,$B24,Taches!$U$6:$U$325,"En retard")</f>
        <v/>
      </c>
      <c r="O24" s="12">
        <f>IF(J24=0,"Sans tâche",IF(I24&gt;=0.999,"Terminé",IF(M24&gt;0,"Bloqué (partiel)",IF(I24=0,"Non démarré","En cours"))))</f>
        <v/>
      </c>
      <c r="P24" s="37" t="n"/>
      <c r="Q24" s="37" t="inlineStr">
        <is>
          <t>Contractuel (P13) ou cible future : à trancher</t>
        </is>
      </c>
    </row>
    <row r="25">
      <c r="B25" s="20" t="inlineStr">
        <is>
          <t>VDR-IA</t>
        </is>
      </c>
      <c r="C25" s="20" t="inlineStr">
        <is>
          <t>VDR Intelligence : DealLens et surfaces de diligence</t>
        </is>
      </c>
      <c r="D25" s="46" t="inlineStr">
        <is>
          <t>Extension conçue, non prod</t>
        </is>
      </c>
      <c r="E25" s="20" t="inlineStr">
        <is>
          <t>-</t>
        </is>
      </c>
      <c r="F25" s="20" t="inlineStr">
        <is>
          <t>V5</t>
        </is>
      </c>
      <c r="G25" s="44">
        <f>SUMIF(Taches!$D$6:$D$325,$B25,Taches!$M$6:$M$325)</f>
        <v/>
      </c>
      <c r="H25" s="15">
        <f>SUMIF(Taches!$D$6:$D$325,$B25,Taches!$N$6:$N$325)</f>
        <v/>
      </c>
      <c r="I25" s="16">
        <f>IF(G25=0,0,H25/G25)</f>
        <v/>
      </c>
      <c r="J25" s="12">
        <f>COUNTIFS(Taches!$D$6:$D$325,$B25,Taches!$J$6:$J$325,"&lt;&gt;Annulé",Taches!$B$6:$B$325,"&lt;&gt;")</f>
        <v/>
      </c>
      <c r="K25" s="12">
        <f>COUNTIFS(Taches!$D$6:$D$325,$B25,Taches!$J$6:$J$325,"Complétée")</f>
        <v/>
      </c>
      <c r="L25" s="12">
        <f>COUNTIFS(Taches!$D$6:$D$325,$B25,Taches!$J$6:$J$325,"En cours")+COUNTIFS(Taches!$D$6:$D$325,$B25,Taches!$J$6:$J$325,"En revue")</f>
        <v/>
      </c>
      <c r="M25" s="12">
        <f>COUNTIFS(Taches!$D$6:$D$325,$B25,Taches!$J$6:$J$325,"Bloquée")</f>
        <v/>
      </c>
      <c r="N25" s="12">
        <f>COUNTIFS(Taches!$D$6:$D$325,$B25,Taches!$U$6:$U$325,"En retard")</f>
        <v/>
      </c>
      <c r="O25" s="12">
        <f>IF(J25=0,"Sans tâche",IF(I25&gt;=0.999,"Terminé",IF(M25&gt;0,"Bloqué (partiel)",IF(I25=0,"Non démarré","En cours"))))</f>
        <v/>
      </c>
      <c r="P25" s="37" t="n"/>
      <c r="Q25" s="37" t="inlineStr">
        <is>
          <t>Aucun fournisseur IA contracté</t>
        </is>
      </c>
    </row>
    <row r="26">
      <c r="B26" s="30" t="inlineStr">
        <is>
          <t>Total</t>
        </is>
      </c>
      <c r="C26" s="30" t="n"/>
      <c r="D26" s="30" t="n"/>
      <c r="E26" s="30" t="n"/>
      <c r="F26" s="30" t="n"/>
      <c r="G26" s="30">
        <f>SUM(G6:G25)</f>
        <v/>
      </c>
      <c r="H26" s="31">
        <f>SUM(H6:H25)</f>
        <v/>
      </c>
      <c r="I26" s="32">
        <f>IF(G26=0,0,H26/G26)</f>
        <v/>
      </c>
      <c r="J26" s="30">
        <f>SUM(J6:J25)</f>
        <v/>
      </c>
      <c r="K26" s="30">
        <f>SUM(K6:K25)</f>
        <v/>
      </c>
      <c r="L26" s="30">
        <f>SUM(L6:L25)</f>
        <v/>
      </c>
      <c r="M26" s="30">
        <f>SUM(M6:M25)</f>
        <v/>
      </c>
      <c r="N26" s="30">
        <f>SUM(N6:N25)</f>
        <v/>
      </c>
      <c r="O26" s="30" t="n"/>
      <c r="P26" s="30" t="n"/>
      <c r="Q26" s="30" t="n"/>
    </row>
    <row r="29">
      <c r="B29" s="3" t="inlineStr">
        <is>
          <t>Hors périmètre v0 et éléments en dormance (aucune tâche, pour mémoire)</t>
        </is>
      </c>
    </row>
    <row r="30">
      <c r="B30" s="47" t="n"/>
      <c r="C30" s="47" t="inlineStr">
        <is>
          <t>Deal-Pay et séquestre (escrow)</t>
        </is>
      </c>
      <c r="D30" s="48" t="inlineStr">
        <is>
          <t>Hors périmètre v0</t>
        </is>
      </c>
      <c r="E30" s="47" t="n"/>
      <c r="F30" s="47" t="n"/>
      <c r="G30" s="47" t="n"/>
      <c r="H30" s="47" t="n"/>
      <c r="I30" s="47" t="n"/>
      <c r="J30" s="47" t="n"/>
      <c r="K30" s="47" t="n"/>
      <c r="L30" s="47" t="n"/>
      <c r="M30" s="47" t="n"/>
      <c r="N30" s="47" t="n"/>
      <c r="O30" s="47" t="n"/>
      <c r="P30" s="47" t="n"/>
      <c r="Q30" s="47" t="inlineStr">
        <is>
          <t>Frontière d'intégration partenaire licencié désactivée ; avenant requis</t>
        </is>
      </c>
    </row>
    <row r="31">
      <c r="B31" s="47" t="n"/>
      <c r="C31" s="47" t="inlineStr">
        <is>
          <t>Valorisation algorithmique automatique</t>
        </is>
      </c>
      <c r="D31" s="48" t="inlineStr">
        <is>
          <t>Hors périmètre v0</t>
        </is>
      </c>
      <c r="E31" s="47" t="n"/>
      <c r="F31" s="47" t="n"/>
      <c r="G31" s="47" t="n"/>
      <c r="H31" s="47" t="n"/>
      <c r="I31" s="47" t="n"/>
      <c r="J31" s="47" t="n"/>
      <c r="K31" s="47" t="n"/>
      <c r="L31" s="47" t="n"/>
      <c r="M31" s="47" t="n"/>
      <c r="N31" s="47" t="n"/>
      <c r="O31" s="47" t="n"/>
      <c r="P31" s="47" t="n"/>
      <c r="Q31" s="47" t="inlineStr">
        <is>
          <t>Le v0 interdit toute fourchette présentée comme un avis DealPME</t>
        </is>
      </c>
    </row>
    <row r="32">
      <c r="B32" s="47" t="n"/>
      <c r="C32" s="47" t="inlineStr">
        <is>
          <t>Certification automatique / score de readiness</t>
        </is>
      </c>
      <c r="D32" s="48" t="inlineStr">
        <is>
          <t>Hors périmètre v0</t>
        </is>
      </c>
      <c r="E32" s="47" t="n"/>
      <c r="F32" s="47" t="n"/>
      <c r="G32" s="47" t="n"/>
      <c r="H32" s="47" t="n"/>
      <c r="I32" s="47" t="n"/>
      <c r="J32" s="47" t="n"/>
      <c r="K32" s="47" t="n"/>
      <c r="L32" s="47" t="n"/>
      <c r="M32" s="47" t="n"/>
      <c r="N32" s="47" t="n"/>
      <c r="O32" s="47" t="n"/>
      <c r="P32" s="47" t="n"/>
      <c r="Q32" s="47" t="inlineStr">
        <is>
          <t>Décision nominative CCI-Togo obligatoire</t>
        </is>
      </c>
    </row>
    <row r="33">
      <c r="B33" s="47" t="n"/>
      <c r="C33" s="47" t="inlineStr">
        <is>
          <t>KYC biométrique</t>
        </is>
      </c>
      <c r="D33" s="48" t="inlineStr">
        <is>
          <t>Différé (P2)</t>
        </is>
      </c>
      <c r="E33" s="47" t="n"/>
      <c r="F33" s="47" t="n"/>
      <c r="G33" s="47" t="n"/>
      <c r="H33" s="47" t="n"/>
      <c r="I33" s="47" t="n"/>
      <c r="J33" s="47" t="n"/>
      <c r="K33" s="47" t="n"/>
      <c r="L33" s="47" t="n"/>
      <c r="M33" s="47" t="n"/>
      <c r="N33" s="47" t="n"/>
      <c r="O33" s="47" t="n"/>
      <c r="P33" s="47" t="n"/>
      <c r="Q33" s="47" t="inlineStr">
        <is>
          <t>Activable après autorisation IPDCP, sous drapeau fonctionnel</t>
        </is>
      </c>
    </row>
    <row r="34">
      <c r="B34" s="47" t="n"/>
      <c r="C34" s="47" t="inlineStr">
        <is>
          <t>Broker Agency Hub multi-tenant</t>
        </is>
      </c>
      <c r="D34" s="48" t="inlineStr">
        <is>
          <t>Hors périmètre v0</t>
        </is>
      </c>
      <c r="E34" s="47" t="n"/>
      <c r="F34" s="47" t="n"/>
      <c r="G34" s="47" t="n"/>
      <c r="H34" s="47" t="n"/>
      <c r="I34" s="47" t="n"/>
      <c r="J34" s="47" t="n"/>
      <c r="K34" s="47" t="n"/>
      <c r="L34" s="47" t="n"/>
      <c r="M34" s="47" t="n"/>
      <c r="N34" s="47" t="n"/>
      <c r="O34" s="47" t="n"/>
      <c r="P34" s="47" t="n"/>
      <c r="Q34" s="47" t="inlineStr">
        <is>
          <t>Pas de compte maître de cabinet M&amp;A dans le v0</t>
        </is>
      </c>
    </row>
    <row r="35">
      <c r="B35" s="47" t="n"/>
      <c r="C35" s="47" t="inlineStr">
        <is>
          <t>Marques globales génériques (Stripe, DocuSign, SumSub, Ecobank)</t>
        </is>
      </c>
      <c r="D35" s="48" t="inlineStr">
        <is>
          <t>Hors périmètre v0</t>
        </is>
      </c>
      <c r="E35" s="47" t="n"/>
      <c r="F35" s="47" t="n"/>
      <c r="G35" s="47" t="n"/>
      <c r="H35" s="47" t="n"/>
      <c r="I35" s="47" t="n"/>
      <c r="J35" s="47" t="n"/>
      <c r="K35" s="47" t="n"/>
      <c r="L35" s="47" t="n"/>
      <c r="M35" s="47" t="n"/>
      <c r="N35" s="47" t="n"/>
      <c r="O35" s="47" t="n"/>
      <c r="P35" s="47" t="n"/>
      <c r="Q35" s="47" t="inlineStr">
        <is>
          <t>Remplacées par des vendeurs locaux réels</t>
        </is>
      </c>
    </row>
  </sheetData>
  <conditionalFormatting sqref="I6:I25">
    <cfRule type="dataBar" priority="1">
      <dataBar>
        <cfvo type="num" val="0"/>
        <cfvo type="num" val="1"/>
        <color rgb="006678F1"/>
      </dataBar>
    </cfRule>
  </conditionalFormatting>
  <conditionalFormatting sqref="O6:O25">
    <cfRule type="expression" priority="2" dxfId="2">
      <formula>O6="Terminé"</formula>
    </cfRule>
    <cfRule type="expression" priority="3" dxfId="1">
      <formula>O6="Bloqué (partiel)"</formula>
    </cfRule>
    <cfRule type="expression" priority="4" dxfId="3">
      <formula>O6="En cours"</formula>
    </cfRule>
  </conditionalFormatting>
  <conditionalFormatting sqref="M6:N25">
    <cfRule type="expression" priority="5" dxfId="4">
      <formula>M6&gt;0</formula>
    </cfRule>
  </conditionalFormatting>
  <pageMargins left="0.75" right="0.75" top="1" bottom="1" header="0.5" footer="0.5"/>
</worksheet>
</file>

<file path=xl/worksheets/sheet8.xml><?xml version="1.0" encoding="utf-8"?>
<worksheet xmlns="http://schemas.openxmlformats.org/spreadsheetml/2006/main">
  <sheetPr>
    <tabColor rgb="002F6B4F"/>
    <outlinePr summaryBelow="1" summaryRight="1"/>
    <pageSetUpPr/>
  </sheetPr>
  <dimension ref="B2:P11"/>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58" customWidth="1" min="3" max="3"/>
    <col width="12" customWidth="1" min="4" max="4"/>
    <col width="12" customWidth="1" min="5" max="5"/>
    <col width="10" customWidth="1" min="6" max="6"/>
    <col width="10" customWidth="1" min="7" max="7"/>
    <col width="10" customWidth="1" min="8" max="8"/>
    <col width="11" customWidth="1" min="9" max="9"/>
    <col width="11" customWidth="1" min="10" max="10"/>
    <col width="8" customWidth="1" min="11" max="11"/>
    <col width="8" customWidth="1" min="12" max="12"/>
    <col width="9" customWidth="1" min="13" max="13"/>
    <col width="9" customWidth="1" min="14" max="14"/>
    <col width="9" customWidth="1" min="15" max="15"/>
    <col width="15" customWidth="1" min="16" max="16"/>
  </cols>
  <sheetData>
    <row r="2">
      <c r="B2" s="1" t="inlineStr">
        <is>
          <t>Versions</t>
        </is>
      </c>
    </row>
    <row r="3">
      <c r="B3" s="17" t="inlineStr">
        <is>
          <t>Avancement, charges et retards calculés depuis les tâches. Les dates de début et de fin se saisissent ici et pilotent les jalons.</t>
        </is>
      </c>
    </row>
    <row r="5" ht="30" customHeight="1">
      <c r="B5" s="11" t="inlineStr">
        <is>
          <t>Version</t>
        </is>
      </c>
      <c r="C5" s="11" t="inlineStr">
        <is>
          <t>Objet</t>
        </is>
      </c>
      <c r="D5" s="11" t="inlineStr">
        <is>
          <t>Début prévu</t>
        </is>
      </c>
      <c r="E5" s="11" t="inlineStr">
        <is>
          <t>Fin prévue</t>
        </is>
      </c>
      <c r="F5" s="11" t="inlineStr">
        <is>
          <t>Jours restants</t>
        </is>
      </c>
      <c r="G5" s="11" t="inlineStr">
        <is>
          <t>Charge (j/p)</t>
        </is>
      </c>
      <c r="H5" s="11" t="inlineStr">
        <is>
          <t>Charge (sem.)</t>
        </is>
      </c>
      <c r="I5" s="11" t="inlineStr">
        <is>
          <t>Réalisé (j/p)</t>
        </is>
      </c>
      <c r="J5" s="11" t="inlineStr">
        <is>
          <t>Avancement</t>
        </is>
      </c>
      <c r="K5" s="11" t="inlineStr">
        <is>
          <t>Tâches</t>
        </is>
      </c>
      <c r="L5" s="11" t="inlineStr">
        <is>
          <t>Faites</t>
        </is>
      </c>
      <c r="M5" s="11" t="inlineStr">
        <is>
          <t>En cours</t>
        </is>
      </c>
      <c r="N5" s="11" t="inlineStr">
        <is>
          <t>Bloquées</t>
        </is>
      </c>
      <c r="O5" s="11" t="inlineStr">
        <is>
          <t>En retard</t>
        </is>
      </c>
      <c r="P5" s="11" t="inlineStr">
        <is>
          <t>État</t>
        </is>
      </c>
    </row>
    <row r="6" ht="30" customHeight="1">
      <c r="B6" s="20" t="inlineStr">
        <is>
          <t>V1</t>
        </is>
      </c>
      <c r="C6" s="20" t="inlineStr">
        <is>
          <t>Premier produit : cessions d'actifs, espace CCI-Togo, Deal-Ready, démonstration du blocage RPS, Deal-Connect via Remo.co</t>
        </is>
      </c>
      <c r="D6" s="40" t="n">
        <v>46268</v>
      </c>
      <c r="E6" s="40" t="n">
        <v>46310</v>
      </c>
      <c r="F6" s="12">
        <f>E6-TODAY()</f>
        <v/>
      </c>
      <c r="G6" s="44">
        <f>SUMIF(Taches!$C$6:$C$325,$B6,Taches!$M$6:$M$325)</f>
        <v/>
      </c>
      <c r="H6" s="15">
        <f>G6/5</f>
        <v/>
      </c>
      <c r="I6" s="15">
        <f>SUMIF(Taches!$C$6:$C$325,$B6,Taches!$N$6:$N$325)</f>
        <v/>
      </c>
      <c r="J6" s="16">
        <f>IF(G6=0,0,I6/G6)</f>
        <v/>
      </c>
      <c r="K6" s="12">
        <f>COUNTIFS(Taches!$C$6:$C$325,$B6,Taches!$J$6:$J$325,"&lt;&gt;Annulé",Taches!$B$6:$B$325,"&lt;&gt;")</f>
        <v/>
      </c>
      <c r="L6" s="12">
        <f>COUNTIFS(Taches!$C$6:$C$325,$B6,Taches!$J$6:$J$325,"Complétée")</f>
        <v/>
      </c>
      <c r="M6" s="12">
        <f>COUNTIFS(Taches!$C$6:$C$325,$B6,Taches!$J$6:$J$325,"En cours")+COUNTIFS(Taches!$C$6:$C$325,$B6,Taches!$J$6:$J$325,"En revue")</f>
        <v/>
      </c>
      <c r="N6" s="12">
        <f>COUNTIFS(Taches!$C$6:$C$325,$B6,Taches!$J$6:$J$325,"Bloquée")</f>
        <v/>
      </c>
      <c r="O6" s="12">
        <f>COUNTIFS(Taches!$C$6:$C$325,$B6,Taches!$U$6:$U$325,"En retard")</f>
        <v/>
      </c>
      <c r="P6" s="12">
        <f>IF(J6&gt;=0.999,"Livrée",IF(AND(TODAY()&gt;E6,J6&lt;0.999),"En dépassement",IF(J6=0,IF(TODAY()&gt;=D6,"À démarrer","Planifiée"),"En cours")))</f>
        <v/>
      </c>
    </row>
    <row r="7" ht="30" customHeight="1">
      <c r="B7" s="20" t="inlineStr">
        <is>
          <t>V2</t>
        </is>
      </c>
      <c r="C7" s="20" t="inlineStr">
        <is>
          <t>Cession de titres en cercle restreint (RPS réel), signature électronique, data room et Q&amp;R</t>
        </is>
      </c>
      <c r="D7" s="40" t="n">
        <v>46311</v>
      </c>
      <c r="E7" s="40" t="n">
        <v>46366</v>
      </c>
      <c r="F7" s="12">
        <f>E7-TODAY()</f>
        <v/>
      </c>
      <c r="G7" s="44">
        <f>SUMIF(Taches!$C$6:$C$325,$B7,Taches!$M$6:$M$325)</f>
        <v/>
      </c>
      <c r="H7" s="15">
        <f>G7/5</f>
        <v/>
      </c>
      <c r="I7" s="15">
        <f>SUMIF(Taches!$C$6:$C$325,$B7,Taches!$N$6:$N$325)</f>
        <v/>
      </c>
      <c r="J7" s="16">
        <f>IF(G7=0,0,I7/G7)</f>
        <v/>
      </c>
      <c r="K7" s="12">
        <f>COUNTIFS(Taches!$C$6:$C$325,$B7,Taches!$J$6:$J$325,"&lt;&gt;Annulé",Taches!$B$6:$B$325,"&lt;&gt;")</f>
        <v/>
      </c>
      <c r="L7" s="12">
        <f>COUNTIFS(Taches!$C$6:$C$325,$B7,Taches!$J$6:$J$325,"Complétée")</f>
        <v/>
      </c>
      <c r="M7" s="12">
        <f>COUNTIFS(Taches!$C$6:$C$325,$B7,Taches!$J$6:$J$325,"En cours")+COUNTIFS(Taches!$C$6:$C$325,$B7,Taches!$J$6:$J$325,"En revue")</f>
        <v/>
      </c>
      <c r="N7" s="12">
        <f>COUNTIFS(Taches!$C$6:$C$325,$B7,Taches!$J$6:$J$325,"Bloquée")</f>
        <v/>
      </c>
      <c r="O7" s="12">
        <f>COUNTIFS(Taches!$C$6:$C$325,$B7,Taches!$U$6:$U$325,"En retard")</f>
        <v/>
      </c>
      <c r="P7" s="12">
        <f>IF(J7&gt;=0.999,"Livrée",IF(AND(TODAY()&gt;E7,J7&lt;0.999),"En dépassement",IF(J7=0,IF(TODAY()&gt;=D7,"À démarrer","Planifiée"),"En cours")))</f>
        <v/>
      </c>
    </row>
    <row r="8" ht="30" customHeight="1">
      <c r="B8" s="20" t="inlineStr">
        <is>
          <t>V3</t>
        </is>
      </c>
      <c r="C8" s="20" t="inlineStr">
        <is>
          <t>Négociation et réalisation, LegalTech OHADA, Finance et rétrocession, support, fermeture des portes de conformité</t>
        </is>
      </c>
      <c r="D8" s="40" t="n">
        <v>46367</v>
      </c>
      <c r="E8" s="40" t="n">
        <v>46436</v>
      </c>
      <c r="F8" s="12">
        <f>E8-TODAY()</f>
        <v/>
      </c>
      <c r="G8" s="44">
        <f>SUMIF(Taches!$C$6:$C$325,$B8,Taches!$M$6:$M$325)</f>
        <v/>
      </c>
      <c r="H8" s="15">
        <f>G8/5</f>
        <v/>
      </c>
      <c r="I8" s="15">
        <f>SUMIF(Taches!$C$6:$C$325,$B8,Taches!$N$6:$N$325)</f>
        <v/>
      </c>
      <c r="J8" s="16">
        <f>IF(G8=0,0,I8/G8)</f>
        <v/>
      </c>
      <c r="K8" s="12">
        <f>COUNTIFS(Taches!$C$6:$C$325,$B8,Taches!$J$6:$J$325,"&lt;&gt;Annulé",Taches!$B$6:$B$325,"&lt;&gt;")</f>
        <v/>
      </c>
      <c r="L8" s="12">
        <f>COUNTIFS(Taches!$C$6:$C$325,$B8,Taches!$J$6:$J$325,"Complétée")</f>
        <v/>
      </c>
      <c r="M8" s="12">
        <f>COUNTIFS(Taches!$C$6:$C$325,$B8,Taches!$J$6:$J$325,"En cours")+COUNTIFS(Taches!$C$6:$C$325,$B8,Taches!$J$6:$J$325,"En revue")</f>
        <v/>
      </c>
      <c r="N8" s="12">
        <f>COUNTIFS(Taches!$C$6:$C$325,$B8,Taches!$J$6:$J$325,"Bloquée")</f>
        <v/>
      </c>
      <c r="O8" s="12">
        <f>COUNTIFS(Taches!$C$6:$C$325,$B8,Taches!$U$6:$U$325,"En retard")</f>
        <v/>
      </c>
      <c r="P8" s="12">
        <f>IF(J8&gt;=0.999,"Livrée",IF(AND(TODAY()&gt;E8,J8&lt;0.999),"En dépassement",IF(J8=0,IF(TODAY()&gt;=D8,"À démarrer","Planifiée"),"En cours")))</f>
        <v/>
      </c>
    </row>
    <row r="9" ht="30" customHeight="1">
      <c r="B9" s="20" t="inlineStr">
        <is>
          <t>V4</t>
        </is>
      </c>
      <c r="C9" s="20" t="inlineStr">
        <is>
          <t>Alerte &amp; Rebond, Deal-Connect (Remo.co), Guichet Diaspora, Deal-Experts</t>
        </is>
      </c>
      <c r="D9" s="40" t="n">
        <v>46437</v>
      </c>
      <c r="E9" s="40" t="n">
        <v>46478</v>
      </c>
      <c r="F9" s="12">
        <f>E9-TODAY()</f>
        <v/>
      </c>
      <c r="G9" s="44">
        <f>SUMIF(Taches!$C$6:$C$325,$B9,Taches!$M$6:$M$325)</f>
        <v/>
      </c>
      <c r="H9" s="15">
        <f>G9/5</f>
        <v/>
      </c>
      <c r="I9" s="15">
        <f>SUMIF(Taches!$C$6:$C$325,$B9,Taches!$N$6:$N$325)</f>
        <v/>
      </c>
      <c r="J9" s="16">
        <f>IF(G9=0,0,I9/G9)</f>
        <v/>
      </c>
      <c r="K9" s="12">
        <f>COUNTIFS(Taches!$C$6:$C$325,$B9,Taches!$J$6:$J$325,"&lt;&gt;Annulé",Taches!$B$6:$B$325,"&lt;&gt;")</f>
        <v/>
      </c>
      <c r="L9" s="12">
        <f>COUNTIFS(Taches!$C$6:$C$325,$B9,Taches!$J$6:$J$325,"Complétée")</f>
        <v/>
      </c>
      <c r="M9" s="12">
        <f>COUNTIFS(Taches!$C$6:$C$325,$B9,Taches!$J$6:$J$325,"En cours")+COUNTIFS(Taches!$C$6:$C$325,$B9,Taches!$J$6:$J$325,"En revue")</f>
        <v/>
      </c>
      <c r="N9" s="12">
        <f>COUNTIFS(Taches!$C$6:$C$325,$B9,Taches!$J$6:$J$325,"Bloquée")</f>
        <v/>
      </c>
      <c r="O9" s="12">
        <f>COUNTIFS(Taches!$C$6:$C$325,$B9,Taches!$U$6:$U$325,"En retard")</f>
        <v/>
      </c>
      <c r="P9" s="12">
        <f>IF(J9&gt;=0.999,"Livrée",IF(AND(TODAY()&gt;E9,J9&lt;0.999),"En dépassement",IF(J9=0,IF(TODAY()&gt;=D9,"À démarrer","Planifiée"),"En cours")))</f>
        <v/>
      </c>
    </row>
    <row r="10" ht="30" customHeight="1">
      <c r="B10" s="20" t="inlineStr">
        <is>
          <t>V5</t>
        </is>
      </c>
      <c r="C10" s="20" t="inlineStr">
        <is>
          <t>VDR Intelligence : DealLens, Evidence Map, Issue Radar, Clean Team</t>
        </is>
      </c>
      <c r="D10" s="40" t="n">
        <v>46479</v>
      </c>
      <c r="E10" s="40" t="n">
        <v>46541</v>
      </c>
      <c r="F10" s="12">
        <f>E10-TODAY()</f>
        <v/>
      </c>
      <c r="G10" s="44">
        <f>SUMIF(Taches!$C$6:$C$325,$B10,Taches!$M$6:$M$325)</f>
        <v/>
      </c>
      <c r="H10" s="15">
        <f>G10/5</f>
        <v/>
      </c>
      <c r="I10" s="15">
        <f>SUMIF(Taches!$C$6:$C$325,$B10,Taches!$N$6:$N$325)</f>
        <v/>
      </c>
      <c r="J10" s="16">
        <f>IF(G10=0,0,I10/G10)</f>
        <v/>
      </c>
      <c r="K10" s="12">
        <f>COUNTIFS(Taches!$C$6:$C$325,$B10,Taches!$J$6:$J$325,"&lt;&gt;Annulé",Taches!$B$6:$B$325,"&lt;&gt;")</f>
        <v/>
      </c>
      <c r="L10" s="12">
        <f>COUNTIFS(Taches!$C$6:$C$325,$B10,Taches!$J$6:$J$325,"Complétée")</f>
        <v/>
      </c>
      <c r="M10" s="12">
        <f>COUNTIFS(Taches!$C$6:$C$325,$B10,Taches!$J$6:$J$325,"En cours")+COUNTIFS(Taches!$C$6:$C$325,$B10,Taches!$J$6:$J$325,"En revue")</f>
        <v/>
      </c>
      <c r="N10" s="12">
        <f>COUNTIFS(Taches!$C$6:$C$325,$B10,Taches!$J$6:$J$325,"Bloquée")</f>
        <v/>
      </c>
      <c r="O10" s="12">
        <f>COUNTIFS(Taches!$C$6:$C$325,$B10,Taches!$U$6:$U$325,"En retard")</f>
        <v/>
      </c>
      <c r="P10" s="12">
        <f>IF(J10&gt;=0.999,"Livrée",IF(AND(TODAY()&gt;E10,J10&lt;0.999),"En dépassement",IF(J10=0,IF(TODAY()&gt;=D10,"À démarrer","Planifiée"),"En cours")))</f>
        <v/>
      </c>
    </row>
    <row r="11">
      <c r="B11" s="30" t="inlineStr">
        <is>
          <t>Total</t>
        </is>
      </c>
      <c r="C11" s="30" t="n"/>
      <c r="D11" s="30" t="n"/>
      <c r="E11" s="30" t="n"/>
      <c r="F11" s="30" t="n"/>
      <c r="G11" s="30">
        <f>SUM(G6:G10)</f>
        <v/>
      </c>
      <c r="H11" s="31">
        <f>SUM(H6:H10)</f>
        <v/>
      </c>
      <c r="I11" s="31">
        <f>SUM(I6:I10)</f>
        <v/>
      </c>
      <c r="J11" s="32">
        <f>IF(G11=0,0,I11/G11)</f>
        <v/>
      </c>
      <c r="K11" s="30">
        <f>SUM(K6:K10)</f>
        <v/>
      </c>
      <c r="L11" s="30">
        <f>SUM(L6:L10)</f>
        <v/>
      </c>
      <c r="M11" s="30">
        <f>SUM(M6:M10)</f>
        <v/>
      </c>
      <c r="N11" s="30">
        <f>SUM(N6:N10)</f>
        <v/>
      </c>
      <c r="O11" s="30">
        <f>SUM(O6:O10)</f>
        <v/>
      </c>
      <c r="P11" s="30" t="n"/>
    </row>
  </sheetData>
  <conditionalFormatting sqref="J6:J10">
    <cfRule type="dataBar" priority="1">
      <dataBar>
        <cfvo type="num" val="0"/>
        <cfvo type="num" val="1"/>
        <color rgb="006678F1"/>
      </dataBar>
    </cfRule>
  </conditionalFormatting>
  <conditionalFormatting sqref="P6:P10">
    <cfRule type="expression" priority="2" dxfId="2">
      <formula>P6="Livrée"</formula>
    </cfRule>
    <cfRule type="expression" priority="3" dxfId="1">
      <formula>P6="En dépassement"</formula>
    </cfRule>
    <cfRule type="expression" priority="4" dxfId="3">
      <formula>P6="En cours"</formula>
    </cfRule>
  </conditionalFormatting>
  <conditionalFormatting sqref="F6:F10">
    <cfRule type="expression" priority="5" dxfId="4">
      <formula>AND(F6&lt;0,P6&lt;&gt;"Livrée")</formula>
    </cfRule>
  </conditionalFormatting>
  <pageMargins left="0.75" right="0.75" top="1" bottom="1" header="0.5" footer="0.5"/>
</worksheet>
</file>

<file path=xl/worksheets/sheet9.xml><?xml version="1.0" encoding="utf-8"?>
<worksheet xmlns="http://schemas.openxmlformats.org/spreadsheetml/2006/main">
  <sheetPr>
    <tabColor rgb="006678F1"/>
    <outlinePr summaryBelow="1" summaryRight="1"/>
    <pageSetUpPr/>
  </sheetPr>
  <dimension ref="B2:AW325"/>
  <sheetViews>
    <sheetView showGridLines="0" workbookViewId="0">
      <pane xSplit="8" ySplit="5" topLeftCell="I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44" customWidth="1" min="3" max="3"/>
    <col width="8" customWidth="1" min="4" max="4"/>
    <col width="8" customWidth="1" min="5" max="5"/>
    <col width="11" customWidth="1" min="6" max="6"/>
    <col width="11" customWidth="1" min="7" max="7"/>
    <col width="10"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s>
  <sheetData>
    <row r="2">
      <c r="B2" s="1" t="inlineStr">
        <is>
          <t>Planning hebdomadaire</t>
        </is>
      </c>
    </row>
    <row r="3">
      <c r="B3" s="17" t="inlineStr">
        <is>
          <t>Barres calculées depuis les dates de l'onglet Taches. Bleu : prévu. Ambre : en cours. Vert : fait. Colonne surlignée : semaine courante.</t>
        </is>
      </c>
    </row>
    <row r="4">
      <c r="I4" s="3" t="inlineStr">
        <is>
          <t>Semaine du (lundi)</t>
        </is>
      </c>
    </row>
    <row r="5" ht="46" customHeight="1">
      <c r="B5" s="11" t="inlineStr">
        <is>
          <t>ID</t>
        </is>
      </c>
      <c r="C5" s="11" t="inlineStr">
        <is>
          <t>Tâche</t>
        </is>
      </c>
      <c r="D5" s="11" t="inlineStr">
        <is>
          <t>Version</t>
        </is>
      </c>
      <c r="E5" s="11" t="inlineStr">
        <is>
          <t>Module</t>
        </is>
      </c>
      <c r="F5" s="11" t="inlineStr">
        <is>
          <t>Début</t>
        </is>
      </c>
      <c r="G5" s="11" t="inlineStr">
        <is>
          <t>Fin</t>
        </is>
      </c>
      <c r="H5" s="11" t="inlineStr">
        <is>
          <t>Statut</t>
        </is>
      </c>
      <c r="I5" s="49" t="n">
        <v>46265</v>
      </c>
      <c r="J5" s="49" t="n">
        <v>46272</v>
      </c>
      <c r="K5" s="49" t="n">
        <v>46279</v>
      </c>
      <c r="L5" s="49" t="n">
        <v>46286</v>
      </c>
      <c r="M5" s="49" t="n">
        <v>46293</v>
      </c>
      <c r="N5" s="49" t="n">
        <v>46300</v>
      </c>
      <c r="O5" s="49" t="n">
        <v>46307</v>
      </c>
      <c r="P5" s="49" t="n">
        <v>46314</v>
      </c>
      <c r="Q5" s="49" t="n">
        <v>46321</v>
      </c>
      <c r="R5" s="49" t="n">
        <v>46328</v>
      </c>
      <c r="S5" s="49" t="n">
        <v>46335</v>
      </c>
      <c r="T5" s="49" t="n">
        <v>46342</v>
      </c>
      <c r="U5" s="49" t="n">
        <v>46349</v>
      </c>
      <c r="V5" s="49" t="n">
        <v>46356</v>
      </c>
      <c r="W5" s="49" t="n">
        <v>46363</v>
      </c>
      <c r="X5" s="49" t="n">
        <v>46370</v>
      </c>
      <c r="Y5" s="49" t="n">
        <v>46377</v>
      </c>
      <c r="Z5" s="49" t="n">
        <v>46384</v>
      </c>
      <c r="AA5" s="49" t="n">
        <v>46391</v>
      </c>
      <c r="AB5" s="49" t="n">
        <v>46398</v>
      </c>
      <c r="AC5" s="49" t="n">
        <v>46405</v>
      </c>
      <c r="AD5" s="49" t="n">
        <v>46412</v>
      </c>
      <c r="AE5" s="49" t="n">
        <v>46419</v>
      </c>
      <c r="AF5" s="49" t="n">
        <v>46426</v>
      </c>
      <c r="AG5" s="49" t="n">
        <v>46433</v>
      </c>
      <c r="AH5" s="49" t="n">
        <v>46440</v>
      </c>
      <c r="AI5" s="49" t="n">
        <v>46447</v>
      </c>
      <c r="AJ5" s="49" t="n">
        <v>46454</v>
      </c>
      <c r="AK5" s="49" t="n">
        <v>46461</v>
      </c>
      <c r="AL5" s="49" t="n">
        <v>46468</v>
      </c>
      <c r="AM5" s="49" t="n">
        <v>46475</v>
      </c>
      <c r="AN5" s="49" t="n">
        <v>46482</v>
      </c>
      <c r="AO5" s="49" t="n">
        <v>46489</v>
      </c>
      <c r="AP5" s="49" t="n">
        <v>46496</v>
      </c>
      <c r="AQ5" s="49" t="n">
        <v>46503</v>
      </c>
      <c r="AR5" s="49" t="n">
        <v>46510</v>
      </c>
      <c r="AS5" s="49" t="n">
        <v>46517</v>
      </c>
      <c r="AT5" s="49" t="n">
        <v>46524</v>
      </c>
      <c r="AU5" s="49" t="n">
        <v>46531</v>
      </c>
      <c r="AV5" s="49" t="n">
        <v>46538</v>
      </c>
      <c r="AW5" s="49" t="n">
        <v>46545</v>
      </c>
    </row>
    <row r="6">
      <c r="B6" s="50">
        <f>IF(Taches!B6="","",Taches!B6)</f>
        <v/>
      </c>
      <c r="C6" s="51">
        <f>IF(Taches!B6="","",Taches!F6)</f>
        <v/>
      </c>
      <c r="D6" s="50">
        <f>IF(Taches!B6="","",Taches!C6)</f>
        <v/>
      </c>
      <c r="E6" s="50">
        <f>IF(Taches!B6="","",Taches!D6)</f>
        <v/>
      </c>
      <c r="F6" s="52">
        <f>IF(Taches!P6="","",Taches!P6)</f>
        <v/>
      </c>
      <c r="G6" s="52">
        <f>IF(Taches!Q6="","",Taches!Q6)</f>
        <v/>
      </c>
      <c r="H6" s="50">
        <f>IF(Taches!B6="","",Taches!J6)</f>
        <v/>
      </c>
      <c r="I6" s="53">
        <f>IF(OR($F6="",$G6=""),"",IF(AND(I$5&lt;=$G6,I$5+6&gt;=$F6),IF($H6="Complétée","F",IF(OR($H6="En cours",$H6="En revue"),"E",IF($H6="Bloquée","B","P"))),""))</f>
        <v/>
      </c>
      <c r="J6" s="53">
        <f>IF(OR($F6="",$G6=""),"",IF(AND(J$5&lt;=$G6,J$5+6&gt;=$F6),IF($H6="Complétée","F",IF(OR($H6="En cours",$H6="En revue"),"E",IF($H6="Bloquée","B","P"))),""))</f>
        <v/>
      </c>
      <c r="K6" s="53">
        <f>IF(OR($F6="",$G6=""),"",IF(AND(K$5&lt;=$G6,K$5+6&gt;=$F6),IF($H6="Complétée","F",IF(OR($H6="En cours",$H6="En revue"),"E",IF($H6="Bloquée","B","P"))),""))</f>
        <v/>
      </c>
      <c r="L6" s="53">
        <f>IF(OR($F6="",$G6=""),"",IF(AND(L$5&lt;=$G6,L$5+6&gt;=$F6),IF($H6="Complétée","F",IF(OR($H6="En cours",$H6="En revue"),"E",IF($H6="Bloquée","B","P"))),""))</f>
        <v/>
      </c>
      <c r="M6" s="53">
        <f>IF(OR($F6="",$G6=""),"",IF(AND(M$5&lt;=$G6,M$5+6&gt;=$F6),IF($H6="Complétée","F",IF(OR($H6="En cours",$H6="En revue"),"E",IF($H6="Bloquée","B","P"))),""))</f>
        <v/>
      </c>
      <c r="N6" s="53">
        <f>IF(OR($F6="",$G6=""),"",IF(AND(N$5&lt;=$G6,N$5+6&gt;=$F6),IF($H6="Complétée","F",IF(OR($H6="En cours",$H6="En revue"),"E",IF($H6="Bloquée","B","P"))),""))</f>
        <v/>
      </c>
      <c r="O6" s="53">
        <f>IF(OR($F6="",$G6=""),"",IF(AND(O$5&lt;=$G6,O$5+6&gt;=$F6),IF($H6="Complétée","F",IF(OR($H6="En cours",$H6="En revue"),"E",IF($H6="Bloquée","B","P"))),""))</f>
        <v/>
      </c>
      <c r="P6" s="53">
        <f>IF(OR($F6="",$G6=""),"",IF(AND(P$5&lt;=$G6,P$5+6&gt;=$F6),IF($H6="Complétée","F",IF(OR($H6="En cours",$H6="En revue"),"E",IF($H6="Bloquée","B","P"))),""))</f>
        <v/>
      </c>
      <c r="Q6" s="53">
        <f>IF(OR($F6="",$G6=""),"",IF(AND(Q$5&lt;=$G6,Q$5+6&gt;=$F6),IF($H6="Complétée","F",IF(OR($H6="En cours",$H6="En revue"),"E",IF($H6="Bloquée","B","P"))),""))</f>
        <v/>
      </c>
      <c r="R6" s="53">
        <f>IF(OR($F6="",$G6=""),"",IF(AND(R$5&lt;=$G6,R$5+6&gt;=$F6),IF($H6="Complétée","F",IF(OR($H6="En cours",$H6="En revue"),"E",IF($H6="Bloquée","B","P"))),""))</f>
        <v/>
      </c>
      <c r="S6" s="53">
        <f>IF(OR($F6="",$G6=""),"",IF(AND(S$5&lt;=$G6,S$5+6&gt;=$F6),IF($H6="Complétée","F",IF(OR($H6="En cours",$H6="En revue"),"E",IF($H6="Bloquée","B","P"))),""))</f>
        <v/>
      </c>
      <c r="T6" s="53">
        <f>IF(OR($F6="",$G6=""),"",IF(AND(T$5&lt;=$G6,T$5+6&gt;=$F6),IF($H6="Complétée","F",IF(OR($H6="En cours",$H6="En revue"),"E",IF($H6="Bloquée","B","P"))),""))</f>
        <v/>
      </c>
      <c r="U6" s="53">
        <f>IF(OR($F6="",$G6=""),"",IF(AND(U$5&lt;=$G6,U$5+6&gt;=$F6),IF($H6="Complétée","F",IF(OR($H6="En cours",$H6="En revue"),"E",IF($H6="Bloquée","B","P"))),""))</f>
        <v/>
      </c>
      <c r="V6" s="53">
        <f>IF(OR($F6="",$G6=""),"",IF(AND(V$5&lt;=$G6,V$5+6&gt;=$F6),IF($H6="Complétée","F",IF(OR($H6="En cours",$H6="En revue"),"E",IF($H6="Bloquée","B","P"))),""))</f>
        <v/>
      </c>
      <c r="W6" s="53">
        <f>IF(OR($F6="",$G6=""),"",IF(AND(W$5&lt;=$G6,W$5+6&gt;=$F6),IF($H6="Complétée","F",IF(OR($H6="En cours",$H6="En revue"),"E",IF($H6="Bloquée","B","P"))),""))</f>
        <v/>
      </c>
      <c r="X6" s="53">
        <f>IF(OR($F6="",$G6=""),"",IF(AND(X$5&lt;=$G6,X$5+6&gt;=$F6),IF($H6="Complétée","F",IF(OR($H6="En cours",$H6="En revue"),"E",IF($H6="Bloquée","B","P"))),""))</f>
        <v/>
      </c>
      <c r="Y6" s="53">
        <f>IF(OR($F6="",$G6=""),"",IF(AND(Y$5&lt;=$G6,Y$5+6&gt;=$F6),IF($H6="Complétée","F",IF(OR($H6="En cours",$H6="En revue"),"E",IF($H6="Bloquée","B","P"))),""))</f>
        <v/>
      </c>
      <c r="Z6" s="53">
        <f>IF(OR($F6="",$G6=""),"",IF(AND(Z$5&lt;=$G6,Z$5+6&gt;=$F6),IF($H6="Complétée","F",IF(OR($H6="En cours",$H6="En revue"),"E",IF($H6="Bloquée","B","P"))),""))</f>
        <v/>
      </c>
      <c r="AA6" s="53">
        <f>IF(OR($F6="",$G6=""),"",IF(AND(AA$5&lt;=$G6,AA$5+6&gt;=$F6),IF($H6="Complétée","F",IF(OR($H6="En cours",$H6="En revue"),"E",IF($H6="Bloquée","B","P"))),""))</f>
        <v/>
      </c>
      <c r="AB6" s="53">
        <f>IF(OR($F6="",$G6=""),"",IF(AND(AB$5&lt;=$G6,AB$5+6&gt;=$F6),IF($H6="Complétée","F",IF(OR($H6="En cours",$H6="En revue"),"E",IF($H6="Bloquée","B","P"))),""))</f>
        <v/>
      </c>
      <c r="AC6" s="53">
        <f>IF(OR($F6="",$G6=""),"",IF(AND(AC$5&lt;=$G6,AC$5+6&gt;=$F6),IF($H6="Complétée","F",IF(OR($H6="En cours",$H6="En revue"),"E",IF($H6="Bloquée","B","P"))),""))</f>
        <v/>
      </c>
      <c r="AD6" s="53">
        <f>IF(OR($F6="",$G6=""),"",IF(AND(AD$5&lt;=$G6,AD$5+6&gt;=$F6),IF($H6="Complétée","F",IF(OR($H6="En cours",$H6="En revue"),"E",IF($H6="Bloquée","B","P"))),""))</f>
        <v/>
      </c>
      <c r="AE6" s="53">
        <f>IF(OR($F6="",$G6=""),"",IF(AND(AE$5&lt;=$G6,AE$5+6&gt;=$F6),IF($H6="Complétée","F",IF(OR($H6="En cours",$H6="En revue"),"E",IF($H6="Bloquée","B","P"))),""))</f>
        <v/>
      </c>
      <c r="AF6" s="53">
        <f>IF(OR($F6="",$G6=""),"",IF(AND(AF$5&lt;=$G6,AF$5+6&gt;=$F6),IF($H6="Complétée","F",IF(OR($H6="En cours",$H6="En revue"),"E",IF($H6="Bloquée","B","P"))),""))</f>
        <v/>
      </c>
      <c r="AG6" s="53">
        <f>IF(OR($F6="",$G6=""),"",IF(AND(AG$5&lt;=$G6,AG$5+6&gt;=$F6),IF($H6="Complétée","F",IF(OR($H6="En cours",$H6="En revue"),"E",IF($H6="Bloquée","B","P"))),""))</f>
        <v/>
      </c>
      <c r="AH6" s="53">
        <f>IF(OR($F6="",$G6=""),"",IF(AND(AH$5&lt;=$G6,AH$5+6&gt;=$F6),IF($H6="Complétée","F",IF(OR($H6="En cours",$H6="En revue"),"E",IF($H6="Bloquée","B","P"))),""))</f>
        <v/>
      </c>
      <c r="AI6" s="53">
        <f>IF(OR($F6="",$G6=""),"",IF(AND(AI$5&lt;=$G6,AI$5+6&gt;=$F6),IF($H6="Complétée","F",IF(OR($H6="En cours",$H6="En revue"),"E",IF($H6="Bloquée","B","P"))),""))</f>
        <v/>
      </c>
      <c r="AJ6" s="53">
        <f>IF(OR($F6="",$G6=""),"",IF(AND(AJ$5&lt;=$G6,AJ$5+6&gt;=$F6),IF($H6="Complétée","F",IF(OR($H6="En cours",$H6="En revue"),"E",IF($H6="Bloquée","B","P"))),""))</f>
        <v/>
      </c>
      <c r="AK6" s="53">
        <f>IF(OR($F6="",$G6=""),"",IF(AND(AK$5&lt;=$G6,AK$5+6&gt;=$F6),IF($H6="Complétée","F",IF(OR($H6="En cours",$H6="En revue"),"E",IF($H6="Bloquée","B","P"))),""))</f>
        <v/>
      </c>
      <c r="AL6" s="53">
        <f>IF(OR($F6="",$G6=""),"",IF(AND(AL$5&lt;=$G6,AL$5+6&gt;=$F6),IF($H6="Complétée","F",IF(OR($H6="En cours",$H6="En revue"),"E",IF($H6="Bloquée","B","P"))),""))</f>
        <v/>
      </c>
      <c r="AM6" s="53">
        <f>IF(OR($F6="",$G6=""),"",IF(AND(AM$5&lt;=$G6,AM$5+6&gt;=$F6),IF($H6="Complétée","F",IF(OR($H6="En cours",$H6="En revue"),"E",IF($H6="Bloquée","B","P"))),""))</f>
        <v/>
      </c>
      <c r="AN6" s="53">
        <f>IF(OR($F6="",$G6=""),"",IF(AND(AN$5&lt;=$G6,AN$5+6&gt;=$F6),IF($H6="Complétée","F",IF(OR($H6="En cours",$H6="En revue"),"E",IF($H6="Bloquée","B","P"))),""))</f>
        <v/>
      </c>
      <c r="AO6" s="53">
        <f>IF(OR($F6="",$G6=""),"",IF(AND(AO$5&lt;=$G6,AO$5+6&gt;=$F6),IF($H6="Complétée","F",IF(OR($H6="En cours",$H6="En revue"),"E",IF($H6="Bloquée","B","P"))),""))</f>
        <v/>
      </c>
      <c r="AP6" s="53">
        <f>IF(OR($F6="",$G6=""),"",IF(AND(AP$5&lt;=$G6,AP$5+6&gt;=$F6),IF($H6="Complétée","F",IF(OR($H6="En cours",$H6="En revue"),"E",IF($H6="Bloquée","B","P"))),""))</f>
        <v/>
      </c>
      <c r="AQ6" s="53">
        <f>IF(OR($F6="",$G6=""),"",IF(AND(AQ$5&lt;=$G6,AQ$5+6&gt;=$F6),IF($H6="Complétée","F",IF(OR($H6="En cours",$H6="En revue"),"E",IF($H6="Bloquée","B","P"))),""))</f>
        <v/>
      </c>
      <c r="AR6" s="53">
        <f>IF(OR($F6="",$G6=""),"",IF(AND(AR$5&lt;=$G6,AR$5+6&gt;=$F6),IF($H6="Complétée","F",IF(OR($H6="En cours",$H6="En revue"),"E",IF($H6="Bloquée","B","P"))),""))</f>
        <v/>
      </c>
      <c r="AS6" s="53">
        <f>IF(OR($F6="",$G6=""),"",IF(AND(AS$5&lt;=$G6,AS$5+6&gt;=$F6),IF($H6="Complétée","F",IF(OR($H6="En cours",$H6="En revue"),"E",IF($H6="Bloquée","B","P"))),""))</f>
        <v/>
      </c>
      <c r="AT6" s="53">
        <f>IF(OR($F6="",$G6=""),"",IF(AND(AT$5&lt;=$G6,AT$5+6&gt;=$F6),IF($H6="Complétée","F",IF(OR($H6="En cours",$H6="En revue"),"E",IF($H6="Bloquée","B","P"))),""))</f>
        <v/>
      </c>
      <c r="AU6" s="53">
        <f>IF(OR($F6="",$G6=""),"",IF(AND(AU$5&lt;=$G6,AU$5+6&gt;=$F6),IF($H6="Complétée","F",IF(OR($H6="En cours",$H6="En revue"),"E",IF($H6="Bloquée","B","P"))),""))</f>
        <v/>
      </c>
      <c r="AV6" s="53">
        <f>IF(OR($F6="",$G6=""),"",IF(AND(AV$5&lt;=$G6,AV$5+6&gt;=$F6),IF($H6="Complétée","F",IF(OR($H6="En cours",$H6="En revue"),"E",IF($H6="Bloquée","B","P"))),""))</f>
        <v/>
      </c>
      <c r="AW6" s="53">
        <f>IF(OR($F6="",$G6=""),"",IF(AND(AW$5&lt;=$G6,AW$5+6&gt;=$F6),IF($H6="Complétée","F",IF(OR($H6="En cours",$H6="En revue"),"E",IF($H6="Bloquée","B","P"))),""))</f>
        <v/>
      </c>
    </row>
    <row r="7">
      <c r="B7" s="50">
        <f>IF(Taches!B7="","",Taches!B7)</f>
        <v/>
      </c>
      <c r="C7" s="51">
        <f>IF(Taches!B7="","",Taches!F7)</f>
        <v/>
      </c>
      <c r="D7" s="50">
        <f>IF(Taches!B7="","",Taches!C7)</f>
        <v/>
      </c>
      <c r="E7" s="50">
        <f>IF(Taches!B7="","",Taches!D7)</f>
        <v/>
      </c>
      <c r="F7" s="52">
        <f>IF(Taches!P7="","",Taches!P7)</f>
        <v/>
      </c>
      <c r="G7" s="52">
        <f>IF(Taches!Q7="","",Taches!Q7)</f>
        <v/>
      </c>
      <c r="H7" s="50">
        <f>IF(Taches!B7="","",Taches!J7)</f>
        <v/>
      </c>
      <c r="I7" s="53">
        <f>IF(OR($F7="",$G7=""),"",IF(AND(I$5&lt;=$G7,I$5+6&gt;=$F7),IF($H7="Complétée","F",IF(OR($H7="En cours",$H7="En revue"),"E",IF($H7="Bloquée","B","P"))),""))</f>
        <v/>
      </c>
      <c r="J7" s="53">
        <f>IF(OR($F7="",$G7=""),"",IF(AND(J$5&lt;=$G7,J$5+6&gt;=$F7),IF($H7="Complétée","F",IF(OR($H7="En cours",$H7="En revue"),"E",IF($H7="Bloquée","B","P"))),""))</f>
        <v/>
      </c>
      <c r="K7" s="53">
        <f>IF(OR($F7="",$G7=""),"",IF(AND(K$5&lt;=$G7,K$5+6&gt;=$F7),IF($H7="Complétée","F",IF(OR($H7="En cours",$H7="En revue"),"E",IF($H7="Bloquée","B","P"))),""))</f>
        <v/>
      </c>
      <c r="L7" s="53">
        <f>IF(OR($F7="",$G7=""),"",IF(AND(L$5&lt;=$G7,L$5+6&gt;=$F7),IF($H7="Complétée","F",IF(OR($H7="En cours",$H7="En revue"),"E",IF($H7="Bloquée","B","P"))),""))</f>
        <v/>
      </c>
      <c r="M7" s="53">
        <f>IF(OR($F7="",$G7=""),"",IF(AND(M$5&lt;=$G7,M$5+6&gt;=$F7),IF($H7="Complétée","F",IF(OR($H7="En cours",$H7="En revue"),"E",IF($H7="Bloquée","B","P"))),""))</f>
        <v/>
      </c>
      <c r="N7" s="53">
        <f>IF(OR($F7="",$G7=""),"",IF(AND(N$5&lt;=$G7,N$5+6&gt;=$F7),IF($H7="Complétée","F",IF(OR($H7="En cours",$H7="En revue"),"E",IF($H7="Bloquée","B","P"))),""))</f>
        <v/>
      </c>
      <c r="O7" s="53">
        <f>IF(OR($F7="",$G7=""),"",IF(AND(O$5&lt;=$G7,O$5+6&gt;=$F7),IF($H7="Complétée","F",IF(OR($H7="En cours",$H7="En revue"),"E",IF($H7="Bloquée","B","P"))),""))</f>
        <v/>
      </c>
      <c r="P7" s="53">
        <f>IF(OR($F7="",$G7=""),"",IF(AND(P$5&lt;=$G7,P$5+6&gt;=$F7),IF($H7="Complétée","F",IF(OR($H7="En cours",$H7="En revue"),"E",IF($H7="Bloquée","B","P"))),""))</f>
        <v/>
      </c>
      <c r="Q7" s="53">
        <f>IF(OR($F7="",$G7=""),"",IF(AND(Q$5&lt;=$G7,Q$5+6&gt;=$F7),IF($H7="Complétée","F",IF(OR($H7="En cours",$H7="En revue"),"E",IF($H7="Bloquée","B","P"))),""))</f>
        <v/>
      </c>
      <c r="R7" s="53">
        <f>IF(OR($F7="",$G7=""),"",IF(AND(R$5&lt;=$G7,R$5+6&gt;=$F7),IF($H7="Complétée","F",IF(OR($H7="En cours",$H7="En revue"),"E",IF($H7="Bloquée","B","P"))),""))</f>
        <v/>
      </c>
      <c r="S7" s="53">
        <f>IF(OR($F7="",$G7=""),"",IF(AND(S$5&lt;=$G7,S$5+6&gt;=$F7),IF($H7="Complétée","F",IF(OR($H7="En cours",$H7="En revue"),"E",IF($H7="Bloquée","B","P"))),""))</f>
        <v/>
      </c>
      <c r="T7" s="53">
        <f>IF(OR($F7="",$G7=""),"",IF(AND(T$5&lt;=$G7,T$5+6&gt;=$F7),IF($H7="Complétée","F",IF(OR($H7="En cours",$H7="En revue"),"E",IF($H7="Bloquée","B","P"))),""))</f>
        <v/>
      </c>
      <c r="U7" s="53">
        <f>IF(OR($F7="",$G7=""),"",IF(AND(U$5&lt;=$G7,U$5+6&gt;=$F7),IF($H7="Complétée","F",IF(OR($H7="En cours",$H7="En revue"),"E",IF($H7="Bloquée","B","P"))),""))</f>
        <v/>
      </c>
      <c r="V7" s="53">
        <f>IF(OR($F7="",$G7=""),"",IF(AND(V$5&lt;=$G7,V$5+6&gt;=$F7),IF($H7="Complétée","F",IF(OR($H7="En cours",$H7="En revue"),"E",IF($H7="Bloquée","B","P"))),""))</f>
        <v/>
      </c>
      <c r="W7" s="53">
        <f>IF(OR($F7="",$G7=""),"",IF(AND(W$5&lt;=$G7,W$5+6&gt;=$F7),IF($H7="Complétée","F",IF(OR($H7="En cours",$H7="En revue"),"E",IF($H7="Bloquée","B","P"))),""))</f>
        <v/>
      </c>
      <c r="X7" s="53">
        <f>IF(OR($F7="",$G7=""),"",IF(AND(X$5&lt;=$G7,X$5+6&gt;=$F7),IF($H7="Complétée","F",IF(OR($H7="En cours",$H7="En revue"),"E",IF($H7="Bloquée","B","P"))),""))</f>
        <v/>
      </c>
      <c r="Y7" s="53">
        <f>IF(OR($F7="",$G7=""),"",IF(AND(Y$5&lt;=$G7,Y$5+6&gt;=$F7),IF($H7="Complétée","F",IF(OR($H7="En cours",$H7="En revue"),"E",IF($H7="Bloquée","B","P"))),""))</f>
        <v/>
      </c>
      <c r="Z7" s="53">
        <f>IF(OR($F7="",$G7=""),"",IF(AND(Z$5&lt;=$G7,Z$5+6&gt;=$F7),IF($H7="Complétée","F",IF(OR($H7="En cours",$H7="En revue"),"E",IF($H7="Bloquée","B","P"))),""))</f>
        <v/>
      </c>
      <c r="AA7" s="53">
        <f>IF(OR($F7="",$G7=""),"",IF(AND(AA$5&lt;=$G7,AA$5+6&gt;=$F7),IF($H7="Complétée","F",IF(OR($H7="En cours",$H7="En revue"),"E",IF($H7="Bloquée","B","P"))),""))</f>
        <v/>
      </c>
      <c r="AB7" s="53">
        <f>IF(OR($F7="",$G7=""),"",IF(AND(AB$5&lt;=$G7,AB$5+6&gt;=$F7),IF($H7="Complétée","F",IF(OR($H7="En cours",$H7="En revue"),"E",IF($H7="Bloquée","B","P"))),""))</f>
        <v/>
      </c>
      <c r="AC7" s="53">
        <f>IF(OR($F7="",$G7=""),"",IF(AND(AC$5&lt;=$G7,AC$5+6&gt;=$F7),IF($H7="Complétée","F",IF(OR($H7="En cours",$H7="En revue"),"E",IF($H7="Bloquée","B","P"))),""))</f>
        <v/>
      </c>
      <c r="AD7" s="53">
        <f>IF(OR($F7="",$G7=""),"",IF(AND(AD$5&lt;=$G7,AD$5+6&gt;=$F7),IF($H7="Complétée","F",IF(OR($H7="En cours",$H7="En revue"),"E",IF($H7="Bloquée","B","P"))),""))</f>
        <v/>
      </c>
      <c r="AE7" s="53">
        <f>IF(OR($F7="",$G7=""),"",IF(AND(AE$5&lt;=$G7,AE$5+6&gt;=$F7),IF($H7="Complétée","F",IF(OR($H7="En cours",$H7="En revue"),"E",IF($H7="Bloquée","B","P"))),""))</f>
        <v/>
      </c>
      <c r="AF7" s="53">
        <f>IF(OR($F7="",$G7=""),"",IF(AND(AF$5&lt;=$G7,AF$5+6&gt;=$F7),IF($H7="Complétée","F",IF(OR($H7="En cours",$H7="En revue"),"E",IF($H7="Bloquée","B","P"))),""))</f>
        <v/>
      </c>
      <c r="AG7" s="53">
        <f>IF(OR($F7="",$G7=""),"",IF(AND(AG$5&lt;=$G7,AG$5+6&gt;=$F7),IF($H7="Complétée","F",IF(OR($H7="En cours",$H7="En revue"),"E",IF($H7="Bloquée","B","P"))),""))</f>
        <v/>
      </c>
      <c r="AH7" s="53">
        <f>IF(OR($F7="",$G7=""),"",IF(AND(AH$5&lt;=$G7,AH$5+6&gt;=$F7),IF($H7="Complétée","F",IF(OR($H7="En cours",$H7="En revue"),"E",IF($H7="Bloquée","B","P"))),""))</f>
        <v/>
      </c>
      <c r="AI7" s="53">
        <f>IF(OR($F7="",$G7=""),"",IF(AND(AI$5&lt;=$G7,AI$5+6&gt;=$F7),IF($H7="Complétée","F",IF(OR($H7="En cours",$H7="En revue"),"E",IF($H7="Bloquée","B","P"))),""))</f>
        <v/>
      </c>
      <c r="AJ7" s="53">
        <f>IF(OR($F7="",$G7=""),"",IF(AND(AJ$5&lt;=$G7,AJ$5+6&gt;=$F7),IF($H7="Complétée","F",IF(OR($H7="En cours",$H7="En revue"),"E",IF($H7="Bloquée","B","P"))),""))</f>
        <v/>
      </c>
      <c r="AK7" s="53">
        <f>IF(OR($F7="",$G7=""),"",IF(AND(AK$5&lt;=$G7,AK$5+6&gt;=$F7),IF($H7="Complétée","F",IF(OR($H7="En cours",$H7="En revue"),"E",IF($H7="Bloquée","B","P"))),""))</f>
        <v/>
      </c>
      <c r="AL7" s="53">
        <f>IF(OR($F7="",$G7=""),"",IF(AND(AL$5&lt;=$G7,AL$5+6&gt;=$F7),IF($H7="Complétée","F",IF(OR($H7="En cours",$H7="En revue"),"E",IF($H7="Bloquée","B","P"))),""))</f>
        <v/>
      </c>
      <c r="AM7" s="53">
        <f>IF(OR($F7="",$G7=""),"",IF(AND(AM$5&lt;=$G7,AM$5+6&gt;=$F7),IF($H7="Complétée","F",IF(OR($H7="En cours",$H7="En revue"),"E",IF($H7="Bloquée","B","P"))),""))</f>
        <v/>
      </c>
      <c r="AN7" s="53">
        <f>IF(OR($F7="",$G7=""),"",IF(AND(AN$5&lt;=$G7,AN$5+6&gt;=$F7),IF($H7="Complétée","F",IF(OR($H7="En cours",$H7="En revue"),"E",IF($H7="Bloquée","B","P"))),""))</f>
        <v/>
      </c>
      <c r="AO7" s="53">
        <f>IF(OR($F7="",$G7=""),"",IF(AND(AO$5&lt;=$G7,AO$5+6&gt;=$F7),IF($H7="Complétée","F",IF(OR($H7="En cours",$H7="En revue"),"E",IF($H7="Bloquée","B","P"))),""))</f>
        <v/>
      </c>
      <c r="AP7" s="53">
        <f>IF(OR($F7="",$G7=""),"",IF(AND(AP$5&lt;=$G7,AP$5+6&gt;=$F7),IF($H7="Complétée","F",IF(OR($H7="En cours",$H7="En revue"),"E",IF($H7="Bloquée","B","P"))),""))</f>
        <v/>
      </c>
      <c r="AQ7" s="53">
        <f>IF(OR($F7="",$G7=""),"",IF(AND(AQ$5&lt;=$G7,AQ$5+6&gt;=$F7),IF($H7="Complétée","F",IF(OR($H7="En cours",$H7="En revue"),"E",IF($H7="Bloquée","B","P"))),""))</f>
        <v/>
      </c>
      <c r="AR7" s="53">
        <f>IF(OR($F7="",$G7=""),"",IF(AND(AR$5&lt;=$G7,AR$5+6&gt;=$F7),IF($H7="Complétée","F",IF(OR($H7="En cours",$H7="En revue"),"E",IF($H7="Bloquée","B","P"))),""))</f>
        <v/>
      </c>
      <c r="AS7" s="53">
        <f>IF(OR($F7="",$G7=""),"",IF(AND(AS$5&lt;=$G7,AS$5+6&gt;=$F7),IF($H7="Complétée","F",IF(OR($H7="En cours",$H7="En revue"),"E",IF($H7="Bloquée","B","P"))),""))</f>
        <v/>
      </c>
      <c r="AT7" s="53">
        <f>IF(OR($F7="",$G7=""),"",IF(AND(AT$5&lt;=$G7,AT$5+6&gt;=$F7),IF($H7="Complétée","F",IF(OR($H7="En cours",$H7="En revue"),"E",IF($H7="Bloquée","B","P"))),""))</f>
        <v/>
      </c>
      <c r="AU7" s="53">
        <f>IF(OR($F7="",$G7=""),"",IF(AND(AU$5&lt;=$G7,AU$5+6&gt;=$F7),IF($H7="Complétée","F",IF(OR($H7="En cours",$H7="En revue"),"E",IF($H7="Bloquée","B","P"))),""))</f>
        <v/>
      </c>
      <c r="AV7" s="53">
        <f>IF(OR($F7="",$G7=""),"",IF(AND(AV$5&lt;=$G7,AV$5+6&gt;=$F7),IF($H7="Complétée","F",IF(OR($H7="En cours",$H7="En revue"),"E",IF($H7="Bloquée","B","P"))),""))</f>
        <v/>
      </c>
      <c r="AW7" s="53">
        <f>IF(OR($F7="",$G7=""),"",IF(AND(AW$5&lt;=$G7,AW$5+6&gt;=$F7),IF($H7="Complétée","F",IF(OR($H7="En cours",$H7="En revue"),"E",IF($H7="Bloquée","B","P"))),""))</f>
        <v/>
      </c>
    </row>
    <row r="8">
      <c r="B8" s="50">
        <f>IF(Taches!B8="","",Taches!B8)</f>
        <v/>
      </c>
      <c r="C8" s="51">
        <f>IF(Taches!B8="","",Taches!F8)</f>
        <v/>
      </c>
      <c r="D8" s="50">
        <f>IF(Taches!B8="","",Taches!C8)</f>
        <v/>
      </c>
      <c r="E8" s="50">
        <f>IF(Taches!B8="","",Taches!D8)</f>
        <v/>
      </c>
      <c r="F8" s="52">
        <f>IF(Taches!P8="","",Taches!P8)</f>
        <v/>
      </c>
      <c r="G8" s="52">
        <f>IF(Taches!Q8="","",Taches!Q8)</f>
        <v/>
      </c>
      <c r="H8" s="50">
        <f>IF(Taches!B8="","",Taches!J8)</f>
        <v/>
      </c>
      <c r="I8" s="53">
        <f>IF(OR($F8="",$G8=""),"",IF(AND(I$5&lt;=$G8,I$5+6&gt;=$F8),IF($H8="Complétée","F",IF(OR($H8="En cours",$H8="En revue"),"E",IF($H8="Bloquée","B","P"))),""))</f>
        <v/>
      </c>
      <c r="J8" s="53">
        <f>IF(OR($F8="",$G8=""),"",IF(AND(J$5&lt;=$G8,J$5+6&gt;=$F8),IF($H8="Complétée","F",IF(OR($H8="En cours",$H8="En revue"),"E",IF($H8="Bloquée","B","P"))),""))</f>
        <v/>
      </c>
      <c r="K8" s="53">
        <f>IF(OR($F8="",$G8=""),"",IF(AND(K$5&lt;=$G8,K$5+6&gt;=$F8),IF($H8="Complétée","F",IF(OR($H8="En cours",$H8="En revue"),"E",IF($H8="Bloquée","B","P"))),""))</f>
        <v/>
      </c>
      <c r="L8" s="53">
        <f>IF(OR($F8="",$G8=""),"",IF(AND(L$5&lt;=$G8,L$5+6&gt;=$F8),IF($H8="Complétée","F",IF(OR($H8="En cours",$H8="En revue"),"E",IF($H8="Bloquée","B","P"))),""))</f>
        <v/>
      </c>
      <c r="M8" s="53">
        <f>IF(OR($F8="",$G8=""),"",IF(AND(M$5&lt;=$G8,M$5+6&gt;=$F8),IF($H8="Complétée","F",IF(OR($H8="En cours",$H8="En revue"),"E",IF($H8="Bloquée","B","P"))),""))</f>
        <v/>
      </c>
      <c r="N8" s="53">
        <f>IF(OR($F8="",$G8=""),"",IF(AND(N$5&lt;=$G8,N$5+6&gt;=$F8),IF($H8="Complétée","F",IF(OR($H8="En cours",$H8="En revue"),"E",IF($H8="Bloquée","B","P"))),""))</f>
        <v/>
      </c>
      <c r="O8" s="53">
        <f>IF(OR($F8="",$G8=""),"",IF(AND(O$5&lt;=$G8,O$5+6&gt;=$F8),IF($H8="Complétée","F",IF(OR($H8="En cours",$H8="En revue"),"E",IF($H8="Bloquée","B","P"))),""))</f>
        <v/>
      </c>
      <c r="P8" s="53">
        <f>IF(OR($F8="",$G8=""),"",IF(AND(P$5&lt;=$G8,P$5+6&gt;=$F8),IF($H8="Complétée","F",IF(OR($H8="En cours",$H8="En revue"),"E",IF($H8="Bloquée","B","P"))),""))</f>
        <v/>
      </c>
      <c r="Q8" s="53">
        <f>IF(OR($F8="",$G8=""),"",IF(AND(Q$5&lt;=$G8,Q$5+6&gt;=$F8),IF($H8="Complétée","F",IF(OR($H8="En cours",$H8="En revue"),"E",IF($H8="Bloquée","B","P"))),""))</f>
        <v/>
      </c>
      <c r="R8" s="53">
        <f>IF(OR($F8="",$G8=""),"",IF(AND(R$5&lt;=$G8,R$5+6&gt;=$F8),IF($H8="Complétée","F",IF(OR($H8="En cours",$H8="En revue"),"E",IF($H8="Bloquée","B","P"))),""))</f>
        <v/>
      </c>
      <c r="S8" s="53">
        <f>IF(OR($F8="",$G8=""),"",IF(AND(S$5&lt;=$G8,S$5+6&gt;=$F8),IF($H8="Complétée","F",IF(OR($H8="En cours",$H8="En revue"),"E",IF($H8="Bloquée","B","P"))),""))</f>
        <v/>
      </c>
      <c r="T8" s="53">
        <f>IF(OR($F8="",$G8=""),"",IF(AND(T$5&lt;=$G8,T$5+6&gt;=$F8),IF($H8="Complétée","F",IF(OR($H8="En cours",$H8="En revue"),"E",IF($H8="Bloquée","B","P"))),""))</f>
        <v/>
      </c>
      <c r="U8" s="53">
        <f>IF(OR($F8="",$G8=""),"",IF(AND(U$5&lt;=$G8,U$5+6&gt;=$F8),IF($H8="Complétée","F",IF(OR($H8="En cours",$H8="En revue"),"E",IF($H8="Bloquée","B","P"))),""))</f>
        <v/>
      </c>
      <c r="V8" s="53">
        <f>IF(OR($F8="",$G8=""),"",IF(AND(V$5&lt;=$G8,V$5+6&gt;=$F8),IF($H8="Complétée","F",IF(OR($H8="En cours",$H8="En revue"),"E",IF($H8="Bloquée","B","P"))),""))</f>
        <v/>
      </c>
      <c r="W8" s="53">
        <f>IF(OR($F8="",$G8=""),"",IF(AND(W$5&lt;=$G8,W$5+6&gt;=$F8),IF($H8="Complétée","F",IF(OR($H8="En cours",$H8="En revue"),"E",IF($H8="Bloquée","B","P"))),""))</f>
        <v/>
      </c>
      <c r="X8" s="53">
        <f>IF(OR($F8="",$G8=""),"",IF(AND(X$5&lt;=$G8,X$5+6&gt;=$F8),IF($H8="Complétée","F",IF(OR($H8="En cours",$H8="En revue"),"E",IF($H8="Bloquée","B","P"))),""))</f>
        <v/>
      </c>
      <c r="Y8" s="53">
        <f>IF(OR($F8="",$G8=""),"",IF(AND(Y$5&lt;=$G8,Y$5+6&gt;=$F8),IF($H8="Complétée","F",IF(OR($H8="En cours",$H8="En revue"),"E",IF($H8="Bloquée","B","P"))),""))</f>
        <v/>
      </c>
      <c r="Z8" s="53">
        <f>IF(OR($F8="",$G8=""),"",IF(AND(Z$5&lt;=$G8,Z$5+6&gt;=$F8),IF($H8="Complétée","F",IF(OR($H8="En cours",$H8="En revue"),"E",IF($H8="Bloquée","B","P"))),""))</f>
        <v/>
      </c>
      <c r="AA8" s="53">
        <f>IF(OR($F8="",$G8=""),"",IF(AND(AA$5&lt;=$G8,AA$5+6&gt;=$F8),IF($H8="Complétée","F",IF(OR($H8="En cours",$H8="En revue"),"E",IF($H8="Bloquée","B","P"))),""))</f>
        <v/>
      </c>
      <c r="AB8" s="53">
        <f>IF(OR($F8="",$G8=""),"",IF(AND(AB$5&lt;=$G8,AB$5+6&gt;=$F8),IF($H8="Complétée","F",IF(OR($H8="En cours",$H8="En revue"),"E",IF($H8="Bloquée","B","P"))),""))</f>
        <v/>
      </c>
      <c r="AC8" s="53">
        <f>IF(OR($F8="",$G8=""),"",IF(AND(AC$5&lt;=$G8,AC$5+6&gt;=$F8),IF($H8="Complétée","F",IF(OR($H8="En cours",$H8="En revue"),"E",IF($H8="Bloquée","B","P"))),""))</f>
        <v/>
      </c>
      <c r="AD8" s="53">
        <f>IF(OR($F8="",$G8=""),"",IF(AND(AD$5&lt;=$G8,AD$5+6&gt;=$F8),IF($H8="Complétée","F",IF(OR($H8="En cours",$H8="En revue"),"E",IF($H8="Bloquée","B","P"))),""))</f>
        <v/>
      </c>
      <c r="AE8" s="53">
        <f>IF(OR($F8="",$G8=""),"",IF(AND(AE$5&lt;=$G8,AE$5+6&gt;=$F8),IF($H8="Complétée","F",IF(OR($H8="En cours",$H8="En revue"),"E",IF($H8="Bloquée","B","P"))),""))</f>
        <v/>
      </c>
      <c r="AF8" s="53">
        <f>IF(OR($F8="",$G8=""),"",IF(AND(AF$5&lt;=$G8,AF$5+6&gt;=$F8),IF($H8="Complétée","F",IF(OR($H8="En cours",$H8="En revue"),"E",IF($H8="Bloquée","B","P"))),""))</f>
        <v/>
      </c>
      <c r="AG8" s="53">
        <f>IF(OR($F8="",$G8=""),"",IF(AND(AG$5&lt;=$G8,AG$5+6&gt;=$F8),IF($H8="Complétée","F",IF(OR($H8="En cours",$H8="En revue"),"E",IF($H8="Bloquée","B","P"))),""))</f>
        <v/>
      </c>
      <c r="AH8" s="53">
        <f>IF(OR($F8="",$G8=""),"",IF(AND(AH$5&lt;=$G8,AH$5+6&gt;=$F8),IF($H8="Complétée","F",IF(OR($H8="En cours",$H8="En revue"),"E",IF($H8="Bloquée","B","P"))),""))</f>
        <v/>
      </c>
      <c r="AI8" s="53">
        <f>IF(OR($F8="",$G8=""),"",IF(AND(AI$5&lt;=$G8,AI$5+6&gt;=$F8),IF($H8="Complétée","F",IF(OR($H8="En cours",$H8="En revue"),"E",IF($H8="Bloquée","B","P"))),""))</f>
        <v/>
      </c>
      <c r="AJ8" s="53">
        <f>IF(OR($F8="",$G8=""),"",IF(AND(AJ$5&lt;=$G8,AJ$5+6&gt;=$F8),IF($H8="Complétée","F",IF(OR($H8="En cours",$H8="En revue"),"E",IF($H8="Bloquée","B","P"))),""))</f>
        <v/>
      </c>
      <c r="AK8" s="53">
        <f>IF(OR($F8="",$G8=""),"",IF(AND(AK$5&lt;=$G8,AK$5+6&gt;=$F8),IF($H8="Complétée","F",IF(OR($H8="En cours",$H8="En revue"),"E",IF($H8="Bloquée","B","P"))),""))</f>
        <v/>
      </c>
      <c r="AL8" s="53">
        <f>IF(OR($F8="",$G8=""),"",IF(AND(AL$5&lt;=$G8,AL$5+6&gt;=$F8),IF($H8="Complétée","F",IF(OR($H8="En cours",$H8="En revue"),"E",IF($H8="Bloquée","B","P"))),""))</f>
        <v/>
      </c>
      <c r="AM8" s="53">
        <f>IF(OR($F8="",$G8=""),"",IF(AND(AM$5&lt;=$G8,AM$5+6&gt;=$F8),IF($H8="Complétée","F",IF(OR($H8="En cours",$H8="En revue"),"E",IF($H8="Bloquée","B","P"))),""))</f>
        <v/>
      </c>
      <c r="AN8" s="53">
        <f>IF(OR($F8="",$G8=""),"",IF(AND(AN$5&lt;=$G8,AN$5+6&gt;=$F8),IF($H8="Complétée","F",IF(OR($H8="En cours",$H8="En revue"),"E",IF($H8="Bloquée","B","P"))),""))</f>
        <v/>
      </c>
      <c r="AO8" s="53">
        <f>IF(OR($F8="",$G8=""),"",IF(AND(AO$5&lt;=$G8,AO$5+6&gt;=$F8),IF($H8="Complétée","F",IF(OR($H8="En cours",$H8="En revue"),"E",IF($H8="Bloquée","B","P"))),""))</f>
        <v/>
      </c>
      <c r="AP8" s="53">
        <f>IF(OR($F8="",$G8=""),"",IF(AND(AP$5&lt;=$G8,AP$5+6&gt;=$F8),IF($H8="Complétée","F",IF(OR($H8="En cours",$H8="En revue"),"E",IF($H8="Bloquée","B","P"))),""))</f>
        <v/>
      </c>
      <c r="AQ8" s="53">
        <f>IF(OR($F8="",$G8=""),"",IF(AND(AQ$5&lt;=$G8,AQ$5+6&gt;=$F8),IF($H8="Complétée","F",IF(OR($H8="En cours",$H8="En revue"),"E",IF($H8="Bloquée","B","P"))),""))</f>
        <v/>
      </c>
      <c r="AR8" s="53">
        <f>IF(OR($F8="",$G8=""),"",IF(AND(AR$5&lt;=$G8,AR$5+6&gt;=$F8),IF($H8="Complétée","F",IF(OR($H8="En cours",$H8="En revue"),"E",IF($H8="Bloquée","B","P"))),""))</f>
        <v/>
      </c>
      <c r="AS8" s="53">
        <f>IF(OR($F8="",$G8=""),"",IF(AND(AS$5&lt;=$G8,AS$5+6&gt;=$F8),IF($H8="Complétée","F",IF(OR($H8="En cours",$H8="En revue"),"E",IF($H8="Bloquée","B","P"))),""))</f>
        <v/>
      </c>
      <c r="AT8" s="53">
        <f>IF(OR($F8="",$G8=""),"",IF(AND(AT$5&lt;=$G8,AT$5+6&gt;=$F8),IF($H8="Complétée","F",IF(OR($H8="En cours",$H8="En revue"),"E",IF($H8="Bloquée","B","P"))),""))</f>
        <v/>
      </c>
      <c r="AU8" s="53">
        <f>IF(OR($F8="",$G8=""),"",IF(AND(AU$5&lt;=$G8,AU$5+6&gt;=$F8),IF($H8="Complétée","F",IF(OR($H8="En cours",$H8="En revue"),"E",IF($H8="Bloquée","B","P"))),""))</f>
        <v/>
      </c>
      <c r="AV8" s="53">
        <f>IF(OR($F8="",$G8=""),"",IF(AND(AV$5&lt;=$G8,AV$5+6&gt;=$F8),IF($H8="Complétée","F",IF(OR($H8="En cours",$H8="En revue"),"E",IF($H8="Bloquée","B","P"))),""))</f>
        <v/>
      </c>
      <c r="AW8" s="53">
        <f>IF(OR($F8="",$G8=""),"",IF(AND(AW$5&lt;=$G8,AW$5+6&gt;=$F8),IF($H8="Complétée","F",IF(OR($H8="En cours",$H8="En revue"),"E",IF($H8="Bloquée","B","P"))),""))</f>
        <v/>
      </c>
    </row>
    <row r="9">
      <c r="B9" s="50">
        <f>IF(Taches!B9="","",Taches!B9)</f>
        <v/>
      </c>
      <c r="C9" s="51">
        <f>IF(Taches!B9="","",Taches!F9)</f>
        <v/>
      </c>
      <c r="D9" s="50">
        <f>IF(Taches!B9="","",Taches!C9)</f>
        <v/>
      </c>
      <c r="E9" s="50">
        <f>IF(Taches!B9="","",Taches!D9)</f>
        <v/>
      </c>
      <c r="F9" s="52">
        <f>IF(Taches!P9="","",Taches!P9)</f>
        <v/>
      </c>
      <c r="G9" s="52">
        <f>IF(Taches!Q9="","",Taches!Q9)</f>
        <v/>
      </c>
      <c r="H9" s="50">
        <f>IF(Taches!B9="","",Taches!J9)</f>
        <v/>
      </c>
      <c r="I9" s="53">
        <f>IF(OR($F9="",$G9=""),"",IF(AND(I$5&lt;=$G9,I$5+6&gt;=$F9),IF($H9="Complétée","F",IF(OR($H9="En cours",$H9="En revue"),"E",IF($H9="Bloquée","B","P"))),""))</f>
        <v/>
      </c>
      <c r="J9" s="53">
        <f>IF(OR($F9="",$G9=""),"",IF(AND(J$5&lt;=$G9,J$5+6&gt;=$F9),IF($H9="Complétée","F",IF(OR($H9="En cours",$H9="En revue"),"E",IF($H9="Bloquée","B","P"))),""))</f>
        <v/>
      </c>
      <c r="K9" s="53">
        <f>IF(OR($F9="",$G9=""),"",IF(AND(K$5&lt;=$G9,K$5+6&gt;=$F9),IF($H9="Complétée","F",IF(OR($H9="En cours",$H9="En revue"),"E",IF($H9="Bloquée","B","P"))),""))</f>
        <v/>
      </c>
      <c r="L9" s="53">
        <f>IF(OR($F9="",$G9=""),"",IF(AND(L$5&lt;=$G9,L$5+6&gt;=$F9),IF($H9="Complétée","F",IF(OR($H9="En cours",$H9="En revue"),"E",IF($H9="Bloquée","B","P"))),""))</f>
        <v/>
      </c>
      <c r="M9" s="53">
        <f>IF(OR($F9="",$G9=""),"",IF(AND(M$5&lt;=$G9,M$5+6&gt;=$F9),IF($H9="Complétée","F",IF(OR($H9="En cours",$H9="En revue"),"E",IF($H9="Bloquée","B","P"))),""))</f>
        <v/>
      </c>
      <c r="N9" s="53">
        <f>IF(OR($F9="",$G9=""),"",IF(AND(N$5&lt;=$G9,N$5+6&gt;=$F9),IF($H9="Complétée","F",IF(OR($H9="En cours",$H9="En revue"),"E",IF($H9="Bloquée","B","P"))),""))</f>
        <v/>
      </c>
      <c r="O9" s="53">
        <f>IF(OR($F9="",$G9=""),"",IF(AND(O$5&lt;=$G9,O$5+6&gt;=$F9),IF($H9="Complétée","F",IF(OR($H9="En cours",$H9="En revue"),"E",IF($H9="Bloquée","B","P"))),""))</f>
        <v/>
      </c>
      <c r="P9" s="53">
        <f>IF(OR($F9="",$G9=""),"",IF(AND(P$5&lt;=$G9,P$5+6&gt;=$F9),IF($H9="Complétée","F",IF(OR($H9="En cours",$H9="En revue"),"E",IF($H9="Bloquée","B","P"))),""))</f>
        <v/>
      </c>
      <c r="Q9" s="53">
        <f>IF(OR($F9="",$G9=""),"",IF(AND(Q$5&lt;=$G9,Q$5+6&gt;=$F9),IF($H9="Complétée","F",IF(OR($H9="En cours",$H9="En revue"),"E",IF($H9="Bloquée","B","P"))),""))</f>
        <v/>
      </c>
      <c r="R9" s="53">
        <f>IF(OR($F9="",$G9=""),"",IF(AND(R$5&lt;=$G9,R$5+6&gt;=$F9),IF($H9="Complétée","F",IF(OR($H9="En cours",$H9="En revue"),"E",IF($H9="Bloquée","B","P"))),""))</f>
        <v/>
      </c>
      <c r="S9" s="53">
        <f>IF(OR($F9="",$G9=""),"",IF(AND(S$5&lt;=$G9,S$5+6&gt;=$F9),IF($H9="Complétée","F",IF(OR($H9="En cours",$H9="En revue"),"E",IF($H9="Bloquée","B","P"))),""))</f>
        <v/>
      </c>
      <c r="T9" s="53">
        <f>IF(OR($F9="",$G9=""),"",IF(AND(T$5&lt;=$G9,T$5+6&gt;=$F9),IF($H9="Complétée","F",IF(OR($H9="En cours",$H9="En revue"),"E",IF($H9="Bloquée","B","P"))),""))</f>
        <v/>
      </c>
      <c r="U9" s="53">
        <f>IF(OR($F9="",$G9=""),"",IF(AND(U$5&lt;=$G9,U$5+6&gt;=$F9),IF($H9="Complétée","F",IF(OR($H9="En cours",$H9="En revue"),"E",IF($H9="Bloquée","B","P"))),""))</f>
        <v/>
      </c>
      <c r="V9" s="53">
        <f>IF(OR($F9="",$G9=""),"",IF(AND(V$5&lt;=$G9,V$5+6&gt;=$F9),IF($H9="Complétée","F",IF(OR($H9="En cours",$H9="En revue"),"E",IF($H9="Bloquée","B","P"))),""))</f>
        <v/>
      </c>
      <c r="W9" s="53">
        <f>IF(OR($F9="",$G9=""),"",IF(AND(W$5&lt;=$G9,W$5+6&gt;=$F9),IF($H9="Complétée","F",IF(OR($H9="En cours",$H9="En revue"),"E",IF($H9="Bloquée","B","P"))),""))</f>
        <v/>
      </c>
      <c r="X9" s="53">
        <f>IF(OR($F9="",$G9=""),"",IF(AND(X$5&lt;=$G9,X$5+6&gt;=$F9),IF($H9="Complétée","F",IF(OR($H9="En cours",$H9="En revue"),"E",IF($H9="Bloquée","B","P"))),""))</f>
        <v/>
      </c>
      <c r="Y9" s="53">
        <f>IF(OR($F9="",$G9=""),"",IF(AND(Y$5&lt;=$G9,Y$5+6&gt;=$F9),IF($H9="Complétée","F",IF(OR($H9="En cours",$H9="En revue"),"E",IF($H9="Bloquée","B","P"))),""))</f>
        <v/>
      </c>
      <c r="Z9" s="53">
        <f>IF(OR($F9="",$G9=""),"",IF(AND(Z$5&lt;=$G9,Z$5+6&gt;=$F9),IF($H9="Complétée","F",IF(OR($H9="En cours",$H9="En revue"),"E",IF($H9="Bloquée","B","P"))),""))</f>
        <v/>
      </c>
      <c r="AA9" s="53">
        <f>IF(OR($F9="",$G9=""),"",IF(AND(AA$5&lt;=$G9,AA$5+6&gt;=$F9),IF($H9="Complétée","F",IF(OR($H9="En cours",$H9="En revue"),"E",IF($H9="Bloquée","B","P"))),""))</f>
        <v/>
      </c>
      <c r="AB9" s="53">
        <f>IF(OR($F9="",$G9=""),"",IF(AND(AB$5&lt;=$G9,AB$5+6&gt;=$F9),IF($H9="Complétée","F",IF(OR($H9="En cours",$H9="En revue"),"E",IF($H9="Bloquée","B","P"))),""))</f>
        <v/>
      </c>
      <c r="AC9" s="53">
        <f>IF(OR($F9="",$G9=""),"",IF(AND(AC$5&lt;=$G9,AC$5+6&gt;=$F9),IF($H9="Complétée","F",IF(OR($H9="En cours",$H9="En revue"),"E",IF($H9="Bloquée","B","P"))),""))</f>
        <v/>
      </c>
      <c r="AD9" s="53">
        <f>IF(OR($F9="",$G9=""),"",IF(AND(AD$5&lt;=$G9,AD$5+6&gt;=$F9),IF($H9="Complétée","F",IF(OR($H9="En cours",$H9="En revue"),"E",IF($H9="Bloquée","B","P"))),""))</f>
        <v/>
      </c>
      <c r="AE9" s="53">
        <f>IF(OR($F9="",$G9=""),"",IF(AND(AE$5&lt;=$G9,AE$5+6&gt;=$F9),IF($H9="Complétée","F",IF(OR($H9="En cours",$H9="En revue"),"E",IF($H9="Bloquée","B","P"))),""))</f>
        <v/>
      </c>
      <c r="AF9" s="53">
        <f>IF(OR($F9="",$G9=""),"",IF(AND(AF$5&lt;=$G9,AF$5+6&gt;=$F9),IF($H9="Complétée","F",IF(OR($H9="En cours",$H9="En revue"),"E",IF($H9="Bloquée","B","P"))),""))</f>
        <v/>
      </c>
      <c r="AG9" s="53">
        <f>IF(OR($F9="",$G9=""),"",IF(AND(AG$5&lt;=$G9,AG$5+6&gt;=$F9),IF($H9="Complétée","F",IF(OR($H9="En cours",$H9="En revue"),"E",IF($H9="Bloquée","B","P"))),""))</f>
        <v/>
      </c>
      <c r="AH9" s="53">
        <f>IF(OR($F9="",$G9=""),"",IF(AND(AH$5&lt;=$G9,AH$5+6&gt;=$F9),IF($H9="Complétée","F",IF(OR($H9="En cours",$H9="En revue"),"E",IF($H9="Bloquée","B","P"))),""))</f>
        <v/>
      </c>
      <c r="AI9" s="53">
        <f>IF(OR($F9="",$G9=""),"",IF(AND(AI$5&lt;=$G9,AI$5+6&gt;=$F9),IF($H9="Complétée","F",IF(OR($H9="En cours",$H9="En revue"),"E",IF($H9="Bloquée","B","P"))),""))</f>
        <v/>
      </c>
      <c r="AJ9" s="53">
        <f>IF(OR($F9="",$G9=""),"",IF(AND(AJ$5&lt;=$G9,AJ$5+6&gt;=$F9),IF($H9="Complétée","F",IF(OR($H9="En cours",$H9="En revue"),"E",IF($H9="Bloquée","B","P"))),""))</f>
        <v/>
      </c>
      <c r="AK9" s="53">
        <f>IF(OR($F9="",$G9=""),"",IF(AND(AK$5&lt;=$G9,AK$5+6&gt;=$F9),IF($H9="Complétée","F",IF(OR($H9="En cours",$H9="En revue"),"E",IF($H9="Bloquée","B","P"))),""))</f>
        <v/>
      </c>
      <c r="AL9" s="53">
        <f>IF(OR($F9="",$G9=""),"",IF(AND(AL$5&lt;=$G9,AL$5+6&gt;=$F9),IF($H9="Complétée","F",IF(OR($H9="En cours",$H9="En revue"),"E",IF($H9="Bloquée","B","P"))),""))</f>
        <v/>
      </c>
      <c r="AM9" s="53">
        <f>IF(OR($F9="",$G9=""),"",IF(AND(AM$5&lt;=$G9,AM$5+6&gt;=$F9),IF($H9="Complétée","F",IF(OR($H9="En cours",$H9="En revue"),"E",IF($H9="Bloquée","B","P"))),""))</f>
        <v/>
      </c>
      <c r="AN9" s="53">
        <f>IF(OR($F9="",$G9=""),"",IF(AND(AN$5&lt;=$G9,AN$5+6&gt;=$F9),IF($H9="Complétée","F",IF(OR($H9="En cours",$H9="En revue"),"E",IF($H9="Bloquée","B","P"))),""))</f>
        <v/>
      </c>
      <c r="AO9" s="53">
        <f>IF(OR($F9="",$G9=""),"",IF(AND(AO$5&lt;=$G9,AO$5+6&gt;=$F9),IF($H9="Complétée","F",IF(OR($H9="En cours",$H9="En revue"),"E",IF($H9="Bloquée","B","P"))),""))</f>
        <v/>
      </c>
      <c r="AP9" s="53">
        <f>IF(OR($F9="",$G9=""),"",IF(AND(AP$5&lt;=$G9,AP$5+6&gt;=$F9),IF($H9="Complétée","F",IF(OR($H9="En cours",$H9="En revue"),"E",IF($H9="Bloquée","B","P"))),""))</f>
        <v/>
      </c>
      <c r="AQ9" s="53">
        <f>IF(OR($F9="",$G9=""),"",IF(AND(AQ$5&lt;=$G9,AQ$5+6&gt;=$F9),IF($H9="Complétée","F",IF(OR($H9="En cours",$H9="En revue"),"E",IF($H9="Bloquée","B","P"))),""))</f>
        <v/>
      </c>
      <c r="AR9" s="53">
        <f>IF(OR($F9="",$G9=""),"",IF(AND(AR$5&lt;=$G9,AR$5+6&gt;=$F9),IF($H9="Complétée","F",IF(OR($H9="En cours",$H9="En revue"),"E",IF($H9="Bloquée","B","P"))),""))</f>
        <v/>
      </c>
      <c r="AS9" s="53">
        <f>IF(OR($F9="",$G9=""),"",IF(AND(AS$5&lt;=$G9,AS$5+6&gt;=$F9),IF($H9="Complétée","F",IF(OR($H9="En cours",$H9="En revue"),"E",IF($H9="Bloquée","B","P"))),""))</f>
        <v/>
      </c>
      <c r="AT9" s="53">
        <f>IF(OR($F9="",$G9=""),"",IF(AND(AT$5&lt;=$G9,AT$5+6&gt;=$F9),IF($H9="Complétée","F",IF(OR($H9="En cours",$H9="En revue"),"E",IF($H9="Bloquée","B","P"))),""))</f>
        <v/>
      </c>
      <c r="AU9" s="53">
        <f>IF(OR($F9="",$G9=""),"",IF(AND(AU$5&lt;=$G9,AU$5+6&gt;=$F9),IF($H9="Complétée","F",IF(OR($H9="En cours",$H9="En revue"),"E",IF($H9="Bloquée","B","P"))),""))</f>
        <v/>
      </c>
      <c r="AV9" s="53">
        <f>IF(OR($F9="",$G9=""),"",IF(AND(AV$5&lt;=$G9,AV$5+6&gt;=$F9),IF($H9="Complétée","F",IF(OR($H9="En cours",$H9="En revue"),"E",IF($H9="Bloquée","B","P"))),""))</f>
        <v/>
      </c>
      <c r="AW9" s="53">
        <f>IF(OR($F9="",$G9=""),"",IF(AND(AW$5&lt;=$G9,AW$5+6&gt;=$F9),IF($H9="Complétée","F",IF(OR($H9="En cours",$H9="En revue"),"E",IF($H9="Bloquée","B","P"))),""))</f>
        <v/>
      </c>
    </row>
    <row r="10">
      <c r="B10" s="50">
        <f>IF(Taches!B10="","",Taches!B10)</f>
        <v/>
      </c>
      <c r="C10" s="51">
        <f>IF(Taches!B10="","",Taches!F10)</f>
        <v/>
      </c>
      <c r="D10" s="50">
        <f>IF(Taches!B10="","",Taches!C10)</f>
        <v/>
      </c>
      <c r="E10" s="50">
        <f>IF(Taches!B10="","",Taches!D10)</f>
        <v/>
      </c>
      <c r="F10" s="52">
        <f>IF(Taches!P10="","",Taches!P10)</f>
        <v/>
      </c>
      <c r="G10" s="52">
        <f>IF(Taches!Q10="","",Taches!Q10)</f>
        <v/>
      </c>
      <c r="H10" s="50">
        <f>IF(Taches!B10="","",Taches!J10)</f>
        <v/>
      </c>
      <c r="I10" s="53">
        <f>IF(OR($F10="",$G10=""),"",IF(AND(I$5&lt;=$G10,I$5+6&gt;=$F10),IF($H10="Complétée","F",IF(OR($H10="En cours",$H10="En revue"),"E",IF($H10="Bloquée","B","P"))),""))</f>
        <v/>
      </c>
      <c r="J10" s="53">
        <f>IF(OR($F10="",$G10=""),"",IF(AND(J$5&lt;=$G10,J$5+6&gt;=$F10),IF($H10="Complétée","F",IF(OR($H10="En cours",$H10="En revue"),"E",IF($H10="Bloquée","B","P"))),""))</f>
        <v/>
      </c>
      <c r="K10" s="53">
        <f>IF(OR($F10="",$G10=""),"",IF(AND(K$5&lt;=$G10,K$5+6&gt;=$F10),IF($H10="Complétée","F",IF(OR($H10="En cours",$H10="En revue"),"E",IF($H10="Bloquée","B","P"))),""))</f>
        <v/>
      </c>
      <c r="L10" s="53">
        <f>IF(OR($F10="",$G10=""),"",IF(AND(L$5&lt;=$G10,L$5+6&gt;=$F10),IF($H10="Complétée","F",IF(OR($H10="En cours",$H10="En revue"),"E",IF($H10="Bloquée","B","P"))),""))</f>
        <v/>
      </c>
      <c r="M10" s="53">
        <f>IF(OR($F10="",$G10=""),"",IF(AND(M$5&lt;=$G10,M$5+6&gt;=$F10),IF($H10="Complétée","F",IF(OR($H10="En cours",$H10="En revue"),"E",IF($H10="Bloquée","B","P"))),""))</f>
        <v/>
      </c>
      <c r="N10" s="53">
        <f>IF(OR($F10="",$G10=""),"",IF(AND(N$5&lt;=$G10,N$5+6&gt;=$F10),IF($H10="Complétée","F",IF(OR($H10="En cours",$H10="En revue"),"E",IF($H10="Bloquée","B","P"))),""))</f>
        <v/>
      </c>
      <c r="O10" s="53">
        <f>IF(OR($F10="",$G10=""),"",IF(AND(O$5&lt;=$G10,O$5+6&gt;=$F10),IF($H10="Complétée","F",IF(OR($H10="En cours",$H10="En revue"),"E",IF($H10="Bloquée","B","P"))),""))</f>
        <v/>
      </c>
      <c r="P10" s="53">
        <f>IF(OR($F10="",$G10=""),"",IF(AND(P$5&lt;=$G10,P$5+6&gt;=$F10),IF($H10="Complétée","F",IF(OR($H10="En cours",$H10="En revue"),"E",IF($H10="Bloquée","B","P"))),""))</f>
        <v/>
      </c>
      <c r="Q10" s="53">
        <f>IF(OR($F10="",$G10=""),"",IF(AND(Q$5&lt;=$G10,Q$5+6&gt;=$F10),IF($H10="Complétée","F",IF(OR($H10="En cours",$H10="En revue"),"E",IF($H10="Bloquée","B","P"))),""))</f>
        <v/>
      </c>
      <c r="R10" s="53">
        <f>IF(OR($F10="",$G10=""),"",IF(AND(R$5&lt;=$G10,R$5+6&gt;=$F10),IF($H10="Complétée","F",IF(OR($H10="En cours",$H10="En revue"),"E",IF($H10="Bloquée","B","P"))),""))</f>
        <v/>
      </c>
      <c r="S10" s="53">
        <f>IF(OR($F10="",$G10=""),"",IF(AND(S$5&lt;=$G10,S$5+6&gt;=$F10),IF($H10="Complétée","F",IF(OR($H10="En cours",$H10="En revue"),"E",IF($H10="Bloquée","B","P"))),""))</f>
        <v/>
      </c>
      <c r="T10" s="53">
        <f>IF(OR($F10="",$G10=""),"",IF(AND(T$5&lt;=$G10,T$5+6&gt;=$F10),IF($H10="Complétée","F",IF(OR($H10="En cours",$H10="En revue"),"E",IF($H10="Bloquée","B","P"))),""))</f>
        <v/>
      </c>
      <c r="U10" s="53">
        <f>IF(OR($F10="",$G10=""),"",IF(AND(U$5&lt;=$G10,U$5+6&gt;=$F10),IF($H10="Complétée","F",IF(OR($H10="En cours",$H10="En revue"),"E",IF($H10="Bloquée","B","P"))),""))</f>
        <v/>
      </c>
      <c r="V10" s="53">
        <f>IF(OR($F10="",$G10=""),"",IF(AND(V$5&lt;=$G10,V$5+6&gt;=$F10),IF($H10="Complétée","F",IF(OR($H10="En cours",$H10="En revue"),"E",IF($H10="Bloquée","B","P"))),""))</f>
        <v/>
      </c>
      <c r="W10" s="53">
        <f>IF(OR($F10="",$G10=""),"",IF(AND(W$5&lt;=$G10,W$5+6&gt;=$F10),IF($H10="Complétée","F",IF(OR($H10="En cours",$H10="En revue"),"E",IF($H10="Bloquée","B","P"))),""))</f>
        <v/>
      </c>
      <c r="X10" s="53">
        <f>IF(OR($F10="",$G10=""),"",IF(AND(X$5&lt;=$G10,X$5+6&gt;=$F10),IF($H10="Complétée","F",IF(OR($H10="En cours",$H10="En revue"),"E",IF($H10="Bloquée","B","P"))),""))</f>
        <v/>
      </c>
      <c r="Y10" s="53">
        <f>IF(OR($F10="",$G10=""),"",IF(AND(Y$5&lt;=$G10,Y$5+6&gt;=$F10),IF($H10="Complétée","F",IF(OR($H10="En cours",$H10="En revue"),"E",IF($H10="Bloquée","B","P"))),""))</f>
        <v/>
      </c>
      <c r="Z10" s="53">
        <f>IF(OR($F10="",$G10=""),"",IF(AND(Z$5&lt;=$G10,Z$5+6&gt;=$F10),IF($H10="Complétée","F",IF(OR($H10="En cours",$H10="En revue"),"E",IF($H10="Bloquée","B","P"))),""))</f>
        <v/>
      </c>
      <c r="AA10" s="53">
        <f>IF(OR($F10="",$G10=""),"",IF(AND(AA$5&lt;=$G10,AA$5+6&gt;=$F10),IF($H10="Complétée","F",IF(OR($H10="En cours",$H10="En revue"),"E",IF($H10="Bloquée","B","P"))),""))</f>
        <v/>
      </c>
      <c r="AB10" s="53">
        <f>IF(OR($F10="",$G10=""),"",IF(AND(AB$5&lt;=$G10,AB$5+6&gt;=$F10),IF($H10="Complétée","F",IF(OR($H10="En cours",$H10="En revue"),"E",IF($H10="Bloquée","B","P"))),""))</f>
        <v/>
      </c>
      <c r="AC10" s="53">
        <f>IF(OR($F10="",$G10=""),"",IF(AND(AC$5&lt;=$G10,AC$5+6&gt;=$F10),IF($H10="Complétée","F",IF(OR($H10="En cours",$H10="En revue"),"E",IF($H10="Bloquée","B","P"))),""))</f>
        <v/>
      </c>
      <c r="AD10" s="53">
        <f>IF(OR($F10="",$G10=""),"",IF(AND(AD$5&lt;=$G10,AD$5+6&gt;=$F10),IF($H10="Complétée","F",IF(OR($H10="En cours",$H10="En revue"),"E",IF($H10="Bloquée","B","P"))),""))</f>
        <v/>
      </c>
      <c r="AE10" s="53">
        <f>IF(OR($F10="",$G10=""),"",IF(AND(AE$5&lt;=$G10,AE$5+6&gt;=$F10),IF($H10="Complétée","F",IF(OR($H10="En cours",$H10="En revue"),"E",IF($H10="Bloquée","B","P"))),""))</f>
        <v/>
      </c>
      <c r="AF10" s="53">
        <f>IF(OR($F10="",$G10=""),"",IF(AND(AF$5&lt;=$G10,AF$5+6&gt;=$F10),IF($H10="Complétée","F",IF(OR($H10="En cours",$H10="En revue"),"E",IF($H10="Bloquée","B","P"))),""))</f>
        <v/>
      </c>
      <c r="AG10" s="53">
        <f>IF(OR($F10="",$G10=""),"",IF(AND(AG$5&lt;=$G10,AG$5+6&gt;=$F10),IF($H10="Complétée","F",IF(OR($H10="En cours",$H10="En revue"),"E",IF($H10="Bloquée","B","P"))),""))</f>
        <v/>
      </c>
      <c r="AH10" s="53">
        <f>IF(OR($F10="",$G10=""),"",IF(AND(AH$5&lt;=$G10,AH$5+6&gt;=$F10),IF($H10="Complétée","F",IF(OR($H10="En cours",$H10="En revue"),"E",IF($H10="Bloquée","B","P"))),""))</f>
        <v/>
      </c>
      <c r="AI10" s="53">
        <f>IF(OR($F10="",$G10=""),"",IF(AND(AI$5&lt;=$G10,AI$5+6&gt;=$F10),IF($H10="Complétée","F",IF(OR($H10="En cours",$H10="En revue"),"E",IF($H10="Bloquée","B","P"))),""))</f>
        <v/>
      </c>
      <c r="AJ10" s="53">
        <f>IF(OR($F10="",$G10=""),"",IF(AND(AJ$5&lt;=$G10,AJ$5+6&gt;=$F10),IF($H10="Complétée","F",IF(OR($H10="En cours",$H10="En revue"),"E",IF($H10="Bloquée","B","P"))),""))</f>
        <v/>
      </c>
      <c r="AK10" s="53">
        <f>IF(OR($F10="",$G10=""),"",IF(AND(AK$5&lt;=$G10,AK$5+6&gt;=$F10),IF($H10="Complétée","F",IF(OR($H10="En cours",$H10="En revue"),"E",IF($H10="Bloquée","B","P"))),""))</f>
        <v/>
      </c>
      <c r="AL10" s="53">
        <f>IF(OR($F10="",$G10=""),"",IF(AND(AL$5&lt;=$G10,AL$5+6&gt;=$F10),IF($H10="Complétée","F",IF(OR($H10="En cours",$H10="En revue"),"E",IF($H10="Bloquée","B","P"))),""))</f>
        <v/>
      </c>
      <c r="AM10" s="53">
        <f>IF(OR($F10="",$G10=""),"",IF(AND(AM$5&lt;=$G10,AM$5+6&gt;=$F10),IF($H10="Complétée","F",IF(OR($H10="En cours",$H10="En revue"),"E",IF($H10="Bloquée","B","P"))),""))</f>
        <v/>
      </c>
      <c r="AN10" s="53">
        <f>IF(OR($F10="",$G10=""),"",IF(AND(AN$5&lt;=$G10,AN$5+6&gt;=$F10),IF($H10="Complétée","F",IF(OR($H10="En cours",$H10="En revue"),"E",IF($H10="Bloquée","B","P"))),""))</f>
        <v/>
      </c>
      <c r="AO10" s="53">
        <f>IF(OR($F10="",$G10=""),"",IF(AND(AO$5&lt;=$G10,AO$5+6&gt;=$F10),IF($H10="Complétée","F",IF(OR($H10="En cours",$H10="En revue"),"E",IF($H10="Bloquée","B","P"))),""))</f>
        <v/>
      </c>
      <c r="AP10" s="53">
        <f>IF(OR($F10="",$G10=""),"",IF(AND(AP$5&lt;=$G10,AP$5+6&gt;=$F10),IF($H10="Complétée","F",IF(OR($H10="En cours",$H10="En revue"),"E",IF($H10="Bloquée","B","P"))),""))</f>
        <v/>
      </c>
      <c r="AQ10" s="53">
        <f>IF(OR($F10="",$G10=""),"",IF(AND(AQ$5&lt;=$G10,AQ$5+6&gt;=$F10),IF($H10="Complétée","F",IF(OR($H10="En cours",$H10="En revue"),"E",IF($H10="Bloquée","B","P"))),""))</f>
        <v/>
      </c>
      <c r="AR10" s="53">
        <f>IF(OR($F10="",$G10=""),"",IF(AND(AR$5&lt;=$G10,AR$5+6&gt;=$F10),IF($H10="Complétée","F",IF(OR($H10="En cours",$H10="En revue"),"E",IF($H10="Bloquée","B","P"))),""))</f>
        <v/>
      </c>
      <c r="AS10" s="53">
        <f>IF(OR($F10="",$G10=""),"",IF(AND(AS$5&lt;=$G10,AS$5+6&gt;=$F10),IF($H10="Complétée","F",IF(OR($H10="En cours",$H10="En revue"),"E",IF($H10="Bloquée","B","P"))),""))</f>
        <v/>
      </c>
      <c r="AT10" s="53">
        <f>IF(OR($F10="",$G10=""),"",IF(AND(AT$5&lt;=$G10,AT$5+6&gt;=$F10),IF($H10="Complétée","F",IF(OR($H10="En cours",$H10="En revue"),"E",IF($H10="Bloquée","B","P"))),""))</f>
        <v/>
      </c>
      <c r="AU10" s="53">
        <f>IF(OR($F10="",$G10=""),"",IF(AND(AU$5&lt;=$G10,AU$5+6&gt;=$F10),IF($H10="Complétée","F",IF(OR($H10="En cours",$H10="En revue"),"E",IF($H10="Bloquée","B","P"))),""))</f>
        <v/>
      </c>
      <c r="AV10" s="53">
        <f>IF(OR($F10="",$G10=""),"",IF(AND(AV$5&lt;=$G10,AV$5+6&gt;=$F10),IF($H10="Complétée","F",IF(OR($H10="En cours",$H10="En revue"),"E",IF($H10="Bloquée","B","P"))),""))</f>
        <v/>
      </c>
      <c r="AW10" s="53">
        <f>IF(OR($F10="",$G10=""),"",IF(AND(AW$5&lt;=$G10,AW$5+6&gt;=$F10),IF($H10="Complétée","F",IF(OR($H10="En cours",$H10="En revue"),"E",IF($H10="Bloquée","B","P"))),""))</f>
        <v/>
      </c>
    </row>
    <row r="11">
      <c r="B11" s="50">
        <f>IF(Taches!B11="","",Taches!B11)</f>
        <v/>
      </c>
      <c r="C11" s="51">
        <f>IF(Taches!B11="","",Taches!F11)</f>
        <v/>
      </c>
      <c r="D11" s="50">
        <f>IF(Taches!B11="","",Taches!C11)</f>
        <v/>
      </c>
      <c r="E11" s="50">
        <f>IF(Taches!B11="","",Taches!D11)</f>
        <v/>
      </c>
      <c r="F11" s="52">
        <f>IF(Taches!P11="","",Taches!P11)</f>
        <v/>
      </c>
      <c r="G11" s="52">
        <f>IF(Taches!Q11="","",Taches!Q11)</f>
        <v/>
      </c>
      <c r="H11" s="50">
        <f>IF(Taches!B11="","",Taches!J11)</f>
        <v/>
      </c>
      <c r="I11" s="53">
        <f>IF(OR($F11="",$G11=""),"",IF(AND(I$5&lt;=$G11,I$5+6&gt;=$F11),IF($H11="Complétée","F",IF(OR($H11="En cours",$H11="En revue"),"E",IF($H11="Bloquée","B","P"))),""))</f>
        <v/>
      </c>
      <c r="J11" s="53">
        <f>IF(OR($F11="",$G11=""),"",IF(AND(J$5&lt;=$G11,J$5+6&gt;=$F11),IF($H11="Complétée","F",IF(OR($H11="En cours",$H11="En revue"),"E",IF($H11="Bloquée","B","P"))),""))</f>
        <v/>
      </c>
      <c r="K11" s="53">
        <f>IF(OR($F11="",$G11=""),"",IF(AND(K$5&lt;=$G11,K$5+6&gt;=$F11),IF($H11="Complétée","F",IF(OR($H11="En cours",$H11="En revue"),"E",IF($H11="Bloquée","B","P"))),""))</f>
        <v/>
      </c>
      <c r="L11" s="53">
        <f>IF(OR($F11="",$G11=""),"",IF(AND(L$5&lt;=$G11,L$5+6&gt;=$F11),IF($H11="Complétée","F",IF(OR($H11="En cours",$H11="En revue"),"E",IF($H11="Bloquée","B","P"))),""))</f>
        <v/>
      </c>
      <c r="M11" s="53">
        <f>IF(OR($F11="",$G11=""),"",IF(AND(M$5&lt;=$G11,M$5+6&gt;=$F11),IF($H11="Complétée","F",IF(OR($H11="En cours",$H11="En revue"),"E",IF($H11="Bloquée","B","P"))),""))</f>
        <v/>
      </c>
      <c r="N11" s="53">
        <f>IF(OR($F11="",$G11=""),"",IF(AND(N$5&lt;=$G11,N$5+6&gt;=$F11),IF($H11="Complétée","F",IF(OR($H11="En cours",$H11="En revue"),"E",IF($H11="Bloquée","B","P"))),""))</f>
        <v/>
      </c>
      <c r="O11" s="53">
        <f>IF(OR($F11="",$G11=""),"",IF(AND(O$5&lt;=$G11,O$5+6&gt;=$F11),IF($H11="Complétée","F",IF(OR($H11="En cours",$H11="En revue"),"E",IF($H11="Bloquée","B","P"))),""))</f>
        <v/>
      </c>
      <c r="P11" s="53">
        <f>IF(OR($F11="",$G11=""),"",IF(AND(P$5&lt;=$G11,P$5+6&gt;=$F11),IF($H11="Complétée","F",IF(OR($H11="En cours",$H11="En revue"),"E",IF($H11="Bloquée","B","P"))),""))</f>
        <v/>
      </c>
      <c r="Q11" s="53">
        <f>IF(OR($F11="",$G11=""),"",IF(AND(Q$5&lt;=$G11,Q$5+6&gt;=$F11),IF($H11="Complétée","F",IF(OR($H11="En cours",$H11="En revue"),"E",IF($H11="Bloquée","B","P"))),""))</f>
        <v/>
      </c>
      <c r="R11" s="53">
        <f>IF(OR($F11="",$G11=""),"",IF(AND(R$5&lt;=$G11,R$5+6&gt;=$F11),IF($H11="Complétée","F",IF(OR($H11="En cours",$H11="En revue"),"E",IF($H11="Bloquée","B","P"))),""))</f>
        <v/>
      </c>
      <c r="S11" s="53">
        <f>IF(OR($F11="",$G11=""),"",IF(AND(S$5&lt;=$G11,S$5+6&gt;=$F11),IF($H11="Complétée","F",IF(OR($H11="En cours",$H11="En revue"),"E",IF($H11="Bloquée","B","P"))),""))</f>
        <v/>
      </c>
      <c r="T11" s="53">
        <f>IF(OR($F11="",$G11=""),"",IF(AND(T$5&lt;=$G11,T$5+6&gt;=$F11),IF($H11="Complétée","F",IF(OR($H11="En cours",$H11="En revue"),"E",IF($H11="Bloquée","B","P"))),""))</f>
        <v/>
      </c>
      <c r="U11" s="53">
        <f>IF(OR($F11="",$G11=""),"",IF(AND(U$5&lt;=$G11,U$5+6&gt;=$F11),IF($H11="Complétée","F",IF(OR($H11="En cours",$H11="En revue"),"E",IF($H11="Bloquée","B","P"))),""))</f>
        <v/>
      </c>
      <c r="V11" s="53">
        <f>IF(OR($F11="",$G11=""),"",IF(AND(V$5&lt;=$G11,V$5+6&gt;=$F11),IF($H11="Complétée","F",IF(OR($H11="En cours",$H11="En revue"),"E",IF($H11="Bloquée","B","P"))),""))</f>
        <v/>
      </c>
      <c r="W11" s="53">
        <f>IF(OR($F11="",$G11=""),"",IF(AND(W$5&lt;=$G11,W$5+6&gt;=$F11),IF($H11="Complétée","F",IF(OR($H11="En cours",$H11="En revue"),"E",IF($H11="Bloquée","B","P"))),""))</f>
        <v/>
      </c>
      <c r="X11" s="53">
        <f>IF(OR($F11="",$G11=""),"",IF(AND(X$5&lt;=$G11,X$5+6&gt;=$F11),IF($H11="Complétée","F",IF(OR($H11="En cours",$H11="En revue"),"E",IF($H11="Bloquée","B","P"))),""))</f>
        <v/>
      </c>
      <c r="Y11" s="53">
        <f>IF(OR($F11="",$G11=""),"",IF(AND(Y$5&lt;=$G11,Y$5+6&gt;=$F11),IF($H11="Complétée","F",IF(OR($H11="En cours",$H11="En revue"),"E",IF($H11="Bloquée","B","P"))),""))</f>
        <v/>
      </c>
      <c r="Z11" s="53">
        <f>IF(OR($F11="",$G11=""),"",IF(AND(Z$5&lt;=$G11,Z$5+6&gt;=$F11),IF($H11="Complétée","F",IF(OR($H11="En cours",$H11="En revue"),"E",IF($H11="Bloquée","B","P"))),""))</f>
        <v/>
      </c>
      <c r="AA11" s="53">
        <f>IF(OR($F11="",$G11=""),"",IF(AND(AA$5&lt;=$G11,AA$5+6&gt;=$F11),IF($H11="Complétée","F",IF(OR($H11="En cours",$H11="En revue"),"E",IF($H11="Bloquée","B","P"))),""))</f>
        <v/>
      </c>
      <c r="AB11" s="53">
        <f>IF(OR($F11="",$G11=""),"",IF(AND(AB$5&lt;=$G11,AB$5+6&gt;=$F11),IF($H11="Complétée","F",IF(OR($H11="En cours",$H11="En revue"),"E",IF($H11="Bloquée","B","P"))),""))</f>
        <v/>
      </c>
      <c r="AC11" s="53">
        <f>IF(OR($F11="",$G11=""),"",IF(AND(AC$5&lt;=$G11,AC$5+6&gt;=$F11),IF($H11="Complétée","F",IF(OR($H11="En cours",$H11="En revue"),"E",IF($H11="Bloquée","B","P"))),""))</f>
        <v/>
      </c>
      <c r="AD11" s="53">
        <f>IF(OR($F11="",$G11=""),"",IF(AND(AD$5&lt;=$G11,AD$5+6&gt;=$F11),IF($H11="Complétée","F",IF(OR($H11="En cours",$H11="En revue"),"E",IF($H11="Bloquée","B","P"))),""))</f>
        <v/>
      </c>
      <c r="AE11" s="53">
        <f>IF(OR($F11="",$G11=""),"",IF(AND(AE$5&lt;=$G11,AE$5+6&gt;=$F11),IF($H11="Complétée","F",IF(OR($H11="En cours",$H11="En revue"),"E",IF($H11="Bloquée","B","P"))),""))</f>
        <v/>
      </c>
      <c r="AF11" s="53">
        <f>IF(OR($F11="",$G11=""),"",IF(AND(AF$5&lt;=$G11,AF$5+6&gt;=$F11),IF($H11="Complétée","F",IF(OR($H11="En cours",$H11="En revue"),"E",IF($H11="Bloquée","B","P"))),""))</f>
        <v/>
      </c>
      <c r="AG11" s="53">
        <f>IF(OR($F11="",$G11=""),"",IF(AND(AG$5&lt;=$G11,AG$5+6&gt;=$F11),IF($H11="Complétée","F",IF(OR($H11="En cours",$H11="En revue"),"E",IF($H11="Bloquée","B","P"))),""))</f>
        <v/>
      </c>
      <c r="AH11" s="53">
        <f>IF(OR($F11="",$G11=""),"",IF(AND(AH$5&lt;=$G11,AH$5+6&gt;=$F11),IF($H11="Complétée","F",IF(OR($H11="En cours",$H11="En revue"),"E",IF($H11="Bloquée","B","P"))),""))</f>
        <v/>
      </c>
      <c r="AI11" s="53">
        <f>IF(OR($F11="",$G11=""),"",IF(AND(AI$5&lt;=$G11,AI$5+6&gt;=$F11),IF($H11="Complétée","F",IF(OR($H11="En cours",$H11="En revue"),"E",IF($H11="Bloquée","B","P"))),""))</f>
        <v/>
      </c>
      <c r="AJ11" s="53">
        <f>IF(OR($F11="",$G11=""),"",IF(AND(AJ$5&lt;=$G11,AJ$5+6&gt;=$F11),IF($H11="Complétée","F",IF(OR($H11="En cours",$H11="En revue"),"E",IF($H11="Bloquée","B","P"))),""))</f>
        <v/>
      </c>
      <c r="AK11" s="53">
        <f>IF(OR($F11="",$G11=""),"",IF(AND(AK$5&lt;=$G11,AK$5+6&gt;=$F11),IF($H11="Complétée","F",IF(OR($H11="En cours",$H11="En revue"),"E",IF($H11="Bloquée","B","P"))),""))</f>
        <v/>
      </c>
      <c r="AL11" s="53">
        <f>IF(OR($F11="",$G11=""),"",IF(AND(AL$5&lt;=$G11,AL$5+6&gt;=$F11),IF($H11="Complétée","F",IF(OR($H11="En cours",$H11="En revue"),"E",IF($H11="Bloquée","B","P"))),""))</f>
        <v/>
      </c>
      <c r="AM11" s="53">
        <f>IF(OR($F11="",$G11=""),"",IF(AND(AM$5&lt;=$G11,AM$5+6&gt;=$F11),IF($H11="Complétée","F",IF(OR($H11="En cours",$H11="En revue"),"E",IF($H11="Bloquée","B","P"))),""))</f>
        <v/>
      </c>
      <c r="AN11" s="53">
        <f>IF(OR($F11="",$G11=""),"",IF(AND(AN$5&lt;=$G11,AN$5+6&gt;=$F11),IF($H11="Complétée","F",IF(OR($H11="En cours",$H11="En revue"),"E",IF($H11="Bloquée","B","P"))),""))</f>
        <v/>
      </c>
      <c r="AO11" s="53">
        <f>IF(OR($F11="",$G11=""),"",IF(AND(AO$5&lt;=$G11,AO$5+6&gt;=$F11),IF($H11="Complétée","F",IF(OR($H11="En cours",$H11="En revue"),"E",IF($H11="Bloquée","B","P"))),""))</f>
        <v/>
      </c>
      <c r="AP11" s="53">
        <f>IF(OR($F11="",$G11=""),"",IF(AND(AP$5&lt;=$G11,AP$5+6&gt;=$F11),IF($H11="Complétée","F",IF(OR($H11="En cours",$H11="En revue"),"E",IF($H11="Bloquée","B","P"))),""))</f>
        <v/>
      </c>
      <c r="AQ11" s="53">
        <f>IF(OR($F11="",$G11=""),"",IF(AND(AQ$5&lt;=$G11,AQ$5+6&gt;=$F11),IF($H11="Complétée","F",IF(OR($H11="En cours",$H11="En revue"),"E",IF($H11="Bloquée","B","P"))),""))</f>
        <v/>
      </c>
      <c r="AR11" s="53">
        <f>IF(OR($F11="",$G11=""),"",IF(AND(AR$5&lt;=$G11,AR$5+6&gt;=$F11),IF($H11="Complétée","F",IF(OR($H11="En cours",$H11="En revue"),"E",IF($H11="Bloquée","B","P"))),""))</f>
        <v/>
      </c>
      <c r="AS11" s="53">
        <f>IF(OR($F11="",$G11=""),"",IF(AND(AS$5&lt;=$G11,AS$5+6&gt;=$F11),IF($H11="Complétée","F",IF(OR($H11="En cours",$H11="En revue"),"E",IF($H11="Bloquée","B","P"))),""))</f>
        <v/>
      </c>
      <c r="AT11" s="53">
        <f>IF(OR($F11="",$G11=""),"",IF(AND(AT$5&lt;=$G11,AT$5+6&gt;=$F11),IF($H11="Complétée","F",IF(OR($H11="En cours",$H11="En revue"),"E",IF($H11="Bloquée","B","P"))),""))</f>
        <v/>
      </c>
      <c r="AU11" s="53">
        <f>IF(OR($F11="",$G11=""),"",IF(AND(AU$5&lt;=$G11,AU$5+6&gt;=$F11),IF($H11="Complétée","F",IF(OR($H11="En cours",$H11="En revue"),"E",IF($H11="Bloquée","B","P"))),""))</f>
        <v/>
      </c>
      <c r="AV11" s="53">
        <f>IF(OR($F11="",$G11=""),"",IF(AND(AV$5&lt;=$G11,AV$5+6&gt;=$F11),IF($H11="Complétée","F",IF(OR($H11="En cours",$H11="En revue"),"E",IF($H11="Bloquée","B","P"))),""))</f>
        <v/>
      </c>
      <c r="AW11" s="53">
        <f>IF(OR($F11="",$G11=""),"",IF(AND(AW$5&lt;=$G11,AW$5+6&gt;=$F11),IF($H11="Complétée","F",IF(OR($H11="En cours",$H11="En revue"),"E",IF($H11="Bloquée","B","P"))),""))</f>
        <v/>
      </c>
    </row>
    <row r="12">
      <c r="B12" s="50">
        <f>IF(Taches!B12="","",Taches!B12)</f>
        <v/>
      </c>
      <c r="C12" s="51">
        <f>IF(Taches!B12="","",Taches!F12)</f>
        <v/>
      </c>
      <c r="D12" s="50">
        <f>IF(Taches!B12="","",Taches!C12)</f>
        <v/>
      </c>
      <c r="E12" s="50">
        <f>IF(Taches!B12="","",Taches!D12)</f>
        <v/>
      </c>
      <c r="F12" s="52">
        <f>IF(Taches!P12="","",Taches!P12)</f>
        <v/>
      </c>
      <c r="G12" s="52">
        <f>IF(Taches!Q12="","",Taches!Q12)</f>
        <v/>
      </c>
      <c r="H12" s="50">
        <f>IF(Taches!B12="","",Taches!J12)</f>
        <v/>
      </c>
      <c r="I12" s="53">
        <f>IF(OR($F12="",$G12=""),"",IF(AND(I$5&lt;=$G12,I$5+6&gt;=$F12),IF($H12="Complétée","F",IF(OR($H12="En cours",$H12="En revue"),"E",IF($H12="Bloquée","B","P"))),""))</f>
        <v/>
      </c>
      <c r="J12" s="53">
        <f>IF(OR($F12="",$G12=""),"",IF(AND(J$5&lt;=$G12,J$5+6&gt;=$F12),IF($H12="Complétée","F",IF(OR($H12="En cours",$H12="En revue"),"E",IF($H12="Bloquée","B","P"))),""))</f>
        <v/>
      </c>
      <c r="K12" s="53">
        <f>IF(OR($F12="",$G12=""),"",IF(AND(K$5&lt;=$G12,K$5+6&gt;=$F12),IF($H12="Complétée","F",IF(OR($H12="En cours",$H12="En revue"),"E",IF($H12="Bloquée","B","P"))),""))</f>
        <v/>
      </c>
      <c r="L12" s="53">
        <f>IF(OR($F12="",$G12=""),"",IF(AND(L$5&lt;=$G12,L$5+6&gt;=$F12),IF($H12="Complétée","F",IF(OR($H12="En cours",$H12="En revue"),"E",IF($H12="Bloquée","B","P"))),""))</f>
        <v/>
      </c>
      <c r="M12" s="53">
        <f>IF(OR($F12="",$G12=""),"",IF(AND(M$5&lt;=$G12,M$5+6&gt;=$F12),IF($H12="Complétée","F",IF(OR($H12="En cours",$H12="En revue"),"E",IF($H12="Bloquée","B","P"))),""))</f>
        <v/>
      </c>
      <c r="N12" s="53">
        <f>IF(OR($F12="",$G12=""),"",IF(AND(N$5&lt;=$G12,N$5+6&gt;=$F12),IF($H12="Complétée","F",IF(OR($H12="En cours",$H12="En revue"),"E",IF($H12="Bloquée","B","P"))),""))</f>
        <v/>
      </c>
      <c r="O12" s="53">
        <f>IF(OR($F12="",$G12=""),"",IF(AND(O$5&lt;=$G12,O$5+6&gt;=$F12),IF($H12="Complétée","F",IF(OR($H12="En cours",$H12="En revue"),"E",IF($H12="Bloquée","B","P"))),""))</f>
        <v/>
      </c>
      <c r="P12" s="53">
        <f>IF(OR($F12="",$G12=""),"",IF(AND(P$5&lt;=$G12,P$5+6&gt;=$F12),IF($H12="Complétée","F",IF(OR($H12="En cours",$H12="En revue"),"E",IF($H12="Bloquée","B","P"))),""))</f>
        <v/>
      </c>
      <c r="Q12" s="53">
        <f>IF(OR($F12="",$G12=""),"",IF(AND(Q$5&lt;=$G12,Q$5+6&gt;=$F12),IF($H12="Complétée","F",IF(OR($H12="En cours",$H12="En revue"),"E",IF($H12="Bloquée","B","P"))),""))</f>
        <v/>
      </c>
      <c r="R12" s="53">
        <f>IF(OR($F12="",$G12=""),"",IF(AND(R$5&lt;=$G12,R$5+6&gt;=$F12),IF($H12="Complétée","F",IF(OR($H12="En cours",$H12="En revue"),"E",IF($H12="Bloquée","B","P"))),""))</f>
        <v/>
      </c>
      <c r="S12" s="53">
        <f>IF(OR($F12="",$G12=""),"",IF(AND(S$5&lt;=$G12,S$5+6&gt;=$F12),IF($H12="Complétée","F",IF(OR($H12="En cours",$H12="En revue"),"E",IF($H12="Bloquée","B","P"))),""))</f>
        <v/>
      </c>
      <c r="T12" s="53">
        <f>IF(OR($F12="",$G12=""),"",IF(AND(T$5&lt;=$G12,T$5+6&gt;=$F12),IF($H12="Complétée","F",IF(OR($H12="En cours",$H12="En revue"),"E",IF($H12="Bloquée","B","P"))),""))</f>
        <v/>
      </c>
      <c r="U12" s="53">
        <f>IF(OR($F12="",$G12=""),"",IF(AND(U$5&lt;=$G12,U$5+6&gt;=$F12),IF($H12="Complétée","F",IF(OR($H12="En cours",$H12="En revue"),"E",IF($H12="Bloquée","B","P"))),""))</f>
        <v/>
      </c>
      <c r="V12" s="53">
        <f>IF(OR($F12="",$G12=""),"",IF(AND(V$5&lt;=$G12,V$5+6&gt;=$F12),IF($H12="Complétée","F",IF(OR($H12="En cours",$H12="En revue"),"E",IF($H12="Bloquée","B","P"))),""))</f>
        <v/>
      </c>
      <c r="W12" s="53">
        <f>IF(OR($F12="",$G12=""),"",IF(AND(W$5&lt;=$G12,W$5+6&gt;=$F12),IF($H12="Complétée","F",IF(OR($H12="En cours",$H12="En revue"),"E",IF($H12="Bloquée","B","P"))),""))</f>
        <v/>
      </c>
      <c r="X12" s="53">
        <f>IF(OR($F12="",$G12=""),"",IF(AND(X$5&lt;=$G12,X$5+6&gt;=$F12),IF($H12="Complétée","F",IF(OR($H12="En cours",$H12="En revue"),"E",IF($H12="Bloquée","B","P"))),""))</f>
        <v/>
      </c>
      <c r="Y12" s="53">
        <f>IF(OR($F12="",$G12=""),"",IF(AND(Y$5&lt;=$G12,Y$5+6&gt;=$F12),IF($H12="Complétée","F",IF(OR($H12="En cours",$H12="En revue"),"E",IF($H12="Bloquée","B","P"))),""))</f>
        <v/>
      </c>
      <c r="Z12" s="53">
        <f>IF(OR($F12="",$G12=""),"",IF(AND(Z$5&lt;=$G12,Z$5+6&gt;=$F12),IF($H12="Complétée","F",IF(OR($H12="En cours",$H12="En revue"),"E",IF($H12="Bloquée","B","P"))),""))</f>
        <v/>
      </c>
      <c r="AA12" s="53">
        <f>IF(OR($F12="",$G12=""),"",IF(AND(AA$5&lt;=$G12,AA$5+6&gt;=$F12),IF($H12="Complétée","F",IF(OR($H12="En cours",$H12="En revue"),"E",IF($H12="Bloquée","B","P"))),""))</f>
        <v/>
      </c>
      <c r="AB12" s="53">
        <f>IF(OR($F12="",$G12=""),"",IF(AND(AB$5&lt;=$G12,AB$5+6&gt;=$F12),IF($H12="Complétée","F",IF(OR($H12="En cours",$H12="En revue"),"E",IF($H12="Bloquée","B","P"))),""))</f>
        <v/>
      </c>
      <c r="AC12" s="53">
        <f>IF(OR($F12="",$G12=""),"",IF(AND(AC$5&lt;=$G12,AC$5+6&gt;=$F12),IF($H12="Complétée","F",IF(OR($H12="En cours",$H12="En revue"),"E",IF($H12="Bloquée","B","P"))),""))</f>
        <v/>
      </c>
      <c r="AD12" s="53">
        <f>IF(OR($F12="",$G12=""),"",IF(AND(AD$5&lt;=$G12,AD$5+6&gt;=$F12),IF($H12="Complétée","F",IF(OR($H12="En cours",$H12="En revue"),"E",IF($H12="Bloquée","B","P"))),""))</f>
        <v/>
      </c>
      <c r="AE12" s="53">
        <f>IF(OR($F12="",$G12=""),"",IF(AND(AE$5&lt;=$G12,AE$5+6&gt;=$F12),IF($H12="Complétée","F",IF(OR($H12="En cours",$H12="En revue"),"E",IF($H12="Bloquée","B","P"))),""))</f>
        <v/>
      </c>
      <c r="AF12" s="53">
        <f>IF(OR($F12="",$G12=""),"",IF(AND(AF$5&lt;=$G12,AF$5+6&gt;=$F12),IF($H12="Complétée","F",IF(OR($H12="En cours",$H12="En revue"),"E",IF($H12="Bloquée","B","P"))),""))</f>
        <v/>
      </c>
      <c r="AG12" s="53">
        <f>IF(OR($F12="",$G12=""),"",IF(AND(AG$5&lt;=$G12,AG$5+6&gt;=$F12),IF($H12="Complétée","F",IF(OR($H12="En cours",$H12="En revue"),"E",IF($H12="Bloquée","B","P"))),""))</f>
        <v/>
      </c>
      <c r="AH12" s="53">
        <f>IF(OR($F12="",$G12=""),"",IF(AND(AH$5&lt;=$G12,AH$5+6&gt;=$F12),IF($H12="Complétée","F",IF(OR($H12="En cours",$H12="En revue"),"E",IF($H12="Bloquée","B","P"))),""))</f>
        <v/>
      </c>
      <c r="AI12" s="53">
        <f>IF(OR($F12="",$G12=""),"",IF(AND(AI$5&lt;=$G12,AI$5+6&gt;=$F12),IF($H12="Complétée","F",IF(OR($H12="En cours",$H12="En revue"),"E",IF($H12="Bloquée","B","P"))),""))</f>
        <v/>
      </c>
      <c r="AJ12" s="53">
        <f>IF(OR($F12="",$G12=""),"",IF(AND(AJ$5&lt;=$G12,AJ$5+6&gt;=$F12),IF($H12="Complétée","F",IF(OR($H12="En cours",$H12="En revue"),"E",IF($H12="Bloquée","B","P"))),""))</f>
        <v/>
      </c>
      <c r="AK12" s="53">
        <f>IF(OR($F12="",$G12=""),"",IF(AND(AK$5&lt;=$G12,AK$5+6&gt;=$F12),IF($H12="Complétée","F",IF(OR($H12="En cours",$H12="En revue"),"E",IF($H12="Bloquée","B","P"))),""))</f>
        <v/>
      </c>
      <c r="AL12" s="53">
        <f>IF(OR($F12="",$G12=""),"",IF(AND(AL$5&lt;=$G12,AL$5+6&gt;=$F12),IF($H12="Complétée","F",IF(OR($H12="En cours",$H12="En revue"),"E",IF($H12="Bloquée","B","P"))),""))</f>
        <v/>
      </c>
      <c r="AM12" s="53">
        <f>IF(OR($F12="",$G12=""),"",IF(AND(AM$5&lt;=$G12,AM$5+6&gt;=$F12),IF($H12="Complétée","F",IF(OR($H12="En cours",$H12="En revue"),"E",IF($H12="Bloquée","B","P"))),""))</f>
        <v/>
      </c>
      <c r="AN12" s="53">
        <f>IF(OR($F12="",$G12=""),"",IF(AND(AN$5&lt;=$G12,AN$5+6&gt;=$F12),IF($H12="Complétée","F",IF(OR($H12="En cours",$H12="En revue"),"E",IF($H12="Bloquée","B","P"))),""))</f>
        <v/>
      </c>
      <c r="AO12" s="53">
        <f>IF(OR($F12="",$G12=""),"",IF(AND(AO$5&lt;=$G12,AO$5+6&gt;=$F12),IF($H12="Complétée","F",IF(OR($H12="En cours",$H12="En revue"),"E",IF($H12="Bloquée","B","P"))),""))</f>
        <v/>
      </c>
      <c r="AP12" s="53">
        <f>IF(OR($F12="",$G12=""),"",IF(AND(AP$5&lt;=$G12,AP$5+6&gt;=$F12),IF($H12="Complétée","F",IF(OR($H12="En cours",$H12="En revue"),"E",IF($H12="Bloquée","B","P"))),""))</f>
        <v/>
      </c>
      <c r="AQ12" s="53">
        <f>IF(OR($F12="",$G12=""),"",IF(AND(AQ$5&lt;=$G12,AQ$5+6&gt;=$F12),IF($H12="Complétée","F",IF(OR($H12="En cours",$H12="En revue"),"E",IF($H12="Bloquée","B","P"))),""))</f>
        <v/>
      </c>
      <c r="AR12" s="53">
        <f>IF(OR($F12="",$G12=""),"",IF(AND(AR$5&lt;=$G12,AR$5+6&gt;=$F12),IF($H12="Complétée","F",IF(OR($H12="En cours",$H12="En revue"),"E",IF($H12="Bloquée","B","P"))),""))</f>
        <v/>
      </c>
      <c r="AS12" s="53">
        <f>IF(OR($F12="",$G12=""),"",IF(AND(AS$5&lt;=$G12,AS$5+6&gt;=$F12),IF($H12="Complétée","F",IF(OR($H12="En cours",$H12="En revue"),"E",IF($H12="Bloquée","B","P"))),""))</f>
        <v/>
      </c>
      <c r="AT12" s="53">
        <f>IF(OR($F12="",$G12=""),"",IF(AND(AT$5&lt;=$G12,AT$5+6&gt;=$F12),IF($H12="Complétée","F",IF(OR($H12="En cours",$H12="En revue"),"E",IF($H12="Bloquée","B","P"))),""))</f>
        <v/>
      </c>
      <c r="AU12" s="53">
        <f>IF(OR($F12="",$G12=""),"",IF(AND(AU$5&lt;=$G12,AU$5+6&gt;=$F12),IF($H12="Complétée","F",IF(OR($H12="En cours",$H12="En revue"),"E",IF($H12="Bloquée","B","P"))),""))</f>
        <v/>
      </c>
      <c r="AV12" s="53">
        <f>IF(OR($F12="",$G12=""),"",IF(AND(AV$5&lt;=$G12,AV$5+6&gt;=$F12),IF($H12="Complétée","F",IF(OR($H12="En cours",$H12="En revue"),"E",IF($H12="Bloquée","B","P"))),""))</f>
        <v/>
      </c>
      <c r="AW12" s="53">
        <f>IF(OR($F12="",$G12=""),"",IF(AND(AW$5&lt;=$G12,AW$5+6&gt;=$F12),IF($H12="Complétée","F",IF(OR($H12="En cours",$H12="En revue"),"E",IF($H12="Bloquée","B","P"))),""))</f>
        <v/>
      </c>
    </row>
    <row r="13">
      <c r="B13" s="50">
        <f>IF(Taches!B13="","",Taches!B13)</f>
        <v/>
      </c>
      <c r="C13" s="51">
        <f>IF(Taches!B13="","",Taches!F13)</f>
        <v/>
      </c>
      <c r="D13" s="50">
        <f>IF(Taches!B13="","",Taches!C13)</f>
        <v/>
      </c>
      <c r="E13" s="50">
        <f>IF(Taches!B13="","",Taches!D13)</f>
        <v/>
      </c>
      <c r="F13" s="52">
        <f>IF(Taches!P13="","",Taches!P13)</f>
        <v/>
      </c>
      <c r="G13" s="52">
        <f>IF(Taches!Q13="","",Taches!Q13)</f>
        <v/>
      </c>
      <c r="H13" s="50">
        <f>IF(Taches!B13="","",Taches!J13)</f>
        <v/>
      </c>
      <c r="I13" s="53">
        <f>IF(OR($F13="",$G13=""),"",IF(AND(I$5&lt;=$G13,I$5+6&gt;=$F13),IF($H13="Complétée","F",IF(OR($H13="En cours",$H13="En revue"),"E",IF($H13="Bloquée","B","P"))),""))</f>
        <v/>
      </c>
      <c r="J13" s="53">
        <f>IF(OR($F13="",$G13=""),"",IF(AND(J$5&lt;=$G13,J$5+6&gt;=$F13),IF($H13="Complétée","F",IF(OR($H13="En cours",$H13="En revue"),"E",IF($H13="Bloquée","B","P"))),""))</f>
        <v/>
      </c>
      <c r="K13" s="53">
        <f>IF(OR($F13="",$G13=""),"",IF(AND(K$5&lt;=$G13,K$5+6&gt;=$F13),IF($H13="Complétée","F",IF(OR($H13="En cours",$H13="En revue"),"E",IF($H13="Bloquée","B","P"))),""))</f>
        <v/>
      </c>
      <c r="L13" s="53">
        <f>IF(OR($F13="",$G13=""),"",IF(AND(L$5&lt;=$G13,L$5+6&gt;=$F13),IF($H13="Complétée","F",IF(OR($H13="En cours",$H13="En revue"),"E",IF($H13="Bloquée","B","P"))),""))</f>
        <v/>
      </c>
      <c r="M13" s="53">
        <f>IF(OR($F13="",$G13=""),"",IF(AND(M$5&lt;=$G13,M$5+6&gt;=$F13),IF($H13="Complétée","F",IF(OR($H13="En cours",$H13="En revue"),"E",IF($H13="Bloquée","B","P"))),""))</f>
        <v/>
      </c>
      <c r="N13" s="53">
        <f>IF(OR($F13="",$G13=""),"",IF(AND(N$5&lt;=$G13,N$5+6&gt;=$F13),IF($H13="Complétée","F",IF(OR($H13="En cours",$H13="En revue"),"E",IF($H13="Bloquée","B","P"))),""))</f>
        <v/>
      </c>
      <c r="O13" s="53">
        <f>IF(OR($F13="",$G13=""),"",IF(AND(O$5&lt;=$G13,O$5+6&gt;=$F13),IF($H13="Complétée","F",IF(OR($H13="En cours",$H13="En revue"),"E",IF($H13="Bloquée","B","P"))),""))</f>
        <v/>
      </c>
      <c r="P13" s="53">
        <f>IF(OR($F13="",$G13=""),"",IF(AND(P$5&lt;=$G13,P$5+6&gt;=$F13),IF($H13="Complétée","F",IF(OR($H13="En cours",$H13="En revue"),"E",IF($H13="Bloquée","B","P"))),""))</f>
        <v/>
      </c>
      <c r="Q13" s="53">
        <f>IF(OR($F13="",$G13=""),"",IF(AND(Q$5&lt;=$G13,Q$5+6&gt;=$F13),IF($H13="Complétée","F",IF(OR($H13="En cours",$H13="En revue"),"E",IF($H13="Bloquée","B","P"))),""))</f>
        <v/>
      </c>
      <c r="R13" s="53">
        <f>IF(OR($F13="",$G13=""),"",IF(AND(R$5&lt;=$G13,R$5+6&gt;=$F13),IF($H13="Complétée","F",IF(OR($H13="En cours",$H13="En revue"),"E",IF($H13="Bloquée","B","P"))),""))</f>
        <v/>
      </c>
      <c r="S13" s="53">
        <f>IF(OR($F13="",$G13=""),"",IF(AND(S$5&lt;=$G13,S$5+6&gt;=$F13),IF($H13="Complétée","F",IF(OR($H13="En cours",$H13="En revue"),"E",IF($H13="Bloquée","B","P"))),""))</f>
        <v/>
      </c>
      <c r="T13" s="53">
        <f>IF(OR($F13="",$G13=""),"",IF(AND(T$5&lt;=$G13,T$5+6&gt;=$F13),IF($H13="Complétée","F",IF(OR($H13="En cours",$H13="En revue"),"E",IF($H13="Bloquée","B","P"))),""))</f>
        <v/>
      </c>
      <c r="U13" s="53">
        <f>IF(OR($F13="",$G13=""),"",IF(AND(U$5&lt;=$G13,U$5+6&gt;=$F13),IF($H13="Complétée","F",IF(OR($H13="En cours",$H13="En revue"),"E",IF($H13="Bloquée","B","P"))),""))</f>
        <v/>
      </c>
      <c r="V13" s="53">
        <f>IF(OR($F13="",$G13=""),"",IF(AND(V$5&lt;=$G13,V$5+6&gt;=$F13),IF($H13="Complétée","F",IF(OR($H13="En cours",$H13="En revue"),"E",IF($H13="Bloquée","B","P"))),""))</f>
        <v/>
      </c>
      <c r="W13" s="53">
        <f>IF(OR($F13="",$G13=""),"",IF(AND(W$5&lt;=$G13,W$5+6&gt;=$F13),IF($H13="Complétée","F",IF(OR($H13="En cours",$H13="En revue"),"E",IF($H13="Bloquée","B","P"))),""))</f>
        <v/>
      </c>
      <c r="X13" s="53">
        <f>IF(OR($F13="",$G13=""),"",IF(AND(X$5&lt;=$G13,X$5+6&gt;=$F13),IF($H13="Complétée","F",IF(OR($H13="En cours",$H13="En revue"),"E",IF($H13="Bloquée","B","P"))),""))</f>
        <v/>
      </c>
      <c r="Y13" s="53">
        <f>IF(OR($F13="",$G13=""),"",IF(AND(Y$5&lt;=$G13,Y$5+6&gt;=$F13),IF($H13="Complétée","F",IF(OR($H13="En cours",$H13="En revue"),"E",IF($H13="Bloquée","B","P"))),""))</f>
        <v/>
      </c>
      <c r="Z13" s="53">
        <f>IF(OR($F13="",$G13=""),"",IF(AND(Z$5&lt;=$G13,Z$5+6&gt;=$F13),IF($H13="Complétée","F",IF(OR($H13="En cours",$H13="En revue"),"E",IF($H13="Bloquée","B","P"))),""))</f>
        <v/>
      </c>
      <c r="AA13" s="53">
        <f>IF(OR($F13="",$G13=""),"",IF(AND(AA$5&lt;=$G13,AA$5+6&gt;=$F13),IF($H13="Complétée","F",IF(OR($H13="En cours",$H13="En revue"),"E",IF($H13="Bloquée","B","P"))),""))</f>
        <v/>
      </c>
      <c r="AB13" s="53">
        <f>IF(OR($F13="",$G13=""),"",IF(AND(AB$5&lt;=$G13,AB$5+6&gt;=$F13),IF($H13="Complétée","F",IF(OR($H13="En cours",$H13="En revue"),"E",IF($H13="Bloquée","B","P"))),""))</f>
        <v/>
      </c>
      <c r="AC13" s="53">
        <f>IF(OR($F13="",$G13=""),"",IF(AND(AC$5&lt;=$G13,AC$5+6&gt;=$F13),IF($H13="Complétée","F",IF(OR($H13="En cours",$H13="En revue"),"E",IF($H13="Bloquée","B","P"))),""))</f>
        <v/>
      </c>
      <c r="AD13" s="53">
        <f>IF(OR($F13="",$G13=""),"",IF(AND(AD$5&lt;=$G13,AD$5+6&gt;=$F13),IF($H13="Complétée","F",IF(OR($H13="En cours",$H13="En revue"),"E",IF($H13="Bloquée","B","P"))),""))</f>
        <v/>
      </c>
      <c r="AE13" s="53">
        <f>IF(OR($F13="",$G13=""),"",IF(AND(AE$5&lt;=$G13,AE$5+6&gt;=$F13),IF($H13="Complétée","F",IF(OR($H13="En cours",$H13="En revue"),"E",IF($H13="Bloquée","B","P"))),""))</f>
        <v/>
      </c>
      <c r="AF13" s="53">
        <f>IF(OR($F13="",$G13=""),"",IF(AND(AF$5&lt;=$G13,AF$5+6&gt;=$F13),IF($H13="Complétée","F",IF(OR($H13="En cours",$H13="En revue"),"E",IF($H13="Bloquée","B","P"))),""))</f>
        <v/>
      </c>
      <c r="AG13" s="53">
        <f>IF(OR($F13="",$G13=""),"",IF(AND(AG$5&lt;=$G13,AG$5+6&gt;=$F13),IF($H13="Complétée","F",IF(OR($H13="En cours",$H13="En revue"),"E",IF($H13="Bloquée","B","P"))),""))</f>
        <v/>
      </c>
      <c r="AH13" s="53">
        <f>IF(OR($F13="",$G13=""),"",IF(AND(AH$5&lt;=$G13,AH$5+6&gt;=$F13),IF($H13="Complétée","F",IF(OR($H13="En cours",$H13="En revue"),"E",IF($H13="Bloquée","B","P"))),""))</f>
        <v/>
      </c>
      <c r="AI13" s="53">
        <f>IF(OR($F13="",$G13=""),"",IF(AND(AI$5&lt;=$G13,AI$5+6&gt;=$F13),IF($H13="Complétée","F",IF(OR($H13="En cours",$H13="En revue"),"E",IF($H13="Bloquée","B","P"))),""))</f>
        <v/>
      </c>
      <c r="AJ13" s="53">
        <f>IF(OR($F13="",$G13=""),"",IF(AND(AJ$5&lt;=$G13,AJ$5+6&gt;=$F13),IF($H13="Complétée","F",IF(OR($H13="En cours",$H13="En revue"),"E",IF($H13="Bloquée","B","P"))),""))</f>
        <v/>
      </c>
      <c r="AK13" s="53">
        <f>IF(OR($F13="",$G13=""),"",IF(AND(AK$5&lt;=$G13,AK$5+6&gt;=$F13),IF($H13="Complétée","F",IF(OR($H13="En cours",$H13="En revue"),"E",IF($H13="Bloquée","B","P"))),""))</f>
        <v/>
      </c>
      <c r="AL13" s="53">
        <f>IF(OR($F13="",$G13=""),"",IF(AND(AL$5&lt;=$G13,AL$5+6&gt;=$F13),IF($H13="Complétée","F",IF(OR($H13="En cours",$H13="En revue"),"E",IF($H13="Bloquée","B","P"))),""))</f>
        <v/>
      </c>
      <c r="AM13" s="53">
        <f>IF(OR($F13="",$G13=""),"",IF(AND(AM$5&lt;=$G13,AM$5+6&gt;=$F13),IF($H13="Complétée","F",IF(OR($H13="En cours",$H13="En revue"),"E",IF($H13="Bloquée","B","P"))),""))</f>
        <v/>
      </c>
      <c r="AN13" s="53">
        <f>IF(OR($F13="",$G13=""),"",IF(AND(AN$5&lt;=$G13,AN$5+6&gt;=$F13),IF($H13="Complétée","F",IF(OR($H13="En cours",$H13="En revue"),"E",IF($H13="Bloquée","B","P"))),""))</f>
        <v/>
      </c>
      <c r="AO13" s="53">
        <f>IF(OR($F13="",$G13=""),"",IF(AND(AO$5&lt;=$G13,AO$5+6&gt;=$F13),IF($H13="Complétée","F",IF(OR($H13="En cours",$H13="En revue"),"E",IF($H13="Bloquée","B","P"))),""))</f>
        <v/>
      </c>
      <c r="AP13" s="53">
        <f>IF(OR($F13="",$G13=""),"",IF(AND(AP$5&lt;=$G13,AP$5+6&gt;=$F13),IF($H13="Complétée","F",IF(OR($H13="En cours",$H13="En revue"),"E",IF($H13="Bloquée","B","P"))),""))</f>
        <v/>
      </c>
      <c r="AQ13" s="53">
        <f>IF(OR($F13="",$G13=""),"",IF(AND(AQ$5&lt;=$G13,AQ$5+6&gt;=$F13),IF($H13="Complétée","F",IF(OR($H13="En cours",$H13="En revue"),"E",IF($H13="Bloquée","B","P"))),""))</f>
        <v/>
      </c>
      <c r="AR13" s="53">
        <f>IF(OR($F13="",$G13=""),"",IF(AND(AR$5&lt;=$G13,AR$5+6&gt;=$F13),IF($H13="Complétée","F",IF(OR($H13="En cours",$H13="En revue"),"E",IF($H13="Bloquée","B","P"))),""))</f>
        <v/>
      </c>
      <c r="AS13" s="53">
        <f>IF(OR($F13="",$G13=""),"",IF(AND(AS$5&lt;=$G13,AS$5+6&gt;=$F13),IF($H13="Complétée","F",IF(OR($H13="En cours",$H13="En revue"),"E",IF($H13="Bloquée","B","P"))),""))</f>
        <v/>
      </c>
      <c r="AT13" s="53">
        <f>IF(OR($F13="",$G13=""),"",IF(AND(AT$5&lt;=$G13,AT$5+6&gt;=$F13),IF($H13="Complétée","F",IF(OR($H13="En cours",$H13="En revue"),"E",IF($H13="Bloquée","B","P"))),""))</f>
        <v/>
      </c>
      <c r="AU13" s="53">
        <f>IF(OR($F13="",$G13=""),"",IF(AND(AU$5&lt;=$G13,AU$5+6&gt;=$F13),IF($H13="Complétée","F",IF(OR($H13="En cours",$H13="En revue"),"E",IF($H13="Bloquée","B","P"))),""))</f>
        <v/>
      </c>
      <c r="AV13" s="53">
        <f>IF(OR($F13="",$G13=""),"",IF(AND(AV$5&lt;=$G13,AV$5+6&gt;=$F13),IF($H13="Complétée","F",IF(OR($H13="En cours",$H13="En revue"),"E",IF($H13="Bloquée","B","P"))),""))</f>
        <v/>
      </c>
      <c r="AW13" s="53">
        <f>IF(OR($F13="",$G13=""),"",IF(AND(AW$5&lt;=$G13,AW$5+6&gt;=$F13),IF($H13="Complétée","F",IF(OR($H13="En cours",$H13="En revue"),"E",IF($H13="Bloquée","B","P"))),""))</f>
        <v/>
      </c>
    </row>
    <row r="14">
      <c r="B14" s="50">
        <f>IF(Taches!B14="","",Taches!B14)</f>
        <v/>
      </c>
      <c r="C14" s="51">
        <f>IF(Taches!B14="","",Taches!F14)</f>
        <v/>
      </c>
      <c r="D14" s="50">
        <f>IF(Taches!B14="","",Taches!C14)</f>
        <v/>
      </c>
      <c r="E14" s="50">
        <f>IF(Taches!B14="","",Taches!D14)</f>
        <v/>
      </c>
      <c r="F14" s="52">
        <f>IF(Taches!P14="","",Taches!P14)</f>
        <v/>
      </c>
      <c r="G14" s="52">
        <f>IF(Taches!Q14="","",Taches!Q14)</f>
        <v/>
      </c>
      <c r="H14" s="50">
        <f>IF(Taches!B14="","",Taches!J14)</f>
        <v/>
      </c>
      <c r="I14" s="53">
        <f>IF(OR($F14="",$G14=""),"",IF(AND(I$5&lt;=$G14,I$5+6&gt;=$F14),IF($H14="Complétée","F",IF(OR($H14="En cours",$H14="En revue"),"E",IF($H14="Bloquée","B","P"))),""))</f>
        <v/>
      </c>
      <c r="J14" s="53">
        <f>IF(OR($F14="",$G14=""),"",IF(AND(J$5&lt;=$G14,J$5+6&gt;=$F14),IF($H14="Complétée","F",IF(OR($H14="En cours",$H14="En revue"),"E",IF($H14="Bloquée","B","P"))),""))</f>
        <v/>
      </c>
      <c r="K14" s="53">
        <f>IF(OR($F14="",$G14=""),"",IF(AND(K$5&lt;=$G14,K$5+6&gt;=$F14),IF($H14="Complétée","F",IF(OR($H14="En cours",$H14="En revue"),"E",IF($H14="Bloquée","B","P"))),""))</f>
        <v/>
      </c>
      <c r="L14" s="53">
        <f>IF(OR($F14="",$G14=""),"",IF(AND(L$5&lt;=$G14,L$5+6&gt;=$F14),IF($H14="Complétée","F",IF(OR($H14="En cours",$H14="En revue"),"E",IF($H14="Bloquée","B","P"))),""))</f>
        <v/>
      </c>
      <c r="M14" s="53">
        <f>IF(OR($F14="",$G14=""),"",IF(AND(M$5&lt;=$G14,M$5+6&gt;=$F14),IF($H14="Complétée","F",IF(OR($H14="En cours",$H14="En revue"),"E",IF($H14="Bloquée","B","P"))),""))</f>
        <v/>
      </c>
      <c r="N14" s="53">
        <f>IF(OR($F14="",$G14=""),"",IF(AND(N$5&lt;=$G14,N$5+6&gt;=$F14),IF($H14="Complétée","F",IF(OR($H14="En cours",$H14="En revue"),"E",IF($H14="Bloquée","B","P"))),""))</f>
        <v/>
      </c>
      <c r="O14" s="53">
        <f>IF(OR($F14="",$G14=""),"",IF(AND(O$5&lt;=$G14,O$5+6&gt;=$F14),IF($H14="Complétée","F",IF(OR($H14="En cours",$H14="En revue"),"E",IF($H14="Bloquée","B","P"))),""))</f>
        <v/>
      </c>
      <c r="P14" s="53">
        <f>IF(OR($F14="",$G14=""),"",IF(AND(P$5&lt;=$G14,P$5+6&gt;=$F14),IF($H14="Complétée","F",IF(OR($H14="En cours",$H14="En revue"),"E",IF($H14="Bloquée","B","P"))),""))</f>
        <v/>
      </c>
      <c r="Q14" s="53">
        <f>IF(OR($F14="",$G14=""),"",IF(AND(Q$5&lt;=$G14,Q$5+6&gt;=$F14),IF($H14="Complétée","F",IF(OR($H14="En cours",$H14="En revue"),"E",IF($H14="Bloquée","B","P"))),""))</f>
        <v/>
      </c>
      <c r="R14" s="53">
        <f>IF(OR($F14="",$G14=""),"",IF(AND(R$5&lt;=$G14,R$5+6&gt;=$F14),IF($H14="Complétée","F",IF(OR($H14="En cours",$H14="En revue"),"E",IF($H14="Bloquée","B","P"))),""))</f>
        <v/>
      </c>
      <c r="S14" s="53">
        <f>IF(OR($F14="",$G14=""),"",IF(AND(S$5&lt;=$G14,S$5+6&gt;=$F14),IF($H14="Complétée","F",IF(OR($H14="En cours",$H14="En revue"),"E",IF($H14="Bloquée","B","P"))),""))</f>
        <v/>
      </c>
      <c r="T14" s="53">
        <f>IF(OR($F14="",$G14=""),"",IF(AND(T$5&lt;=$G14,T$5+6&gt;=$F14),IF($H14="Complétée","F",IF(OR($H14="En cours",$H14="En revue"),"E",IF($H14="Bloquée","B","P"))),""))</f>
        <v/>
      </c>
      <c r="U14" s="53">
        <f>IF(OR($F14="",$G14=""),"",IF(AND(U$5&lt;=$G14,U$5+6&gt;=$F14),IF($H14="Complétée","F",IF(OR($H14="En cours",$H14="En revue"),"E",IF($H14="Bloquée","B","P"))),""))</f>
        <v/>
      </c>
      <c r="V14" s="53">
        <f>IF(OR($F14="",$G14=""),"",IF(AND(V$5&lt;=$G14,V$5+6&gt;=$F14),IF($H14="Complétée","F",IF(OR($H14="En cours",$H14="En revue"),"E",IF($H14="Bloquée","B","P"))),""))</f>
        <v/>
      </c>
      <c r="W14" s="53">
        <f>IF(OR($F14="",$G14=""),"",IF(AND(W$5&lt;=$G14,W$5+6&gt;=$F14),IF($H14="Complétée","F",IF(OR($H14="En cours",$H14="En revue"),"E",IF($H14="Bloquée","B","P"))),""))</f>
        <v/>
      </c>
      <c r="X14" s="53">
        <f>IF(OR($F14="",$G14=""),"",IF(AND(X$5&lt;=$G14,X$5+6&gt;=$F14),IF($H14="Complétée","F",IF(OR($H14="En cours",$H14="En revue"),"E",IF($H14="Bloquée","B","P"))),""))</f>
        <v/>
      </c>
      <c r="Y14" s="53">
        <f>IF(OR($F14="",$G14=""),"",IF(AND(Y$5&lt;=$G14,Y$5+6&gt;=$F14),IF($H14="Complétée","F",IF(OR($H14="En cours",$H14="En revue"),"E",IF($H14="Bloquée","B","P"))),""))</f>
        <v/>
      </c>
      <c r="Z14" s="53">
        <f>IF(OR($F14="",$G14=""),"",IF(AND(Z$5&lt;=$G14,Z$5+6&gt;=$F14),IF($H14="Complétée","F",IF(OR($H14="En cours",$H14="En revue"),"E",IF($H14="Bloquée","B","P"))),""))</f>
        <v/>
      </c>
      <c r="AA14" s="53">
        <f>IF(OR($F14="",$G14=""),"",IF(AND(AA$5&lt;=$G14,AA$5+6&gt;=$F14),IF($H14="Complétée","F",IF(OR($H14="En cours",$H14="En revue"),"E",IF($H14="Bloquée","B","P"))),""))</f>
        <v/>
      </c>
      <c r="AB14" s="53">
        <f>IF(OR($F14="",$G14=""),"",IF(AND(AB$5&lt;=$G14,AB$5+6&gt;=$F14),IF($H14="Complétée","F",IF(OR($H14="En cours",$H14="En revue"),"E",IF($H14="Bloquée","B","P"))),""))</f>
        <v/>
      </c>
      <c r="AC14" s="53">
        <f>IF(OR($F14="",$G14=""),"",IF(AND(AC$5&lt;=$G14,AC$5+6&gt;=$F14),IF($H14="Complétée","F",IF(OR($H14="En cours",$H14="En revue"),"E",IF($H14="Bloquée","B","P"))),""))</f>
        <v/>
      </c>
      <c r="AD14" s="53">
        <f>IF(OR($F14="",$G14=""),"",IF(AND(AD$5&lt;=$G14,AD$5+6&gt;=$F14),IF($H14="Complétée","F",IF(OR($H14="En cours",$H14="En revue"),"E",IF($H14="Bloquée","B","P"))),""))</f>
        <v/>
      </c>
      <c r="AE14" s="53">
        <f>IF(OR($F14="",$G14=""),"",IF(AND(AE$5&lt;=$G14,AE$5+6&gt;=$F14),IF($H14="Complétée","F",IF(OR($H14="En cours",$H14="En revue"),"E",IF($H14="Bloquée","B","P"))),""))</f>
        <v/>
      </c>
      <c r="AF14" s="53">
        <f>IF(OR($F14="",$G14=""),"",IF(AND(AF$5&lt;=$G14,AF$5+6&gt;=$F14),IF($H14="Complétée","F",IF(OR($H14="En cours",$H14="En revue"),"E",IF($H14="Bloquée","B","P"))),""))</f>
        <v/>
      </c>
      <c r="AG14" s="53">
        <f>IF(OR($F14="",$G14=""),"",IF(AND(AG$5&lt;=$G14,AG$5+6&gt;=$F14),IF($H14="Complétée","F",IF(OR($H14="En cours",$H14="En revue"),"E",IF($H14="Bloquée","B","P"))),""))</f>
        <v/>
      </c>
      <c r="AH14" s="53">
        <f>IF(OR($F14="",$G14=""),"",IF(AND(AH$5&lt;=$G14,AH$5+6&gt;=$F14),IF($H14="Complétée","F",IF(OR($H14="En cours",$H14="En revue"),"E",IF($H14="Bloquée","B","P"))),""))</f>
        <v/>
      </c>
      <c r="AI14" s="53">
        <f>IF(OR($F14="",$G14=""),"",IF(AND(AI$5&lt;=$G14,AI$5+6&gt;=$F14),IF($H14="Complétée","F",IF(OR($H14="En cours",$H14="En revue"),"E",IF($H14="Bloquée","B","P"))),""))</f>
        <v/>
      </c>
      <c r="AJ14" s="53">
        <f>IF(OR($F14="",$G14=""),"",IF(AND(AJ$5&lt;=$G14,AJ$5+6&gt;=$F14),IF($H14="Complétée","F",IF(OR($H14="En cours",$H14="En revue"),"E",IF($H14="Bloquée","B","P"))),""))</f>
        <v/>
      </c>
      <c r="AK14" s="53">
        <f>IF(OR($F14="",$G14=""),"",IF(AND(AK$5&lt;=$G14,AK$5+6&gt;=$F14),IF($H14="Complétée","F",IF(OR($H14="En cours",$H14="En revue"),"E",IF($H14="Bloquée","B","P"))),""))</f>
        <v/>
      </c>
      <c r="AL14" s="53">
        <f>IF(OR($F14="",$G14=""),"",IF(AND(AL$5&lt;=$G14,AL$5+6&gt;=$F14),IF($H14="Complétée","F",IF(OR($H14="En cours",$H14="En revue"),"E",IF($H14="Bloquée","B","P"))),""))</f>
        <v/>
      </c>
      <c r="AM14" s="53">
        <f>IF(OR($F14="",$G14=""),"",IF(AND(AM$5&lt;=$G14,AM$5+6&gt;=$F14),IF($H14="Complétée","F",IF(OR($H14="En cours",$H14="En revue"),"E",IF($H14="Bloquée","B","P"))),""))</f>
        <v/>
      </c>
      <c r="AN14" s="53">
        <f>IF(OR($F14="",$G14=""),"",IF(AND(AN$5&lt;=$G14,AN$5+6&gt;=$F14),IF($H14="Complétée","F",IF(OR($H14="En cours",$H14="En revue"),"E",IF($H14="Bloquée","B","P"))),""))</f>
        <v/>
      </c>
      <c r="AO14" s="53">
        <f>IF(OR($F14="",$G14=""),"",IF(AND(AO$5&lt;=$G14,AO$5+6&gt;=$F14),IF($H14="Complétée","F",IF(OR($H14="En cours",$H14="En revue"),"E",IF($H14="Bloquée","B","P"))),""))</f>
        <v/>
      </c>
      <c r="AP14" s="53">
        <f>IF(OR($F14="",$G14=""),"",IF(AND(AP$5&lt;=$G14,AP$5+6&gt;=$F14),IF($H14="Complétée","F",IF(OR($H14="En cours",$H14="En revue"),"E",IF($H14="Bloquée","B","P"))),""))</f>
        <v/>
      </c>
      <c r="AQ14" s="53">
        <f>IF(OR($F14="",$G14=""),"",IF(AND(AQ$5&lt;=$G14,AQ$5+6&gt;=$F14),IF($H14="Complétée","F",IF(OR($H14="En cours",$H14="En revue"),"E",IF($H14="Bloquée","B","P"))),""))</f>
        <v/>
      </c>
      <c r="AR14" s="53">
        <f>IF(OR($F14="",$G14=""),"",IF(AND(AR$5&lt;=$G14,AR$5+6&gt;=$F14),IF($H14="Complétée","F",IF(OR($H14="En cours",$H14="En revue"),"E",IF($H14="Bloquée","B","P"))),""))</f>
        <v/>
      </c>
      <c r="AS14" s="53">
        <f>IF(OR($F14="",$G14=""),"",IF(AND(AS$5&lt;=$G14,AS$5+6&gt;=$F14),IF($H14="Complétée","F",IF(OR($H14="En cours",$H14="En revue"),"E",IF($H14="Bloquée","B","P"))),""))</f>
        <v/>
      </c>
      <c r="AT14" s="53">
        <f>IF(OR($F14="",$G14=""),"",IF(AND(AT$5&lt;=$G14,AT$5+6&gt;=$F14),IF($H14="Complétée","F",IF(OR($H14="En cours",$H14="En revue"),"E",IF($H14="Bloquée","B","P"))),""))</f>
        <v/>
      </c>
      <c r="AU14" s="53">
        <f>IF(OR($F14="",$G14=""),"",IF(AND(AU$5&lt;=$G14,AU$5+6&gt;=$F14),IF($H14="Complétée","F",IF(OR($H14="En cours",$H14="En revue"),"E",IF($H14="Bloquée","B","P"))),""))</f>
        <v/>
      </c>
      <c r="AV14" s="53">
        <f>IF(OR($F14="",$G14=""),"",IF(AND(AV$5&lt;=$G14,AV$5+6&gt;=$F14),IF($H14="Complétée","F",IF(OR($H14="En cours",$H14="En revue"),"E",IF($H14="Bloquée","B","P"))),""))</f>
        <v/>
      </c>
      <c r="AW14" s="53">
        <f>IF(OR($F14="",$G14=""),"",IF(AND(AW$5&lt;=$G14,AW$5+6&gt;=$F14),IF($H14="Complétée","F",IF(OR($H14="En cours",$H14="En revue"),"E",IF($H14="Bloquée","B","P"))),""))</f>
        <v/>
      </c>
    </row>
    <row r="15">
      <c r="B15" s="50">
        <f>IF(Taches!B15="","",Taches!B15)</f>
        <v/>
      </c>
      <c r="C15" s="51">
        <f>IF(Taches!B15="","",Taches!F15)</f>
        <v/>
      </c>
      <c r="D15" s="50">
        <f>IF(Taches!B15="","",Taches!C15)</f>
        <v/>
      </c>
      <c r="E15" s="50">
        <f>IF(Taches!B15="","",Taches!D15)</f>
        <v/>
      </c>
      <c r="F15" s="52">
        <f>IF(Taches!P15="","",Taches!P15)</f>
        <v/>
      </c>
      <c r="G15" s="52">
        <f>IF(Taches!Q15="","",Taches!Q15)</f>
        <v/>
      </c>
      <c r="H15" s="50">
        <f>IF(Taches!B15="","",Taches!J15)</f>
        <v/>
      </c>
      <c r="I15" s="53">
        <f>IF(OR($F15="",$G15=""),"",IF(AND(I$5&lt;=$G15,I$5+6&gt;=$F15),IF($H15="Complétée","F",IF(OR($H15="En cours",$H15="En revue"),"E",IF($H15="Bloquée","B","P"))),""))</f>
        <v/>
      </c>
      <c r="J15" s="53">
        <f>IF(OR($F15="",$G15=""),"",IF(AND(J$5&lt;=$G15,J$5+6&gt;=$F15),IF($H15="Complétée","F",IF(OR($H15="En cours",$H15="En revue"),"E",IF($H15="Bloquée","B","P"))),""))</f>
        <v/>
      </c>
      <c r="K15" s="53">
        <f>IF(OR($F15="",$G15=""),"",IF(AND(K$5&lt;=$G15,K$5+6&gt;=$F15),IF($H15="Complétée","F",IF(OR($H15="En cours",$H15="En revue"),"E",IF($H15="Bloquée","B","P"))),""))</f>
        <v/>
      </c>
      <c r="L15" s="53">
        <f>IF(OR($F15="",$G15=""),"",IF(AND(L$5&lt;=$G15,L$5+6&gt;=$F15),IF($H15="Complétée","F",IF(OR($H15="En cours",$H15="En revue"),"E",IF($H15="Bloquée","B","P"))),""))</f>
        <v/>
      </c>
      <c r="M15" s="53">
        <f>IF(OR($F15="",$G15=""),"",IF(AND(M$5&lt;=$G15,M$5+6&gt;=$F15),IF($H15="Complétée","F",IF(OR($H15="En cours",$H15="En revue"),"E",IF($H15="Bloquée","B","P"))),""))</f>
        <v/>
      </c>
      <c r="N15" s="53">
        <f>IF(OR($F15="",$G15=""),"",IF(AND(N$5&lt;=$G15,N$5+6&gt;=$F15),IF($H15="Complétée","F",IF(OR($H15="En cours",$H15="En revue"),"E",IF($H15="Bloquée","B","P"))),""))</f>
        <v/>
      </c>
      <c r="O15" s="53">
        <f>IF(OR($F15="",$G15=""),"",IF(AND(O$5&lt;=$G15,O$5+6&gt;=$F15),IF($H15="Complétée","F",IF(OR($H15="En cours",$H15="En revue"),"E",IF($H15="Bloquée","B","P"))),""))</f>
        <v/>
      </c>
      <c r="P15" s="53">
        <f>IF(OR($F15="",$G15=""),"",IF(AND(P$5&lt;=$G15,P$5+6&gt;=$F15),IF($H15="Complétée","F",IF(OR($H15="En cours",$H15="En revue"),"E",IF($H15="Bloquée","B","P"))),""))</f>
        <v/>
      </c>
      <c r="Q15" s="53">
        <f>IF(OR($F15="",$G15=""),"",IF(AND(Q$5&lt;=$G15,Q$5+6&gt;=$F15),IF($H15="Complétée","F",IF(OR($H15="En cours",$H15="En revue"),"E",IF($H15="Bloquée","B","P"))),""))</f>
        <v/>
      </c>
      <c r="R15" s="53">
        <f>IF(OR($F15="",$G15=""),"",IF(AND(R$5&lt;=$G15,R$5+6&gt;=$F15),IF($H15="Complétée","F",IF(OR($H15="En cours",$H15="En revue"),"E",IF($H15="Bloquée","B","P"))),""))</f>
        <v/>
      </c>
      <c r="S15" s="53">
        <f>IF(OR($F15="",$G15=""),"",IF(AND(S$5&lt;=$G15,S$5+6&gt;=$F15),IF($H15="Complétée","F",IF(OR($H15="En cours",$H15="En revue"),"E",IF($H15="Bloquée","B","P"))),""))</f>
        <v/>
      </c>
      <c r="T15" s="53">
        <f>IF(OR($F15="",$G15=""),"",IF(AND(T$5&lt;=$G15,T$5+6&gt;=$F15),IF($H15="Complétée","F",IF(OR($H15="En cours",$H15="En revue"),"E",IF($H15="Bloquée","B","P"))),""))</f>
        <v/>
      </c>
      <c r="U15" s="53">
        <f>IF(OR($F15="",$G15=""),"",IF(AND(U$5&lt;=$G15,U$5+6&gt;=$F15),IF($H15="Complétée","F",IF(OR($H15="En cours",$H15="En revue"),"E",IF($H15="Bloquée","B","P"))),""))</f>
        <v/>
      </c>
      <c r="V15" s="53">
        <f>IF(OR($F15="",$G15=""),"",IF(AND(V$5&lt;=$G15,V$5+6&gt;=$F15),IF($H15="Complétée","F",IF(OR($H15="En cours",$H15="En revue"),"E",IF($H15="Bloquée","B","P"))),""))</f>
        <v/>
      </c>
      <c r="W15" s="53">
        <f>IF(OR($F15="",$G15=""),"",IF(AND(W$5&lt;=$G15,W$5+6&gt;=$F15),IF($H15="Complétée","F",IF(OR($H15="En cours",$H15="En revue"),"E",IF($H15="Bloquée","B","P"))),""))</f>
        <v/>
      </c>
      <c r="X15" s="53">
        <f>IF(OR($F15="",$G15=""),"",IF(AND(X$5&lt;=$G15,X$5+6&gt;=$F15),IF($H15="Complétée","F",IF(OR($H15="En cours",$H15="En revue"),"E",IF($H15="Bloquée","B","P"))),""))</f>
        <v/>
      </c>
      <c r="Y15" s="53">
        <f>IF(OR($F15="",$G15=""),"",IF(AND(Y$5&lt;=$G15,Y$5+6&gt;=$F15),IF($H15="Complétée","F",IF(OR($H15="En cours",$H15="En revue"),"E",IF($H15="Bloquée","B","P"))),""))</f>
        <v/>
      </c>
      <c r="Z15" s="53">
        <f>IF(OR($F15="",$G15=""),"",IF(AND(Z$5&lt;=$G15,Z$5+6&gt;=$F15),IF($H15="Complétée","F",IF(OR($H15="En cours",$H15="En revue"),"E",IF($H15="Bloquée","B","P"))),""))</f>
        <v/>
      </c>
      <c r="AA15" s="53">
        <f>IF(OR($F15="",$G15=""),"",IF(AND(AA$5&lt;=$G15,AA$5+6&gt;=$F15),IF($H15="Complétée","F",IF(OR($H15="En cours",$H15="En revue"),"E",IF($H15="Bloquée","B","P"))),""))</f>
        <v/>
      </c>
      <c r="AB15" s="53">
        <f>IF(OR($F15="",$G15=""),"",IF(AND(AB$5&lt;=$G15,AB$5+6&gt;=$F15),IF($H15="Complétée","F",IF(OR($H15="En cours",$H15="En revue"),"E",IF($H15="Bloquée","B","P"))),""))</f>
        <v/>
      </c>
      <c r="AC15" s="53">
        <f>IF(OR($F15="",$G15=""),"",IF(AND(AC$5&lt;=$G15,AC$5+6&gt;=$F15),IF($H15="Complétée","F",IF(OR($H15="En cours",$H15="En revue"),"E",IF($H15="Bloquée","B","P"))),""))</f>
        <v/>
      </c>
      <c r="AD15" s="53">
        <f>IF(OR($F15="",$G15=""),"",IF(AND(AD$5&lt;=$G15,AD$5+6&gt;=$F15),IF($H15="Complétée","F",IF(OR($H15="En cours",$H15="En revue"),"E",IF($H15="Bloquée","B","P"))),""))</f>
        <v/>
      </c>
      <c r="AE15" s="53">
        <f>IF(OR($F15="",$G15=""),"",IF(AND(AE$5&lt;=$G15,AE$5+6&gt;=$F15),IF($H15="Complétée","F",IF(OR($H15="En cours",$H15="En revue"),"E",IF($H15="Bloquée","B","P"))),""))</f>
        <v/>
      </c>
      <c r="AF15" s="53">
        <f>IF(OR($F15="",$G15=""),"",IF(AND(AF$5&lt;=$G15,AF$5+6&gt;=$F15),IF($H15="Complétée","F",IF(OR($H15="En cours",$H15="En revue"),"E",IF($H15="Bloquée","B","P"))),""))</f>
        <v/>
      </c>
      <c r="AG15" s="53">
        <f>IF(OR($F15="",$G15=""),"",IF(AND(AG$5&lt;=$G15,AG$5+6&gt;=$F15),IF($H15="Complétée","F",IF(OR($H15="En cours",$H15="En revue"),"E",IF($H15="Bloquée","B","P"))),""))</f>
        <v/>
      </c>
      <c r="AH15" s="53">
        <f>IF(OR($F15="",$G15=""),"",IF(AND(AH$5&lt;=$G15,AH$5+6&gt;=$F15),IF($H15="Complétée","F",IF(OR($H15="En cours",$H15="En revue"),"E",IF($H15="Bloquée","B","P"))),""))</f>
        <v/>
      </c>
      <c r="AI15" s="53">
        <f>IF(OR($F15="",$G15=""),"",IF(AND(AI$5&lt;=$G15,AI$5+6&gt;=$F15),IF($H15="Complétée","F",IF(OR($H15="En cours",$H15="En revue"),"E",IF($H15="Bloquée","B","P"))),""))</f>
        <v/>
      </c>
      <c r="AJ15" s="53">
        <f>IF(OR($F15="",$G15=""),"",IF(AND(AJ$5&lt;=$G15,AJ$5+6&gt;=$F15),IF($H15="Complétée","F",IF(OR($H15="En cours",$H15="En revue"),"E",IF($H15="Bloquée","B","P"))),""))</f>
        <v/>
      </c>
      <c r="AK15" s="53">
        <f>IF(OR($F15="",$G15=""),"",IF(AND(AK$5&lt;=$G15,AK$5+6&gt;=$F15),IF($H15="Complétée","F",IF(OR($H15="En cours",$H15="En revue"),"E",IF($H15="Bloquée","B","P"))),""))</f>
        <v/>
      </c>
      <c r="AL15" s="53">
        <f>IF(OR($F15="",$G15=""),"",IF(AND(AL$5&lt;=$G15,AL$5+6&gt;=$F15),IF($H15="Complétée","F",IF(OR($H15="En cours",$H15="En revue"),"E",IF($H15="Bloquée","B","P"))),""))</f>
        <v/>
      </c>
      <c r="AM15" s="53">
        <f>IF(OR($F15="",$G15=""),"",IF(AND(AM$5&lt;=$G15,AM$5+6&gt;=$F15),IF($H15="Complétée","F",IF(OR($H15="En cours",$H15="En revue"),"E",IF($H15="Bloquée","B","P"))),""))</f>
        <v/>
      </c>
      <c r="AN15" s="53">
        <f>IF(OR($F15="",$G15=""),"",IF(AND(AN$5&lt;=$G15,AN$5+6&gt;=$F15),IF($H15="Complétée","F",IF(OR($H15="En cours",$H15="En revue"),"E",IF($H15="Bloquée","B","P"))),""))</f>
        <v/>
      </c>
      <c r="AO15" s="53">
        <f>IF(OR($F15="",$G15=""),"",IF(AND(AO$5&lt;=$G15,AO$5+6&gt;=$F15),IF($H15="Complétée","F",IF(OR($H15="En cours",$H15="En revue"),"E",IF($H15="Bloquée","B","P"))),""))</f>
        <v/>
      </c>
      <c r="AP15" s="53">
        <f>IF(OR($F15="",$G15=""),"",IF(AND(AP$5&lt;=$G15,AP$5+6&gt;=$F15),IF($H15="Complétée","F",IF(OR($H15="En cours",$H15="En revue"),"E",IF($H15="Bloquée","B","P"))),""))</f>
        <v/>
      </c>
      <c r="AQ15" s="53">
        <f>IF(OR($F15="",$G15=""),"",IF(AND(AQ$5&lt;=$G15,AQ$5+6&gt;=$F15),IF($H15="Complétée","F",IF(OR($H15="En cours",$H15="En revue"),"E",IF($H15="Bloquée","B","P"))),""))</f>
        <v/>
      </c>
      <c r="AR15" s="53">
        <f>IF(OR($F15="",$G15=""),"",IF(AND(AR$5&lt;=$G15,AR$5+6&gt;=$F15),IF($H15="Complétée","F",IF(OR($H15="En cours",$H15="En revue"),"E",IF($H15="Bloquée","B","P"))),""))</f>
        <v/>
      </c>
      <c r="AS15" s="53">
        <f>IF(OR($F15="",$G15=""),"",IF(AND(AS$5&lt;=$G15,AS$5+6&gt;=$F15),IF($H15="Complétée","F",IF(OR($H15="En cours",$H15="En revue"),"E",IF($H15="Bloquée","B","P"))),""))</f>
        <v/>
      </c>
      <c r="AT15" s="53">
        <f>IF(OR($F15="",$G15=""),"",IF(AND(AT$5&lt;=$G15,AT$5+6&gt;=$F15),IF($H15="Complétée","F",IF(OR($H15="En cours",$H15="En revue"),"E",IF($H15="Bloquée","B","P"))),""))</f>
        <v/>
      </c>
      <c r="AU15" s="53">
        <f>IF(OR($F15="",$G15=""),"",IF(AND(AU$5&lt;=$G15,AU$5+6&gt;=$F15),IF($H15="Complétée","F",IF(OR($H15="En cours",$H15="En revue"),"E",IF($H15="Bloquée","B","P"))),""))</f>
        <v/>
      </c>
      <c r="AV15" s="53">
        <f>IF(OR($F15="",$G15=""),"",IF(AND(AV$5&lt;=$G15,AV$5+6&gt;=$F15),IF($H15="Complétée","F",IF(OR($H15="En cours",$H15="En revue"),"E",IF($H15="Bloquée","B","P"))),""))</f>
        <v/>
      </c>
      <c r="AW15" s="53">
        <f>IF(OR($F15="",$G15=""),"",IF(AND(AW$5&lt;=$G15,AW$5+6&gt;=$F15),IF($H15="Complétée","F",IF(OR($H15="En cours",$H15="En revue"),"E",IF($H15="Bloquée","B","P"))),""))</f>
        <v/>
      </c>
    </row>
    <row r="16">
      <c r="B16" s="50">
        <f>IF(Taches!B16="","",Taches!B16)</f>
        <v/>
      </c>
      <c r="C16" s="51">
        <f>IF(Taches!B16="","",Taches!F16)</f>
        <v/>
      </c>
      <c r="D16" s="50">
        <f>IF(Taches!B16="","",Taches!C16)</f>
        <v/>
      </c>
      <c r="E16" s="50">
        <f>IF(Taches!B16="","",Taches!D16)</f>
        <v/>
      </c>
      <c r="F16" s="52">
        <f>IF(Taches!P16="","",Taches!P16)</f>
        <v/>
      </c>
      <c r="G16" s="52">
        <f>IF(Taches!Q16="","",Taches!Q16)</f>
        <v/>
      </c>
      <c r="H16" s="50">
        <f>IF(Taches!B16="","",Taches!J16)</f>
        <v/>
      </c>
      <c r="I16" s="53">
        <f>IF(OR($F16="",$G16=""),"",IF(AND(I$5&lt;=$G16,I$5+6&gt;=$F16),IF($H16="Complétée","F",IF(OR($H16="En cours",$H16="En revue"),"E",IF($H16="Bloquée","B","P"))),""))</f>
        <v/>
      </c>
      <c r="J16" s="53">
        <f>IF(OR($F16="",$G16=""),"",IF(AND(J$5&lt;=$G16,J$5+6&gt;=$F16),IF($H16="Complétée","F",IF(OR($H16="En cours",$H16="En revue"),"E",IF($H16="Bloquée","B","P"))),""))</f>
        <v/>
      </c>
      <c r="K16" s="53">
        <f>IF(OR($F16="",$G16=""),"",IF(AND(K$5&lt;=$G16,K$5+6&gt;=$F16),IF($H16="Complétée","F",IF(OR($H16="En cours",$H16="En revue"),"E",IF($H16="Bloquée","B","P"))),""))</f>
        <v/>
      </c>
      <c r="L16" s="53">
        <f>IF(OR($F16="",$G16=""),"",IF(AND(L$5&lt;=$G16,L$5+6&gt;=$F16),IF($H16="Complétée","F",IF(OR($H16="En cours",$H16="En revue"),"E",IF($H16="Bloquée","B","P"))),""))</f>
        <v/>
      </c>
      <c r="M16" s="53">
        <f>IF(OR($F16="",$G16=""),"",IF(AND(M$5&lt;=$G16,M$5+6&gt;=$F16),IF($H16="Complétée","F",IF(OR($H16="En cours",$H16="En revue"),"E",IF($H16="Bloquée","B","P"))),""))</f>
        <v/>
      </c>
      <c r="N16" s="53">
        <f>IF(OR($F16="",$G16=""),"",IF(AND(N$5&lt;=$G16,N$5+6&gt;=$F16),IF($H16="Complétée","F",IF(OR($H16="En cours",$H16="En revue"),"E",IF($H16="Bloquée","B","P"))),""))</f>
        <v/>
      </c>
      <c r="O16" s="53">
        <f>IF(OR($F16="",$G16=""),"",IF(AND(O$5&lt;=$G16,O$5+6&gt;=$F16),IF($H16="Complétée","F",IF(OR($H16="En cours",$H16="En revue"),"E",IF($H16="Bloquée","B","P"))),""))</f>
        <v/>
      </c>
      <c r="P16" s="53">
        <f>IF(OR($F16="",$G16=""),"",IF(AND(P$5&lt;=$G16,P$5+6&gt;=$F16),IF($H16="Complétée","F",IF(OR($H16="En cours",$H16="En revue"),"E",IF($H16="Bloquée","B","P"))),""))</f>
        <v/>
      </c>
      <c r="Q16" s="53">
        <f>IF(OR($F16="",$G16=""),"",IF(AND(Q$5&lt;=$G16,Q$5+6&gt;=$F16),IF($H16="Complétée","F",IF(OR($H16="En cours",$H16="En revue"),"E",IF($H16="Bloquée","B","P"))),""))</f>
        <v/>
      </c>
      <c r="R16" s="53">
        <f>IF(OR($F16="",$G16=""),"",IF(AND(R$5&lt;=$G16,R$5+6&gt;=$F16),IF($H16="Complétée","F",IF(OR($H16="En cours",$H16="En revue"),"E",IF($H16="Bloquée","B","P"))),""))</f>
        <v/>
      </c>
      <c r="S16" s="53">
        <f>IF(OR($F16="",$G16=""),"",IF(AND(S$5&lt;=$G16,S$5+6&gt;=$F16),IF($H16="Complétée","F",IF(OR($H16="En cours",$H16="En revue"),"E",IF($H16="Bloquée","B","P"))),""))</f>
        <v/>
      </c>
      <c r="T16" s="53">
        <f>IF(OR($F16="",$G16=""),"",IF(AND(T$5&lt;=$G16,T$5+6&gt;=$F16),IF($H16="Complétée","F",IF(OR($H16="En cours",$H16="En revue"),"E",IF($H16="Bloquée","B","P"))),""))</f>
        <v/>
      </c>
      <c r="U16" s="53">
        <f>IF(OR($F16="",$G16=""),"",IF(AND(U$5&lt;=$G16,U$5+6&gt;=$F16),IF($H16="Complétée","F",IF(OR($H16="En cours",$H16="En revue"),"E",IF($H16="Bloquée","B","P"))),""))</f>
        <v/>
      </c>
      <c r="V16" s="53">
        <f>IF(OR($F16="",$G16=""),"",IF(AND(V$5&lt;=$G16,V$5+6&gt;=$F16),IF($H16="Complétée","F",IF(OR($H16="En cours",$H16="En revue"),"E",IF($H16="Bloquée","B","P"))),""))</f>
        <v/>
      </c>
      <c r="W16" s="53">
        <f>IF(OR($F16="",$G16=""),"",IF(AND(W$5&lt;=$G16,W$5+6&gt;=$F16),IF($H16="Complétée","F",IF(OR($H16="En cours",$H16="En revue"),"E",IF($H16="Bloquée","B","P"))),""))</f>
        <v/>
      </c>
      <c r="X16" s="53">
        <f>IF(OR($F16="",$G16=""),"",IF(AND(X$5&lt;=$G16,X$5+6&gt;=$F16),IF($H16="Complétée","F",IF(OR($H16="En cours",$H16="En revue"),"E",IF($H16="Bloquée","B","P"))),""))</f>
        <v/>
      </c>
      <c r="Y16" s="53">
        <f>IF(OR($F16="",$G16=""),"",IF(AND(Y$5&lt;=$G16,Y$5+6&gt;=$F16),IF($H16="Complétée","F",IF(OR($H16="En cours",$H16="En revue"),"E",IF($H16="Bloquée","B","P"))),""))</f>
        <v/>
      </c>
      <c r="Z16" s="53">
        <f>IF(OR($F16="",$G16=""),"",IF(AND(Z$5&lt;=$G16,Z$5+6&gt;=$F16),IF($H16="Complétée","F",IF(OR($H16="En cours",$H16="En revue"),"E",IF($H16="Bloquée","B","P"))),""))</f>
        <v/>
      </c>
      <c r="AA16" s="53">
        <f>IF(OR($F16="",$G16=""),"",IF(AND(AA$5&lt;=$G16,AA$5+6&gt;=$F16),IF($H16="Complétée","F",IF(OR($H16="En cours",$H16="En revue"),"E",IF($H16="Bloquée","B","P"))),""))</f>
        <v/>
      </c>
      <c r="AB16" s="53">
        <f>IF(OR($F16="",$G16=""),"",IF(AND(AB$5&lt;=$G16,AB$5+6&gt;=$F16),IF($H16="Complétée","F",IF(OR($H16="En cours",$H16="En revue"),"E",IF($H16="Bloquée","B","P"))),""))</f>
        <v/>
      </c>
      <c r="AC16" s="53">
        <f>IF(OR($F16="",$G16=""),"",IF(AND(AC$5&lt;=$G16,AC$5+6&gt;=$F16),IF($H16="Complétée","F",IF(OR($H16="En cours",$H16="En revue"),"E",IF($H16="Bloquée","B","P"))),""))</f>
        <v/>
      </c>
      <c r="AD16" s="53">
        <f>IF(OR($F16="",$G16=""),"",IF(AND(AD$5&lt;=$G16,AD$5+6&gt;=$F16),IF($H16="Complétée","F",IF(OR($H16="En cours",$H16="En revue"),"E",IF($H16="Bloquée","B","P"))),""))</f>
        <v/>
      </c>
      <c r="AE16" s="53">
        <f>IF(OR($F16="",$G16=""),"",IF(AND(AE$5&lt;=$G16,AE$5+6&gt;=$F16),IF($H16="Complétée","F",IF(OR($H16="En cours",$H16="En revue"),"E",IF($H16="Bloquée","B","P"))),""))</f>
        <v/>
      </c>
      <c r="AF16" s="53">
        <f>IF(OR($F16="",$G16=""),"",IF(AND(AF$5&lt;=$G16,AF$5+6&gt;=$F16),IF($H16="Complétée","F",IF(OR($H16="En cours",$H16="En revue"),"E",IF($H16="Bloquée","B","P"))),""))</f>
        <v/>
      </c>
      <c r="AG16" s="53">
        <f>IF(OR($F16="",$G16=""),"",IF(AND(AG$5&lt;=$G16,AG$5+6&gt;=$F16),IF($H16="Complétée","F",IF(OR($H16="En cours",$H16="En revue"),"E",IF($H16="Bloquée","B","P"))),""))</f>
        <v/>
      </c>
      <c r="AH16" s="53">
        <f>IF(OR($F16="",$G16=""),"",IF(AND(AH$5&lt;=$G16,AH$5+6&gt;=$F16),IF($H16="Complétée","F",IF(OR($H16="En cours",$H16="En revue"),"E",IF($H16="Bloquée","B","P"))),""))</f>
        <v/>
      </c>
      <c r="AI16" s="53">
        <f>IF(OR($F16="",$G16=""),"",IF(AND(AI$5&lt;=$G16,AI$5+6&gt;=$F16),IF($H16="Complétée","F",IF(OR($H16="En cours",$H16="En revue"),"E",IF($H16="Bloquée","B","P"))),""))</f>
        <v/>
      </c>
      <c r="AJ16" s="53">
        <f>IF(OR($F16="",$G16=""),"",IF(AND(AJ$5&lt;=$G16,AJ$5+6&gt;=$F16),IF($H16="Complétée","F",IF(OR($H16="En cours",$H16="En revue"),"E",IF($H16="Bloquée","B","P"))),""))</f>
        <v/>
      </c>
      <c r="AK16" s="53">
        <f>IF(OR($F16="",$G16=""),"",IF(AND(AK$5&lt;=$G16,AK$5+6&gt;=$F16),IF($H16="Complétée","F",IF(OR($H16="En cours",$H16="En revue"),"E",IF($H16="Bloquée","B","P"))),""))</f>
        <v/>
      </c>
      <c r="AL16" s="53">
        <f>IF(OR($F16="",$G16=""),"",IF(AND(AL$5&lt;=$G16,AL$5+6&gt;=$F16),IF($H16="Complétée","F",IF(OR($H16="En cours",$H16="En revue"),"E",IF($H16="Bloquée","B","P"))),""))</f>
        <v/>
      </c>
      <c r="AM16" s="53">
        <f>IF(OR($F16="",$G16=""),"",IF(AND(AM$5&lt;=$G16,AM$5+6&gt;=$F16),IF($H16="Complétée","F",IF(OR($H16="En cours",$H16="En revue"),"E",IF($H16="Bloquée","B","P"))),""))</f>
        <v/>
      </c>
      <c r="AN16" s="53">
        <f>IF(OR($F16="",$G16=""),"",IF(AND(AN$5&lt;=$G16,AN$5+6&gt;=$F16),IF($H16="Complétée","F",IF(OR($H16="En cours",$H16="En revue"),"E",IF($H16="Bloquée","B","P"))),""))</f>
        <v/>
      </c>
      <c r="AO16" s="53">
        <f>IF(OR($F16="",$G16=""),"",IF(AND(AO$5&lt;=$G16,AO$5+6&gt;=$F16),IF($H16="Complétée","F",IF(OR($H16="En cours",$H16="En revue"),"E",IF($H16="Bloquée","B","P"))),""))</f>
        <v/>
      </c>
      <c r="AP16" s="53">
        <f>IF(OR($F16="",$G16=""),"",IF(AND(AP$5&lt;=$G16,AP$5+6&gt;=$F16),IF($H16="Complétée","F",IF(OR($H16="En cours",$H16="En revue"),"E",IF($H16="Bloquée","B","P"))),""))</f>
        <v/>
      </c>
      <c r="AQ16" s="53">
        <f>IF(OR($F16="",$G16=""),"",IF(AND(AQ$5&lt;=$G16,AQ$5+6&gt;=$F16),IF($H16="Complétée","F",IF(OR($H16="En cours",$H16="En revue"),"E",IF($H16="Bloquée","B","P"))),""))</f>
        <v/>
      </c>
      <c r="AR16" s="53">
        <f>IF(OR($F16="",$G16=""),"",IF(AND(AR$5&lt;=$G16,AR$5+6&gt;=$F16),IF($H16="Complétée","F",IF(OR($H16="En cours",$H16="En revue"),"E",IF($H16="Bloquée","B","P"))),""))</f>
        <v/>
      </c>
      <c r="AS16" s="53">
        <f>IF(OR($F16="",$G16=""),"",IF(AND(AS$5&lt;=$G16,AS$5+6&gt;=$F16),IF($H16="Complétée","F",IF(OR($H16="En cours",$H16="En revue"),"E",IF($H16="Bloquée","B","P"))),""))</f>
        <v/>
      </c>
      <c r="AT16" s="53">
        <f>IF(OR($F16="",$G16=""),"",IF(AND(AT$5&lt;=$G16,AT$5+6&gt;=$F16),IF($H16="Complétée","F",IF(OR($H16="En cours",$H16="En revue"),"E",IF($H16="Bloquée","B","P"))),""))</f>
        <v/>
      </c>
      <c r="AU16" s="53">
        <f>IF(OR($F16="",$G16=""),"",IF(AND(AU$5&lt;=$G16,AU$5+6&gt;=$F16),IF($H16="Complétée","F",IF(OR($H16="En cours",$H16="En revue"),"E",IF($H16="Bloquée","B","P"))),""))</f>
        <v/>
      </c>
      <c r="AV16" s="53">
        <f>IF(OR($F16="",$G16=""),"",IF(AND(AV$5&lt;=$G16,AV$5+6&gt;=$F16),IF($H16="Complétée","F",IF(OR($H16="En cours",$H16="En revue"),"E",IF($H16="Bloquée","B","P"))),""))</f>
        <v/>
      </c>
      <c r="AW16" s="53">
        <f>IF(OR($F16="",$G16=""),"",IF(AND(AW$5&lt;=$G16,AW$5+6&gt;=$F16),IF($H16="Complétée","F",IF(OR($H16="En cours",$H16="En revue"),"E",IF($H16="Bloquée","B","P"))),""))</f>
        <v/>
      </c>
    </row>
    <row r="17">
      <c r="B17" s="50">
        <f>IF(Taches!B17="","",Taches!B17)</f>
        <v/>
      </c>
      <c r="C17" s="51">
        <f>IF(Taches!B17="","",Taches!F17)</f>
        <v/>
      </c>
      <c r="D17" s="50">
        <f>IF(Taches!B17="","",Taches!C17)</f>
        <v/>
      </c>
      <c r="E17" s="50">
        <f>IF(Taches!B17="","",Taches!D17)</f>
        <v/>
      </c>
      <c r="F17" s="52">
        <f>IF(Taches!P17="","",Taches!P17)</f>
        <v/>
      </c>
      <c r="G17" s="52">
        <f>IF(Taches!Q17="","",Taches!Q17)</f>
        <v/>
      </c>
      <c r="H17" s="50">
        <f>IF(Taches!B17="","",Taches!J17)</f>
        <v/>
      </c>
      <c r="I17" s="53">
        <f>IF(OR($F17="",$G17=""),"",IF(AND(I$5&lt;=$G17,I$5+6&gt;=$F17),IF($H17="Complétée","F",IF(OR($H17="En cours",$H17="En revue"),"E",IF($H17="Bloquée","B","P"))),""))</f>
        <v/>
      </c>
      <c r="J17" s="53">
        <f>IF(OR($F17="",$G17=""),"",IF(AND(J$5&lt;=$G17,J$5+6&gt;=$F17),IF($H17="Complétée","F",IF(OR($H17="En cours",$H17="En revue"),"E",IF($H17="Bloquée","B","P"))),""))</f>
        <v/>
      </c>
      <c r="K17" s="53">
        <f>IF(OR($F17="",$G17=""),"",IF(AND(K$5&lt;=$G17,K$5+6&gt;=$F17),IF($H17="Complétée","F",IF(OR($H17="En cours",$H17="En revue"),"E",IF($H17="Bloquée","B","P"))),""))</f>
        <v/>
      </c>
      <c r="L17" s="53">
        <f>IF(OR($F17="",$G17=""),"",IF(AND(L$5&lt;=$G17,L$5+6&gt;=$F17),IF($H17="Complétée","F",IF(OR($H17="En cours",$H17="En revue"),"E",IF($H17="Bloquée","B","P"))),""))</f>
        <v/>
      </c>
      <c r="M17" s="53">
        <f>IF(OR($F17="",$G17=""),"",IF(AND(M$5&lt;=$G17,M$5+6&gt;=$F17),IF($H17="Complétée","F",IF(OR($H17="En cours",$H17="En revue"),"E",IF($H17="Bloquée","B","P"))),""))</f>
        <v/>
      </c>
      <c r="N17" s="53">
        <f>IF(OR($F17="",$G17=""),"",IF(AND(N$5&lt;=$G17,N$5+6&gt;=$F17),IF($H17="Complétée","F",IF(OR($H17="En cours",$H17="En revue"),"E",IF($H17="Bloquée","B","P"))),""))</f>
        <v/>
      </c>
      <c r="O17" s="53">
        <f>IF(OR($F17="",$G17=""),"",IF(AND(O$5&lt;=$G17,O$5+6&gt;=$F17),IF($H17="Complétée","F",IF(OR($H17="En cours",$H17="En revue"),"E",IF($H17="Bloquée","B","P"))),""))</f>
        <v/>
      </c>
      <c r="P17" s="53">
        <f>IF(OR($F17="",$G17=""),"",IF(AND(P$5&lt;=$G17,P$5+6&gt;=$F17),IF($H17="Complétée","F",IF(OR($H17="En cours",$H17="En revue"),"E",IF($H17="Bloquée","B","P"))),""))</f>
        <v/>
      </c>
      <c r="Q17" s="53">
        <f>IF(OR($F17="",$G17=""),"",IF(AND(Q$5&lt;=$G17,Q$5+6&gt;=$F17),IF($H17="Complétée","F",IF(OR($H17="En cours",$H17="En revue"),"E",IF($H17="Bloquée","B","P"))),""))</f>
        <v/>
      </c>
      <c r="R17" s="53">
        <f>IF(OR($F17="",$G17=""),"",IF(AND(R$5&lt;=$G17,R$5+6&gt;=$F17),IF($H17="Complétée","F",IF(OR($H17="En cours",$H17="En revue"),"E",IF($H17="Bloquée","B","P"))),""))</f>
        <v/>
      </c>
      <c r="S17" s="53">
        <f>IF(OR($F17="",$G17=""),"",IF(AND(S$5&lt;=$G17,S$5+6&gt;=$F17),IF($H17="Complétée","F",IF(OR($H17="En cours",$H17="En revue"),"E",IF($H17="Bloquée","B","P"))),""))</f>
        <v/>
      </c>
      <c r="T17" s="53">
        <f>IF(OR($F17="",$G17=""),"",IF(AND(T$5&lt;=$G17,T$5+6&gt;=$F17),IF($H17="Complétée","F",IF(OR($H17="En cours",$H17="En revue"),"E",IF($H17="Bloquée","B","P"))),""))</f>
        <v/>
      </c>
      <c r="U17" s="53">
        <f>IF(OR($F17="",$G17=""),"",IF(AND(U$5&lt;=$G17,U$5+6&gt;=$F17),IF($H17="Complétée","F",IF(OR($H17="En cours",$H17="En revue"),"E",IF($H17="Bloquée","B","P"))),""))</f>
        <v/>
      </c>
      <c r="V17" s="53">
        <f>IF(OR($F17="",$G17=""),"",IF(AND(V$5&lt;=$G17,V$5+6&gt;=$F17),IF($H17="Complétée","F",IF(OR($H17="En cours",$H17="En revue"),"E",IF($H17="Bloquée","B","P"))),""))</f>
        <v/>
      </c>
      <c r="W17" s="53">
        <f>IF(OR($F17="",$G17=""),"",IF(AND(W$5&lt;=$G17,W$5+6&gt;=$F17),IF($H17="Complétée","F",IF(OR($H17="En cours",$H17="En revue"),"E",IF($H17="Bloquée","B","P"))),""))</f>
        <v/>
      </c>
      <c r="X17" s="53">
        <f>IF(OR($F17="",$G17=""),"",IF(AND(X$5&lt;=$G17,X$5+6&gt;=$F17),IF($H17="Complétée","F",IF(OR($H17="En cours",$H17="En revue"),"E",IF($H17="Bloquée","B","P"))),""))</f>
        <v/>
      </c>
      <c r="Y17" s="53">
        <f>IF(OR($F17="",$G17=""),"",IF(AND(Y$5&lt;=$G17,Y$5+6&gt;=$F17),IF($H17="Complétée","F",IF(OR($H17="En cours",$H17="En revue"),"E",IF($H17="Bloquée","B","P"))),""))</f>
        <v/>
      </c>
      <c r="Z17" s="53">
        <f>IF(OR($F17="",$G17=""),"",IF(AND(Z$5&lt;=$G17,Z$5+6&gt;=$F17),IF($H17="Complétée","F",IF(OR($H17="En cours",$H17="En revue"),"E",IF($H17="Bloquée","B","P"))),""))</f>
        <v/>
      </c>
      <c r="AA17" s="53">
        <f>IF(OR($F17="",$G17=""),"",IF(AND(AA$5&lt;=$G17,AA$5+6&gt;=$F17),IF($H17="Complétée","F",IF(OR($H17="En cours",$H17="En revue"),"E",IF($H17="Bloquée","B","P"))),""))</f>
        <v/>
      </c>
      <c r="AB17" s="53">
        <f>IF(OR($F17="",$G17=""),"",IF(AND(AB$5&lt;=$G17,AB$5+6&gt;=$F17),IF($H17="Complétée","F",IF(OR($H17="En cours",$H17="En revue"),"E",IF($H17="Bloquée","B","P"))),""))</f>
        <v/>
      </c>
      <c r="AC17" s="53">
        <f>IF(OR($F17="",$G17=""),"",IF(AND(AC$5&lt;=$G17,AC$5+6&gt;=$F17),IF($H17="Complétée","F",IF(OR($H17="En cours",$H17="En revue"),"E",IF($H17="Bloquée","B","P"))),""))</f>
        <v/>
      </c>
      <c r="AD17" s="53">
        <f>IF(OR($F17="",$G17=""),"",IF(AND(AD$5&lt;=$G17,AD$5+6&gt;=$F17),IF($H17="Complétée","F",IF(OR($H17="En cours",$H17="En revue"),"E",IF($H17="Bloquée","B","P"))),""))</f>
        <v/>
      </c>
      <c r="AE17" s="53">
        <f>IF(OR($F17="",$G17=""),"",IF(AND(AE$5&lt;=$G17,AE$5+6&gt;=$F17),IF($H17="Complétée","F",IF(OR($H17="En cours",$H17="En revue"),"E",IF($H17="Bloquée","B","P"))),""))</f>
        <v/>
      </c>
      <c r="AF17" s="53">
        <f>IF(OR($F17="",$G17=""),"",IF(AND(AF$5&lt;=$G17,AF$5+6&gt;=$F17),IF($H17="Complétée","F",IF(OR($H17="En cours",$H17="En revue"),"E",IF($H17="Bloquée","B","P"))),""))</f>
        <v/>
      </c>
      <c r="AG17" s="53">
        <f>IF(OR($F17="",$G17=""),"",IF(AND(AG$5&lt;=$G17,AG$5+6&gt;=$F17),IF($H17="Complétée","F",IF(OR($H17="En cours",$H17="En revue"),"E",IF($H17="Bloquée","B","P"))),""))</f>
        <v/>
      </c>
      <c r="AH17" s="53">
        <f>IF(OR($F17="",$G17=""),"",IF(AND(AH$5&lt;=$G17,AH$5+6&gt;=$F17),IF($H17="Complétée","F",IF(OR($H17="En cours",$H17="En revue"),"E",IF($H17="Bloquée","B","P"))),""))</f>
        <v/>
      </c>
      <c r="AI17" s="53">
        <f>IF(OR($F17="",$G17=""),"",IF(AND(AI$5&lt;=$G17,AI$5+6&gt;=$F17),IF($H17="Complétée","F",IF(OR($H17="En cours",$H17="En revue"),"E",IF($H17="Bloquée","B","P"))),""))</f>
        <v/>
      </c>
      <c r="AJ17" s="53">
        <f>IF(OR($F17="",$G17=""),"",IF(AND(AJ$5&lt;=$G17,AJ$5+6&gt;=$F17),IF($H17="Complétée","F",IF(OR($H17="En cours",$H17="En revue"),"E",IF($H17="Bloquée","B","P"))),""))</f>
        <v/>
      </c>
      <c r="AK17" s="53">
        <f>IF(OR($F17="",$G17=""),"",IF(AND(AK$5&lt;=$G17,AK$5+6&gt;=$F17),IF($H17="Complétée","F",IF(OR($H17="En cours",$H17="En revue"),"E",IF($H17="Bloquée","B","P"))),""))</f>
        <v/>
      </c>
      <c r="AL17" s="53">
        <f>IF(OR($F17="",$G17=""),"",IF(AND(AL$5&lt;=$G17,AL$5+6&gt;=$F17),IF($H17="Complétée","F",IF(OR($H17="En cours",$H17="En revue"),"E",IF($H17="Bloquée","B","P"))),""))</f>
        <v/>
      </c>
      <c r="AM17" s="53">
        <f>IF(OR($F17="",$G17=""),"",IF(AND(AM$5&lt;=$G17,AM$5+6&gt;=$F17),IF($H17="Complétée","F",IF(OR($H17="En cours",$H17="En revue"),"E",IF($H17="Bloquée","B","P"))),""))</f>
        <v/>
      </c>
      <c r="AN17" s="53">
        <f>IF(OR($F17="",$G17=""),"",IF(AND(AN$5&lt;=$G17,AN$5+6&gt;=$F17),IF($H17="Complétée","F",IF(OR($H17="En cours",$H17="En revue"),"E",IF($H17="Bloquée","B","P"))),""))</f>
        <v/>
      </c>
      <c r="AO17" s="53">
        <f>IF(OR($F17="",$G17=""),"",IF(AND(AO$5&lt;=$G17,AO$5+6&gt;=$F17),IF($H17="Complétée","F",IF(OR($H17="En cours",$H17="En revue"),"E",IF($H17="Bloquée","B","P"))),""))</f>
        <v/>
      </c>
      <c r="AP17" s="53">
        <f>IF(OR($F17="",$G17=""),"",IF(AND(AP$5&lt;=$G17,AP$5+6&gt;=$F17),IF($H17="Complétée","F",IF(OR($H17="En cours",$H17="En revue"),"E",IF($H17="Bloquée","B","P"))),""))</f>
        <v/>
      </c>
      <c r="AQ17" s="53">
        <f>IF(OR($F17="",$G17=""),"",IF(AND(AQ$5&lt;=$G17,AQ$5+6&gt;=$F17),IF($H17="Complétée","F",IF(OR($H17="En cours",$H17="En revue"),"E",IF($H17="Bloquée","B","P"))),""))</f>
        <v/>
      </c>
      <c r="AR17" s="53">
        <f>IF(OR($F17="",$G17=""),"",IF(AND(AR$5&lt;=$G17,AR$5+6&gt;=$F17),IF($H17="Complétée","F",IF(OR($H17="En cours",$H17="En revue"),"E",IF($H17="Bloquée","B","P"))),""))</f>
        <v/>
      </c>
      <c r="AS17" s="53">
        <f>IF(OR($F17="",$G17=""),"",IF(AND(AS$5&lt;=$G17,AS$5+6&gt;=$F17),IF($H17="Complétée","F",IF(OR($H17="En cours",$H17="En revue"),"E",IF($H17="Bloquée","B","P"))),""))</f>
        <v/>
      </c>
      <c r="AT17" s="53">
        <f>IF(OR($F17="",$G17=""),"",IF(AND(AT$5&lt;=$G17,AT$5+6&gt;=$F17),IF($H17="Complétée","F",IF(OR($H17="En cours",$H17="En revue"),"E",IF($H17="Bloquée","B","P"))),""))</f>
        <v/>
      </c>
      <c r="AU17" s="53">
        <f>IF(OR($F17="",$G17=""),"",IF(AND(AU$5&lt;=$G17,AU$5+6&gt;=$F17),IF($H17="Complétée","F",IF(OR($H17="En cours",$H17="En revue"),"E",IF($H17="Bloquée","B","P"))),""))</f>
        <v/>
      </c>
      <c r="AV17" s="53">
        <f>IF(OR($F17="",$G17=""),"",IF(AND(AV$5&lt;=$G17,AV$5+6&gt;=$F17),IF($H17="Complétée","F",IF(OR($H17="En cours",$H17="En revue"),"E",IF($H17="Bloquée","B","P"))),""))</f>
        <v/>
      </c>
      <c r="AW17" s="53">
        <f>IF(OR($F17="",$G17=""),"",IF(AND(AW$5&lt;=$G17,AW$5+6&gt;=$F17),IF($H17="Complétée","F",IF(OR($H17="En cours",$H17="En revue"),"E",IF($H17="Bloquée","B","P"))),""))</f>
        <v/>
      </c>
    </row>
    <row r="18">
      <c r="B18" s="50">
        <f>IF(Taches!B18="","",Taches!B18)</f>
        <v/>
      </c>
      <c r="C18" s="51">
        <f>IF(Taches!B18="","",Taches!F18)</f>
        <v/>
      </c>
      <c r="D18" s="50">
        <f>IF(Taches!B18="","",Taches!C18)</f>
        <v/>
      </c>
      <c r="E18" s="50">
        <f>IF(Taches!B18="","",Taches!D18)</f>
        <v/>
      </c>
      <c r="F18" s="52">
        <f>IF(Taches!P18="","",Taches!P18)</f>
        <v/>
      </c>
      <c r="G18" s="52">
        <f>IF(Taches!Q18="","",Taches!Q18)</f>
        <v/>
      </c>
      <c r="H18" s="50">
        <f>IF(Taches!B18="","",Taches!J18)</f>
        <v/>
      </c>
      <c r="I18" s="53">
        <f>IF(OR($F18="",$G18=""),"",IF(AND(I$5&lt;=$G18,I$5+6&gt;=$F18),IF($H18="Complétée","F",IF(OR($H18="En cours",$H18="En revue"),"E",IF($H18="Bloquée","B","P"))),""))</f>
        <v/>
      </c>
      <c r="J18" s="53">
        <f>IF(OR($F18="",$G18=""),"",IF(AND(J$5&lt;=$G18,J$5+6&gt;=$F18),IF($H18="Complétée","F",IF(OR($H18="En cours",$H18="En revue"),"E",IF($H18="Bloquée","B","P"))),""))</f>
        <v/>
      </c>
      <c r="K18" s="53">
        <f>IF(OR($F18="",$G18=""),"",IF(AND(K$5&lt;=$G18,K$5+6&gt;=$F18),IF($H18="Complétée","F",IF(OR($H18="En cours",$H18="En revue"),"E",IF($H18="Bloquée","B","P"))),""))</f>
        <v/>
      </c>
      <c r="L18" s="53">
        <f>IF(OR($F18="",$G18=""),"",IF(AND(L$5&lt;=$G18,L$5+6&gt;=$F18),IF($H18="Complétée","F",IF(OR($H18="En cours",$H18="En revue"),"E",IF($H18="Bloquée","B","P"))),""))</f>
        <v/>
      </c>
      <c r="M18" s="53">
        <f>IF(OR($F18="",$G18=""),"",IF(AND(M$5&lt;=$G18,M$5+6&gt;=$F18),IF($H18="Complétée","F",IF(OR($H18="En cours",$H18="En revue"),"E",IF($H18="Bloquée","B","P"))),""))</f>
        <v/>
      </c>
      <c r="N18" s="53">
        <f>IF(OR($F18="",$G18=""),"",IF(AND(N$5&lt;=$G18,N$5+6&gt;=$F18),IF($H18="Complétée","F",IF(OR($H18="En cours",$H18="En revue"),"E",IF($H18="Bloquée","B","P"))),""))</f>
        <v/>
      </c>
      <c r="O18" s="53">
        <f>IF(OR($F18="",$G18=""),"",IF(AND(O$5&lt;=$G18,O$5+6&gt;=$F18),IF($H18="Complétée","F",IF(OR($H18="En cours",$H18="En revue"),"E",IF($H18="Bloquée","B","P"))),""))</f>
        <v/>
      </c>
      <c r="P18" s="53">
        <f>IF(OR($F18="",$G18=""),"",IF(AND(P$5&lt;=$G18,P$5+6&gt;=$F18),IF($H18="Complétée","F",IF(OR($H18="En cours",$H18="En revue"),"E",IF($H18="Bloquée","B","P"))),""))</f>
        <v/>
      </c>
      <c r="Q18" s="53">
        <f>IF(OR($F18="",$G18=""),"",IF(AND(Q$5&lt;=$G18,Q$5+6&gt;=$F18),IF($H18="Complétée","F",IF(OR($H18="En cours",$H18="En revue"),"E",IF($H18="Bloquée","B","P"))),""))</f>
        <v/>
      </c>
      <c r="R18" s="53">
        <f>IF(OR($F18="",$G18=""),"",IF(AND(R$5&lt;=$G18,R$5+6&gt;=$F18),IF($H18="Complétée","F",IF(OR($H18="En cours",$H18="En revue"),"E",IF($H18="Bloquée","B","P"))),""))</f>
        <v/>
      </c>
      <c r="S18" s="53">
        <f>IF(OR($F18="",$G18=""),"",IF(AND(S$5&lt;=$G18,S$5+6&gt;=$F18),IF($H18="Complétée","F",IF(OR($H18="En cours",$H18="En revue"),"E",IF($H18="Bloquée","B","P"))),""))</f>
        <v/>
      </c>
      <c r="T18" s="53">
        <f>IF(OR($F18="",$G18=""),"",IF(AND(T$5&lt;=$G18,T$5+6&gt;=$F18),IF($H18="Complétée","F",IF(OR($H18="En cours",$H18="En revue"),"E",IF($H18="Bloquée","B","P"))),""))</f>
        <v/>
      </c>
      <c r="U18" s="53">
        <f>IF(OR($F18="",$G18=""),"",IF(AND(U$5&lt;=$G18,U$5+6&gt;=$F18),IF($H18="Complétée","F",IF(OR($H18="En cours",$H18="En revue"),"E",IF($H18="Bloquée","B","P"))),""))</f>
        <v/>
      </c>
      <c r="V18" s="53">
        <f>IF(OR($F18="",$G18=""),"",IF(AND(V$5&lt;=$G18,V$5+6&gt;=$F18),IF($H18="Complétée","F",IF(OR($H18="En cours",$H18="En revue"),"E",IF($H18="Bloquée","B","P"))),""))</f>
        <v/>
      </c>
      <c r="W18" s="53">
        <f>IF(OR($F18="",$G18=""),"",IF(AND(W$5&lt;=$G18,W$5+6&gt;=$F18),IF($H18="Complétée","F",IF(OR($H18="En cours",$H18="En revue"),"E",IF($H18="Bloquée","B","P"))),""))</f>
        <v/>
      </c>
      <c r="X18" s="53">
        <f>IF(OR($F18="",$G18=""),"",IF(AND(X$5&lt;=$G18,X$5+6&gt;=$F18),IF($H18="Complétée","F",IF(OR($H18="En cours",$H18="En revue"),"E",IF($H18="Bloquée","B","P"))),""))</f>
        <v/>
      </c>
      <c r="Y18" s="53">
        <f>IF(OR($F18="",$G18=""),"",IF(AND(Y$5&lt;=$G18,Y$5+6&gt;=$F18),IF($H18="Complétée","F",IF(OR($H18="En cours",$H18="En revue"),"E",IF($H18="Bloquée","B","P"))),""))</f>
        <v/>
      </c>
      <c r="Z18" s="53">
        <f>IF(OR($F18="",$G18=""),"",IF(AND(Z$5&lt;=$G18,Z$5+6&gt;=$F18),IF($H18="Complétée","F",IF(OR($H18="En cours",$H18="En revue"),"E",IF($H18="Bloquée","B","P"))),""))</f>
        <v/>
      </c>
      <c r="AA18" s="53">
        <f>IF(OR($F18="",$G18=""),"",IF(AND(AA$5&lt;=$G18,AA$5+6&gt;=$F18),IF($H18="Complétée","F",IF(OR($H18="En cours",$H18="En revue"),"E",IF($H18="Bloquée","B","P"))),""))</f>
        <v/>
      </c>
      <c r="AB18" s="53">
        <f>IF(OR($F18="",$G18=""),"",IF(AND(AB$5&lt;=$G18,AB$5+6&gt;=$F18),IF($H18="Complétée","F",IF(OR($H18="En cours",$H18="En revue"),"E",IF($H18="Bloquée","B","P"))),""))</f>
        <v/>
      </c>
      <c r="AC18" s="53">
        <f>IF(OR($F18="",$G18=""),"",IF(AND(AC$5&lt;=$G18,AC$5+6&gt;=$F18),IF($H18="Complétée","F",IF(OR($H18="En cours",$H18="En revue"),"E",IF($H18="Bloquée","B","P"))),""))</f>
        <v/>
      </c>
      <c r="AD18" s="53">
        <f>IF(OR($F18="",$G18=""),"",IF(AND(AD$5&lt;=$G18,AD$5+6&gt;=$F18),IF($H18="Complétée","F",IF(OR($H18="En cours",$H18="En revue"),"E",IF($H18="Bloquée","B","P"))),""))</f>
        <v/>
      </c>
      <c r="AE18" s="53">
        <f>IF(OR($F18="",$G18=""),"",IF(AND(AE$5&lt;=$G18,AE$5+6&gt;=$F18),IF($H18="Complétée","F",IF(OR($H18="En cours",$H18="En revue"),"E",IF($H18="Bloquée","B","P"))),""))</f>
        <v/>
      </c>
      <c r="AF18" s="53">
        <f>IF(OR($F18="",$G18=""),"",IF(AND(AF$5&lt;=$G18,AF$5+6&gt;=$F18),IF($H18="Complétée","F",IF(OR($H18="En cours",$H18="En revue"),"E",IF($H18="Bloquée","B","P"))),""))</f>
        <v/>
      </c>
      <c r="AG18" s="53">
        <f>IF(OR($F18="",$G18=""),"",IF(AND(AG$5&lt;=$G18,AG$5+6&gt;=$F18),IF($H18="Complétée","F",IF(OR($H18="En cours",$H18="En revue"),"E",IF($H18="Bloquée","B","P"))),""))</f>
        <v/>
      </c>
      <c r="AH18" s="53">
        <f>IF(OR($F18="",$G18=""),"",IF(AND(AH$5&lt;=$G18,AH$5+6&gt;=$F18),IF($H18="Complétée","F",IF(OR($H18="En cours",$H18="En revue"),"E",IF($H18="Bloquée","B","P"))),""))</f>
        <v/>
      </c>
      <c r="AI18" s="53">
        <f>IF(OR($F18="",$G18=""),"",IF(AND(AI$5&lt;=$G18,AI$5+6&gt;=$F18),IF($H18="Complétée","F",IF(OR($H18="En cours",$H18="En revue"),"E",IF($H18="Bloquée","B","P"))),""))</f>
        <v/>
      </c>
      <c r="AJ18" s="53">
        <f>IF(OR($F18="",$G18=""),"",IF(AND(AJ$5&lt;=$G18,AJ$5+6&gt;=$F18),IF($H18="Complétée","F",IF(OR($H18="En cours",$H18="En revue"),"E",IF($H18="Bloquée","B","P"))),""))</f>
        <v/>
      </c>
      <c r="AK18" s="53">
        <f>IF(OR($F18="",$G18=""),"",IF(AND(AK$5&lt;=$G18,AK$5+6&gt;=$F18),IF($H18="Complétée","F",IF(OR($H18="En cours",$H18="En revue"),"E",IF($H18="Bloquée","B","P"))),""))</f>
        <v/>
      </c>
      <c r="AL18" s="53">
        <f>IF(OR($F18="",$G18=""),"",IF(AND(AL$5&lt;=$G18,AL$5+6&gt;=$F18),IF($H18="Complétée","F",IF(OR($H18="En cours",$H18="En revue"),"E",IF($H18="Bloquée","B","P"))),""))</f>
        <v/>
      </c>
      <c r="AM18" s="53">
        <f>IF(OR($F18="",$G18=""),"",IF(AND(AM$5&lt;=$G18,AM$5+6&gt;=$F18),IF($H18="Complétée","F",IF(OR($H18="En cours",$H18="En revue"),"E",IF($H18="Bloquée","B","P"))),""))</f>
        <v/>
      </c>
      <c r="AN18" s="53">
        <f>IF(OR($F18="",$G18=""),"",IF(AND(AN$5&lt;=$G18,AN$5+6&gt;=$F18),IF($H18="Complétée","F",IF(OR($H18="En cours",$H18="En revue"),"E",IF($H18="Bloquée","B","P"))),""))</f>
        <v/>
      </c>
      <c r="AO18" s="53">
        <f>IF(OR($F18="",$G18=""),"",IF(AND(AO$5&lt;=$G18,AO$5+6&gt;=$F18),IF($H18="Complétée","F",IF(OR($H18="En cours",$H18="En revue"),"E",IF($H18="Bloquée","B","P"))),""))</f>
        <v/>
      </c>
      <c r="AP18" s="53">
        <f>IF(OR($F18="",$G18=""),"",IF(AND(AP$5&lt;=$G18,AP$5+6&gt;=$F18),IF($H18="Complétée","F",IF(OR($H18="En cours",$H18="En revue"),"E",IF($H18="Bloquée","B","P"))),""))</f>
        <v/>
      </c>
      <c r="AQ18" s="53">
        <f>IF(OR($F18="",$G18=""),"",IF(AND(AQ$5&lt;=$G18,AQ$5+6&gt;=$F18),IF($H18="Complétée","F",IF(OR($H18="En cours",$H18="En revue"),"E",IF($H18="Bloquée","B","P"))),""))</f>
        <v/>
      </c>
      <c r="AR18" s="53">
        <f>IF(OR($F18="",$G18=""),"",IF(AND(AR$5&lt;=$G18,AR$5+6&gt;=$F18),IF($H18="Complétée","F",IF(OR($H18="En cours",$H18="En revue"),"E",IF($H18="Bloquée","B","P"))),""))</f>
        <v/>
      </c>
      <c r="AS18" s="53">
        <f>IF(OR($F18="",$G18=""),"",IF(AND(AS$5&lt;=$G18,AS$5+6&gt;=$F18),IF($H18="Complétée","F",IF(OR($H18="En cours",$H18="En revue"),"E",IF($H18="Bloquée","B","P"))),""))</f>
        <v/>
      </c>
      <c r="AT18" s="53">
        <f>IF(OR($F18="",$G18=""),"",IF(AND(AT$5&lt;=$G18,AT$5+6&gt;=$F18),IF($H18="Complétée","F",IF(OR($H18="En cours",$H18="En revue"),"E",IF($H18="Bloquée","B","P"))),""))</f>
        <v/>
      </c>
      <c r="AU18" s="53">
        <f>IF(OR($F18="",$G18=""),"",IF(AND(AU$5&lt;=$G18,AU$5+6&gt;=$F18),IF($H18="Complétée","F",IF(OR($H18="En cours",$H18="En revue"),"E",IF($H18="Bloquée","B","P"))),""))</f>
        <v/>
      </c>
      <c r="AV18" s="53">
        <f>IF(OR($F18="",$G18=""),"",IF(AND(AV$5&lt;=$G18,AV$5+6&gt;=$F18),IF($H18="Complétée","F",IF(OR($H18="En cours",$H18="En revue"),"E",IF($H18="Bloquée","B","P"))),""))</f>
        <v/>
      </c>
      <c r="AW18" s="53">
        <f>IF(OR($F18="",$G18=""),"",IF(AND(AW$5&lt;=$G18,AW$5+6&gt;=$F18),IF($H18="Complétée","F",IF(OR($H18="En cours",$H18="En revue"),"E",IF($H18="Bloquée","B","P"))),""))</f>
        <v/>
      </c>
    </row>
    <row r="19">
      <c r="B19" s="50">
        <f>IF(Taches!B19="","",Taches!B19)</f>
        <v/>
      </c>
      <c r="C19" s="51">
        <f>IF(Taches!B19="","",Taches!F19)</f>
        <v/>
      </c>
      <c r="D19" s="50">
        <f>IF(Taches!B19="","",Taches!C19)</f>
        <v/>
      </c>
      <c r="E19" s="50">
        <f>IF(Taches!B19="","",Taches!D19)</f>
        <v/>
      </c>
      <c r="F19" s="52">
        <f>IF(Taches!P19="","",Taches!P19)</f>
        <v/>
      </c>
      <c r="G19" s="52">
        <f>IF(Taches!Q19="","",Taches!Q19)</f>
        <v/>
      </c>
      <c r="H19" s="50">
        <f>IF(Taches!B19="","",Taches!J19)</f>
        <v/>
      </c>
      <c r="I19" s="53">
        <f>IF(OR($F19="",$G19=""),"",IF(AND(I$5&lt;=$G19,I$5+6&gt;=$F19),IF($H19="Complétée","F",IF(OR($H19="En cours",$H19="En revue"),"E",IF($H19="Bloquée","B","P"))),""))</f>
        <v/>
      </c>
      <c r="J19" s="53">
        <f>IF(OR($F19="",$G19=""),"",IF(AND(J$5&lt;=$G19,J$5+6&gt;=$F19),IF($H19="Complétée","F",IF(OR($H19="En cours",$H19="En revue"),"E",IF($H19="Bloquée","B","P"))),""))</f>
        <v/>
      </c>
      <c r="K19" s="53">
        <f>IF(OR($F19="",$G19=""),"",IF(AND(K$5&lt;=$G19,K$5+6&gt;=$F19),IF($H19="Complétée","F",IF(OR($H19="En cours",$H19="En revue"),"E",IF($H19="Bloquée","B","P"))),""))</f>
        <v/>
      </c>
      <c r="L19" s="53">
        <f>IF(OR($F19="",$G19=""),"",IF(AND(L$5&lt;=$G19,L$5+6&gt;=$F19),IF($H19="Complétée","F",IF(OR($H19="En cours",$H19="En revue"),"E",IF($H19="Bloquée","B","P"))),""))</f>
        <v/>
      </c>
      <c r="M19" s="53">
        <f>IF(OR($F19="",$G19=""),"",IF(AND(M$5&lt;=$G19,M$5+6&gt;=$F19),IF($H19="Complétée","F",IF(OR($H19="En cours",$H19="En revue"),"E",IF($H19="Bloquée","B","P"))),""))</f>
        <v/>
      </c>
      <c r="N19" s="53">
        <f>IF(OR($F19="",$G19=""),"",IF(AND(N$5&lt;=$G19,N$5+6&gt;=$F19),IF($H19="Complétée","F",IF(OR($H19="En cours",$H19="En revue"),"E",IF($H19="Bloquée","B","P"))),""))</f>
        <v/>
      </c>
      <c r="O19" s="53">
        <f>IF(OR($F19="",$G19=""),"",IF(AND(O$5&lt;=$G19,O$5+6&gt;=$F19),IF($H19="Complétée","F",IF(OR($H19="En cours",$H19="En revue"),"E",IF($H19="Bloquée","B","P"))),""))</f>
        <v/>
      </c>
      <c r="P19" s="53">
        <f>IF(OR($F19="",$G19=""),"",IF(AND(P$5&lt;=$G19,P$5+6&gt;=$F19),IF($H19="Complétée","F",IF(OR($H19="En cours",$H19="En revue"),"E",IF($H19="Bloquée","B","P"))),""))</f>
        <v/>
      </c>
      <c r="Q19" s="53">
        <f>IF(OR($F19="",$G19=""),"",IF(AND(Q$5&lt;=$G19,Q$5+6&gt;=$F19),IF($H19="Complétée","F",IF(OR($H19="En cours",$H19="En revue"),"E",IF($H19="Bloquée","B","P"))),""))</f>
        <v/>
      </c>
      <c r="R19" s="53">
        <f>IF(OR($F19="",$G19=""),"",IF(AND(R$5&lt;=$G19,R$5+6&gt;=$F19),IF($H19="Complétée","F",IF(OR($H19="En cours",$H19="En revue"),"E",IF($H19="Bloquée","B","P"))),""))</f>
        <v/>
      </c>
      <c r="S19" s="53">
        <f>IF(OR($F19="",$G19=""),"",IF(AND(S$5&lt;=$G19,S$5+6&gt;=$F19),IF($H19="Complétée","F",IF(OR($H19="En cours",$H19="En revue"),"E",IF($H19="Bloquée","B","P"))),""))</f>
        <v/>
      </c>
      <c r="T19" s="53">
        <f>IF(OR($F19="",$G19=""),"",IF(AND(T$5&lt;=$G19,T$5+6&gt;=$F19),IF($H19="Complétée","F",IF(OR($H19="En cours",$H19="En revue"),"E",IF($H19="Bloquée","B","P"))),""))</f>
        <v/>
      </c>
      <c r="U19" s="53">
        <f>IF(OR($F19="",$G19=""),"",IF(AND(U$5&lt;=$G19,U$5+6&gt;=$F19),IF($H19="Complétée","F",IF(OR($H19="En cours",$H19="En revue"),"E",IF($H19="Bloquée","B","P"))),""))</f>
        <v/>
      </c>
      <c r="V19" s="53">
        <f>IF(OR($F19="",$G19=""),"",IF(AND(V$5&lt;=$G19,V$5+6&gt;=$F19),IF($H19="Complétée","F",IF(OR($H19="En cours",$H19="En revue"),"E",IF($H19="Bloquée","B","P"))),""))</f>
        <v/>
      </c>
      <c r="W19" s="53">
        <f>IF(OR($F19="",$G19=""),"",IF(AND(W$5&lt;=$G19,W$5+6&gt;=$F19),IF($H19="Complétée","F",IF(OR($H19="En cours",$H19="En revue"),"E",IF($H19="Bloquée","B","P"))),""))</f>
        <v/>
      </c>
      <c r="X19" s="53">
        <f>IF(OR($F19="",$G19=""),"",IF(AND(X$5&lt;=$G19,X$5+6&gt;=$F19),IF($H19="Complétée","F",IF(OR($H19="En cours",$H19="En revue"),"E",IF($H19="Bloquée","B","P"))),""))</f>
        <v/>
      </c>
      <c r="Y19" s="53">
        <f>IF(OR($F19="",$G19=""),"",IF(AND(Y$5&lt;=$G19,Y$5+6&gt;=$F19),IF($H19="Complétée","F",IF(OR($H19="En cours",$H19="En revue"),"E",IF($H19="Bloquée","B","P"))),""))</f>
        <v/>
      </c>
      <c r="Z19" s="53">
        <f>IF(OR($F19="",$G19=""),"",IF(AND(Z$5&lt;=$G19,Z$5+6&gt;=$F19),IF($H19="Complétée","F",IF(OR($H19="En cours",$H19="En revue"),"E",IF($H19="Bloquée","B","P"))),""))</f>
        <v/>
      </c>
      <c r="AA19" s="53">
        <f>IF(OR($F19="",$G19=""),"",IF(AND(AA$5&lt;=$G19,AA$5+6&gt;=$F19),IF($H19="Complétée","F",IF(OR($H19="En cours",$H19="En revue"),"E",IF($H19="Bloquée","B","P"))),""))</f>
        <v/>
      </c>
      <c r="AB19" s="53">
        <f>IF(OR($F19="",$G19=""),"",IF(AND(AB$5&lt;=$G19,AB$5+6&gt;=$F19),IF($H19="Complétée","F",IF(OR($H19="En cours",$H19="En revue"),"E",IF($H19="Bloquée","B","P"))),""))</f>
        <v/>
      </c>
      <c r="AC19" s="53">
        <f>IF(OR($F19="",$G19=""),"",IF(AND(AC$5&lt;=$G19,AC$5+6&gt;=$F19),IF($H19="Complétée","F",IF(OR($H19="En cours",$H19="En revue"),"E",IF($H19="Bloquée","B","P"))),""))</f>
        <v/>
      </c>
      <c r="AD19" s="53">
        <f>IF(OR($F19="",$G19=""),"",IF(AND(AD$5&lt;=$G19,AD$5+6&gt;=$F19),IF($H19="Complétée","F",IF(OR($H19="En cours",$H19="En revue"),"E",IF($H19="Bloquée","B","P"))),""))</f>
        <v/>
      </c>
      <c r="AE19" s="53">
        <f>IF(OR($F19="",$G19=""),"",IF(AND(AE$5&lt;=$G19,AE$5+6&gt;=$F19),IF($H19="Complétée","F",IF(OR($H19="En cours",$H19="En revue"),"E",IF($H19="Bloquée","B","P"))),""))</f>
        <v/>
      </c>
      <c r="AF19" s="53">
        <f>IF(OR($F19="",$G19=""),"",IF(AND(AF$5&lt;=$G19,AF$5+6&gt;=$F19),IF($H19="Complétée","F",IF(OR($H19="En cours",$H19="En revue"),"E",IF($H19="Bloquée","B","P"))),""))</f>
        <v/>
      </c>
      <c r="AG19" s="53">
        <f>IF(OR($F19="",$G19=""),"",IF(AND(AG$5&lt;=$G19,AG$5+6&gt;=$F19),IF($H19="Complétée","F",IF(OR($H19="En cours",$H19="En revue"),"E",IF($H19="Bloquée","B","P"))),""))</f>
        <v/>
      </c>
      <c r="AH19" s="53">
        <f>IF(OR($F19="",$G19=""),"",IF(AND(AH$5&lt;=$G19,AH$5+6&gt;=$F19),IF($H19="Complétée","F",IF(OR($H19="En cours",$H19="En revue"),"E",IF($H19="Bloquée","B","P"))),""))</f>
        <v/>
      </c>
      <c r="AI19" s="53">
        <f>IF(OR($F19="",$G19=""),"",IF(AND(AI$5&lt;=$G19,AI$5+6&gt;=$F19),IF($H19="Complétée","F",IF(OR($H19="En cours",$H19="En revue"),"E",IF($H19="Bloquée","B","P"))),""))</f>
        <v/>
      </c>
      <c r="AJ19" s="53">
        <f>IF(OR($F19="",$G19=""),"",IF(AND(AJ$5&lt;=$G19,AJ$5+6&gt;=$F19),IF($H19="Complétée","F",IF(OR($H19="En cours",$H19="En revue"),"E",IF($H19="Bloquée","B","P"))),""))</f>
        <v/>
      </c>
      <c r="AK19" s="53">
        <f>IF(OR($F19="",$G19=""),"",IF(AND(AK$5&lt;=$G19,AK$5+6&gt;=$F19),IF($H19="Complétée","F",IF(OR($H19="En cours",$H19="En revue"),"E",IF($H19="Bloquée","B","P"))),""))</f>
        <v/>
      </c>
      <c r="AL19" s="53">
        <f>IF(OR($F19="",$G19=""),"",IF(AND(AL$5&lt;=$G19,AL$5+6&gt;=$F19),IF($H19="Complétée","F",IF(OR($H19="En cours",$H19="En revue"),"E",IF($H19="Bloquée","B","P"))),""))</f>
        <v/>
      </c>
      <c r="AM19" s="53">
        <f>IF(OR($F19="",$G19=""),"",IF(AND(AM$5&lt;=$G19,AM$5+6&gt;=$F19),IF($H19="Complétée","F",IF(OR($H19="En cours",$H19="En revue"),"E",IF($H19="Bloquée","B","P"))),""))</f>
        <v/>
      </c>
      <c r="AN19" s="53">
        <f>IF(OR($F19="",$G19=""),"",IF(AND(AN$5&lt;=$G19,AN$5+6&gt;=$F19),IF($H19="Complétée","F",IF(OR($H19="En cours",$H19="En revue"),"E",IF($H19="Bloquée","B","P"))),""))</f>
        <v/>
      </c>
      <c r="AO19" s="53">
        <f>IF(OR($F19="",$G19=""),"",IF(AND(AO$5&lt;=$G19,AO$5+6&gt;=$F19),IF($H19="Complétée","F",IF(OR($H19="En cours",$H19="En revue"),"E",IF($H19="Bloquée","B","P"))),""))</f>
        <v/>
      </c>
      <c r="AP19" s="53">
        <f>IF(OR($F19="",$G19=""),"",IF(AND(AP$5&lt;=$G19,AP$5+6&gt;=$F19),IF($H19="Complétée","F",IF(OR($H19="En cours",$H19="En revue"),"E",IF($H19="Bloquée","B","P"))),""))</f>
        <v/>
      </c>
      <c r="AQ19" s="53">
        <f>IF(OR($F19="",$G19=""),"",IF(AND(AQ$5&lt;=$G19,AQ$5+6&gt;=$F19),IF($H19="Complétée","F",IF(OR($H19="En cours",$H19="En revue"),"E",IF($H19="Bloquée","B","P"))),""))</f>
        <v/>
      </c>
      <c r="AR19" s="53">
        <f>IF(OR($F19="",$G19=""),"",IF(AND(AR$5&lt;=$G19,AR$5+6&gt;=$F19),IF($H19="Complétée","F",IF(OR($H19="En cours",$H19="En revue"),"E",IF($H19="Bloquée","B","P"))),""))</f>
        <v/>
      </c>
      <c r="AS19" s="53">
        <f>IF(OR($F19="",$G19=""),"",IF(AND(AS$5&lt;=$G19,AS$5+6&gt;=$F19),IF($H19="Complétée","F",IF(OR($H19="En cours",$H19="En revue"),"E",IF($H19="Bloquée","B","P"))),""))</f>
        <v/>
      </c>
      <c r="AT19" s="53">
        <f>IF(OR($F19="",$G19=""),"",IF(AND(AT$5&lt;=$G19,AT$5+6&gt;=$F19),IF($H19="Complétée","F",IF(OR($H19="En cours",$H19="En revue"),"E",IF($H19="Bloquée","B","P"))),""))</f>
        <v/>
      </c>
      <c r="AU19" s="53">
        <f>IF(OR($F19="",$G19=""),"",IF(AND(AU$5&lt;=$G19,AU$5+6&gt;=$F19),IF($H19="Complétée","F",IF(OR($H19="En cours",$H19="En revue"),"E",IF($H19="Bloquée","B","P"))),""))</f>
        <v/>
      </c>
      <c r="AV19" s="53">
        <f>IF(OR($F19="",$G19=""),"",IF(AND(AV$5&lt;=$G19,AV$5+6&gt;=$F19),IF($H19="Complétée","F",IF(OR($H19="En cours",$H19="En revue"),"E",IF($H19="Bloquée","B","P"))),""))</f>
        <v/>
      </c>
      <c r="AW19" s="53">
        <f>IF(OR($F19="",$G19=""),"",IF(AND(AW$5&lt;=$G19,AW$5+6&gt;=$F19),IF($H19="Complétée","F",IF(OR($H19="En cours",$H19="En revue"),"E",IF($H19="Bloquée","B","P"))),""))</f>
        <v/>
      </c>
    </row>
    <row r="20">
      <c r="B20" s="50">
        <f>IF(Taches!B20="","",Taches!B20)</f>
        <v/>
      </c>
      <c r="C20" s="51">
        <f>IF(Taches!B20="","",Taches!F20)</f>
        <v/>
      </c>
      <c r="D20" s="50">
        <f>IF(Taches!B20="","",Taches!C20)</f>
        <v/>
      </c>
      <c r="E20" s="50">
        <f>IF(Taches!B20="","",Taches!D20)</f>
        <v/>
      </c>
      <c r="F20" s="52">
        <f>IF(Taches!P20="","",Taches!P20)</f>
        <v/>
      </c>
      <c r="G20" s="52">
        <f>IF(Taches!Q20="","",Taches!Q20)</f>
        <v/>
      </c>
      <c r="H20" s="50">
        <f>IF(Taches!B20="","",Taches!J20)</f>
        <v/>
      </c>
      <c r="I20" s="53">
        <f>IF(OR($F20="",$G20=""),"",IF(AND(I$5&lt;=$G20,I$5+6&gt;=$F20),IF($H20="Complétée","F",IF(OR($H20="En cours",$H20="En revue"),"E",IF($H20="Bloquée","B","P"))),""))</f>
        <v/>
      </c>
      <c r="J20" s="53">
        <f>IF(OR($F20="",$G20=""),"",IF(AND(J$5&lt;=$G20,J$5+6&gt;=$F20),IF($H20="Complétée","F",IF(OR($H20="En cours",$H20="En revue"),"E",IF($H20="Bloquée","B","P"))),""))</f>
        <v/>
      </c>
      <c r="K20" s="53">
        <f>IF(OR($F20="",$G20=""),"",IF(AND(K$5&lt;=$G20,K$5+6&gt;=$F20),IF($H20="Complétée","F",IF(OR($H20="En cours",$H20="En revue"),"E",IF($H20="Bloquée","B","P"))),""))</f>
        <v/>
      </c>
      <c r="L20" s="53">
        <f>IF(OR($F20="",$G20=""),"",IF(AND(L$5&lt;=$G20,L$5+6&gt;=$F20),IF($H20="Complétée","F",IF(OR($H20="En cours",$H20="En revue"),"E",IF($H20="Bloquée","B","P"))),""))</f>
        <v/>
      </c>
      <c r="M20" s="53">
        <f>IF(OR($F20="",$G20=""),"",IF(AND(M$5&lt;=$G20,M$5+6&gt;=$F20),IF($H20="Complétée","F",IF(OR($H20="En cours",$H20="En revue"),"E",IF($H20="Bloquée","B","P"))),""))</f>
        <v/>
      </c>
      <c r="N20" s="53">
        <f>IF(OR($F20="",$G20=""),"",IF(AND(N$5&lt;=$G20,N$5+6&gt;=$F20),IF($H20="Complétée","F",IF(OR($H20="En cours",$H20="En revue"),"E",IF($H20="Bloquée","B","P"))),""))</f>
        <v/>
      </c>
      <c r="O20" s="53">
        <f>IF(OR($F20="",$G20=""),"",IF(AND(O$5&lt;=$G20,O$5+6&gt;=$F20),IF($H20="Complétée","F",IF(OR($H20="En cours",$H20="En revue"),"E",IF($H20="Bloquée","B","P"))),""))</f>
        <v/>
      </c>
      <c r="P20" s="53">
        <f>IF(OR($F20="",$G20=""),"",IF(AND(P$5&lt;=$G20,P$5+6&gt;=$F20),IF($H20="Complétée","F",IF(OR($H20="En cours",$H20="En revue"),"E",IF($H20="Bloquée","B","P"))),""))</f>
        <v/>
      </c>
      <c r="Q20" s="53">
        <f>IF(OR($F20="",$G20=""),"",IF(AND(Q$5&lt;=$G20,Q$5+6&gt;=$F20),IF($H20="Complétée","F",IF(OR($H20="En cours",$H20="En revue"),"E",IF($H20="Bloquée","B","P"))),""))</f>
        <v/>
      </c>
      <c r="R20" s="53">
        <f>IF(OR($F20="",$G20=""),"",IF(AND(R$5&lt;=$G20,R$5+6&gt;=$F20),IF($H20="Complétée","F",IF(OR($H20="En cours",$H20="En revue"),"E",IF($H20="Bloquée","B","P"))),""))</f>
        <v/>
      </c>
      <c r="S20" s="53">
        <f>IF(OR($F20="",$G20=""),"",IF(AND(S$5&lt;=$G20,S$5+6&gt;=$F20),IF($H20="Complétée","F",IF(OR($H20="En cours",$H20="En revue"),"E",IF($H20="Bloquée","B","P"))),""))</f>
        <v/>
      </c>
      <c r="T20" s="53">
        <f>IF(OR($F20="",$G20=""),"",IF(AND(T$5&lt;=$G20,T$5+6&gt;=$F20),IF($H20="Complétée","F",IF(OR($H20="En cours",$H20="En revue"),"E",IF($H20="Bloquée","B","P"))),""))</f>
        <v/>
      </c>
      <c r="U20" s="53">
        <f>IF(OR($F20="",$G20=""),"",IF(AND(U$5&lt;=$G20,U$5+6&gt;=$F20),IF($H20="Complétée","F",IF(OR($H20="En cours",$H20="En revue"),"E",IF($H20="Bloquée","B","P"))),""))</f>
        <v/>
      </c>
      <c r="V20" s="53">
        <f>IF(OR($F20="",$G20=""),"",IF(AND(V$5&lt;=$G20,V$5+6&gt;=$F20),IF($H20="Complétée","F",IF(OR($H20="En cours",$H20="En revue"),"E",IF($H20="Bloquée","B","P"))),""))</f>
        <v/>
      </c>
      <c r="W20" s="53">
        <f>IF(OR($F20="",$G20=""),"",IF(AND(W$5&lt;=$G20,W$5+6&gt;=$F20),IF($H20="Complétée","F",IF(OR($H20="En cours",$H20="En revue"),"E",IF($H20="Bloquée","B","P"))),""))</f>
        <v/>
      </c>
      <c r="X20" s="53">
        <f>IF(OR($F20="",$G20=""),"",IF(AND(X$5&lt;=$G20,X$5+6&gt;=$F20),IF($H20="Complétée","F",IF(OR($H20="En cours",$H20="En revue"),"E",IF($H20="Bloquée","B","P"))),""))</f>
        <v/>
      </c>
      <c r="Y20" s="53">
        <f>IF(OR($F20="",$G20=""),"",IF(AND(Y$5&lt;=$G20,Y$5+6&gt;=$F20),IF($H20="Complétée","F",IF(OR($H20="En cours",$H20="En revue"),"E",IF($H20="Bloquée","B","P"))),""))</f>
        <v/>
      </c>
      <c r="Z20" s="53">
        <f>IF(OR($F20="",$G20=""),"",IF(AND(Z$5&lt;=$G20,Z$5+6&gt;=$F20),IF($H20="Complétée","F",IF(OR($H20="En cours",$H20="En revue"),"E",IF($H20="Bloquée","B","P"))),""))</f>
        <v/>
      </c>
      <c r="AA20" s="53">
        <f>IF(OR($F20="",$G20=""),"",IF(AND(AA$5&lt;=$G20,AA$5+6&gt;=$F20),IF($H20="Complétée","F",IF(OR($H20="En cours",$H20="En revue"),"E",IF($H20="Bloquée","B","P"))),""))</f>
        <v/>
      </c>
      <c r="AB20" s="53">
        <f>IF(OR($F20="",$G20=""),"",IF(AND(AB$5&lt;=$G20,AB$5+6&gt;=$F20),IF($H20="Complétée","F",IF(OR($H20="En cours",$H20="En revue"),"E",IF($H20="Bloquée","B","P"))),""))</f>
        <v/>
      </c>
      <c r="AC20" s="53">
        <f>IF(OR($F20="",$G20=""),"",IF(AND(AC$5&lt;=$G20,AC$5+6&gt;=$F20),IF($H20="Complétée","F",IF(OR($H20="En cours",$H20="En revue"),"E",IF($H20="Bloquée","B","P"))),""))</f>
        <v/>
      </c>
      <c r="AD20" s="53">
        <f>IF(OR($F20="",$G20=""),"",IF(AND(AD$5&lt;=$G20,AD$5+6&gt;=$F20),IF($H20="Complétée","F",IF(OR($H20="En cours",$H20="En revue"),"E",IF($H20="Bloquée","B","P"))),""))</f>
        <v/>
      </c>
      <c r="AE20" s="53">
        <f>IF(OR($F20="",$G20=""),"",IF(AND(AE$5&lt;=$G20,AE$5+6&gt;=$F20),IF($H20="Complétée","F",IF(OR($H20="En cours",$H20="En revue"),"E",IF($H20="Bloquée","B","P"))),""))</f>
        <v/>
      </c>
      <c r="AF20" s="53">
        <f>IF(OR($F20="",$G20=""),"",IF(AND(AF$5&lt;=$G20,AF$5+6&gt;=$F20),IF($H20="Complétée","F",IF(OR($H20="En cours",$H20="En revue"),"E",IF($H20="Bloquée","B","P"))),""))</f>
        <v/>
      </c>
      <c r="AG20" s="53">
        <f>IF(OR($F20="",$G20=""),"",IF(AND(AG$5&lt;=$G20,AG$5+6&gt;=$F20),IF($H20="Complétée","F",IF(OR($H20="En cours",$H20="En revue"),"E",IF($H20="Bloquée","B","P"))),""))</f>
        <v/>
      </c>
      <c r="AH20" s="53">
        <f>IF(OR($F20="",$G20=""),"",IF(AND(AH$5&lt;=$G20,AH$5+6&gt;=$F20),IF($H20="Complétée","F",IF(OR($H20="En cours",$H20="En revue"),"E",IF($H20="Bloquée","B","P"))),""))</f>
        <v/>
      </c>
      <c r="AI20" s="53">
        <f>IF(OR($F20="",$G20=""),"",IF(AND(AI$5&lt;=$G20,AI$5+6&gt;=$F20),IF($H20="Complétée","F",IF(OR($H20="En cours",$H20="En revue"),"E",IF($H20="Bloquée","B","P"))),""))</f>
        <v/>
      </c>
      <c r="AJ20" s="53">
        <f>IF(OR($F20="",$G20=""),"",IF(AND(AJ$5&lt;=$G20,AJ$5+6&gt;=$F20),IF($H20="Complétée","F",IF(OR($H20="En cours",$H20="En revue"),"E",IF($H20="Bloquée","B","P"))),""))</f>
        <v/>
      </c>
      <c r="AK20" s="53">
        <f>IF(OR($F20="",$G20=""),"",IF(AND(AK$5&lt;=$G20,AK$5+6&gt;=$F20),IF($H20="Complétée","F",IF(OR($H20="En cours",$H20="En revue"),"E",IF($H20="Bloquée","B","P"))),""))</f>
        <v/>
      </c>
      <c r="AL20" s="53">
        <f>IF(OR($F20="",$G20=""),"",IF(AND(AL$5&lt;=$G20,AL$5+6&gt;=$F20),IF($H20="Complétée","F",IF(OR($H20="En cours",$H20="En revue"),"E",IF($H20="Bloquée","B","P"))),""))</f>
        <v/>
      </c>
      <c r="AM20" s="53">
        <f>IF(OR($F20="",$G20=""),"",IF(AND(AM$5&lt;=$G20,AM$5+6&gt;=$F20),IF($H20="Complétée","F",IF(OR($H20="En cours",$H20="En revue"),"E",IF($H20="Bloquée","B","P"))),""))</f>
        <v/>
      </c>
      <c r="AN20" s="53">
        <f>IF(OR($F20="",$G20=""),"",IF(AND(AN$5&lt;=$G20,AN$5+6&gt;=$F20),IF($H20="Complétée","F",IF(OR($H20="En cours",$H20="En revue"),"E",IF($H20="Bloquée","B","P"))),""))</f>
        <v/>
      </c>
      <c r="AO20" s="53">
        <f>IF(OR($F20="",$G20=""),"",IF(AND(AO$5&lt;=$G20,AO$5+6&gt;=$F20),IF($H20="Complétée","F",IF(OR($H20="En cours",$H20="En revue"),"E",IF($H20="Bloquée","B","P"))),""))</f>
        <v/>
      </c>
      <c r="AP20" s="53">
        <f>IF(OR($F20="",$G20=""),"",IF(AND(AP$5&lt;=$G20,AP$5+6&gt;=$F20),IF($H20="Complétée","F",IF(OR($H20="En cours",$H20="En revue"),"E",IF($H20="Bloquée","B","P"))),""))</f>
        <v/>
      </c>
      <c r="AQ20" s="53">
        <f>IF(OR($F20="",$G20=""),"",IF(AND(AQ$5&lt;=$G20,AQ$5+6&gt;=$F20),IF($H20="Complétée","F",IF(OR($H20="En cours",$H20="En revue"),"E",IF($H20="Bloquée","B","P"))),""))</f>
        <v/>
      </c>
      <c r="AR20" s="53">
        <f>IF(OR($F20="",$G20=""),"",IF(AND(AR$5&lt;=$G20,AR$5+6&gt;=$F20),IF($H20="Complétée","F",IF(OR($H20="En cours",$H20="En revue"),"E",IF($H20="Bloquée","B","P"))),""))</f>
        <v/>
      </c>
      <c r="AS20" s="53">
        <f>IF(OR($F20="",$G20=""),"",IF(AND(AS$5&lt;=$G20,AS$5+6&gt;=$F20),IF($H20="Complétée","F",IF(OR($H20="En cours",$H20="En revue"),"E",IF($H20="Bloquée","B","P"))),""))</f>
        <v/>
      </c>
      <c r="AT20" s="53">
        <f>IF(OR($F20="",$G20=""),"",IF(AND(AT$5&lt;=$G20,AT$5+6&gt;=$F20),IF($H20="Complétée","F",IF(OR($H20="En cours",$H20="En revue"),"E",IF($H20="Bloquée","B","P"))),""))</f>
        <v/>
      </c>
      <c r="AU20" s="53">
        <f>IF(OR($F20="",$G20=""),"",IF(AND(AU$5&lt;=$G20,AU$5+6&gt;=$F20),IF($H20="Complétée","F",IF(OR($H20="En cours",$H20="En revue"),"E",IF($H20="Bloquée","B","P"))),""))</f>
        <v/>
      </c>
      <c r="AV20" s="53">
        <f>IF(OR($F20="",$G20=""),"",IF(AND(AV$5&lt;=$G20,AV$5+6&gt;=$F20),IF($H20="Complétée","F",IF(OR($H20="En cours",$H20="En revue"),"E",IF($H20="Bloquée","B","P"))),""))</f>
        <v/>
      </c>
      <c r="AW20" s="53">
        <f>IF(OR($F20="",$G20=""),"",IF(AND(AW$5&lt;=$G20,AW$5+6&gt;=$F20),IF($H20="Complétée","F",IF(OR($H20="En cours",$H20="En revue"),"E",IF($H20="Bloquée","B","P"))),""))</f>
        <v/>
      </c>
    </row>
    <row r="21">
      <c r="B21" s="50">
        <f>IF(Taches!B21="","",Taches!B21)</f>
        <v/>
      </c>
      <c r="C21" s="51">
        <f>IF(Taches!B21="","",Taches!F21)</f>
        <v/>
      </c>
      <c r="D21" s="50">
        <f>IF(Taches!B21="","",Taches!C21)</f>
        <v/>
      </c>
      <c r="E21" s="50">
        <f>IF(Taches!B21="","",Taches!D21)</f>
        <v/>
      </c>
      <c r="F21" s="52">
        <f>IF(Taches!P21="","",Taches!P21)</f>
        <v/>
      </c>
      <c r="G21" s="52">
        <f>IF(Taches!Q21="","",Taches!Q21)</f>
        <v/>
      </c>
      <c r="H21" s="50">
        <f>IF(Taches!B21="","",Taches!J21)</f>
        <v/>
      </c>
      <c r="I21" s="53">
        <f>IF(OR($F21="",$G21=""),"",IF(AND(I$5&lt;=$G21,I$5+6&gt;=$F21),IF($H21="Complétée","F",IF(OR($H21="En cours",$H21="En revue"),"E",IF($H21="Bloquée","B","P"))),""))</f>
        <v/>
      </c>
      <c r="J21" s="53">
        <f>IF(OR($F21="",$G21=""),"",IF(AND(J$5&lt;=$G21,J$5+6&gt;=$F21),IF($H21="Complétée","F",IF(OR($H21="En cours",$H21="En revue"),"E",IF($H21="Bloquée","B","P"))),""))</f>
        <v/>
      </c>
      <c r="K21" s="53">
        <f>IF(OR($F21="",$G21=""),"",IF(AND(K$5&lt;=$G21,K$5+6&gt;=$F21),IF($H21="Complétée","F",IF(OR($H21="En cours",$H21="En revue"),"E",IF($H21="Bloquée","B","P"))),""))</f>
        <v/>
      </c>
      <c r="L21" s="53">
        <f>IF(OR($F21="",$G21=""),"",IF(AND(L$5&lt;=$G21,L$5+6&gt;=$F21),IF($H21="Complétée","F",IF(OR($H21="En cours",$H21="En revue"),"E",IF($H21="Bloquée","B","P"))),""))</f>
        <v/>
      </c>
      <c r="M21" s="53">
        <f>IF(OR($F21="",$G21=""),"",IF(AND(M$5&lt;=$G21,M$5+6&gt;=$F21),IF($H21="Complétée","F",IF(OR($H21="En cours",$H21="En revue"),"E",IF($H21="Bloquée","B","P"))),""))</f>
        <v/>
      </c>
      <c r="N21" s="53">
        <f>IF(OR($F21="",$G21=""),"",IF(AND(N$5&lt;=$G21,N$5+6&gt;=$F21),IF($H21="Complétée","F",IF(OR($H21="En cours",$H21="En revue"),"E",IF($H21="Bloquée","B","P"))),""))</f>
        <v/>
      </c>
      <c r="O21" s="53">
        <f>IF(OR($F21="",$G21=""),"",IF(AND(O$5&lt;=$G21,O$5+6&gt;=$F21),IF($H21="Complétée","F",IF(OR($H21="En cours",$H21="En revue"),"E",IF($H21="Bloquée","B","P"))),""))</f>
        <v/>
      </c>
      <c r="P21" s="53">
        <f>IF(OR($F21="",$G21=""),"",IF(AND(P$5&lt;=$G21,P$5+6&gt;=$F21),IF($H21="Complétée","F",IF(OR($H21="En cours",$H21="En revue"),"E",IF($H21="Bloquée","B","P"))),""))</f>
        <v/>
      </c>
      <c r="Q21" s="53">
        <f>IF(OR($F21="",$G21=""),"",IF(AND(Q$5&lt;=$G21,Q$5+6&gt;=$F21),IF($H21="Complétée","F",IF(OR($H21="En cours",$H21="En revue"),"E",IF($H21="Bloquée","B","P"))),""))</f>
        <v/>
      </c>
      <c r="R21" s="53">
        <f>IF(OR($F21="",$G21=""),"",IF(AND(R$5&lt;=$G21,R$5+6&gt;=$F21),IF($H21="Complétée","F",IF(OR($H21="En cours",$H21="En revue"),"E",IF($H21="Bloquée","B","P"))),""))</f>
        <v/>
      </c>
      <c r="S21" s="53">
        <f>IF(OR($F21="",$G21=""),"",IF(AND(S$5&lt;=$G21,S$5+6&gt;=$F21),IF($H21="Complétée","F",IF(OR($H21="En cours",$H21="En revue"),"E",IF($H21="Bloquée","B","P"))),""))</f>
        <v/>
      </c>
      <c r="T21" s="53">
        <f>IF(OR($F21="",$G21=""),"",IF(AND(T$5&lt;=$G21,T$5+6&gt;=$F21),IF($H21="Complétée","F",IF(OR($H21="En cours",$H21="En revue"),"E",IF($H21="Bloquée","B","P"))),""))</f>
        <v/>
      </c>
      <c r="U21" s="53">
        <f>IF(OR($F21="",$G21=""),"",IF(AND(U$5&lt;=$G21,U$5+6&gt;=$F21),IF($H21="Complétée","F",IF(OR($H21="En cours",$H21="En revue"),"E",IF($H21="Bloquée","B","P"))),""))</f>
        <v/>
      </c>
      <c r="V21" s="53">
        <f>IF(OR($F21="",$G21=""),"",IF(AND(V$5&lt;=$G21,V$5+6&gt;=$F21),IF($H21="Complétée","F",IF(OR($H21="En cours",$H21="En revue"),"E",IF($H21="Bloquée","B","P"))),""))</f>
        <v/>
      </c>
      <c r="W21" s="53">
        <f>IF(OR($F21="",$G21=""),"",IF(AND(W$5&lt;=$G21,W$5+6&gt;=$F21),IF($H21="Complétée","F",IF(OR($H21="En cours",$H21="En revue"),"E",IF($H21="Bloquée","B","P"))),""))</f>
        <v/>
      </c>
      <c r="X21" s="53">
        <f>IF(OR($F21="",$G21=""),"",IF(AND(X$5&lt;=$G21,X$5+6&gt;=$F21),IF($H21="Complétée","F",IF(OR($H21="En cours",$H21="En revue"),"E",IF($H21="Bloquée","B","P"))),""))</f>
        <v/>
      </c>
      <c r="Y21" s="53">
        <f>IF(OR($F21="",$G21=""),"",IF(AND(Y$5&lt;=$G21,Y$5+6&gt;=$F21),IF($H21="Complétée","F",IF(OR($H21="En cours",$H21="En revue"),"E",IF($H21="Bloquée","B","P"))),""))</f>
        <v/>
      </c>
      <c r="Z21" s="53">
        <f>IF(OR($F21="",$G21=""),"",IF(AND(Z$5&lt;=$G21,Z$5+6&gt;=$F21),IF($H21="Complétée","F",IF(OR($H21="En cours",$H21="En revue"),"E",IF($H21="Bloquée","B","P"))),""))</f>
        <v/>
      </c>
      <c r="AA21" s="53">
        <f>IF(OR($F21="",$G21=""),"",IF(AND(AA$5&lt;=$G21,AA$5+6&gt;=$F21),IF($H21="Complétée","F",IF(OR($H21="En cours",$H21="En revue"),"E",IF($H21="Bloquée","B","P"))),""))</f>
        <v/>
      </c>
      <c r="AB21" s="53">
        <f>IF(OR($F21="",$G21=""),"",IF(AND(AB$5&lt;=$G21,AB$5+6&gt;=$F21),IF($H21="Complétée","F",IF(OR($H21="En cours",$H21="En revue"),"E",IF($H21="Bloquée","B","P"))),""))</f>
        <v/>
      </c>
      <c r="AC21" s="53">
        <f>IF(OR($F21="",$G21=""),"",IF(AND(AC$5&lt;=$G21,AC$5+6&gt;=$F21),IF($H21="Complétée","F",IF(OR($H21="En cours",$H21="En revue"),"E",IF($H21="Bloquée","B","P"))),""))</f>
        <v/>
      </c>
      <c r="AD21" s="53">
        <f>IF(OR($F21="",$G21=""),"",IF(AND(AD$5&lt;=$G21,AD$5+6&gt;=$F21),IF($H21="Complétée","F",IF(OR($H21="En cours",$H21="En revue"),"E",IF($H21="Bloquée","B","P"))),""))</f>
        <v/>
      </c>
      <c r="AE21" s="53">
        <f>IF(OR($F21="",$G21=""),"",IF(AND(AE$5&lt;=$G21,AE$5+6&gt;=$F21),IF($H21="Complétée","F",IF(OR($H21="En cours",$H21="En revue"),"E",IF($H21="Bloquée","B","P"))),""))</f>
        <v/>
      </c>
      <c r="AF21" s="53">
        <f>IF(OR($F21="",$G21=""),"",IF(AND(AF$5&lt;=$G21,AF$5+6&gt;=$F21),IF($H21="Complétée","F",IF(OR($H21="En cours",$H21="En revue"),"E",IF($H21="Bloquée","B","P"))),""))</f>
        <v/>
      </c>
      <c r="AG21" s="53">
        <f>IF(OR($F21="",$G21=""),"",IF(AND(AG$5&lt;=$G21,AG$5+6&gt;=$F21),IF($H21="Complétée","F",IF(OR($H21="En cours",$H21="En revue"),"E",IF($H21="Bloquée","B","P"))),""))</f>
        <v/>
      </c>
      <c r="AH21" s="53">
        <f>IF(OR($F21="",$G21=""),"",IF(AND(AH$5&lt;=$G21,AH$5+6&gt;=$F21),IF($H21="Complétée","F",IF(OR($H21="En cours",$H21="En revue"),"E",IF($H21="Bloquée","B","P"))),""))</f>
        <v/>
      </c>
      <c r="AI21" s="53">
        <f>IF(OR($F21="",$G21=""),"",IF(AND(AI$5&lt;=$G21,AI$5+6&gt;=$F21),IF($H21="Complétée","F",IF(OR($H21="En cours",$H21="En revue"),"E",IF($H21="Bloquée","B","P"))),""))</f>
        <v/>
      </c>
      <c r="AJ21" s="53">
        <f>IF(OR($F21="",$G21=""),"",IF(AND(AJ$5&lt;=$G21,AJ$5+6&gt;=$F21),IF($H21="Complétée","F",IF(OR($H21="En cours",$H21="En revue"),"E",IF($H21="Bloquée","B","P"))),""))</f>
        <v/>
      </c>
      <c r="AK21" s="53">
        <f>IF(OR($F21="",$G21=""),"",IF(AND(AK$5&lt;=$G21,AK$5+6&gt;=$F21),IF($H21="Complétée","F",IF(OR($H21="En cours",$H21="En revue"),"E",IF($H21="Bloquée","B","P"))),""))</f>
        <v/>
      </c>
      <c r="AL21" s="53">
        <f>IF(OR($F21="",$G21=""),"",IF(AND(AL$5&lt;=$G21,AL$5+6&gt;=$F21),IF($H21="Complétée","F",IF(OR($H21="En cours",$H21="En revue"),"E",IF($H21="Bloquée","B","P"))),""))</f>
        <v/>
      </c>
      <c r="AM21" s="53">
        <f>IF(OR($F21="",$G21=""),"",IF(AND(AM$5&lt;=$G21,AM$5+6&gt;=$F21),IF($H21="Complétée","F",IF(OR($H21="En cours",$H21="En revue"),"E",IF($H21="Bloquée","B","P"))),""))</f>
        <v/>
      </c>
      <c r="AN21" s="53">
        <f>IF(OR($F21="",$G21=""),"",IF(AND(AN$5&lt;=$G21,AN$5+6&gt;=$F21),IF($H21="Complétée","F",IF(OR($H21="En cours",$H21="En revue"),"E",IF($H21="Bloquée","B","P"))),""))</f>
        <v/>
      </c>
      <c r="AO21" s="53">
        <f>IF(OR($F21="",$G21=""),"",IF(AND(AO$5&lt;=$G21,AO$5+6&gt;=$F21),IF($H21="Complétée","F",IF(OR($H21="En cours",$H21="En revue"),"E",IF($H21="Bloquée","B","P"))),""))</f>
        <v/>
      </c>
      <c r="AP21" s="53">
        <f>IF(OR($F21="",$G21=""),"",IF(AND(AP$5&lt;=$G21,AP$5+6&gt;=$F21),IF($H21="Complétée","F",IF(OR($H21="En cours",$H21="En revue"),"E",IF($H21="Bloquée","B","P"))),""))</f>
        <v/>
      </c>
      <c r="AQ21" s="53">
        <f>IF(OR($F21="",$G21=""),"",IF(AND(AQ$5&lt;=$G21,AQ$5+6&gt;=$F21),IF($H21="Complétée","F",IF(OR($H21="En cours",$H21="En revue"),"E",IF($H21="Bloquée","B","P"))),""))</f>
        <v/>
      </c>
      <c r="AR21" s="53">
        <f>IF(OR($F21="",$G21=""),"",IF(AND(AR$5&lt;=$G21,AR$5+6&gt;=$F21),IF($H21="Complétée","F",IF(OR($H21="En cours",$H21="En revue"),"E",IF($H21="Bloquée","B","P"))),""))</f>
        <v/>
      </c>
      <c r="AS21" s="53">
        <f>IF(OR($F21="",$G21=""),"",IF(AND(AS$5&lt;=$G21,AS$5+6&gt;=$F21),IF($H21="Complétée","F",IF(OR($H21="En cours",$H21="En revue"),"E",IF($H21="Bloquée","B","P"))),""))</f>
        <v/>
      </c>
      <c r="AT21" s="53">
        <f>IF(OR($F21="",$G21=""),"",IF(AND(AT$5&lt;=$G21,AT$5+6&gt;=$F21),IF($H21="Complétée","F",IF(OR($H21="En cours",$H21="En revue"),"E",IF($H21="Bloquée","B","P"))),""))</f>
        <v/>
      </c>
      <c r="AU21" s="53">
        <f>IF(OR($F21="",$G21=""),"",IF(AND(AU$5&lt;=$G21,AU$5+6&gt;=$F21),IF($H21="Complétée","F",IF(OR($H21="En cours",$H21="En revue"),"E",IF($H21="Bloquée","B","P"))),""))</f>
        <v/>
      </c>
      <c r="AV21" s="53">
        <f>IF(OR($F21="",$G21=""),"",IF(AND(AV$5&lt;=$G21,AV$5+6&gt;=$F21),IF($H21="Complétée","F",IF(OR($H21="En cours",$H21="En revue"),"E",IF($H21="Bloquée","B","P"))),""))</f>
        <v/>
      </c>
      <c r="AW21" s="53">
        <f>IF(OR($F21="",$G21=""),"",IF(AND(AW$5&lt;=$G21,AW$5+6&gt;=$F21),IF($H21="Complétée","F",IF(OR($H21="En cours",$H21="En revue"),"E",IF($H21="Bloquée","B","P"))),""))</f>
        <v/>
      </c>
    </row>
    <row r="22">
      <c r="B22" s="50">
        <f>IF(Taches!B22="","",Taches!B22)</f>
        <v/>
      </c>
      <c r="C22" s="51">
        <f>IF(Taches!B22="","",Taches!F22)</f>
        <v/>
      </c>
      <c r="D22" s="50">
        <f>IF(Taches!B22="","",Taches!C22)</f>
        <v/>
      </c>
      <c r="E22" s="50">
        <f>IF(Taches!B22="","",Taches!D22)</f>
        <v/>
      </c>
      <c r="F22" s="52">
        <f>IF(Taches!P22="","",Taches!P22)</f>
        <v/>
      </c>
      <c r="G22" s="52">
        <f>IF(Taches!Q22="","",Taches!Q22)</f>
        <v/>
      </c>
      <c r="H22" s="50">
        <f>IF(Taches!B22="","",Taches!J22)</f>
        <v/>
      </c>
      <c r="I22" s="53">
        <f>IF(OR($F22="",$G22=""),"",IF(AND(I$5&lt;=$G22,I$5+6&gt;=$F22),IF($H22="Complétée","F",IF(OR($H22="En cours",$H22="En revue"),"E",IF($H22="Bloquée","B","P"))),""))</f>
        <v/>
      </c>
      <c r="J22" s="53">
        <f>IF(OR($F22="",$G22=""),"",IF(AND(J$5&lt;=$G22,J$5+6&gt;=$F22),IF($H22="Complétée","F",IF(OR($H22="En cours",$H22="En revue"),"E",IF($H22="Bloquée","B","P"))),""))</f>
        <v/>
      </c>
      <c r="K22" s="53">
        <f>IF(OR($F22="",$G22=""),"",IF(AND(K$5&lt;=$G22,K$5+6&gt;=$F22),IF($H22="Complétée","F",IF(OR($H22="En cours",$H22="En revue"),"E",IF($H22="Bloquée","B","P"))),""))</f>
        <v/>
      </c>
      <c r="L22" s="53">
        <f>IF(OR($F22="",$G22=""),"",IF(AND(L$5&lt;=$G22,L$5+6&gt;=$F22),IF($H22="Complétée","F",IF(OR($H22="En cours",$H22="En revue"),"E",IF($H22="Bloquée","B","P"))),""))</f>
        <v/>
      </c>
      <c r="M22" s="53">
        <f>IF(OR($F22="",$G22=""),"",IF(AND(M$5&lt;=$G22,M$5+6&gt;=$F22),IF($H22="Complétée","F",IF(OR($H22="En cours",$H22="En revue"),"E",IF($H22="Bloquée","B","P"))),""))</f>
        <v/>
      </c>
      <c r="N22" s="53">
        <f>IF(OR($F22="",$G22=""),"",IF(AND(N$5&lt;=$G22,N$5+6&gt;=$F22),IF($H22="Complétée","F",IF(OR($H22="En cours",$H22="En revue"),"E",IF($H22="Bloquée","B","P"))),""))</f>
        <v/>
      </c>
      <c r="O22" s="53">
        <f>IF(OR($F22="",$G22=""),"",IF(AND(O$5&lt;=$G22,O$5+6&gt;=$F22),IF($H22="Complétée","F",IF(OR($H22="En cours",$H22="En revue"),"E",IF($H22="Bloquée","B","P"))),""))</f>
        <v/>
      </c>
      <c r="P22" s="53">
        <f>IF(OR($F22="",$G22=""),"",IF(AND(P$5&lt;=$G22,P$5+6&gt;=$F22),IF($H22="Complétée","F",IF(OR($H22="En cours",$H22="En revue"),"E",IF($H22="Bloquée","B","P"))),""))</f>
        <v/>
      </c>
      <c r="Q22" s="53">
        <f>IF(OR($F22="",$G22=""),"",IF(AND(Q$5&lt;=$G22,Q$5+6&gt;=$F22),IF($H22="Complétée","F",IF(OR($H22="En cours",$H22="En revue"),"E",IF($H22="Bloquée","B","P"))),""))</f>
        <v/>
      </c>
      <c r="R22" s="53">
        <f>IF(OR($F22="",$G22=""),"",IF(AND(R$5&lt;=$G22,R$5+6&gt;=$F22),IF($H22="Complétée","F",IF(OR($H22="En cours",$H22="En revue"),"E",IF($H22="Bloquée","B","P"))),""))</f>
        <v/>
      </c>
      <c r="S22" s="53">
        <f>IF(OR($F22="",$G22=""),"",IF(AND(S$5&lt;=$G22,S$5+6&gt;=$F22),IF($H22="Complétée","F",IF(OR($H22="En cours",$H22="En revue"),"E",IF($H22="Bloquée","B","P"))),""))</f>
        <v/>
      </c>
      <c r="T22" s="53">
        <f>IF(OR($F22="",$G22=""),"",IF(AND(T$5&lt;=$G22,T$5+6&gt;=$F22),IF($H22="Complétée","F",IF(OR($H22="En cours",$H22="En revue"),"E",IF($H22="Bloquée","B","P"))),""))</f>
        <v/>
      </c>
      <c r="U22" s="53">
        <f>IF(OR($F22="",$G22=""),"",IF(AND(U$5&lt;=$G22,U$5+6&gt;=$F22),IF($H22="Complétée","F",IF(OR($H22="En cours",$H22="En revue"),"E",IF($H22="Bloquée","B","P"))),""))</f>
        <v/>
      </c>
      <c r="V22" s="53">
        <f>IF(OR($F22="",$G22=""),"",IF(AND(V$5&lt;=$G22,V$5+6&gt;=$F22),IF($H22="Complétée","F",IF(OR($H22="En cours",$H22="En revue"),"E",IF($H22="Bloquée","B","P"))),""))</f>
        <v/>
      </c>
      <c r="W22" s="53">
        <f>IF(OR($F22="",$G22=""),"",IF(AND(W$5&lt;=$G22,W$5+6&gt;=$F22),IF($H22="Complétée","F",IF(OR($H22="En cours",$H22="En revue"),"E",IF($H22="Bloquée","B","P"))),""))</f>
        <v/>
      </c>
      <c r="X22" s="53">
        <f>IF(OR($F22="",$G22=""),"",IF(AND(X$5&lt;=$G22,X$5+6&gt;=$F22),IF($H22="Complétée","F",IF(OR($H22="En cours",$H22="En revue"),"E",IF($H22="Bloquée","B","P"))),""))</f>
        <v/>
      </c>
      <c r="Y22" s="53">
        <f>IF(OR($F22="",$G22=""),"",IF(AND(Y$5&lt;=$G22,Y$5+6&gt;=$F22),IF($H22="Complétée","F",IF(OR($H22="En cours",$H22="En revue"),"E",IF($H22="Bloquée","B","P"))),""))</f>
        <v/>
      </c>
      <c r="Z22" s="53">
        <f>IF(OR($F22="",$G22=""),"",IF(AND(Z$5&lt;=$G22,Z$5+6&gt;=$F22),IF($H22="Complétée","F",IF(OR($H22="En cours",$H22="En revue"),"E",IF($H22="Bloquée","B","P"))),""))</f>
        <v/>
      </c>
      <c r="AA22" s="53">
        <f>IF(OR($F22="",$G22=""),"",IF(AND(AA$5&lt;=$G22,AA$5+6&gt;=$F22),IF($H22="Complétée","F",IF(OR($H22="En cours",$H22="En revue"),"E",IF($H22="Bloquée","B","P"))),""))</f>
        <v/>
      </c>
      <c r="AB22" s="53">
        <f>IF(OR($F22="",$G22=""),"",IF(AND(AB$5&lt;=$G22,AB$5+6&gt;=$F22),IF($H22="Complétée","F",IF(OR($H22="En cours",$H22="En revue"),"E",IF($H22="Bloquée","B","P"))),""))</f>
        <v/>
      </c>
      <c r="AC22" s="53">
        <f>IF(OR($F22="",$G22=""),"",IF(AND(AC$5&lt;=$G22,AC$5+6&gt;=$F22),IF($H22="Complétée","F",IF(OR($H22="En cours",$H22="En revue"),"E",IF($H22="Bloquée","B","P"))),""))</f>
        <v/>
      </c>
      <c r="AD22" s="53">
        <f>IF(OR($F22="",$G22=""),"",IF(AND(AD$5&lt;=$G22,AD$5+6&gt;=$F22),IF($H22="Complétée","F",IF(OR($H22="En cours",$H22="En revue"),"E",IF($H22="Bloquée","B","P"))),""))</f>
        <v/>
      </c>
      <c r="AE22" s="53">
        <f>IF(OR($F22="",$G22=""),"",IF(AND(AE$5&lt;=$G22,AE$5+6&gt;=$F22),IF($H22="Complétée","F",IF(OR($H22="En cours",$H22="En revue"),"E",IF($H22="Bloquée","B","P"))),""))</f>
        <v/>
      </c>
      <c r="AF22" s="53">
        <f>IF(OR($F22="",$G22=""),"",IF(AND(AF$5&lt;=$G22,AF$5+6&gt;=$F22),IF($H22="Complétée","F",IF(OR($H22="En cours",$H22="En revue"),"E",IF($H22="Bloquée","B","P"))),""))</f>
        <v/>
      </c>
      <c r="AG22" s="53">
        <f>IF(OR($F22="",$G22=""),"",IF(AND(AG$5&lt;=$G22,AG$5+6&gt;=$F22),IF($H22="Complétée","F",IF(OR($H22="En cours",$H22="En revue"),"E",IF($H22="Bloquée","B","P"))),""))</f>
        <v/>
      </c>
      <c r="AH22" s="53">
        <f>IF(OR($F22="",$G22=""),"",IF(AND(AH$5&lt;=$G22,AH$5+6&gt;=$F22),IF($H22="Complétée","F",IF(OR($H22="En cours",$H22="En revue"),"E",IF($H22="Bloquée","B","P"))),""))</f>
        <v/>
      </c>
      <c r="AI22" s="53">
        <f>IF(OR($F22="",$G22=""),"",IF(AND(AI$5&lt;=$G22,AI$5+6&gt;=$F22),IF($H22="Complétée","F",IF(OR($H22="En cours",$H22="En revue"),"E",IF($H22="Bloquée","B","P"))),""))</f>
        <v/>
      </c>
      <c r="AJ22" s="53">
        <f>IF(OR($F22="",$G22=""),"",IF(AND(AJ$5&lt;=$G22,AJ$5+6&gt;=$F22),IF($H22="Complétée","F",IF(OR($H22="En cours",$H22="En revue"),"E",IF($H22="Bloquée","B","P"))),""))</f>
        <v/>
      </c>
      <c r="AK22" s="53">
        <f>IF(OR($F22="",$G22=""),"",IF(AND(AK$5&lt;=$G22,AK$5+6&gt;=$F22),IF($H22="Complétée","F",IF(OR($H22="En cours",$H22="En revue"),"E",IF($H22="Bloquée","B","P"))),""))</f>
        <v/>
      </c>
      <c r="AL22" s="53">
        <f>IF(OR($F22="",$G22=""),"",IF(AND(AL$5&lt;=$G22,AL$5+6&gt;=$F22),IF($H22="Complétée","F",IF(OR($H22="En cours",$H22="En revue"),"E",IF($H22="Bloquée","B","P"))),""))</f>
        <v/>
      </c>
      <c r="AM22" s="53">
        <f>IF(OR($F22="",$G22=""),"",IF(AND(AM$5&lt;=$G22,AM$5+6&gt;=$F22),IF($H22="Complétée","F",IF(OR($H22="En cours",$H22="En revue"),"E",IF($H22="Bloquée","B","P"))),""))</f>
        <v/>
      </c>
      <c r="AN22" s="53">
        <f>IF(OR($F22="",$G22=""),"",IF(AND(AN$5&lt;=$G22,AN$5+6&gt;=$F22),IF($H22="Complétée","F",IF(OR($H22="En cours",$H22="En revue"),"E",IF($H22="Bloquée","B","P"))),""))</f>
        <v/>
      </c>
      <c r="AO22" s="53">
        <f>IF(OR($F22="",$G22=""),"",IF(AND(AO$5&lt;=$G22,AO$5+6&gt;=$F22),IF($H22="Complétée","F",IF(OR($H22="En cours",$H22="En revue"),"E",IF($H22="Bloquée","B","P"))),""))</f>
        <v/>
      </c>
      <c r="AP22" s="53">
        <f>IF(OR($F22="",$G22=""),"",IF(AND(AP$5&lt;=$G22,AP$5+6&gt;=$F22),IF($H22="Complétée","F",IF(OR($H22="En cours",$H22="En revue"),"E",IF($H22="Bloquée","B","P"))),""))</f>
        <v/>
      </c>
      <c r="AQ22" s="53">
        <f>IF(OR($F22="",$G22=""),"",IF(AND(AQ$5&lt;=$G22,AQ$5+6&gt;=$F22),IF($H22="Complétée","F",IF(OR($H22="En cours",$H22="En revue"),"E",IF($H22="Bloquée","B","P"))),""))</f>
        <v/>
      </c>
      <c r="AR22" s="53">
        <f>IF(OR($F22="",$G22=""),"",IF(AND(AR$5&lt;=$G22,AR$5+6&gt;=$F22),IF($H22="Complétée","F",IF(OR($H22="En cours",$H22="En revue"),"E",IF($H22="Bloquée","B","P"))),""))</f>
        <v/>
      </c>
      <c r="AS22" s="53">
        <f>IF(OR($F22="",$G22=""),"",IF(AND(AS$5&lt;=$G22,AS$5+6&gt;=$F22),IF($H22="Complétée","F",IF(OR($H22="En cours",$H22="En revue"),"E",IF($H22="Bloquée","B","P"))),""))</f>
        <v/>
      </c>
      <c r="AT22" s="53">
        <f>IF(OR($F22="",$G22=""),"",IF(AND(AT$5&lt;=$G22,AT$5+6&gt;=$F22),IF($H22="Complétée","F",IF(OR($H22="En cours",$H22="En revue"),"E",IF($H22="Bloquée","B","P"))),""))</f>
        <v/>
      </c>
      <c r="AU22" s="53">
        <f>IF(OR($F22="",$G22=""),"",IF(AND(AU$5&lt;=$G22,AU$5+6&gt;=$F22),IF($H22="Complétée","F",IF(OR($H22="En cours",$H22="En revue"),"E",IF($H22="Bloquée","B","P"))),""))</f>
        <v/>
      </c>
      <c r="AV22" s="53">
        <f>IF(OR($F22="",$G22=""),"",IF(AND(AV$5&lt;=$G22,AV$5+6&gt;=$F22),IF($H22="Complétée","F",IF(OR($H22="En cours",$H22="En revue"),"E",IF($H22="Bloquée","B","P"))),""))</f>
        <v/>
      </c>
      <c r="AW22" s="53">
        <f>IF(OR($F22="",$G22=""),"",IF(AND(AW$5&lt;=$G22,AW$5+6&gt;=$F22),IF($H22="Complétée","F",IF(OR($H22="En cours",$H22="En revue"),"E",IF($H22="Bloquée","B","P"))),""))</f>
        <v/>
      </c>
    </row>
    <row r="23">
      <c r="B23" s="50">
        <f>IF(Taches!B23="","",Taches!B23)</f>
        <v/>
      </c>
      <c r="C23" s="51">
        <f>IF(Taches!B23="","",Taches!F23)</f>
        <v/>
      </c>
      <c r="D23" s="50">
        <f>IF(Taches!B23="","",Taches!C23)</f>
        <v/>
      </c>
      <c r="E23" s="50">
        <f>IF(Taches!B23="","",Taches!D23)</f>
        <v/>
      </c>
      <c r="F23" s="52">
        <f>IF(Taches!P23="","",Taches!P23)</f>
        <v/>
      </c>
      <c r="G23" s="52">
        <f>IF(Taches!Q23="","",Taches!Q23)</f>
        <v/>
      </c>
      <c r="H23" s="50">
        <f>IF(Taches!B23="","",Taches!J23)</f>
        <v/>
      </c>
      <c r="I23" s="53">
        <f>IF(OR($F23="",$G23=""),"",IF(AND(I$5&lt;=$G23,I$5+6&gt;=$F23),IF($H23="Complétée","F",IF(OR($H23="En cours",$H23="En revue"),"E",IF($H23="Bloquée","B","P"))),""))</f>
        <v/>
      </c>
      <c r="J23" s="53">
        <f>IF(OR($F23="",$G23=""),"",IF(AND(J$5&lt;=$G23,J$5+6&gt;=$F23),IF($H23="Complétée","F",IF(OR($H23="En cours",$H23="En revue"),"E",IF($H23="Bloquée","B","P"))),""))</f>
        <v/>
      </c>
      <c r="K23" s="53">
        <f>IF(OR($F23="",$G23=""),"",IF(AND(K$5&lt;=$G23,K$5+6&gt;=$F23),IF($H23="Complétée","F",IF(OR($H23="En cours",$H23="En revue"),"E",IF($H23="Bloquée","B","P"))),""))</f>
        <v/>
      </c>
      <c r="L23" s="53">
        <f>IF(OR($F23="",$G23=""),"",IF(AND(L$5&lt;=$G23,L$5+6&gt;=$F23),IF($H23="Complétée","F",IF(OR($H23="En cours",$H23="En revue"),"E",IF($H23="Bloquée","B","P"))),""))</f>
        <v/>
      </c>
      <c r="M23" s="53">
        <f>IF(OR($F23="",$G23=""),"",IF(AND(M$5&lt;=$G23,M$5+6&gt;=$F23),IF($H23="Complétée","F",IF(OR($H23="En cours",$H23="En revue"),"E",IF($H23="Bloquée","B","P"))),""))</f>
        <v/>
      </c>
      <c r="N23" s="53">
        <f>IF(OR($F23="",$G23=""),"",IF(AND(N$5&lt;=$G23,N$5+6&gt;=$F23),IF($H23="Complétée","F",IF(OR($H23="En cours",$H23="En revue"),"E",IF($H23="Bloquée","B","P"))),""))</f>
        <v/>
      </c>
      <c r="O23" s="53">
        <f>IF(OR($F23="",$G23=""),"",IF(AND(O$5&lt;=$G23,O$5+6&gt;=$F23),IF($H23="Complétée","F",IF(OR($H23="En cours",$H23="En revue"),"E",IF($H23="Bloquée","B","P"))),""))</f>
        <v/>
      </c>
      <c r="P23" s="53">
        <f>IF(OR($F23="",$G23=""),"",IF(AND(P$5&lt;=$G23,P$5+6&gt;=$F23),IF($H23="Complétée","F",IF(OR($H23="En cours",$H23="En revue"),"E",IF($H23="Bloquée","B","P"))),""))</f>
        <v/>
      </c>
      <c r="Q23" s="53">
        <f>IF(OR($F23="",$G23=""),"",IF(AND(Q$5&lt;=$G23,Q$5+6&gt;=$F23),IF($H23="Complétée","F",IF(OR($H23="En cours",$H23="En revue"),"E",IF($H23="Bloquée","B","P"))),""))</f>
        <v/>
      </c>
      <c r="R23" s="53">
        <f>IF(OR($F23="",$G23=""),"",IF(AND(R$5&lt;=$G23,R$5+6&gt;=$F23),IF($H23="Complétée","F",IF(OR($H23="En cours",$H23="En revue"),"E",IF($H23="Bloquée","B","P"))),""))</f>
        <v/>
      </c>
      <c r="S23" s="53">
        <f>IF(OR($F23="",$G23=""),"",IF(AND(S$5&lt;=$G23,S$5+6&gt;=$F23),IF($H23="Complétée","F",IF(OR($H23="En cours",$H23="En revue"),"E",IF($H23="Bloquée","B","P"))),""))</f>
        <v/>
      </c>
      <c r="T23" s="53">
        <f>IF(OR($F23="",$G23=""),"",IF(AND(T$5&lt;=$G23,T$5+6&gt;=$F23),IF($H23="Complétée","F",IF(OR($H23="En cours",$H23="En revue"),"E",IF($H23="Bloquée","B","P"))),""))</f>
        <v/>
      </c>
      <c r="U23" s="53">
        <f>IF(OR($F23="",$G23=""),"",IF(AND(U$5&lt;=$G23,U$5+6&gt;=$F23),IF($H23="Complétée","F",IF(OR($H23="En cours",$H23="En revue"),"E",IF($H23="Bloquée","B","P"))),""))</f>
        <v/>
      </c>
      <c r="V23" s="53">
        <f>IF(OR($F23="",$G23=""),"",IF(AND(V$5&lt;=$G23,V$5+6&gt;=$F23),IF($H23="Complétée","F",IF(OR($H23="En cours",$H23="En revue"),"E",IF($H23="Bloquée","B","P"))),""))</f>
        <v/>
      </c>
      <c r="W23" s="53">
        <f>IF(OR($F23="",$G23=""),"",IF(AND(W$5&lt;=$G23,W$5+6&gt;=$F23),IF($H23="Complétée","F",IF(OR($H23="En cours",$H23="En revue"),"E",IF($H23="Bloquée","B","P"))),""))</f>
        <v/>
      </c>
      <c r="X23" s="53">
        <f>IF(OR($F23="",$G23=""),"",IF(AND(X$5&lt;=$G23,X$5+6&gt;=$F23),IF($H23="Complétée","F",IF(OR($H23="En cours",$H23="En revue"),"E",IF($H23="Bloquée","B","P"))),""))</f>
        <v/>
      </c>
      <c r="Y23" s="53">
        <f>IF(OR($F23="",$G23=""),"",IF(AND(Y$5&lt;=$G23,Y$5+6&gt;=$F23),IF($H23="Complétée","F",IF(OR($H23="En cours",$H23="En revue"),"E",IF($H23="Bloquée","B","P"))),""))</f>
        <v/>
      </c>
      <c r="Z23" s="53">
        <f>IF(OR($F23="",$G23=""),"",IF(AND(Z$5&lt;=$G23,Z$5+6&gt;=$F23),IF($H23="Complétée","F",IF(OR($H23="En cours",$H23="En revue"),"E",IF($H23="Bloquée","B","P"))),""))</f>
        <v/>
      </c>
      <c r="AA23" s="53">
        <f>IF(OR($F23="",$G23=""),"",IF(AND(AA$5&lt;=$G23,AA$5+6&gt;=$F23),IF($H23="Complétée","F",IF(OR($H23="En cours",$H23="En revue"),"E",IF($H23="Bloquée","B","P"))),""))</f>
        <v/>
      </c>
      <c r="AB23" s="53">
        <f>IF(OR($F23="",$G23=""),"",IF(AND(AB$5&lt;=$G23,AB$5+6&gt;=$F23),IF($H23="Complétée","F",IF(OR($H23="En cours",$H23="En revue"),"E",IF($H23="Bloquée","B","P"))),""))</f>
        <v/>
      </c>
      <c r="AC23" s="53">
        <f>IF(OR($F23="",$G23=""),"",IF(AND(AC$5&lt;=$G23,AC$5+6&gt;=$F23),IF($H23="Complétée","F",IF(OR($H23="En cours",$H23="En revue"),"E",IF($H23="Bloquée","B","P"))),""))</f>
        <v/>
      </c>
      <c r="AD23" s="53">
        <f>IF(OR($F23="",$G23=""),"",IF(AND(AD$5&lt;=$G23,AD$5+6&gt;=$F23),IF($H23="Complétée","F",IF(OR($H23="En cours",$H23="En revue"),"E",IF($H23="Bloquée","B","P"))),""))</f>
        <v/>
      </c>
      <c r="AE23" s="53">
        <f>IF(OR($F23="",$G23=""),"",IF(AND(AE$5&lt;=$G23,AE$5+6&gt;=$F23),IF($H23="Complétée","F",IF(OR($H23="En cours",$H23="En revue"),"E",IF($H23="Bloquée","B","P"))),""))</f>
        <v/>
      </c>
      <c r="AF23" s="53">
        <f>IF(OR($F23="",$G23=""),"",IF(AND(AF$5&lt;=$G23,AF$5+6&gt;=$F23),IF($H23="Complétée","F",IF(OR($H23="En cours",$H23="En revue"),"E",IF($H23="Bloquée","B","P"))),""))</f>
        <v/>
      </c>
      <c r="AG23" s="53">
        <f>IF(OR($F23="",$G23=""),"",IF(AND(AG$5&lt;=$G23,AG$5+6&gt;=$F23),IF($H23="Complétée","F",IF(OR($H23="En cours",$H23="En revue"),"E",IF($H23="Bloquée","B","P"))),""))</f>
        <v/>
      </c>
      <c r="AH23" s="53">
        <f>IF(OR($F23="",$G23=""),"",IF(AND(AH$5&lt;=$G23,AH$5+6&gt;=$F23),IF($H23="Complétée","F",IF(OR($H23="En cours",$H23="En revue"),"E",IF($H23="Bloquée","B","P"))),""))</f>
        <v/>
      </c>
      <c r="AI23" s="53">
        <f>IF(OR($F23="",$G23=""),"",IF(AND(AI$5&lt;=$G23,AI$5+6&gt;=$F23),IF($H23="Complétée","F",IF(OR($H23="En cours",$H23="En revue"),"E",IF($H23="Bloquée","B","P"))),""))</f>
        <v/>
      </c>
      <c r="AJ23" s="53">
        <f>IF(OR($F23="",$G23=""),"",IF(AND(AJ$5&lt;=$G23,AJ$5+6&gt;=$F23),IF($H23="Complétée","F",IF(OR($H23="En cours",$H23="En revue"),"E",IF($H23="Bloquée","B","P"))),""))</f>
        <v/>
      </c>
      <c r="AK23" s="53">
        <f>IF(OR($F23="",$G23=""),"",IF(AND(AK$5&lt;=$G23,AK$5+6&gt;=$F23),IF($H23="Complétée","F",IF(OR($H23="En cours",$H23="En revue"),"E",IF($H23="Bloquée","B","P"))),""))</f>
        <v/>
      </c>
      <c r="AL23" s="53">
        <f>IF(OR($F23="",$G23=""),"",IF(AND(AL$5&lt;=$G23,AL$5+6&gt;=$F23),IF($H23="Complétée","F",IF(OR($H23="En cours",$H23="En revue"),"E",IF($H23="Bloquée","B","P"))),""))</f>
        <v/>
      </c>
      <c r="AM23" s="53">
        <f>IF(OR($F23="",$G23=""),"",IF(AND(AM$5&lt;=$G23,AM$5+6&gt;=$F23),IF($H23="Complétée","F",IF(OR($H23="En cours",$H23="En revue"),"E",IF($H23="Bloquée","B","P"))),""))</f>
        <v/>
      </c>
      <c r="AN23" s="53">
        <f>IF(OR($F23="",$G23=""),"",IF(AND(AN$5&lt;=$G23,AN$5+6&gt;=$F23),IF($H23="Complétée","F",IF(OR($H23="En cours",$H23="En revue"),"E",IF($H23="Bloquée","B","P"))),""))</f>
        <v/>
      </c>
      <c r="AO23" s="53">
        <f>IF(OR($F23="",$G23=""),"",IF(AND(AO$5&lt;=$G23,AO$5+6&gt;=$F23),IF($H23="Complétée","F",IF(OR($H23="En cours",$H23="En revue"),"E",IF($H23="Bloquée","B","P"))),""))</f>
        <v/>
      </c>
      <c r="AP23" s="53">
        <f>IF(OR($F23="",$G23=""),"",IF(AND(AP$5&lt;=$G23,AP$5+6&gt;=$F23),IF($H23="Complétée","F",IF(OR($H23="En cours",$H23="En revue"),"E",IF($H23="Bloquée","B","P"))),""))</f>
        <v/>
      </c>
      <c r="AQ23" s="53">
        <f>IF(OR($F23="",$G23=""),"",IF(AND(AQ$5&lt;=$G23,AQ$5+6&gt;=$F23),IF($H23="Complétée","F",IF(OR($H23="En cours",$H23="En revue"),"E",IF($H23="Bloquée","B","P"))),""))</f>
        <v/>
      </c>
      <c r="AR23" s="53">
        <f>IF(OR($F23="",$G23=""),"",IF(AND(AR$5&lt;=$G23,AR$5+6&gt;=$F23),IF($H23="Complétée","F",IF(OR($H23="En cours",$H23="En revue"),"E",IF($H23="Bloquée","B","P"))),""))</f>
        <v/>
      </c>
      <c r="AS23" s="53">
        <f>IF(OR($F23="",$G23=""),"",IF(AND(AS$5&lt;=$G23,AS$5+6&gt;=$F23),IF($H23="Complétée","F",IF(OR($H23="En cours",$H23="En revue"),"E",IF($H23="Bloquée","B","P"))),""))</f>
        <v/>
      </c>
      <c r="AT23" s="53">
        <f>IF(OR($F23="",$G23=""),"",IF(AND(AT$5&lt;=$G23,AT$5+6&gt;=$F23),IF($H23="Complétée","F",IF(OR($H23="En cours",$H23="En revue"),"E",IF($H23="Bloquée","B","P"))),""))</f>
        <v/>
      </c>
      <c r="AU23" s="53">
        <f>IF(OR($F23="",$G23=""),"",IF(AND(AU$5&lt;=$G23,AU$5+6&gt;=$F23),IF($H23="Complétée","F",IF(OR($H23="En cours",$H23="En revue"),"E",IF($H23="Bloquée","B","P"))),""))</f>
        <v/>
      </c>
      <c r="AV23" s="53">
        <f>IF(OR($F23="",$G23=""),"",IF(AND(AV$5&lt;=$G23,AV$5+6&gt;=$F23),IF($H23="Complétée","F",IF(OR($H23="En cours",$H23="En revue"),"E",IF($H23="Bloquée","B","P"))),""))</f>
        <v/>
      </c>
      <c r="AW23" s="53">
        <f>IF(OR($F23="",$G23=""),"",IF(AND(AW$5&lt;=$G23,AW$5+6&gt;=$F23),IF($H23="Complétée","F",IF(OR($H23="En cours",$H23="En revue"),"E",IF($H23="Bloquée","B","P"))),""))</f>
        <v/>
      </c>
    </row>
    <row r="24">
      <c r="B24" s="50">
        <f>IF(Taches!B24="","",Taches!B24)</f>
        <v/>
      </c>
      <c r="C24" s="51">
        <f>IF(Taches!B24="","",Taches!F24)</f>
        <v/>
      </c>
      <c r="D24" s="50">
        <f>IF(Taches!B24="","",Taches!C24)</f>
        <v/>
      </c>
      <c r="E24" s="50">
        <f>IF(Taches!B24="","",Taches!D24)</f>
        <v/>
      </c>
      <c r="F24" s="52">
        <f>IF(Taches!P24="","",Taches!P24)</f>
        <v/>
      </c>
      <c r="G24" s="52">
        <f>IF(Taches!Q24="","",Taches!Q24)</f>
        <v/>
      </c>
      <c r="H24" s="50">
        <f>IF(Taches!B24="","",Taches!J24)</f>
        <v/>
      </c>
      <c r="I24" s="53">
        <f>IF(OR($F24="",$G24=""),"",IF(AND(I$5&lt;=$G24,I$5+6&gt;=$F24),IF($H24="Complétée","F",IF(OR($H24="En cours",$H24="En revue"),"E",IF($H24="Bloquée","B","P"))),""))</f>
        <v/>
      </c>
      <c r="J24" s="53">
        <f>IF(OR($F24="",$G24=""),"",IF(AND(J$5&lt;=$G24,J$5+6&gt;=$F24),IF($H24="Complétée","F",IF(OR($H24="En cours",$H24="En revue"),"E",IF($H24="Bloquée","B","P"))),""))</f>
        <v/>
      </c>
      <c r="K24" s="53">
        <f>IF(OR($F24="",$G24=""),"",IF(AND(K$5&lt;=$G24,K$5+6&gt;=$F24),IF($H24="Complétée","F",IF(OR($H24="En cours",$H24="En revue"),"E",IF($H24="Bloquée","B","P"))),""))</f>
        <v/>
      </c>
      <c r="L24" s="53">
        <f>IF(OR($F24="",$G24=""),"",IF(AND(L$5&lt;=$G24,L$5+6&gt;=$F24),IF($H24="Complétée","F",IF(OR($H24="En cours",$H24="En revue"),"E",IF($H24="Bloquée","B","P"))),""))</f>
        <v/>
      </c>
      <c r="M24" s="53">
        <f>IF(OR($F24="",$G24=""),"",IF(AND(M$5&lt;=$G24,M$5+6&gt;=$F24),IF($H24="Complétée","F",IF(OR($H24="En cours",$H24="En revue"),"E",IF($H24="Bloquée","B","P"))),""))</f>
        <v/>
      </c>
      <c r="N24" s="53">
        <f>IF(OR($F24="",$G24=""),"",IF(AND(N$5&lt;=$G24,N$5+6&gt;=$F24),IF($H24="Complétée","F",IF(OR($H24="En cours",$H24="En revue"),"E",IF($H24="Bloquée","B","P"))),""))</f>
        <v/>
      </c>
      <c r="O24" s="53">
        <f>IF(OR($F24="",$G24=""),"",IF(AND(O$5&lt;=$G24,O$5+6&gt;=$F24),IF($H24="Complétée","F",IF(OR($H24="En cours",$H24="En revue"),"E",IF($H24="Bloquée","B","P"))),""))</f>
        <v/>
      </c>
      <c r="P24" s="53">
        <f>IF(OR($F24="",$G24=""),"",IF(AND(P$5&lt;=$G24,P$5+6&gt;=$F24),IF($H24="Complétée","F",IF(OR($H24="En cours",$H24="En revue"),"E",IF($H24="Bloquée","B","P"))),""))</f>
        <v/>
      </c>
      <c r="Q24" s="53">
        <f>IF(OR($F24="",$G24=""),"",IF(AND(Q$5&lt;=$G24,Q$5+6&gt;=$F24),IF($H24="Complétée","F",IF(OR($H24="En cours",$H24="En revue"),"E",IF($H24="Bloquée","B","P"))),""))</f>
        <v/>
      </c>
      <c r="R24" s="53">
        <f>IF(OR($F24="",$G24=""),"",IF(AND(R$5&lt;=$G24,R$5+6&gt;=$F24),IF($H24="Complétée","F",IF(OR($H24="En cours",$H24="En revue"),"E",IF($H24="Bloquée","B","P"))),""))</f>
        <v/>
      </c>
      <c r="S24" s="53">
        <f>IF(OR($F24="",$G24=""),"",IF(AND(S$5&lt;=$G24,S$5+6&gt;=$F24),IF($H24="Complétée","F",IF(OR($H24="En cours",$H24="En revue"),"E",IF($H24="Bloquée","B","P"))),""))</f>
        <v/>
      </c>
      <c r="T24" s="53">
        <f>IF(OR($F24="",$G24=""),"",IF(AND(T$5&lt;=$G24,T$5+6&gt;=$F24),IF($H24="Complétée","F",IF(OR($H24="En cours",$H24="En revue"),"E",IF($H24="Bloquée","B","P"))),""))</f>
        <v/>
      </c>
      <c r="U24" s="53">
        <f>IF(OR($F24="",$G24=""),"",IF(AND(U$5&lt;=$G24,U$5+6&gt;=$F24),IF($H24="Complétée","F",IF(OR($H24="En cours",$H24="En revue"),"E",IF($H24="Bloquée","B","P"))),""))</f>
        <v/>
      </c>
      <c r="V24" s="53">
        <f>IF(OR($F24="",$G24=""),"",IF(AND(V$5&lt;=$G24,V$5+6&gt;=$F24),IF($H24="Complétée","F",IF(OR($H24="En cours",$H24="En revue"),"E",IF($H24="Bloquée","B","P"))),""))</f>
        <v/>
      </c>
      <c r="W24" s="53">
        <f>IF(OR($F24="",$G24=""),"",IF(AND(W$5&lt;=$G24,W$5+6&gt;=$F24),IF($H24="Complétée","F",IF(OR($H24="En cours",$H24="En revue"),"E",IF($H24="Bloquée","B","P"))),""))</f>
        <v/>
      </c>
      <c r="X24" s="53">
        <f>IF(OR($F24="",$G24=""),"",IF(AND(X$5&lt;=$G24,X$5+6&gt;=$F24),IF($H24="Complétée","F",IF(OR($H24="En cours",$H24="En revue"),"E",IF($H24="Bloquée","B","P"))),""))</f>
        <v/>
      </c>
      <c r="Y24" s="53">
        <f>IF(OR($F24="",$G24=""),"",IF(AND(Y$5&lt;=$G24,Y$5+6&gt;=$F24),IF($H24="Complétée","F",IF(OR($H24="En cours",$H24="En revue"),"E",IF($H24="Bloquée","B","P"))),""))</f>
        <v/>
      </c>
      <c r="Z24" s="53">
        <f>IF(OR($F24="",$G24=""),"",IF(AND(Z$5&lt;=$G24,Z$5+6&gt;=$F24),IF($H24="Complétée","F",IF(OR($H24="En cours",$H24="En revue"),"E",IF($H24="Bloquée","B","P"))),""))</f>
        <v/>
      </c>
      <c r="AA24" s="53">
        <f>IF(OR($F24="",$G24=""),"",IF(AND(AA$5&lt;=$G24,AA$5+6&gt;=$F24),IF($H24="Complétée","F",IF(OR($H24="En cours",$H24="En revue"),"E",IF($H24="Bloquée","B","P"))),""))</f>
        <v/>
      </c>
      <c r="AB24" s="53">
        <f>IF(OR($F24="",$G24=""),"",IF(AND(AB$5&lt;=$G24,AB$5+6&gt;=$F24),IF($H24="Complétée","F",IF(OR($H24="En cours",$H24="En revue"),"E",IF($H24="Bloquée","B","P"))),""))</f>
        <v/>
      </c>
      <c r="AC24" s="53">
        <f>IF(OR($F24="",$G24=""),"",IF(AND(AC$5&lt;=$G24,AC$5+6&gt;=$F24),IF($H24="Complétée","F",IF(OR($H24="En cours",$H24="En revue"),"E",IF($H24="Bloquée","B","P"))),""))</f>
        <v/>
      </c>
      <c r="AD24" s="53">
        <f>IF(OR($F24="",$G24=""),"",IF(AND(AD$5&lt;=$G24,AD$5+6&gt;=$F24),IF($H24="Complétée","F",IF(OR($H24="En cours",$H24="En revue"),"E",IF($H24="Bloquée","B","P"))),""))</f>
        <v/>
      </c>
      <c r="AE24" s="53">
        <f>IF(OR($F24="",$G24=""),"",IF(AND(AE$5&lt;=$G24,AE$5+6&gt;=$F24),IF($H24="Complétée","F",IF(OR($H24="En cours",$H24="En revue"),"E",IF($H24="Bloquée","B","P"))),""))</f>
        <v/>
      </c>
      <c r="AF24" s="53">
        <f>IF(OR($F24="",$G24=""),"",IF(AND(AF$5&lt;=$G24,AF$5+6&gt;=$F24),IF($H24="Complétée","F",IF(OR($H24="En cours",$H24="En revue"),"E",IF($H24="Bloquée","B","P"))),""))</f>
        <v/>
      </c>
      <c r="AG24" s="53">
        <f>IF(OR($F24="",$G24=""),"",IF(AND(AG$5&lt;=$G24,AG$5+6&gt;=$F24),IF($H24="Complétée","F",IF(OR($H24="En cours",$H24="En revue"),"E",IF($H24="Bloquée","B","P"))),""))</f>
        <v/>
      </c>
      <c r="AH24" s="53">
        <f>IF(OR($F24="",$G24=""),"",IF(AND(AH$5&lt;=$G24,AH$5+6&gt;=$F24),IF($H24="Complétée","F",IF(OR($H24="En cours",$H24="En revue"),"E",IF($H24="Bloquée","B","P"))),""))</f>
        <v/>
      </c>
      <c r="AI24" s="53">
        <f>IF(OR($F24="",$G24=""),"",IF(AND(AI$5&lt;=$G24,AI$5+6&gt;=$F24),IF($H24="Complétée","F",IF(OR($H24="En cours",$H24="En revue"),"E",IF($H24="Bloquée","B","P"))),""))</f>
        <v/>
      </c>
      <c r="AJ24" s="53">
        <f>IF(OR($F24="",$G24=""),"",IF(AND(AJ$5&lt;=$G24,AJ$5+6&gt;=$F24),IF($H24="Complétée","F",IF(OR($H24="En cours",$H24="En revue"),"E",IF($H24="Bloquée","B","P"))),""))</f>
        <v/>
      </c>
      <c r="AK24" s="53">
        <f>IF(OR($F24="",$G24=""),"",IF(AND(AK$5&lt;=$G24,AK$5+6&gt;=$F24),IF($H24="Complétée","F",IF(OR($H24="En cours",$H24="En revue"),"E",IF($H24="Bloquée","B","P"))),""))</f>
        <v/>
      </c>
      <c r="AL24" s="53">
        <f>IF(OR($F24="",$G24=""),"",IF(AND(AL$5&lt;=$G24,AL$5+6&gt;=$F24),IF($H24="Complétée","F",IF(OR($H24="En cours",$H24="En revue"),"E",IF($H24="Bloquée","B","P"))),""))</f>
        <v/>
      </c>
      <c r="AM24" s="53">
        <f>IF(OR($F24="",$G24=""),"",IF(AND(AM$5&lt;=$G24,AM$5+6&gt;=$F24),IF($H24="Complétée","F",IF(OR($H24="En cours",$H24="En revue"),"E",IF($H24="Bloquée","B","P"))),""))</f>
        <v/>
      </c>
      <c r="AN24" s="53">
        <f>IF(OR($F24="",$G24=""),"",IF(AND(AN$5&lt;=$G24,AN$5+6&gt;=$F24),IF($H24="Complétée","F",IF(OR($H24="En cours",$H24="En revue"),"E",IF($H24="Bloquée","B","P"))),""))</f>
        <v/>
      </c>
      <c r="AO24" s="53">
        <f>IF(OR($F24="",$G24=""),"",IF(AND(AO$5&lt;=$G24,AO$5+6&gt;=$F24),IF($H24="Complétée","F",IF(OR($H24="En cours",$H24="En revue"),"E",IF($H24="Bloquée","B","P"))),""))</f>
        <v/>
      </c>
      <c r="AP24" s="53">
        <f>IF(OR($F24="",$G24=""),"",IF(AND(AP$5&lt;=$G24,AP$5+6&gt;=$F24),IF($H24="Complétée","F",IF(OR($H24="En cours",$H24="En revue"),"E",IF($H24="Bloquée","B","P"))),""))</f>
        <v/>
      </c>
      <c r="AQ24" s="53">
        <f>IF(OR($F24="",$G24=""),"",IF(AND(AQ$5&lt;=$G24,AQ$5+6&gt;=$F24),IF($H24="Complétée","F",IF(OR($H24="En cours",$H24="En revue"),"E",IF($H24="Bloquée","B","P"))),""))</f>
        <v/>
      </c>
      <c r="AR24" s="53">
        <f>IF(OR($F24="",$G24=""),"",IF(AND(AR$5&lt;=$G24,AR$5+6&gt;=$F24),IF($H24="Complétée","F",IF(OR($H24="En cours",$H24="En revue"),"E",IF($H24="Bloquée","B","P"))),""))</f>
        <v/>
      </c>
      <c r="AS24" s="53">
        <f>IF(OR($F24="",$G24=""),"",IF(AND(AS$5&lt;=$G24,AS$5+6&gt;=$F24),IF($H24="Complétée","F",IF(OR($H24="En cours",$H24="En revue"),"E",IF($H24="Bloquée","B","P"))),""))</f>
        <v/>
      </c>
      <c r="AT24" s="53">
        <f>IF(OR($F24="",$G24=""),"",IF(AND(AT$5&lt;=$G24,AT$5+6&gt;=$F24),IF($H24="Complétée","F",IF(OR($H24="En cours",$H24="En revue"),"E",IF($H24="Bloquée","B","P"))),""))</f>
        <v/>
      </c>
      <c r="AU24" s="53">
        <f>IF(OR($F24="",$G24=""),"",IF(AND(AU$5&lt;=$G24,AU$5+6&gt;=$F24),IF($H24="Complétée","F",IF(OR($H24="En cours",$H24="En revue"),"E",IF($H24="Bloquée","B","P"))),""))</f>
        <v/>
      </c>
      <c r="AV24" s="53">
        <f>IF(OR($F24="",$G24=""),"",IF(AND(AV$5&lt;=$G24,AV$5+6&gt;=$F24),IF($H24="Complétée","F",IF(OR($H24="En cours",$H24="En revue"),"E",IF($H24="Bloquée","B","P"))),""))</f>
        <v/>
      </c>
      <c r="AW24" s="53">
        <f>IF(OR($F24="",$G24=""),"",IF(AND(AW$5&lt;=$G24,AW$5+6&gt;=$F24),IF($H24="Complétée","F",IF(OR($H24="En cours",$H24="En revue"),"E",IF($H24="Bloquée","B","P"))),""))</f>
        <v/>
      </c>
    </row>
    <row r="25">
      <c r="B25" s="50">
        <f>IF(Taches!B25="","",Taches!B25)</f>
        <v/>
      </c>
      <c r="C25" s="51">
        <f>IF(Taches!B25="","",Taches!F25)</f>
        <v/>
      </c>
      <c r="D25" s="50">
        <f>IF(Taches!B25="","",Taches!C25)</f>
        <v/>
      </c>
      <c r="E25" s="50">
        <f>IF(Taches!B25="","",Taches!D25)</f>
        <v/>
      </c>
      <c r="F25" s="52">
        <f>IF(Taches!P25="","",Taches!P25)</f>
        <v/>
      </c>
      <c r="G25" s="52">
        <f>IF(Taches!Q25="","",Taches!Q25)</f>
        <v/>
      </c>
      <c r="H25" s="50">
        <f>IF(Taches!B25="","",Taches!J25)</f>
        <v/>
      </c>
      <c r="I25" s="53">
        <f>IF(OR($F25="",$G25=""),"",IF(AND(I$5&lt;=$G25,I$5+6&gt;=$F25),IF($H25="Complétée","F",IF(OR($H25="En cours",$H25="En revue"),"E",IF($H25="Bloquée","B","P"))),""))</f>
        <v/>
      </c>
      <c r="J25" s="53">
        <f>IF(OR($F25="",$G25=""),"",IF(AND(J$5&lt;=$G25,J$5+6&gt;=$F25),IF($H25="Complétée","F",IF(OR($H25="En cours",$H25="En revue"),"E",IF($H25="Bloquée","B","P"))),""))</f>
        <v/>
      </c>
      <c r="K25" s="53">
        <f>IF(OR($F25="",$G25=""),"",IF(AND(K$5&lt;=$G25,K$5+6&gt;=$F25),IF($H25="Complétée","F",IF(OR($H25="En cours",$H25="En revue"),"E",IF($H25="Bloquée","B","P"))),""))</f>
        <v/>
      </c>
      <c r="L25" s="53">
        <f>IF(OR($F25="",$G25=""),"",IF(AND(L$5&lt;=$G25,L$5+6&gt;=$F25),IF($H25="Complétée","F",IF(OR($H25="En cours",$H25="En revue"),"E",IF($H25="Bloquée","B","P"))),""))</f>
        <v/>
      </c>
      <c r="M25" s="53">
        <f>IF(OR($F25="",$G25=""),"",IF(AND(M$5&lt;=$G25,M$5+6&gt;=$F25),IF($H25="Complétée","F",IF(OR($H25="En cours",$H25="En revue"),"E",IF($H25="Bloquée","B","P"))),""))</f>
        <v/>
      </c>
      <c r="N25" s="53">
        <f>IF(OR($F25="",$G25=""),"",IF(AND(N$5&lt;=$G25,N$5+6&gt;=$F25),IF($H25="Complétée","F",IF(OR($H25="En cours",$H25="En revue"),"E",IF($H25="Bloquée","B","P"))),""))</f>
        <v/>
      </c>
      <c r="O25" s="53">
        <f>IF(OR($F25="",$G25=""),"",IF(AND(O$5&lt;=$G25,O$5+6&gt;=$F25),IF($H25="Complétée","F",IF(OR($H25="En cours",$H25="En revue"),"E",IF($H25="Bloquée","B","P"))),""))</f>
        <v/>
      </c>
      <c r="P25" s="53">
        <f>IF(OR($F25="",$G25=""),"",IF(AND(P$5&lt;=$G25,P$5+6&gt;=$F25),IF($H25="Complétée","F",IF(OR($H25="En cours",$H25="En revue"),"E",IF($H25="Bloquée","B","P"))),""))</f>
        <v/>
      </c>
      <c r="Q25" s="53">
        <f>IF(OR($F25="",$G25=""),"",IF(AND(Q$5&lt;=$G25,Q$5+6&gt;=$F25),IF($H25="Complétée","F",IF(OR($H25="En cours",$H25="En revue"),"E",IF($H25="Bloquée","B","P"))),""))</f>
        <v/>
      </c>
      <c r="R25" s="53">
        <f>IF(OR($F25="",$G25=""),"",IF(AND(R$5&lt;=$G25,R$5+6&gt;=$F25),IF($H25="Complétée","F",IF(OR($H25="En cours",$H25="En revue"),"E",IF($H25="Bloquée","B","P"))),""))</f>
        <v/>
      </c>
      <c r="S25" s="53">
        <f>IF(OR($F25="",$G25=""),"",IF(AND(S$5&lt;=$G25,S$5+6&gt;=$F25),IF($H25="Complétée","F",IF(OR($H25="En cours",$H25="En revue"),"E",IF($H25="Bloquée","B","P"))),""))</f>
        <v/>
      </c>
      <c r="T25" s="53">
        <f>IF(OR($F25="",$G25=""),"",IF(AND(T$5&lt;=$G25,T$5+6&gt;=$F25),IF($H25="Complétée","F",IF(OR($H25="En cours",$H25="En revue"),"E",IF($H25="Bloquée","B","P"))),""))</f>
        <v/>
      </c>
      <c r="U25" s="53">
        <f>IF(OR($F25="",$G25=""),"",IF(AND(U$5&lt;=$G25,U$5+6&gt;=$F25),IF($H25="Complétée","F",IF(OR($H25="En cours",$H25="En revue"),"E",IF($H25="Bloquée","B","P"))),""))</f>
        <v/>
      </c>
      <c r="V25" s="53">
        <f>IF(OR($F25="",$G25=""),"",IF(AND(V$5&lt;=$G25,V$5+6&gt;=$F25),IF($H25="Complétée","F",IF(OR($H25="En cours",$H25="En revue"),"E",IF($H25="Bloquée","B","P"))),""))</f>
        <v/>
      </c>
      <c r="W25" s="53">
        <f>IF(OR($F25="",$G25=""),"",IF(AND(W$5&lt;=$G25,W$5+6&gt;=$F25),IF($H25="Complétée","F",IF(OR($H25="En cours",$H25="En revue"),"E",IF($H25="Bloquée","B","P"))),""))</f>
        <v/>
      </c>
      <c r="X25" s="53">
        <f>IF(OR($F25="",$G25=""),"",IF(AND(X$5&lt;=$G25,X$5+6&gt;=$F25),IF($H25="Complétée","F",IF(OR($H25="En cours",$H25="En revue"),"E",IF($H25="Bloquée","B","P"))),""))</f>
        <v/>
      </c>
      <c r="Y25" s="53">
        <f>IF(OR($F25="",$G25=""),"",IF(AND(Y$5&lt;=$G25,Y$5+6&gt;=$F25),IF($H25="Complétée","F",IF(OR($H25="En cours",$H25="En revue"),"E",IF($H25="Bloquée","B","P"))),""))</f>
        <v/>
      </c>
      <c r="Z25" s="53">
        <f>IF(OR($F25="",$G25=""),"",IF(AND(Z$5&lt;=$G25,Z$5+6&gt;=$F25),IF($H25="Complétée","F",IF(OR($H25="En cours",$H25="En revue"),"E",IF($H25="Bloquée","B","P"))),""))</f>
        <v/>
      </c>
      <c r="AA25" s="53">
        <f>IF(OR($F25="",$G25=""),"",IF(AND(AA$5&lt;=$G25,AA$5+6&gt;=$F25),IF($H25="Complétée","F",IF(OR($H25="En cours",$H25="En revue"),"E",IF($H25="Bloquée","B","P"))),""))</f>
        <v/>
      </c>
      <c r="AB25" s="53">
        <f>IF(OR($F25="",$G25=""),"",IF(AND(AB$5&lt;=$G25,AB$5+6&gt;=$F25),IF($H25="Complétée","F",IF(OR($H25="En cours",$H25="En revue"),"E",IF($H25="Bloquée","B","P"))),""))</f>
        <v/>
      </c>
      <c r="AC25" s="53">
        <f>IF(OR($F25="",$G25=""),"",IF(AND(AC$5&lt;=$G25,AC$5+6&gt;=$F25),IF($H25="Complétée","F",IF(OR($H25="En cours",$H25="En revue"),"E",IF($H25="Bloquée","B","P"))),""))</f>
        <v/>
      </c>
      <c r="AD25" s="53">
        <f>IF(OR($F25="",$G25=""),"",IF(AND(AD$5&lt;=$G25,AD$5+6&gt;=$F25),IF($H25="Complétée","F",IF(OR($H25="En cours",$H25="En revue"),"E",IF($H25="Bloquée","B","P"))),""))</f>
        <v/>
      </c>
      <c r="AE25" s="53">
        <f>IF(OR($F25="",$G25=""),"",IF(AND(AE$5&lt;=$G25,AE$5+6&gt;=$F25),IF($H25="Complétée","F",IF(OR($H25="En cours",$H25="En revue"),"E",IF($H25="Bloquée","B","P"))),""))</f>
        <v/>
      </c>
      <c r="AF25" s="53">
        <f>IF(OR($F25="",$G25=""),"",IF(AND(AF$5&lt;=$G25,AF$5+6&gt;=$F25),IF($H25="Complétée","F",IF(OR($H25="En cours",$H25="En revue"),"E",IF($H25="Bloquée","B","P"))),""))</f>
        <v/>
      </c>
      <c r="AG25" s="53">
        <f>IF(OR($F25="",$G25=""),"",IF(AND(AG$5&lt;=$G25,AG$5+6&gt;=$F25),IF($H25="Complétée","F",IF(OR($H25="En cours",$H25="En revue"),"E",IF($H25="Bloquée","B","P"))),""))</f>
        <v/>
      </c>
      <c r="AH25" s="53">
        <f>IF(OR($F25="",$G25=""),"",IF(AND(AH$5&lt;=$G25,AH$5+6&gt;=$F25),IF($H25="Complétée","F",IF(OR($H25="En cours",$H25="En revue"),"E",IF($H25="Bloquée","B","P"))),""))</f>
        <v/>
      </c>
      <c r="AI25" s="53">
        <f>IF(OR($F25="",$G25=""),"",IF(AND(AI$5&lt;=$G25,AI$5+6&gt;=$F25),IF($H25="Complétée","F",IF(OR($H25="En cours",$H25="En revue"),"E",IF($H25="Bloquée","B","P"))),""))</f>
        <v/>
      </c>
      <c r="AJ25" s="53">
        <f>IF(OR($F25="",$G25=""),"",IF(AND(AJ$5&lt;=$G25,AJ$5+6&gt;=$F25),IF($H25="Complétée","F",IF(OR($H25="En cours",$H25="En revue"),"E",IF($H25="Bloquée","B","P"))),""))</f>
        <v/>
      </c>
      <c r="AK25" s="53">
        <f>IF(OR($F25="",$G25=""),"",IF(AND(AK$5&lt;=$G25,AK$5+6&gt;=$F25),IF($H25="Complétée","F",IF(OR($H25="En cours",$H25="En revue"),"E",IF($H25="Bloquée","B","P"))),""))</f>
        <v/>
      </c>
      <c r="AL25" s="53">
        <f>IF(OR($F25="",$G25=""),"",IF(AND(AL$5&lt;=$G25,AL$5+6&gt;=$F25),IF($H25="Complétée","F",IF(OR($H25="En cours",$H25="En revue"),"E",IF($H25="Bloquée","B","P"))),""))</f>
        <v/>
      </c>
      <c r="AM25" s="53">
        <f>IF(OR($F25="",$G25=""),"",IF(AND(AM$5&lt;=$G25,AM$5+6&gt;=$F25),IF($H25="Complétée","F",IF(OR($H25="En cours",$H25="En revue"),"E",IF($H25="Bloquée","B","P"))),""))</f>
        <v/>
      </c>
      <c r="AN25" s="53">
        <f>IF(OR($F25="",$G25=""),"",IF(AND(AN$5&lt;=$G25,AN$5+6&gt;=$F25),IF($H25="Complétée","F",IF(OR($H25="En cours",$H25="En revue"),"E",IF($H25="Bloquée","B","P"))),""))</f>
        <v/>
      </c>
      <c r="AO25" s="53">
        <f>IF(OR($F25="",$G25=""),"",IF(AND(AO$5&lt;=$G25,AO$5+6&gt;=$F25),IF($H25="Complétée","F",IF(OR($H25="En cours",$H25="En revue"),"E",IF($H25="Bloquée","B","P"))),""))</f>
        <v/>
      </c>
      <c r="AP25" s="53">
        <f>IF(OR($F25="",$G25=""),"",IF(AND(AP$5&lt;=$G25,AP$5+6&gt;=$F25),IF($H25="Complétée","F",IF(OR($H25="En cours",$H25="En revue"),"E",IF($H25="Bloquée","B","P"))),""))</f>
        <v/>
      </c>
      <c r="AQ25" s="53">
        <f>IF(OR($F25="",$G25=""),"",IF(AND(AQ$5&lt;=$G25,AQ$5+6&gt;=$F25),IF($H25="Complétée","F",IF(OR($H25="En cours",$H25="En revue"),"E",IF($H25="Bloquée","B","P"))),""))</f>
        <v/>
      </c>
      <c r="AR25" s="53">
        <f>IF(OR($F25="",$G25=""),"",IF(AND(AR$5&lt;=$G25,AR$5+6&gt;=$F25),IF($H25="Complétée","F",IF(OR($H25="En cours",$H25="En revue"),"E",IF($H25="Bloquée","B","P"))),""))</f>
        <v/>
      </c>
      <c r="AS25" s="53">
        <f>IF(OR($F25="",$G25=""),"",IF(AND(AS$5&lt;=$G25,AS$5+6&gt;=$F25),IF($H25="Complétée","F",IF(OR($H25="En cours",$H25="En revue"),"E",IF($H25="Bloquée","B","P"))),""))</f>
        <v/>
      </c>
      <c r="AT25" s="53">
        <f>IF(OR($F25="",$G25=""),"",IF(AND(AT$5&lt;=$G25,AT$5+6&gt;=$F25),IF($H25="Complétée","F",IF(OR($H25="En cours",$H25="En revue"),"E",IF($H25="Bloquée","B","P"))),""))</f>
        <v/>
      </c>
      <c r="AU25" s="53">
        <f>IF(OR($F25="",$G25=""),"",IF(AND(AU$5&lt;=$G25,AU$5+6&gt;=$F25),IF($H25="Complétée","F",IF(OR($H25="En cours",$H25="En revue"),"E",IF($H25="Bloquée","B","P"))),""))</f>
        <v/>
      </c>
      <c r="AV25" s="53">
        <f>IF(OR($F25="",$G25=""),"",IF(AND(AV$5&lt;=$G25,AV$5+6&gt;=$F25),IF($H25="Complétée","F",IF(OR($H25="En cours",$H25="En revue"),"E",IF($H25="Bloquée","B","P"))),""))</f>
        <v/>
      </c>
      <c r="AW25" s="53">
        <f>IF(OR($F25="",$G25=""),"",IF(AND(AW$5&lt;=$G25,AW$5+6&gt;=$F25),IF($H25="Complétée","F",IF(OR($H25="En cours",$H25="En revue"),"E",IF($H25="Bloquée","B","P"))),""))</f>
        <v/>
      </c>
    </row>
    <row r="26">
      <c r="B26" s="50">
        <f>IF(Taches!B26="","",Taches!B26)</f>
        <v/>
      </c>
      <c r="C26" s="51">
        <f>IF(Taches!B26="","",Taches!F26)</f>
        <v/>
      </c>
      <c r="D26" s="50">
        <f>IF(Taches!B26="","",Taches!C26)</f>
        <v/>
      </c>
      <c r="E26" s="50">
        <f>IF(Taches!B26="","",Taches!D26)</f>
        <v/>
      </c>
      <c r="F26" s="52">
        <f>IF(Taches!P26="","",Taches!P26)</f>
        <v/>
      </c>
      <c r="G26" s="52">
        <f>IF(Taches!Q26="","",Taches!Q26)</f>
        <v/>
      </c>
      <c r="H26" s="50">
        <f>IF(Taches!B26="","",Taches!J26)</f>
        <v/>
      </c>
      <c r="I26" s="53">
        <f>IF(OR($F26="",$G26=""),"",IF(AND(I$5&lt;=$G26,I$5+6&gt;=$F26),IF($H26="Complétée","F",IF(OR($H26="En cours",$H26="En revue"),"E",IF($H26="Bloquée","B","P"))),""))</f>
        <v/>
      </c>
      <c r="J26" s="53">
        <f>IF(OR($F26="",$G26=""),"",IF(AND(J$5&lt;=$G26,J$5+6&gt;=$F26),IF($H26="Complétée","F",IF(OR($H26="En cours",$H26="En revue"),"E",IF($H26="Bloquée","B","P"))),""))</f>
        <v/>
      </c>
      <c r="K26" s="53">
        <f>IF(OR($F26="",$G26=""),"",IF(AND(K$5&lt;=$G26,K$5+6&gt;=$F26),IF($H26="Complétée","F",IF(OR($H26="En cours",$H26="En revue"),"E",IF($H26="Bloquée","B","P"))),""))</f>
        <v/>
      </c>
      <c r="L26" s="53">
        <f>IF(OR($F26="",$G26=""),"",IF(AND(L$5&lt;=$G26,L$5+6&gt;=$F26),IF($H26="Complétée","F",IF(OR($H26="En cours",$H26="En revue"),"E",IF($H26="Bloquée","B","P"))),""))</f>
        <v/>
      </c>
      <c r="M26" s="53">
        <f>IF(OR($F26="",$G26=""),"",IF(AND(M$5&lt;=$G26,M$5+6&gt;=$F26),IF($H26="Complétée","F",IF(OR($H26="En cours",$H26="En revue"),"E",IF($H26="Bloquée","B","P"))),""))</f>
        <v/>
      </c>
      <c r="N26" s="53">
        <f>IF(OR($F26="",$G26=""),"",IF(AND(N$5&lt;=$G26,N$5+6&gt;=$F26),IF($H26="Complétée","F",IF(OR($H26="En cours",$H26="En revue"),"E",IF($H26="Bloquée","B","P"))),""))</f>
        <v/>
      </c>
      <c r="O26" s="53">
        <f>IF(OR($F26="",$G26=""),"",IF(AND(O$5&lt;=$G26,O$5+6&gt;=$F26),IF($H26="Complétée","F",IF(OR($H26="En cours",$H26="En revue"),"E",IF($H26="Bloquée","B","P"))),""))</f>
        <v/>
      </c>
      <c r="P26" s="53">
        <f>IF(OR($F26="",$G26=""),"",IF(AND(P$5&lt;=$G26,P$5+6&gt;=$F26),IF($H26="Complétée","F",IF(OR($H26="En cours",$H26="En revue"),"E",IF($H26="Bloquée","B","P"))),""))</f>
        <v/>
      </c>
      <c r="Q26" s="53">
        <f>IF(OR($F26="",$G26=""),"",IF(AND(Q$5&lt;=$G26,Q$5+6&gt;=$F26),IF($H26="Complétée","F",IF(OR($H26="En cours",$H26="En revue"),"E",IF($H26="Bloquée","B","P"))),""))</f>
        <v/>
      </c>
      <c r="R26" s="53">
        <f>IF(OR($F26="",$G26=""),"",IF(AND(R$5&lt;=$G26,R$5+6&gt;=$F26),IF($H26="Complétée","F",IF(OR($H26="En cours",$H26="En revue"),"E",IF($H26="Bloquée","B","P"))),""))</f>
        <v/>
      </c>
      <c r="S26" s="53">
        <f>IF(OR($F26="",$G26=""),"",IF(AND(S$5&lt;=$G26,S$5+6&gt;=$F26),IF($H26="Complétée","F",IF(OR($H26="En cours",$H26="En revue"),"E",IF($H26="Bloquée","B","P"))),""))</f>
        <v/>
      </c>
      <c r="T26" s="53">
        <f>IF(OR($F26="",$G26=""),"",IF(AND(T$5&lt;=$G26,T$5+6&gt;=$F26),IF($H26="Complétée","F",IF(OR($H26="En cours",$H26="En revue"),"E",IF($H26="Bloquée","B","P"))),""))</f>
        <v/>
      </c>
      <c r="U26" s="53">
        <f>IF(OR($F26="",$G26=""),"",IF(AND(U$5&lt;=$G26,U$5+6&gt;=$F26),IF($H26="Complétée","F",IF(OR($H26="En cours",$H26="En revue"),"E",IF($H26="Bloquée","B","P"))),""))</f>
        <v/>
      </c>
      <c r="V26" s="53">
        <f>IF(OR($F26="",$G26=""),"",IF(AND(V$5&lt;=$G26,V$5+6&gt;=$F26),IF($H26="Complétée","F",IF(OR($H26="En cours",$H26="En revue"),"E",IF($H26="Bloquée","B","P"))),""))</f>
        <v/>
      </c>
      <c r="W26" s="53">
        <f>IF(OR($F26="",$G26=""),"",IF(AND(W$5&lt;=$G26,W$5+6&gt;=$F26),IF($H26="Complétée","F",IF(OR($H26="En cours",$H26="En revue"),"E",IF($H26="Bloquée","B","P"))),""))</f>
        <v/>
      </c>
      <c r="X26" s="53">
        <f>IF(OR($F26="",$G26=""),"",IF(AND(X$5&lt;=$G26,X$5+6&gt;=$F26),IF($H26="Complétée","F",IF(OR($H26="En cours",$H26="En revue"),"E",IF($H26="Bloquée","B","P"))),""))</f>
        <v/>
      </c>
      <c r="Y26" s="53">
        <f>IF(OR($F26="",$G26=""),"",IF(AND(Y$5&lt;=$G26,Y$5+6&gt;=$F26),IF($H26="Complétée","F",IF(OR($H26="En cours",$H26="En revue"),"E",IF($H26="Bloquée","B","P"))),""))</f>
        <v/>
      </c>
      <c r="Z26" s="53">
        <f>IF(OR($F26="",$G26=""),"",IF(AND(Z$5&lt;=$G26,Z$5+6&gt;=$F26),IF($H26="Complétée","F",IF(OR($H26="En cours",$H26="En revue"),"E",IF($H26="Bloquée","B","P"))),""))</f>
        <v/>
      </c>
      <c r="AA26" s="53">
        <f>IF(OR($F26="",$G26=""),"",IF(AND(AA$5&lt;=$G26,AA$5+6&gt;=$F26),IF($H26="Complétée","F",IF(OR($H26="En cours",$H26="En revue"),"E",IF($H26="Bloquée","B","P"))),""))</f>
        <v/>
      </c>
      <c r="AB26" s="53">
        <f>IF(OR($F26="",$G26=""),"",IF(AND(AB$5&lt;=$G26,AB$5+6&gt;=$F26),IF($H26="Complétée","F",IF(OR($H26="En cours",$H26="En revue"),"E",IF($H26="Bloquée","B","P"))),""))</f>
        <v/>
      </c>
      <c r="AC26" s="53">
        <f>IF(OR($F26="",$G26=""),"",IF(AND(AC$5&lt;=$G26,AC$5+6&gt;=$F26),IF($H26="Complétée","F",IF(OR($H26="En cours",$H26="En revue"),"E",IF($H26="Bloquée","B","P"))),""))</f>
        <v/>
      </c>
      <c r="AD26" s="53">
        <f>IF(OR($F26="",$G26=""),"",IF(AND(AD$5&lt;=$G26,AD$5+6&gt;=$F26),IF($H26="Complétée","F",IF(OR($H26="En cours",$H26="En revue"),"E",IF($H26="Bloquée","B","P"))),""))</f>
        <v/>
      </c>
      <c r="AE26" s="53">
        <f>IF(OR($F26="",$G26=""),"",IF(AND(AE$5&lt;=$G26,AE$5+6&gt;=$F26),IF($H26="Complétée","F",IF(OR($H26="En cours",$H26="En revue"),"E",IF($H26="Bloquée","B","P"))),""))</f>
        <v/>
      </c>
      <c r="AF26" s="53">
        <f>IF(OR($F26="",$G26=""),"",IF(AND(AF$5&lt;=$G26,AF$5+6&gt;=$F26),IF($H26="Complétée","F",IF(OR($H26="En cours",$H26="En revue"),"E",IF($H26="Bloquée","B","P"))),""))</f>
        <v/>
      </c>
      <c r="AG26" s="53">
        <f>IF(OR($F26="",$G26=""),"",IF(AND(AG$5&lt;=$G26,AG$5+6&gt;=$F26),IF($H26="Complétée","F",IF(OR($H26="En cours",$H26="En revue"),"E",IF($H26="Bloquée","B","P"))),""))</f>
        <v/>
      </c>
      <c r="AH26" s="53">
        <f>IF(OR($F26="",$G26=""),"",IF(AND(AH$5&lt;=$G26,AH$5+6&gt;=$F26),IF($H26="Complétée","F",IF(OR($H26="En cours",$H26="En revue"),"E",IF($H26="Bloquée","B","P"))),""))</f>
        <v/>
      </c>
      <c r="AI26" s="53">
        <f>IF(OR($F26="",$G26=""),"",IF(AND(AI$5&lt;=$G26,AI$5+6&gt;=$F26),IF($H26="Complétée","F",IF(OR($H26="En cours",$H26="En revue"),"E",IF($H26="Bloquée","B","P"))),""))</f>
        <v/>
      </c>
      <c r="AJ26" s="53">
        <f>IF(OR($F26="",$G26=""),"",IF(AND(AJ$5&lt;=$G26,AJ$5+6&gt;=$F26),IF($H26="Complétée","F",IF(OR($H26="En cours",$H26="En revue"),"E",IF($H26="Bloquée","B","P"))),""))</f>
        <v/>
      </c>
      <c r="AK26" s="53">
        <f>IF(OR($F26="",$G26=""),"",IF(AND(AK$5&lt;=$G26,AK$5+6&gt;=$F26),IF($H26="Complétée","F",IF(OR($H26="En cours",$H26="En revue"),"E",IF($H26="Bloquée","B","P"))),""))</f>
        <v/>
      </c>
      <c r="AL26" s="53">
        <f>IF(OR($F26="",$G26=""),"",IF(AND(AL$5&lt;=$G26,AL$5+6&gt;=$F26),IF($H26="Complétée","F",IF(OR($H26="En cours",$H26="En revue"),"E",IF($H26="Bloquée","B","P"))),""))</f>
        <v/>
      </c>
      <c r="AM26" s="53">
        <f>IF(OR($F26="",$G26=""),"",IF(AND(AM$5&lt;=$G26,AM$5+6&gt;=$F26),IF($H26="Complétée","F",IF(OR($H26="En cours",$H26="En revue"),"E",IF($H26="Bloquée","B","P"))),""))</f>
        <v/>
      </c>
      <c r="AN26" s="53">
        <f>IF(OR($F26="",$G26=""),"",IF(AND(AN$5&lt;=$G26,AN$5+6&gt;=$F26),IF($H26="Complétée","F",IF(OR($H26="En cours",$H26="En revue"),"E",IF($H26="Bloquée","B","P"))),""))</f>
        <v/>
      </c>
      <c r="AO26" s="53">
        <f>IF(OR($F26="",$G26=""),"",IF(AND(AO$5&lt;=$G26,AO$5+6&gt;=$F26),IF($H26="Complétée","F",IF(OR($H26="En cours",$H26="En revue"),"E",IF($H26="Bloquée","B","P"))),""))</f>
        <v/>
      </c>
      <c r="AP26" s="53">
        <f>IF(OR($F26="",$G26=""),"",IF(AND(AP$5&lt;=$G26,AP$5+6&gt;=$F26),IF($H26="Complétée","F",IF(OR($H26="En cours",$H26="En revue"),"E",IF($H26="Bloquée","B","P"))),""))</f>
        <v/>
      </c>
      <c r="AQ26" s="53">
        <f>IF(OR($F26="",$G26=""),"",IF(AND(AQ$5&lt;=$G26,AQ$5+6&gt;=$F26),IF($H26="Complétée","F",IF(OR($H26="En cours",$H26="En revue"),"E",IF($H26="Bloquée","B","P"))),""))</f>
        <v/>
      </c>
      <c r="AR26" s="53">
        <f>IF(OR($F26="",$G26=""),"",IF(AND(AR$5&lt;=$G26,AR$5+6&gt;=$F26),IF($H26="Complétée","F",IF(OR($H26="En cours",$H26="En revue"),"E",IF($H26="Bloquée","B","P"))),""))</f>
        <v/>
      </c>
      <c r="AS26" s="53">
        <f>IF(OR($F26="",$G26=""),"",IF(AND(AS$5&lt;=$G26,AS$5+6&gt;=$F26),IF($H26="Complétée","F",IF(OR($H26="En cours",$H26="En revue"),"E",IF($H26="Bloquée","B","P"))),""))</f>
        <v/>
      </c>
      <c r="AT26" s="53">
        <f>IF(OR($F26="",$G26=""),"",IF(AND(AT$5&lt;=$G26,AT$5+6&gt;=$F26),IF($H26="Complétée","F",IF(OR($H26="En cours",$H26="En revue"),"E",IF($H26="Bloquée","B","P"))),""))</f>
        <v/>
      </c>
      <c r="AU26" s="53">
        <f>IF(OR($F26="",$G26=""),"",IF(AND(AU$5&lt;=$G26,AU$5+6&gt;=$F26),IF($H26="Complétée","F",IF(OR($H26="En cours",$H26="En revue"),"E",IF($H26="Bloquée","B","P"))),""))</f>
        <v/>
      </c>
      <c r="AV26" s="53">
        <f>IF(OR($F26="",$G26=""),"",IF(AND(AV$5&lt;=$G26,AV$5+6&gt;=$F26),IF($H26="Complétée","F",IF(OR($H26="En cours",$H26="En revue"),"E",IF($H26="Bloquée","B","P"))),""))</f>
        <v/>
      </c>
      <c r="AW26" s="53">
        <f>IF(OR($F26="",$G26=""),"",IF(AND(AW$5&lt;=$G26,AW$5+6&gt;=$F26),IF($H26="Complétée","F",IF(OR($H26="En cours",$H26="En revue"),"E",IF($H26="Bloquée","B","P"))),""))</f>
        <v/>
      </c>
    </row>
    <row r="27">
      <c r="B27" s="50">
        <f>IF(Taches!B27="","",Taches!B27)</f>
        <v/>
      </c>
      <c r="C27" s="51">
        <f>IF(Taches!B27="","",Taches!F27)</f>
        <v/>
      </c>
      <c r="D27" s="50">
        <f>IF(Taches!B27="","",Taches!C27)</f>
        <v/>
      </c>
      <c r="E27" s="50">
        <f>IF(Taches!B27="","",Taches!D27)</f>
        <v/>
      </c>
      <c r="F27" s="52">
        <f>IF(Taches!P27="","",Taches!P27)</f>
        <v/>
      </c>
      <c r="G27" s="52">
        <f>IF(Taches!Q27="","",Taches!Q27)</f>
        <v/>
      </c>
      <c r="H27" s="50">
        <f>IF(Taches!B27="","",Taches!J27)</f>
        <v/>
      </c>
      <c r="I27" s="53">
        <f>IF(OR($F27="",$G27=""),"",IF(AND(I$5&lt;=$G27,I$5+6&gt;=$F27),IF($H27="Complétée","F",IF(OR($H27="En cours",$H27="En revue"),"E",IF($H27="Bloquée","B","P"))),""))</f>
        <v/>
      </c>
      <c r="J27" s="53">
        <f>IF(OR($F27="",$G27=""),"",IF(AND(J$5&lt;=$G27,J$5+6&gt;=$F27),IF($H27="Complétée","F",IF(OR($H27="En cours",$H27="En revue"),"E",IF($H27="Bloquée","B","P"))),""))</f>
        <v/>
      </c>
      <c r="K27" s="53">
        <f>IF(OR($F27="",$G27=""),"",IF(AND(K$5&lt;=$G27,K$5+6&gt;=$F27),IF($H27="Complétée","F",IF(OR($H27="En cours",$H27="En revue"),"E",IF($H27="Bloquée","B","P"))),""))</f>
        <v/>
      </c>
      <c r="L27" s="53">
        <f>IF(OR($F27="",$G27=""),"",IF(AND(L$5&lt;=$G27,L$5+6&gt;=$F27),IF($H27="Complétée","F",IF(OR($H27="En cours",$H27="En revue"),"E",IF($H27="Bloquée","B","P"))),""))</f>
        <v/>
      </c>
      <c r="M27" s="53">
        <f>IF(OR($F27="",$G27=""),"",IF(AND(M$5&lt;=$G27,M$5+6&gt;=$F27),IF($H27="Complétée","F",IF(OR($H27="En cours",$H27="En revue"),"E",IF($H27="Bloquée","B","P"))),""))</f>
        <v/>
      </c>
      <c r="N27" s="53">
        <f>IF(OR($F27="",$G27=""),"",IF(AND(N$5&lt;=$G27,N$5+6&gt;=$F27),IF($H27="Complétée","F",IF(OR($H27="En cours",$H27="En revue"),"E",IF($H27="Bloquée","B","P"))),""))</f>
        <v/>
      </c>
      <c r="O27" s="53">
        <f>IF(OR($F27="",$G27=""),"",IF(AND(O$5&lt;=$G27,O$5+6&gt;=$F27),IF($H27="Complétée","F",IF(OR($H27="En cours",$H27="En revue"),"E",IF($H27="Bloquée","B","P"))),""))</f>
        <v/>
      </c>
      <c r="P27" s="53">
        <f>IF(OR($F27="",$G27=""),"",IF(AND(P$5&lt;=$G27,P$5+6&gt;=$F27),IF($H27="Complétée","F",IF(OR($H27="En cours",$H27="En revue"),"E",IF($H27="Bloquée","B","P"))),""))</f>
        <v/>
      </c>
      <c r="Q27" s="53">
        <f>IF(OR($F27="",$G27=""),"",IF(AND(Q$5&lt;=$G27,Q$5+6&gt;=$F27),IF($H27="Complétée","F",IF(OR($H27="En cours",$H27="En revue"),"E",IF($H27="Bloquée","B","P"))),""))</f>
        <v/>
      </c>
      <c r="R27" s="53">
        <f>IF(OR($F27="",$G27=""),"",IF(AND(R$5&lt;=$G27,R$5+6&gt;=$F27),IF($H27="Complétée","F",IF(OR($H27="En cours",$H27="En revue"),"E",IF($H27="Bloquée","B","P"))),""))</f>
        <v/>
      </c>
      <c r="S27" s="53">
        <f>IF(OR($F27="",$G27=""),"",IF(AND(S$5&lt;=$G27,S$5+6&gt;=$F27),IF($H27="Complétée","F",IF(OR($H27="En cours",$H27="En revue"),"E",IF($H27="Bloquée","B","P"))),""))</f>
        <v/>
      </c>
      <c r="T27" s="53">
        <f>IF(OR($F27="",$G27=""),"",IF(AND(T$5&lt;=$G27,T$5+6&gt;=$F27),IF($H27="Complétée","F",IF(OR($H27="En cours",$H27="En revue"),"E",IF($H27="Bloquée","B","P"))),""))</f>
        <v/>
      </c>
      <c r="U27" s="53">
        <f>IF(OR($F27="",$G27=""),"",IF(AND(U$5&lt;=$G27,U$5+6&gt;=$F27),IF($H27="Complétée","F",IF(OR($H27="En cours",$H27="En revue"),"E",IF($H27="Bloquée","B","P"))),""))</f>
        <v/>
      </c>
      <c r="V27" s="53">
        <f>IF(OR($F27="",$G27=""),"",IF(AND(V$5&lt;=$G27,V$5+6&gt;=$F27),IF($H27="Complétée","F",IF(OR($H27="En cours",$H27="En revue"),"E",IF($H27="Bloquée","B","P"))),""))</f>
        <v/>
      </c>
      <c r="W27" s="53">
        <f>IF(OR($F27="",$G27=""),"",IF(AND(W$5&lt;=$G27,W$5+6&gt;=$F27),IF($H27="Complétée","F",IF(OR($H27="En cours",$H27="En revue"),"E",IF($H27="Bloquée","B","P"))),""))</f>
        <v/>
      </c>
      <c r="X27" s="53">
        <f>IF(OR($F27="",$G27=""),"",IF(AND(X$5&lt;=$G27,X$5+6&gt;=$F27),IF($H27="Complétée","F",IF(OR($H27="En cours",$H27="En revue"),"E",IF($H27="Bloquée","B","P"))),""))</f>
        <v/>
      </c>
      <c r="Y27" s="53">
        <f>IF(OR($F27="",$G27=""),"",IF(AND(Y$5&lt;=$G27,Y$5+6&gt;=$F27),IF($H27="Complétée","F",IF(OR($H27="En cours",$H27="En revue"),"E",IF($H27="Bloquée","B","P"))),""))</f>
        <v/>
      </c>
      <c r="Z27" s="53">
        <f>IF(OR($F27="",$G27=""),"",IF(AND(Z$5&lt;=$G27,Z$5+6&gt;=$F27),IF($H27="Complétée","F",IF(OR($H27="En cours",$H27="En revue"),"E",IF($H27="Bloquée","B","P"))),""))</f>
        <v/>
      </c>
      <c r="AA27" s="53">
        <f>IF(OR($F27="",$G27=""),"",IF(AND(AA$5&lt;=$G27,AA$5+6&gt;=$F27),IF($H27="Complétée","F",IF(OR($H27="En cours",$H27="En revue"),"E",IF($H27="Bloquée","B","P"))),""))</f>
        <v/>
      </c>
      <c r="AB27" s="53">
        <f>IF(OR($F27="",$G27=""),"",IF(AND(AB$5&lt;=$G27,AB$5+6&gt;=$F27),IF($H27="Complétée","F",IF(OR($H27="En cours",$H27="En revue"),"E",IF($H27="Bloquée","B","P"))),""))</f>
        <v/>
      </c>
      <c r="AC27" s="53">
        <f>IF(OR($F27="",$G27=""),"",IF(AND(AC$5&lt;=$G27,AC$5+6&gt;=$F27),IF($H27="Complétée","F",IF(OR($H27="En cours",$H27="En revue"),"E",IF($H27="Bloquée","B","P"))),""))</f>
        <v/>
      </c>
      <c r="AD27" s="53">
        <f>IF(OR($F27="",$G27=""),"",IF(AND(AD$5&lt;=$G27,AD$5+6&gt;=$F27),IF($H27="Complétée","F",IF(OR($H27="En cours",$H27="En revue"),"E",IF($H27="Bloquée","B","P"))),""))</f>
        <v/>
      </c>
      <c r="AE27" s="53">
        <f>IF(OR($F27="",$G27=""),"",IF(AND(AE$5&lt;=$G27,AE$5+6&gt;=$F27),IF($H27="Complétée","F",IF(OR($H27="En cours",$H27="En revue"),"E",IF($H27="Bloquée","B","P"))),""))</f>
        <v/>
      </c>
      <c r="AF27" s="53">
        <f>IF(OR($F27="",$G27=""),"",IF(AND(AF$5&lt;=$G27,AF$5+6&gt;=$F27),IF($H27="Complétée","F",IF(OR($H27="En cours",$H27="En revue"),"E",IF($H27="Bloquée","B","P"))),""))</f>
        <v/>
      </c>
      <c r="AG27" s="53">
        <f>IF(OR($F27="",$G27=""),"",IF(AND(AG$5&lt;=$G27,AG$5+6&gt;=$F27),IF($H27="Complétée","F",IF(OR($H27="En cours",$H27="En revue"),"E",IF($H27="Bloquée","B","P"))),""))</f>
        <v/>
      </c>
      <c r="AH27" s="53">
        <f>IF(OR($F27="",$G27=""),"",IF(AND(AH$5&lt;=$G27,AH$5+6&gt;=$F27),IF($H27="Complétée","F",IF(OR($H27="En cours",$H27="En revue"),"E",IF($H27="Bloquée","B","P"))),""))</f>
        <v/>
      </c>
      <c r="AI27" s="53">
        <f>IF(OR($F27="",$G27=""),"",IF(AND(AI$5&lt;=$G27,AI$5+6&gt;=$F27),IF($H27="Complétée","F",IF(OR($H27="En cours",$H27="En revue"),"E",IF($H27="Bloquée","B","P"))),""))</f>
        <v/>
      </c>
      <c r="AJ27" s="53">
        <f>IF(OR($F27="",$G27=""),"",IF(AND(AJ$5&lt;=$G27,AJ$5+6&gt;=$F27),IF($H27="Complétée","F",IF(OR($H27="En cours",$H27="En revue"),"E",IF($H27="Bloquée","B","P"))),""))</f>
        <v/>
      </c>
      <c r="AK27" s="53">
        <f>IF(OR($F27="",$G27=""),"",IF(AND(AK$5&lt;=$G27,AK$5+6&gt;=$F27),IF($H27="Complétée","F",IF(OR($H27="En cours",$H27="En revue"),"E",IF($H27="Bloquée","B","P"))),""))</f>
        <v/>
      </c>
      <c r="AL27" s="53">
        <f>IF(OR($F27="",$G27=""),"",IF(AND(AL$5&lt;=$G27,AL$5+6&gt;=$F27),IF($H27="Complétée","F",IF(OR($H27="En cours",$H27="En revue"),"E",IF($H27="Bloquée","B","P"))),""))</f>
        <v/>
      </c>
      <c r="AM27" s="53">
        <f>IF(OR($F27="",$G27=""),"",IF(AND(AM$5&lt;=$G27,AM$5+6&gt;=$F27),IF($H27="Complétée","F",IF(OR($H27="En cours",$H27="En revue"),"E",IF($H27="Bloquée","B","P"))),""))</f>
        <v/>
      </c>
      <c r="AN27" s="53">
        <f>IF(OR($F27="",$G27=""),"",IF(AND(AN$5&lt;=$G27,AN$5+6&gt;=$F27),IF($H27="Complétée","F",IF(OR($H27="En cours",$H27="En revue"),"E",IF($H27="Bloquée","B","P"))),""))</f>
        <v/>
      </c>
      <c r="AO27" s="53">
        <f>IF(OR($F27="",$G27=""),"",IF(AND(AO$5&lt;=$G27,AO$5+6&gt;=$F27),IF($H27="Complétée","F",IF(OR($H27="En cours",$H27="En revue"),"E",IF($H27="Bloquée","B","P"))),""))</f>
        <v/>
      </c>
      <c r="AP27" s="53">
        <f>IF(OR($F27="",$G27=""),"",IF(AND(AP$5&lt;=$G27,AP$5+6&gt;=$F27),IF($H27="Complétée","F",IF(OR($H27="En cours",$H27="En revue"),"E",IF($H27="Bloquée","B","P"))),""))</f>
        <v/>
      </c>
      <c r="AQ27" s="53">
        <f>IF(OR($F27="",$G27=""),"",IF(AND(AQ$5&lt;=$G27,AQ$5+6&gt;=$F27),IF($H27="Complétée","F",IF(OR($H27="En cours",$H27="En revue"),"E",IF($H27="Bloquée","B","P"))),""))</f>
        <v/>
      </c>
      <c r="AR27" s="53">
        <f>IF(OR($F27="",$G27=""),"",IF(AND(AR$5&lt;=$G27,AR$5+6&gt;=$F27),IF($H27="Complétée","F",IF(OR($H27="En cours",$H27="En revue"),"E",IF($H27="Bloquée","B","P"))),""))</f>
        <v/>
      </c>
      <c r="AS27" s="53">
        <f>IF(OR($F27="",$G27=""),"",IF(AND(AS$5&lt;=$G27,AS$5+6&gt;=$F27),IF($H27="Complétée","F",IF(OR($H27="En cours",$H27="En revue"),"E",IF($H27="Bloquée","B","P"))),""))</f>
        <v/>
      </c>
      <c r="AT27" s="53">
        <f>IF(OR($F27="",$G27=""),"",IF(AND(AT$5&lt;=$G27,AT$5+6&gt;=$F27),IF($H27="Complétée","F",IF(OR($H27="En cours",$H27="En revue"),"E",IF($H27="Bloquée","B","P"))),""))</f>
        <v/>
      </c>
      <c r="AU27" s="53">
        <f>IF(OR($F27="",$G27=""),"",IF(AND(AU$5&lt;=$G27,AU$5+6&gt;=$F27),IF($H27="Complétée","F",IF(OR($H27="En cours",$H27="En revue"),"E",IF($H27="Bloquée","B","P"))),""))</f>
        <v/>
      </c>
      <c r="AV27" s="53">
        <f>IF(OR($F27="",$G27=""),"",IF(AND(AV$5&lt;=$G27,AV$5+6&gt;=$F27),IF($H27="Complétée","F",IF(OR($H27="En cours",$H27="En revue"),"E",IF($H27="Bloquée","B","P"))),""))</f>
        <v/>
      </c>
      <c r="AW27" s="53">
        <f>IF(OR($F27="",$G27=""),"",IF(AND(AW$5&lt;=$G27,AW$5+6&gt;=$F27),IF($H27="Complétée","F",IF(OR($H27="En cours",$H27="En revue"),"E",IF($H27="Bloquée","B","P"))),""))</f>
        <v/>
      </c>
    </row>
    <row r="28">
      <c r="B28" s="50">
        <f>IF(Taches!B28="","",Taches!B28)</f>
        <v/>
      </c>
      <c r="C28" s="51">
        <f>IF(Taches!B28="","",Taches!F28)</f>
        <v/>
      </c>
      <c r="D28" s="50">
        <f>IF(Taches!B28="","",Taches!C28)</f>
        <v/>
      </c>
      <c r="E28" s="50">
        <f>IF(Taches!B28="","",Taches!D28)</f>
        <v/>
      </c>
      <c r="F28" s="52">
        <f>IF(Taches!P28="","",Taches!P28)</f>
        <v/>
      </c>
      <c r="G28" s="52">
        <f>IF(Taches!Q28="","",Taches!Q28)</f>
        <v/>
      </c>
      <c r="H28" s="50">
        <f>IF(Taches!B28="","",Taches!J28)</f>
        <v/>
      </c>
      <c r="I28" s="53">
        <f>IF(OR($F28="",$G28=""),"",IF(AND(I$5&lt;=$G28,I$5+6&gt;=$F28),IF($H28="Complétée","F",IF(OR($H28="En cours",$H28="En revue"),"E",IF($H28="Bloquée","B","P"))),""))</f>
        <v/>
      </c>
      <c r="J28" s="53">
        <f>IF(OR($F28="",$G28=""),"",IF(AND(J$5&lt;=$G28,J$5+6&gt;=$F28),IF($H28="Complétée","F",IF(OR($H28="En cours",$H28="En revue"),"E",IF($H28="Bloquée","B","P"))),""))</f>
        <v/>
      </c>
      <c r="K28" s="53">
        <f>IF(OR($F28="",$G28=""),"",IF(AND(K$5&lt;=$G28,K$5+6&gt;=$F28),IF($H28="Complétée","F",IF(OR($H28="En cours",$H28="En revue"),"E",IF($H28="Bloquée","B","P"))),""))</f>
        <v/>
      </c>
      <c r="L28" s="53">
        <f>IF(OR($F28="",$G28=""),"",IF(AND(L$5&lt;=$G28,L$5+6&gt;=$F28),IF($H28="Complétée","F",IF(OR($H28="En cours",$H28="En revue"),"E",IF($H28="Bloquée","B","P"))),""))</f>
        <v/>
      </c>
      <c r="M28" s="53">
        <f>IF(OR($F28="",$G28=""),"",IF(AND(M$5&lt;=$G28,M$5+6&gt;=$F28),IF($H28="Complétée","F",IF(OR($H28="En cours",$H28="En revue"),"E",IF($H28="Bloquée","B","P"))),""))</f>
        <v/>
      </c>
      <c r="N28" s="53">
        <f>IF(OR($F28="",$G28=""),"",IF(AND(N$5&lt;=$G28,N$5+6&gt;=$F28),IF($H28="Complétée","F",IF(OR($H28="En cours",$H28="En revue"),"E",IF($H28="Bloquée","B","P"))),""))</f>
        <v/>
      </c>
      <c r="O28" s="53">
        <f>IF(OR($F28="",$G28=""),"",IF(AND(O$5&lt;=$G28,O$5+6&gt;=$F28),IF($H28="Complétée","F",IF(OR($H28="En cours",$H28="En revue"),"E",IF($H28="Bloquée","B","P"))),""))</f>
        <v/>
      </c>
      <c r="P28" s="53">
        <f>IF(OR($F28="",$G28=""),"",IF(AND(P$5&lt;=$G28,P$5+6&gt;=$F28),IF($H28="Complétée","F",IF(OR($H28="En cours",$H28="En revue"),"E",IF($H28="Bloquée","B","P"))),""))</f>
        <v/>
      </c>
      <c r="Q28" s="53">
        <f>IF(OR($F28="",$G28=""),"",IF(AND(Q$5&lt;=$G28,Q$5+6&gt;=$F28),IF($H28="Complétée","F",IF(OR($H28="En cours",$H28="En revue"),"E",IF($H28="Bloquée","B","P"))),""))</f>
        <v/>
      </c>
      <c r="R28" s="53">
        <f>IF(OR($F28="",$G28=""),"",IF(AND(R$5&lt;=$G28,R$5+6&gt;=$F28),IF($H28="Complétée","F",IF(OR($H28="En cours",$H28="En revue"),"E",IF($H28="Bloquée","B","P"))),""))</f>
        <v/>
      </c>
      <c r="S28" s="53">
        <f>IF(OR($F28="",$G28=""),"",IF(AND(S$5&lt;=$G28,S$5+6&gt;=$F28),IF($H28="Complétée","F",IF(OR($H28="En cours",$H28="En revue"),"E",IF($H28="Bloquée","B","P"))),""))</f>
        <v/>
      </c>
      <c r="T28" s="53">
        <f>IF(OR($F28="",$G28=""),"",IF(AND(T$5&lt;=$G28,T$5+6&gt;=$F28),IF($H28="Complétée","F",IF(OR($H28="En cours",$H28="En revue"),"E",IF($H28="Bloquée","B","P"))),""))</f>
        <v/>
      </c>
      <c r="U28" s="53">
        <f>IF(OR($F28="",$G28=""),"",IF(AND(U$5&lt;=$G28,U$5+6&gt;=$F28),IF($H28="Complétée","F",IF(OR($H28="En cours",$H28="En revue"),"E",IF($H28="Bloquée","B","P"))),""))</f>
        <v/>
      </c>
      <c r="V28" s="53">
        <f>IF(OR($F28="",$G28=""),"",IF(AND(V$5&lt;=$G28,V$5+6&gt;=$F28),IF($H28="Complétée","F",IF(OR($H28="En cours",$H28="En revue"),"E",IF($H28="Bloquée","B","P"))),""))</f>
        <v/>
      </c>
      <c r="W28" s="53">
        <f>IF(OR($F28="",$G28=""),"",IF(AND(W$5&lt;=$G28,W$5+6&gt;=$F28),IF($H28="Complétée","F",IF(OR($H28="En cours",$H28="En revue"),"E",IF($H28="Bloquée","B","P"))),""))</f>
        <v/>
      </c>
      <c r="X28" s="53">
        <f>IF(OR($F28="",$G28=""),"",IF(AND(X$5&lt;=$G28,X$5+6&gt;=$F28),IF($H28="Complétée","F",IF(OR($H28="En cours",$H28="En revue"),"E",IF($H28="Bloquée","B","P"))),""))</f>
        <v/>
      </c>
      <c r="Y28" s="53">
        <f>IF(OR($F28="",$G28=""),"",IF(AND(Y$5&lt;=$G28,Y$5+6&gt;=$F28),IF($H28="Complétée","F",IF(OR($H28="En cours",$H28="En revue"),"E",IF($H28="Bloquée","B","P"))),""))</f>
        <v/>
      </c>
      <c r="Z28" s="53">
        <f>IF(OR($F28="",$G28=""),"",IF(AND(Z$5&lt;=$G28,Z$5+6&gt;=$F28),IF($H28="Complétée","F",IF(OR($H28="En cours",$H28="En revue"),"E",IF($H28="Bloquée","B","P"))),""))</f>
        <v/>
      </c>
      <c r="AA28" s="53">
        <f>IF(OR($F28="",$G28=""),"",IF(AND(AA$5&lt;=$G28,AA$5+6&gt;=$F28),IF($H28="Complétée","F",IF(OR($H28="En cours",$H28="En revue"),"E",IF($H28="Bloquée","B","P"))),""))</f>
        <v/>
      </c>
      <c r="AB28" s="53">
        <f>IF(OR($F28="",$G28=""),"",IF(AND(AB$5&lt;=$G28,AB$5+6&gt;=$F28),IF($H28="Complétée","F",IF(OR($H28="En cours",$H28="En revue"),"E",IF($H28="Bloquée","B","P"))),""))</f>
        <v/>
      </c>
      <c r="AC28" s="53">
        <f>IF(OR($F28="",$G28=""),"",IF(AND(AC$5&lt;=$G28,AC$5+6&gt;=$F28),IF($H28="Complétée","F",IF(OR($H28="En cours",$H28="En revue"),"E",IF($H28="Bloquée","B","P"))),""))</f>
        <v/>
      </c>
      <c r="AD28" s="53">
        <f>IF(OR($F28="",$G28=""),"",IF(AND(AD$5&lt;=$G28,AD$5+6&gt;=$F28),IF($H28="Complétée","F",IF(OR($H28="En cours",$H28="En revue"),"E",IF($H28="Bloquée","B","P"))),""))</f>
        <v/>
      </c>
      <c r="AE28" s="53">
        <f>IF(OR($F28="",$G28=""),"",IF(AND(AE$5&lt;=$G28,AE$5+6&gt;=$F28),IF($H28="Complétée","F",IF(OR($H28="En cours",$H28="En revue"),"E",IF($H28="Bloquée","B","P"))),""))</f>
        <v/>
      </c>
      <c r="AF28" s="53">
        <f>IF(OR($F28="",$G28=""),"",IF(AND(AF$5&lt;=$G28,AF$5+6&gt;=$F28),IF($H28="Complétée","F",IF(OR($H28="En cours",$H28="En revue"),"E",IF($H28="Bloquée","B","P"))),""))</f>
        <v/>
      </c>
      <c r="AG28" s="53">
        <f>IF(OR($F28="",$G28=""),"",IF(AND(AG$5&lt;=$G28,AG$5+6&gt;=$F28),IF($H28="Complétée","F",IF(OR($H28="En cours",$H28="En revue"),"E",IF($H28="Bloquée","B","P"))),""))</f>
        <v/>
      </c>
      <c r="AH28" s="53">
        <f>IF(OR($F28="",$G28=""),"",IF(AND(AH$5&lt;=$G28,AH$5+6&gt;=$F28),IF($H28="Complétée","F",IF(OR($H28="En cours",$H28="En revue"),"E",IF($H28="Bloquée","B","P"))),""))</f>
        <v/>
      </c>
      <c r="AI28" s="53">
        <f>IF(OR($F28="",$G28=""),"",IF(AND(AI$5&lt;=$G28,AI$5+6&gt;=$F28),IF($H28="Complétée","F",IF(OR($H28="En cours",$H28="En revue"),"E",IF($H28="Bloquée","B","P"))),""))</f>
        <v/>
      </c>
      <c r="AJ28" s="53">
        <f>IF(OR($F28="",$G28=""),"",IF(AND(AJ$5&lt;=$G28,AJ$5+6&gt;=$F28),IF($H28="Complétée","F",IF(OR($H28="En cours",$H28="En revue"),"E",IF($H28="Bloquée","B","P"))),""))</f>
        <v/>
      </c>
      <c r="AK28" s="53">
        <f>IF(OR($F28="",$G28=""),"",IF(AND(AK$5&lt;=$G28,AK$5+6&gt;=$F28),IF($H28="Complétée","F",IF(OR($H28="En cours",$H28="En revue"),"E",IF($H28="Bloquée","B","P"))),""))</f>
        <v/>
      </c>
      <c r="AL28" s="53">
        <f>IF(OR($F28="",$G28=""),"",IF(AND(AL$5&lt;=$G28,AL$5+6&gt;=$F28),IF($H28="Complétée","F",IF(OR($H28="En cours",$H28="En revue"),"E",IF($H28="Bloquée","B","P"))),""))</f>
        <v/>
      </c>
      <c r="AM28" s="53">
        <f>IF(OR($F28="",$G28=""),"",IF(AND(AM$5&lt;=$G28,AM$5+6&gt;=$F28),IF($H28="Complétée","F",IF(OR($H28="En cours",$H28="En revue"),"E",IF($H28="Bloquée","B","P"))),""))</f>
        <v/>
      </c>
      <c r="AN28" s="53">
        <f>IF(OR($F28="",$G28=""),"",IF(AND(AN$5&lt;=$G28,AN$5+6&gt;=$F28),IF($H28="Complétée","F",IF(OR($H28="En cours",$H28="En revue"),"E",IF($H28="Bloquée","B","P"))),""))</f>
        <v/>
      </c>
      <c r="AO28" s="53">
        <f>IF(OR($F28="",$G28=""),"",IF(AND(AO$5&lt;=$G28,AO$5+6&gt;=$F28),IF($H28="Complétée","F",IF(OR($H28="En cours",$H28="En revue"),"E",IF($H28="Bloquée","B","P"))),""))</f>
        <v/>
      </c>
      <c r="AP28" s="53">
        <f>IF(OR($F28="",$G28=""),"",IF(AND(AP$5&lt;=$G28,AP$5+6&gt;=$F28),IF($H28="Complétée","F",IF(OR($H28="En cours",$H28="En revue"),"E",IF($H28="Bloquée","B","P"))),""))</f>
        <v/>
      </c>
      <c r="AQ28" s="53">
        <f>IF(OR($F28="",$G28=""),"",IF(AND(AQ$5&lt;=$G28,AQ$5+6&gt;=$F28),IF($H28="Complétée","F",IF(OR($H28="En cours",$H28="En revue"),"E",IF($H28="Bloquée","B","P"))),""))</f>
        <v/>
      </c>
      <c r="AR28" s="53">
        <f>IF(OR($F28="",$G28=""),"",IF(AND(AR$5&lt;=$G28,AR$5+6&gt;=$F28),IF($H28="Complétée","F",IF(OR($H28="En cours",$H28="En revue"),"E",IF($H28="Bloquée","B","P"))),""))</f>
        <v/>
      </c>
      <c r="AS28" s="53">
        <f>IF(OR($F28="",$G28=""),"",IF(AND(AS$5&lt;=$G28,AS$5+6&gt;=$F28),IF($H28="Complétée","F",IF(OR($H28="En cours",$H28="En revue"),"E",IF($H28="Bloquée","B","P"))),""))</f>
        <v/>
      </c>
      <c r="AT28" s="53">
        <f>IF(OR($F28="",$G28=""),"",IF(AND(AT$5&lt;=$G28,AT$5+6&gt;=$F28),IF($H28="Complétée","F",IF(OR($H28="En cours",$H28="En revue"),"E",IF($H28="Bloquée","B","P"))),""))</f>
        <v/>
      </c>
      <c r="AU28" s="53">
        <f>IF(OR($F28="",$G28=""),"",IF(AND(AU$5&lt;=$G28,AU$5+6&gt;=$F28),IF($H28="Complétée","F",IF(OR($H28="En cours",$H28="En revue"),"E",IF($H28="Bloquée","B","P"))),""))</f>
        <v/>
      </c>
      <c r="AV28" s="53">
        <f>IF(OR($F28="",$G28=""),"",IF(AND(AV$5&lt;=$G28,AV$5+6&gt;=$F28),IF($H28="Complétée","F",IF(OR($H28="En cours",$H28="En revue"),"E",IF($H28="Bloquée","B","P"))),""))</f>
        <v/>
      </c>
      <c r="AW28" s="53">
        <f>IF(OR($F28="",$G28=""),"",IF(AND(AW$5&lt;=$G28,AW$5+6&gt;=$F28),IF($H28="Complétée","F",IF(OR($H28="En cours",$H28="En revue"),"E",IF($H28="Bloquée","B","P"))),""))</f>
        <v/>
      </c>
    </row>
    <row r="29">
      <c r="B29" s="50">
        <f>IF(Taches!B29="","",Taches!B29)</f>
        <v/>
      </c>
      <c r="C29" s="51">
        <f>IF(Taches!B29="","",Taches!F29)</f>
        <v/>
      </c>
      <c r="D29" s="50">
        <f>IF(Taches!B29="","",Taches!C29)</f>
        <v/>
      </c>
      <c r="E29" s="50">
        <f>IF(Taches!B29="","",Taches!D29)</f>
        <v/>
      </c>
      <c r="F29" s="52">
        <f>IF(Taches!P29="","",Taches!P29)</f>
        <v/>
      </c>
      <c r="G29" s="52">
        <f>IF(Taches!Q29="","",Taches!Q29)</f>
        <v/>
      </c>
      <c r="H29" s="50">
        <f>IF(Taches!B29="","",Taches!J29)</f>
        <v/>
      </c>
      <c r="I29" s="53">
        <f>IF(OR($F29="",$G29=""),"",IF(AND(I$5&lt;=$G29,I$5+6&gt;=$F29),IF($H29="Complétée","F",IF(OR($H29="En cours",$H29="En revue"),"E",IF($H29="Bloquée","B","P"))),""))</f>
        <v/>
      </c>
      <c r="J29" s="53">
        <f>IF(OR($F29="",$G29=""),"",IF(AND(J$5&lt;=$G29,J$5+6&gt;=$F29),IF($H29="Complétée","F",IF(OR($H29="En cours",$H29="En revue"),"E",IF($H29="Bloquée","B","P"))),""))</f>
        <v/>
      </c>
      <c r="K29" s="53">
        <f>IF(OR($F29="",$G29=""),"",IF(AND(K$5&lt;=$G29,K$5+6&gt;=$F29),IF($H29="Complétée","F",IF(OR($H29="En cours",$H29="En revue"),"E",IF($H29="Bloquée","B","P"))),""))</f>
        <v/>
      </c>
      <c r="L29" s="53">
        <f>IF(OR($F29="",$G29=""),"",IF(AND(L$5&lt;=$G29,L$5+6&gt;=$F29),IF($H29="Complétée","F",IF(OR($H29="En cours",$H29="En revue"),"E",IF($H29="Bloquée","B","P"))),""))</f>
        <v/>
      </c>
      <c r="M29" s="53">
        <f>IF(OR($F29="",$G29=""),"",IF(AND(M$5&lt;=$G29,M$5+6&gt;=$F29),IF($H29="Complétée","F",IF(OR($H29="En cours",$H29="En revue"),"E",IF($H29="Bloquée","B","P"))),""))</f>
        <v/>
      </c>
      <c r="N29" s="53">
        <f>IF(OR($F29="",$G29=""),"",IF(AND(N$5&lt;=$G29,N$5+6&gt;=$F29),IF($H29="Complétée","F",IF(OR($H29="En cours",$H29="En revue"),"E",IF($H29="Bloquée","B","P"))),""))</f>
        <v/>
      </c>
      <c r="O29" s="53">
        <f>IF(OR($F29="",$G29=""),"",IF(AND(O$5&lt;=$G29,O$5+6&gt;=$F29),IF($H29="Complétée","F",IF(OR($H29="En cours",$H29="En revue"),"E",IF($H29="Bloquée","B","P"))),""))</f>
        <v/>
      </c>
      <c r="P29" s="53">
        <f>IF(OR($F29="",$G29=""),"",IF(AND(P$5&lt;=$G29,P$5+6&gt;=$F29),IF($H29="Complétée","F",IF(OR($H29="En cours",$H29="En revue"),"E",IF($H29="Bloquée","B","P"))),""))</f>
        <v/>
      </c>
      <c r="Q29" s="53">
        <f>IF(OR($F29="",$G29=""),"",IF(AND(Q$5&lt;=$G29,Q$5+6&gt;=$F29),IF($H29="Complétée","F",IF(OR($H29="En cours",$H29="En revue"),"E",IF($H29="Bloquée","B","P"))),""))</f>
        <v/>
      </c>
      <c r="R29" s="53">
        <f>IF(OR($F29="",$G29=""),"",IF(AND(R$5&lt;=$G29,R$5+6&gt;=$F29),IF($H29="Complétée","F",IF(OR($H29="En cours",$H29="En revue"),"E",IF($H29="Bloquée","B","P"))),""))</f>
        <v/>
      </c>
      <c r="S29" s="53">
        <f>IF(OR($F29="",$G29=""),"",IF(AND(S$5&lt;=$G29,S$5+6&gt;=$F29),IF($H29="Complétée","F",IF(OR($H29="En cours",$H29="En revue"),"E",IF($H29="Bloquée","B","P"))),""))</f>
        <v/>
      </c>
      <c r="T29" s="53">
        <f>IF(OR($F29="",$G29=""),"",IF(AND(T$5&lt;=$G29,T$5+6&gt;=$F29),IF($H29="Complétée","F",IF(OR($H29="En cours",$H29="En revue"),"E",IF($H29="Bloquée","B","P"))),""))</f>
        <v/>
      </c>
      <c r="U29" s="53">
        <f>IF(OR($F29="",$G29=""),"",IF(AND(U$5&lt;=$G29,U$5+6&gt;=$F29),IF($H29="Complétée","F",IF(OR($H29="En cours",$H29="En revue"),"E",IF($H29="Bloquée","B","P"))),""))</f>
        <v/>
      </c>
      <c r="V29" s="53">
        <f>IF(OR($F29="",$G29=""),"",IF(AND(V$5&lt;=$G29,V$5+6&gt;=$F29),IF($H29="Complétée","F",IF(OR($H29="En cours",$H29="En revue"),"E",IF($H29="Bloquée","B","P"))),""))</f>
        <v/>
      </c>
      <c r="W29" s="53">
        <f>IF(OR($F29="",$G29=""),"",IF(AND(W$5&lt;=$G29,W$5+6&gt;=$F29),IF($H29="Complétée","F",IF(OR($H29="En cours",$H29="En revue"),"E",IF($H29="Bloquée","B","P"))),""))</f>
        <v/>
      </c>
      <c r="X29" s="53">
        <f>IF(OR($F29="",$G29=""),"",IF(AND(X$5&lt;=$G29,X$5+6&gt;=$F29),IF($H29="Complétée","F",IF(OR($H29="En cours",$H29="En revue"),"E",IF($H29="Bloquée","B","P"))),""))</f>
        <v/>
      </c>
      <c r="Y29" s="53">
        <f>IF(OR($F29="",$G29=""),"",IF(AND(Y$5&lt;=$G29,Y$5+6&gt;=$F29),IF($H29="Complétée","F",IF(OR($H29="En cours",$H29="En revue"),"E",IF($H29="Bloquée","B","P"))),""))</f>
        <v/>
      </c>
      <c r="Z29" s="53">
        <f>IF(OR($F29="",$G29=""),"",IF(AND(Z$5&lt;=$G29,Z$5+6&gt;=$F29),IF($H29="Complétée","F",IF(OR($H29="En cours",$H29="En revue"),"E",IF($H29="Bloquée","B","P"))),""))</f>
        <v/>
      </c>
      <c r="AA29" s="53">
        <f>IF(OR($F29="",$G29=""),"",IF(AND(AA$5&lt;=$G29,AA$5+6&gt;=$F29),IF($H29="Complétée","F",IF(OR($H29="En cours",$H29="En revue"),"E",IF($H29="Bloquée","B","P"))),""))</f>
        <v/>
      </c>
      <c r="AB29" s="53">
        <f>IF(OR($F29="",$G29=""),"",IF(AND(AB$5&lt;=$G29,AB$5+6&gt;=$F29),IF($H29="Complétée","F",IF(OR($H29="En cours",$H29="En revue"),"E",IF($H29="Bloquée","B","P"))),""))</f>
        <v/>
      </c>
      <c r="AC29" s="53">
        <f>IF(OR($F29="",$G29=""),"",IF(AND(AC$5&lt;=$G29,AC$5+6&gt;=$F29),IF($H29="Complétée","F",IF(OR($H29="En cours",$H29="En revue"),"E",IF($H29="Bloquée","B","P"))),""))</f>
        <v/>
      </c>
      <c r="AD29" s="53">
        <f>IF(OR($F29="",$G29=""),"",IF(AND(AD$5&lt;=$G29,AD$5+6&gt;=$F29),IF($H29="Complétée","F",IF(OR($H29="En cours",$H29="En revue"),"E",IF($H29="Bloquée","B","P"))),""))</f>
        <v/>
      </c>
      <c r="AE29" s="53">
        <f>IF(OR($F29="",$G29=""),"",IF(AND(AE$5&lt;=$G29,AE$5+6&gt;=$F29),IF($H29="Complétée","F",IF(OR($H29="En cours",$H29="En revue"),"E",IF($H29="Bloquée","B","P"))),""))</f>
        <v/>
      </c>
      <c r="AF29" s="53">
        <f>IF(OR($F29="",$G29=""),"",IF(AND(AF$5&lt;=$G29,AF$5+6&gt;=$F29),IF($H29="Complétée","F",IF(OR($H29="En cours",$H29="En revue"),"E",IF($H29="Bloquée","B","P"))),""))</f>
        <v/>
      </c>
      <c r="AG29" s="53">
        <f>IF(OR($F29="",$G29=""),"",IF(AND(AG$5&lt;=$G29,AG$5+6&gt;=$F29),IF($H29="Complétée","F",IF(OR($H29="En cours",$H29="En revue"),"E",IF($H29="Bloquée","B","P"))),""))</f>
        <v/>
      </c>
      <c r="AH29" s="53">
        <f>IF(OR($F29="",$G29=""),"",IF(AND(AH$5&lt;=$G29,AH$5+6&gt;=$F29),IF($H29="Complétée","F",IF(OR($H29="En cours",$H29="En revue"),"E",IF($H29="Bloquée","B","P"))),""))</f>
        <v/>
      </c>
      <c r="AI29" s="53">
        <f>IF(OR($F29="",$G29=""),"",IF(AND(AI$5&lt;=$G29,AI$5+6&gt;=$F29),IF($H29="Complétée","F",IF(OR($H29="En cours",$H29="En revue"),"E",IF($H29="Bloquée","B","P"))),""))</f>
        <v/>
      </c>
      <c r="AJ29" s="53">
        <f>IF(OR($F29="",$G29=""),"",IF(AND(AJ$5&lt;=$G29,AJ$5+6&gt;=$F29),IF($H29="Complétée","F",IF(OR($H29="En cours",$H29="En revue"),"E",IF($H29="Bloquée","B","P"))),""))</f>
        <v/>
      </c>
      <c r="AK29" s="53">
        <f>IF(OR($F29="",$G29=""),"",IF(AND(AK$5&lt;=$G29,AK$5+6&gt;=$F29),IF($H29="Complétée","F",IF(OR($H29="En cours",$H29="En revue"),"E",IF($H29="Bloquée","B","P"))),""))</f>
        <v/>
      </c>
      <c r="AL29" s="53">
        <f>IF(OR($F29="",$G29=""),"",IF(AND(AL$5&lt;=$G29,AL$5+6&gt;=$F29),IF($H29="Complétée","F",IF(OR($H29="En cours",$H29="En revue"),"E",IF($H29="Bloquée","B","P"))),""))</f>
        <v/>
      </c>
      <c r="AM29" s="53">
        <f>IF(OR($F29="",$G29=""),"",IF(AND(AM$5&lt;=$G29,AM$5+6&gt;=$F29),IF($H29="Complétée","F",IF(OR($H29="En cours",$H29="En revue"),"E",IF($H29="Bloquée","B","P"))),""))</f>
        <v/>
      </c>
      <c r="AN29" s="53">
        <f>IF(OR($F29="",$G29=""),"",IF(AND(AN$5&lt;=$G29,AN$5+6&gt;=$F29),IF($H29="Complétée","F",IF(OR($H29="En cours",$H29="En revue"),"E",IF($H29="Bloquée","B","P"))),""))</f>
        <v/>
      </c>
      <c r="AO29" s="53">
        <f>IF(OR($F29="",$G29=""),"",IF(AND(AO$5&lt;=$G29,AO$5+6&gt;=$F29),IF($H29="Complétée","F",IF(OR($H29="En cours",$H29="En revue"),"E",IF($H29="Bloquée","B","P"))),""))</f>
        <v/>
      </c>
      <c r="AP29" s="53">
        <f>IF(OR($F29="",$G29=""),"",IF(AND(AP$5&lt;=$G29,AP$5+6&gt;=$F29),IF($H29="Complétée","F",IF(OR($H29="En cours",$H29="En revue"),"E",IF($H29="Bloquée","B","P"))),""))</f>
        <v/>
      </c>
      <c r="AQ29" s="53">
        <f>IF(OR($F29="",$G29=""),"",IF(AND(AQ$5&lt;=$G29,AQ$5+6&gt;=$F29),IF($H29="Complétée","F",IF(OR($H29="En cours",$H29="En revue"),"E",IF($H29="Bloquée","B","P"))),""))</f>
        <v/>
      </c>
      <c r="AR29" s="53">
        <f>IF(OR($F29="",$G29=""),"",IF(AND(AR$5&lt;=$G29,AR$5+6&gt;=$F29),IF($H29="Complétée","F",IF(OR($H29="En cours",$H29="En revue"),"E",IF($H29="Bloquée","B","P"))),""))</f>
        <v/>
      </c>
      <c r="AS29" s="53">
        <f>IF(OR($F29="",$G29=""),"",IF(AND(AS$5&lt;=$G29,AS$5+6&gt;=$F29),IF($H29="Complétée","F",IF(OR($H29="En cours",$H29="En revue"),"E",IF($H29="Bloquée","B","P"))),""))</f>
        <v/>
      </c>
      <c r="AT29" s="53">
        <f>IF(OR($F29="",$G29=""),"",IF(AND(AT$5&lt;=$G29,AT$5+6&gt;=$F29),IF($H29="Complétée","F",IF(OR($H29="En cours",$H29="En revue"),"E",IF($H29="Bloquée","B","P"))),""))</f>
        <v/>
      </c>
      <c r="AU29" s="53">
        <f>IF(OR($F29="",$G29=""),"",IF(AND(AU$5&lt;=$G29,AU$5+6&gt;=$F29),IF($H29="Complétée","F",IF(OR($H29="En cours",$H29="En revue"),"E",IF($H29="Bloquée","B","P"))),""))</f>
        <v/>
      </c>
      <c r="AV29" s="53">
        <f>IF(OR($F29="",$G29=""),"",IF(AND(AV$5&lt;=$G29,AV$5+6&gt;=$F29),IF($H29="Complétée","F",IF(OR($H29="En cours",$H29="En revue"),"E",IF($H29="Bloquée","B","P"))),""))</f>
        <v/>
      </c>
      <c r="AW29" s="53">
        <f>IF(OR($F29="",$G29=""),"",IF(AND(AW$5&lt;=$G29,AW$5+6&gt;=$F29),IF($H29="Complétée","F",IF(OR($H29="En cours",$H29="En revue"),"E",IF($H29="Bloquée","B","P"))),""))</f>
        <v/>
      </c>
    </row>
    <row r="30">
      <c r="B30" s="50">
        <f>IF(Taches!B30="","",Taches!B30)</f>
        <v/>
      </c>
      <c r="C30" s="51">
        <f>IF(Taches!B30="","",Taches!F30)</f>
        <v/>
      </c>
      <c r="D30" s="50">
        <f>IF(Taches!B30="","",Taches!C30)</f>
        <v/>
      </c>
      <c r="E30" s="50">
        <f>IF(Taches!B30="","",Taches!D30)</f>
        <v/>
      </c>
      <c r="F30" s="52">
        <f>IF(Taches!P30="","",Taches!P30)</f>
        <v/>
      </c>
      <c r="G30" s="52">
        <f>IF(Taches!Q30="","",Taches!Q30)</f>
        <v/>
      </c>
      <c r="H30" s="50">
        <f>IF(Taches!B30="","",Taches!J30)</f>
        <v/>
      </c>
      <c r="I30" s="53">
        <f>IF(OR($F30="",$G30=""),"",IF(AND(I$5&lt;=$G30,I$5+6&gt;=$F30),IF($H30="Complétée","F",IF(OR($H30="En cours",$H30="En revue"),"E",IF($H30="Bloquée","B","P"))),""))</f>
        <v/>
      </c>
      <c r="J30" s="53">
        <f>IF(OR($F30="",$G30=""),"",IF(AND(J$5&lt;=$G30,J$5+6&gt;=$F30),IF($H30="Complétée","F",IF(OR($H30="En cours",$H30="En revue"),"E",IF($H30="Bloquée","B","P"))),""))</f>
        <v/>
      </c>
      <c r="K30" s="53">
        <f>IF(OR($F30="",$G30=""),"",IF(AND(K$5&lt;=$G30,K$5+6&gt;=$F30),IF($H30="Complétée","F",IF(OR($H30="En cours",$H30="En revue"),"E",IF($H30="Bloquée","B","P"))),""))</f>
        <v/>
      </c>
      <c r="L30" s="53">
        <f>IF(OR($F30="",$G30=""),"",IF(AND(L$5&lt;=$G30,L$5+6&gt;=$F30),IF($H30="Complétée","F",IF(OR($H30="En cours",$H30="En revue"),"E",IF($H30="Bloquée","B","P"))),""))</f>
        <v/>
      </c>
      <c r="M30" s="53">
        <f>IF(OR($F30="",$G30=""),"",IF(AND(M$5&lt;=$G30,M$5+6&gt;=$F30),IF($H30="Complétée","F",IF(OR($H30="En cours",$H30="En revue"),"E",IF($H30="Bloquée","B","P"))),""))</f>
        <v/>
      </c>
      <c r="N30" s="53">
        <f>IF(OR($F30="",$G30=""),"",IF(AND(N$5&lt;=$G30,N$5+6&gt;=$F30),IF($H30="Complétée","F",IF(OR($H30="En cours",$H30="En revue"),"E",IF($H30="Bloquée","B","P"))),""))</f>
        <v/>
      </c>
      <c r="O30" s="53">
        <f>IF(OR($F30="",$G30=""),"",IF(AND(O$5&lt;=$G30,O$5+6&gt;=$F30),IF($H30="Complétée","F",IF(OR($H30="En cours",$H30="En revue"),"E",IF($H30="Bloquée","B","P"))),""))</f>
        <v/>
      </c>
      <c r="P30" s="53">
        <f>IF(OR($F30="",$G30=""),"",IF(AND(P$5&lt;=$G30,P$5+6&gt;=$F30),IF($H30="Complétée","F",IF(OR($H30="En cours",$H30="En revue"),"E",IF($H30="Bloquée","B","P"))),""))</f>
        <v/>
      </c>
      <c r="Q30" s="53">
        <f>IF(OR($F30="",$G30=""),"",IF(AND(Q$5&lt;=$G30,Q$5+6&gt;=$F30),IF($H30="Complétée","F",IF(OR($H30="En cours",$H30="En revue"),"E",IF($H30="Bloquée","B","P"))),""))</f>
        <v/>
      </c>
      <c r="R30" s="53">
        <f>IF(OR($F30="",$G30=""),"",IF(AND(R$5&lt;=$G30,R$5+6&gt;=$F30),IF($H30="Complétée","F",IF(OR($H30="En cours",$H30="En revue"),"E",IF($H30="Bloquée","B","P"))),""))</f>
        <v/>
      </c>
      <c r="S30" s="53">
        <f>IF(OR($F30="",$G30=""),"",IF(AND(S$5&lt;=$G30,S$5+6&gt;=$F30),IF($H30="Complétée","F",IF(OR($H30="En cours",$H30="En revue"),"E",IF($H30="Bloquée","B","P"))),""))</f>
        <v/>
      </c>
      <c r="T30" s="53">
        <f>IF(OR($F30="",$G30=""),"",IF(AND(T$5&lt;=$G30,T$5+6&gt;=$F30),IF($H30="Complétée","F",IF(OR($H30="En cours",$H30="En revue"),"E",IF($H30="Bloquée","B","P"))),""))</f>
        <v/>
      </c>
      <c r="U30" s="53">
        <f>IF(OR($F30="",$G30=""),"",IF(AND(U$5&lt;=$G30,U$5+6&gt;=$F30),IF($H30="Complétée","F",IF(OR($H30="En cours",$H30="En revue"),"E",IF($H30="Bloquée","B","P"))),""))</f>
        <v/>
      </c>
      <c r="V30" s="53">
        <f>IF(OR($F30="",$G30=""),"",IF(AND(V$5&lt;=$G30,V$5+6&gt;=$F30),IF($H30="Complétée","F",IF(OR($H30="En cours",$H30="En revue"),"E",IF($H30="Bloquée","B","P"))),""))</f>
        <v/>
      </c>
      <c r="W30" s="53">
        <f>IF(OR($F30="",$G30=""),"",IF(AND(W$5&lt;=$G30,W$5+6&gt;=$F30),IF($H30="Complétée","F",IF(OR($H30="En cours",$H30="En revue"),"E",IF($H30="Bloquée","B","P"))),""))</f>
        <v/>
      </c>
      <c r="X30" s="53">
        <f>IF(OR($F30="",$G30=""),"",IF(AND(X$5&lt;=$G30,X$5+6&gt;=$F30),IF($H30="Complétée","F",IF(OR($H30="En cours",$H30="En revue"),"E",IF($H30="Bloquée","B","P"))),""))</f>
        <v/>
      </c>
      <c r="Y30" s="53">
        <f>IF(OR($F30="",$G30=""),"",IF(AND(Y$5&lt;=$G30,Y$5+6&gt;=$F30),IF($H30="Complétée","F",IF(OR($H30="En cours",$H30="En revue"),"E",IF($H30="Bloquée","B","P"))),""))</f>
        <v/>
      </c>
      <c r="Z30" s="53">
        <f>IF(OR($F30="",$G30=""),"",IF(AND(Z$5&lt;=$G30,Z$5+6&gt;=$F30),IF($H30="Complétée","F",IF(OR($H30="En cours",$H30="En revue"),"E",IF($H30="Bloquée","B","P"))),""))</f>
        <v/>
      </c>
      <c r="AA30" s="53">
        <f>IF(OR($F30="",$G30=""),"",IF(AND(AA$5&lt;=$G30,AA$5+6&gt;=$F30),IF($H30="Complétée","F",IF(OR($H30="En cours",$H30="En revue"),"E",IF($H30="Bloquée","B","P"))),""))</f>
        <v/>
      </c>
      <c r="AB30" s="53">
        <f>IF(OR($F30="",$G30=""),"",IF(AND(AB$5&lt;=$G30,AB$5+6&gt;=$F30),IF($H30="Complétée","F",IF(OR($H30="En cours",$H30="En revue"),"E",IF($H30="Bloquée","B","P"))),""))</f>
        <v/>
      </c>
      <c r="AC30" s="53">
        <f>IF(OR($F30="",$G30=""),"",IF(AND(AC$5&lt;=$G30,AC$5+6&gt;=$F30),IF($H30="Complétée","F",IF(OR($H30="En cours",$H30="En revue"),"E",IF($H30="Bloquée","B","P"))),""))</f>
        <v/>
      </c>
      <c r="AD30" s="53">
        <f>IF(OR($F30="",$G30=""),"",IF(AND(AD$5&lt;=$G30,AD$5+6&gt;=$F30),IF($H30="Complétée","F",IF(OR($H30="En cours",$H30="En revue"),"E",IF($H30="Bloquée","B","P"))),""))</f>
        <v/>
      </c>
      <c r="AE30" s="53">
        <f>IF(OR($F30="",$G30=""),"",IF(AND(AE$5&lt;=$G30,AE$5+6&gt;=$F30),IF($H30="Complétée","F",IF(OR($H30="En cours",$H30="En revue"),"E",IF($H30="Bloquée","B","P"))),""))</f>
        <v/>
      </c>
      <c r="AF30" s="53">
        <f>IF(OR($F30="",$G30=""),"",IF(AND(AF$5&lt;=$G30,AF$5+6&gt;=$F30),IF($H30="Complétée","F",IF(OR($H30="En cours",$H30="En revue"),"E",IF($H30="Bloquée","B","P"))),""))</f>
        <v/>
      </c>
      <c r="AG30" s="53">
        <f>IF(OR($F30="",$G30=""),"",IF(AND(AG$5&lt;=$G30,AG$5+6&gt;=$F30),IF($H30="Complétée","F",IF(OR($H30="En cours",$H30="En revue"),"E",IF($H30="Bloquée","B","P"))),""))</f>
        <v/>
      </c>
      <c r="AH30" s="53">
        <f>IF(OR($F30="",$G30=""),"",IF(AND(AH$5&lt;=$G30,AH$5+6&gt;=$F30),IF($H30="Complétée","F",IF(OR($H30="En cours",$H30="En revue"),"E",IF($H30="Bloquée","B","P"))),""))</f>
        <v/>
      </c>
      <c r="AI30" s="53">
        <f>IF(OR($F30="",$G30=""),"",IF(AND(AI$5&lt;=$G30,AI$5+6&gt;=$F30),IF($H30="Complétée","F",IF(OR($H30="En cours",$H30="En revue"),"E",IF($H30="Bloquée","B","P"))),""))</f>
        <v/>
      </c>
      <c r="AJ30" s="53">
        <f>IF(OR($F30="",$G30=""),"",IF(AND(AJ$5&lt;=$G30,AJ$5+6&gt;=$F30),IF($H30="Complétée","F",IF(OR($H30="En cours",$H30="En revue"),"E",IF($H30="Bloquée","B","P"))),""))</f>
        <v/>
      </c>
      <c r="AK30" s="53">
        <f>IF(OR($F30="",$G30=""),"",IF(AND(AK$5&lt;=$G30,AK$5+6&gt;=$F30),IF($H30="Complétée","F",IF(OR($H30="En cours",$H30="En revue"),"E",IF($H30="Bloquée","B","P"))),""))</f>
        <v/>
      </c>
      <c r="AL30" s="53">
        <f>IF(OR($F30="",$G30=""),"",IF(AND(AL$5&lt;=$G30,AL$5+6&gt;=$F30),IF($H30="Complétée","F",IF(OR($H30="En cours",$H30="En revue"),"E",IF($H30="Bloquée","B","P"))),""))</f>
        <v/>
      </c>
      <c r="AM30" s="53">
        <f>IF(OR($F30="",$G30=""),"",IF(AND(AM$5&lt;=$G30,AM$5+6&gt;=$F30),IF($H30="Complétée","F",IF(OR($H30="En cours",$H30="En revue"),"E",IF($H30="Bloquée","B","P"))),""))</f>
        <v/>
      </c>
      <c r="AN30" s="53">
        <f>IF(OR($F30="",$G30=""),"",IF(AND(AN$5&lt;=$G30,AN$5+6&gt;=$F30),IF($H30="Complétée","F",IF(OR($H30="En cours",$H30="En revue"),"E",IF($H30="Bloquée","B","P"))),""))</f>
        <v/>
      </c>
      <c r="AO30" s="53">
        <f>IF(OR($F30="",$G30=""),"",IF(AND(AO$5&lt;=$G30,AO$5+6&gt;=$F30),IF($H30="Complétée","F",IF(OR($H30="En cours",$H30="En revue"),"E",IF($H30="Bloquée","B","P"))),""))</f>
        <v/>
      </c>
      <c r="AP30" s="53">
        <f>IF(OR($F30="",$G30=""),"",IF(AND(AP$5&lt;=$G30,AP$5+6&gt;=$F30),IF($H30="Complétée","F",IF(OR($H30="En cours",$H30="En revue"),"E",IF($H30="Bloquée","B","P"))),""))</f>
        <v/>
      </c>
      <c r="AQ30" s="53">
        <f>IF(OR($F30="",$G30=""),"",IF(AND(AQ$5&lt;=$G30,AQ$5+6&gt;=$F30),IF($H30="Complétée","F",IF(OR($H30="En cours",$H30="En revue"),"E",IF($H30="Bloquée","B","P"))),""))</f>
        <v/>
      </c>
      <c r="AR30" s="53">
        <f>IF(OR($F30="",$G30=""),"",IF(AND(AR$5&lt;=$G30,AR$5+6&gt;=$F30),IF($H30="Complétée","F",IF(OR($H30="En cours",$H30="En revue"),"E",IF($H30="Bloquée","B","P"))),""))</f>
        <v/>
      </c>
      <c r="AS30" s="53">
        <f>IF(OR($F30="",$G30=""),"",IF(AND(AS$5&lt;=$G30,AS$5+6&gt;=$F30),IF($H30="Complétée","F",IF(OR($H30="En cours",$H30="En revue"),"E",IF($H30="Bloquée","B","P"))),""))</f>
        <v/>
      </c>
      <c r="AT30" s="53">
        <f>IF(OR($F30="",$G30=""),"",IF(AND(AT$5&lt;=$G30,AT$5+6&gt;=$F30),IF($H30="Complétée","F",IF(OR($H30="En cours",$H30="En revue"),"E",IF($H30="Bloquée","B","P"))),""))</f>
        <v/>
      </c>
      <c r="AU30" s="53">
        <f>IF(OR($F30="",$G30=""),"",IF(AND(AU$5&lt;=$G30,AU$5+6&gt;=$F30),IF($H30="Complétée","F",IF(OR($H30="En cours",$H30="En revue"),"E",IF($H30="Bloquée","B","P"))),""))</f>
        <v/>
      </c>
      <c r="AV30" s="53">
        <f>IF(OR($F30="",$G30=""),"",IF(AND(AV$5&lt;=$G30,AV$5+6&gt;=$F30),IF($H30="Complétée","F",IF(OR($H30="En cours",$H30="En revue"),"E",IF($H30="Bloquée","B","P"))),""))</f>
        <v/>
      </c>
      <c r="AW30" s="53">
        <f>IF(OR($F30="",$G30=""),"",IF(AND(AW$5&lt;=$G30,AW$5+6&gt;=$F30),IF($H30="Complétée","F",IF(OR($H30="En cours",$H30="En revue"),"E",IF($H30="Bloquée","B","P"))),""))</f>
        <v/>
      </c>
    </row>
    <row r="31">
      <c r="B31" s="50">
        <f>IF(Taches!B31="","",Taches!B31)</f>
        <v/>
      </c>
      <c r="C31" s="51">
        <f>IF(Taches!B31="","",Taches!F31)</f>
        <v/>
      </c>
      <c r="D31" s="50">
        <f>IF(Taches!B31="","",Taches!C31)</f>
        <v/>
      </c>
      <c r="E31" s="50">
        <f>IF(Taches!B31="","",Taches!D31)</f>
        <v/>
      </c>
      <c r="F31" s="52">
        <f>IF(Taches!P31="","",Taches!P31)</f>
        <v/>
      </c>
      <c r="G31" s="52">
        <f>IF(Taches!Q31="","",Taches!Q31)</f>
        <v/>
      </c>
      <c r="H31" s="50">
        <f>IF(Taches!B31="","",Taches!J31)</f>
        <v/>
      </c>
      <c r="I31" s="53">
        <f>IF(OR($F31="",$G31=""),"",IF(AND(I$5&lt;=$G31,I$5+6&gt;=$F31),IF($H31="Complétée","F",IF(OR($H31="En cours",$H31="En revue"),"E",IF($H31="Bloquée","B","P"))),""))</f>
        <v/>
      </c>
      <c r="J31" s="53">
        <f>IF(OR($F31="",$G31=""),"",IF(AND(J$5&lt;=$G31,J$5+6&gt;=$F31),IF($H31="Complétée","F",IF(OR($H31="En cours",$H31="En revue"),"E",IF($H31="Bloquée","B","P"))),""))</f>
        <v/>
      </c>
      <c r="K31" s="53">
        <f>IF(OR($F31="",$G31=""),"",IF(AND(K$5&lt;=$G31,K$5+6&gt;=$F31),IF($H31="Complétée","F",IF(OR($H31="En cours",$H31="En revue"),"E",IF($H31="Bloquée","B","P"))),""))</f>
        <v/>
      </c>
      <c r="L31" s="53">
        <f>IF(OR($F31="",$G31=""),"",IF(AND(L$5&lt;=$G31,L$5+6&gt;=$F31),IF($H31="Complétée","F",IF(OR($H31="En cours",$H31="En revue"),"E",IF($H31="Bloquée","B","P"))),""))</f>
        <v/>
      </c>
      <c r="M31" s="53">
        <f>IF(OR($F31="",$G31=""),"",IF(AND(M$5&lt;=$G31,M$5+6&gt;=$F31),IF($H31="Complétée","F",IF(OR($H31="En cours",$H31="En revue"),"E",IF($H31="Bloquée","B","P"))),""))</f>
        <v/>
      </c>
      <c r="N31" s="53">
        <f>IF(OR($F31="",$G31=""),"",IF(AND(N$5&lt;=$G31,N$5+6&gt;=$F31),IF($H31="Complétée","F",IF(OR($H31="En cours",$H31="En revue"),"E",IF($H31="Bloquée","B","P"))),""))</f>
        <v/>
      </c>
      <c r="O31" s="53">
        <f>IF(OR($F31="",$G31=""),"",IF(AND(O$5&lt;=$G31,O$5+6&gt;=$F31),IF($H31="Complétée","F",IF(OR($H31="En cours",$H31="En revue"),"E",IF($H31="Bloquée","B","P"))),""))</f>
        <v/>
      </c>
      <c r="P31" s="53">
        <f>IF(OR($F31="",$G31=""),"",IF(AND(P$5&lt;=$G31,P$5+6&gt;=$F31),IF($H31="Complétée","F",IF(OR($H31="En cours",$H31="En revue"),"E",IF($H31="Bloquée","B","P"))),""))</f>
        <v/>
      </c>
      <c r="Q31" s="53">
        <f>IF(OR($F31="",$G31=""),"",IF(AND(Q$5&lt;=$G31,Q$5+6&gt;=$F31),IF($H31="Complétée","F",IF(OR($H31="En cours",$H31="En revue"),"E",IF($H31="Bloquée","B","P"))),""))</f>
        <v/>
      </c>
      <c r="R31" s="53">
        <f>IF(OR($F31="",$G31=""),"",IF(AND(R$5&lt;=$G31,R$5+6&gt;=$F31),IF($H31="Complétée","F",IF(OR($H31="En cours",$H31="En revue"),"E",IF($H31="Bloquée","B","P"))),""))</f>
        <v/>
      </c>
      <c r="S31" s="53">
        <f>IF(OR($F31="",$G31=""),"",IF(AND(S$5&lt;=$G31,S$5+6&gt;=$F31),IF($H31="Complétée","F",IF(OR($H31="En cours",$H31="En revue"),"E",IF($H31="Bloquée","B","P"))),""))</f>
        <v/>
      </c>
      <c r="T31" s="53">
        <f>IF(OR($F31="",$G31=""),"",IF(AND(T$5&lt;=$G31,T$5+6&gt;=$F31),IF($H31="Complétée","F",IF(OR($H31="En cours",$H31="En revue"),"E",IF($H31="Bloquée","B","P"))),""))</f>
        <v/>
      </c>
      <c r="U31" s="53">
        <f>IF(OR($F31="",$G31=""),"",IF(AND(U$5&lt;=$G31,U$5+6&gt;=$F31),IF($H31="Complétée","F",IF(OR($H31="En cours",$H31="En revue"),"E",IF($H31="Bloquée","B","P"))),""))</f>
        <v/>
      </c>
      <c r="V31" s="53">
        <f>IF(OR($F31="",$G31=""),"",IF(AND(V$5&lt;=$G31,V$5+6&gt;=$F31),IF($H31="Complétée","F",IF(OR($H31="En cours",$H31="En revue"),"E",IF($H31="Bloquée","B","P"))),""))</f>
        <v/>
      </c>
      <c r="W31" s="53">
        <f>IF(OR($F31="",$G31=""),"",IF(AND(W$5&lt;=$G31,W$5+6&gt;=$F31),IF($H31="Complétée","F",IF(OR($H31="En cours",$H31="En revue"),"E",IF($H31="Bloquée","B","P"))),""))</f>
        <v/>
      </c>
      <c r="X31" s="53">
        <f>IF(OR($F31="",$G31=""),"",IF(AND(X$5&lt;=$G31,X$5+6&gt;=$F31),IF($H31="Complétée","F",IF(OR($H31="En cours",$H31="En revue"),"E",IF($H31="Bloquée","B","P"))),""))</f>
        <v/>
      </c>
      <c r="Y31" s="53">
        <f>IF(OR($F31="",$G31=""),"",IF(AND(Y$5&lt;=$G31,Y$5+6&gt;=$F31),IF($H31="Complétée","F",IF(OR($H31="En cours",$H31="En revue"),"E",IF($H31="Bloquée","B","P"))),""))</f>
        <v/>
      </c>
      <c r="Z31" s="53">
        <f>IF(OR($F31="",$G31=""),"",IF(AND(Z$5&lt;=$G31,Z$5+6&gt;=$F31),IF($H31="Complétée","F",IF(OR($H31="En cours",$H31="En revue"),"E",IF($H31="Bloquée","B","P"))),""))</f>
        <v/>
      </c>
      <c r="AA31" s="53">
        <f>IF(OR($F31="",$G31=""),"",IF(AND(AA$5&lt;=$G31,AA$5+6&gt;=$F31),IF($H31="Complétée","F",IF(OR($H31="En cours",$H31="En revue"),"E",IF($H31="Bloquée","B","P"))),""))</f>
        <v/>
      </c>
      <c r="AB31" s="53">
        <f>IF(OR($F31="",$G31=""),"",IF(AND(AB$5&lt;=$G31,AB$5+6&gt;=$F31),IF($H31="Complétée","F",IF(OR($H31="En cours",$H31="En revue"),"E",IF($H31="Bloquée","B","P"))),""))</f>
        <v/>
      </c>
      <c r="AC31" s="53">
        <f>IF(OR($F31="",$G31=""),"",IF(AND(AC$5&lt;=$G31,AC$5+6&gt;=$F31),IF($H31="Complétée","F",IF(OR($H31="En cours",$H31="En revue"),"E",IF($H31="Bloquée","B","P"))),""))</f>
        <v/>
      </c>
      <c r="AD31" s="53">
        <f>IF(OR($F31="",$G31=""),"",IF(AND(AD$5&lt;=$G31,AD$5+6&gt;=$F31),IF($H31="Complétée","F",IF(OR($H31="En cours",$H31="En revue"),"E",IF($H31="Bloquée","B","P"))),""))</f>
        <v/>
      </c>
      <c r="AE31" s="53">
        <f>IF(OR($F31="",$G31=""),"",IF(AND(AE$5&lt;=$G31,AE$5+6&gt;=$F31),IF($H31="Complétée","F",IF(OR($H31="En cours",$H31="En revue"),"E",IF($H31="Bloquée","B","P"))),""))</f>
        <v/>
      </c>
      <c r="AF31" s="53">
        <f>IF(OR($F31="",$G31=""),"",IF(AND(AF$5&lt;=$G31,AF$5+6&gt;=$F31),IF($H31="Complétée","F",IF(OR($H31="En cours",$H31="En revue"),"E",IF($H31="Bloquée","B","P"))),""))</f>
        <v/>
      </c>
      <c r="AG31" s="53">
        <f>IF(OR($F31="",$G31=""),"",IF(AND(AG$5&lt;=$G31,AG$5+6&gt;=$F31),IF($H31="Complétée","F",IF(OR($H31="En cours",$H31="En revue"),"E",IF($H31="Bloquée","B","P"))),""))</f>
        <v/>
      </c>
      <c r="AH31" s="53">
        <f>IF(OR($F31="",$G31=""),"",IF(AND(AH$5&lt;=$G31,AH$5+6&gt;=$F31),IF($H31="Complétée","F",IF(OR($H31="En cours",$H31="En revue"),"E",IF($H31="Bloquée","B","P"))),""))</f>
        <v/>
      </c>
      <c r="AI31" s="53">
        <f>IF(OR($F31="",$G31=""),"",IF(AND(AI$5&lt;=$G31,AI$5+6&gt;=$F31),IF($H31="Complétée","F",IF(OR($H31="En cours",$H31="En revue"),"E",IF($H31="Bloquée","B","P"))),""))</f>
        <v/>
      </c>
      <c r="AJ31" s="53">
        <f>IF(OR($F31="",$G31=""),"",IF(AND(AJ$5&lt;=$G31,AJ$5+6&gt;=$F31),IF($H31="Complétée","F",IF(OR($H31="En cours",$H31="En revue"),"E",IF($H31="Bloquée","B","P"))),""))</f>
        <v/>
      </c>
      <c r="AK31" s="53">
        <f>IF(OR($F31="",$G31=""),"",IF(AND(AK$5&lt;=$G31,AK$5+6&gt;=$F31),IF($H31="Complétée","F",IF(OR($H31="En cours",$H31="En revue"),"E",IF($H31="Bloquée","B","P"))),""))</f>
        <v/>
      </c>
      <c r="AL31" s="53">
        <f>IF(OR($F31="",$G31=""),"",IF(AND(AL$5&lt;=$G31,AL$5+6&gt;=$F31),IF($H31="Complétée","F",IF(OR($H31="En cours",$H31="En revue"),"E",IF($H31="Bloquée","B","P"))),""))</f>
        <v/>
      </c>
      <c r="AM31" s="53">
        <f>IF(OR($F31="",$G31=""),"",IF(AND(AM$5&lt;=$G31,AM$5+6&gt;=$F31),IF($H31="Complétée","F",IF(OR($H31="En cours",$H31="En revue"),"E",IF($H31="Bloquée","B","P"))),""))</f>
        <v/>
      </c>
      <c r="AN31" s="53">
        <f>IF(OR($F31="",$G31=""),"",IF(AND(AN$5&lt;=$G31,AN$5+6&gt;=$F31),IF($H31="Complétée","F",IF(OR($H31="En cours",$H31="En revue"),"E",IF($H31="Bloquée","B","P"))),""))</f>
        <v/>
      </c>
      <c r="AO31" s="53">
        <f>IF(OR($F31="",$G31=""),"",IF(AND(AO$5&lt;=$G31,AO$5+6&gt;=$F31),IF($H31="Complétée","F",IF(OR($H31="En cours",$H31="En revue"),"E",IF($H31="Bloquée","B","P"))),""))</f>
        <v/>
      </c>
      <c r="AP31" s="53">
        <f>IF(OR($F31="",$G31=""),"",IF(AND(AP$5&lt;=$G31,AP$5+6&gt;=$F31),IF($H31="Complétée","F",IF(OR($H31="En cours",$H31="En revue"),"E",IF($H31="Bloquée","B","P"))),""))</f>
        <v/>
      </c>
      <c r="AQ31" s="53">
        <f>IF(OR($F31="",$G31=""),"",IF(AND(AQ$5&lt;=$G31,AQ$5+6&gt;=$F31),IF($H31="Complétée","F",IF(OR($H31="En cours",$H31="En revue"),"E",IF($H31="Bloquée","B","P"))),""))</f>
        <v/>
      </c>
      <c r="AR31" s="53">
        <f>IF(OR($F31="",$G31=""),"",IF(AND(AR$5&lt;=$G31,AR$5+6&gt;=$F31),IF($H31="Complétée","F",IF(OR($H31="En cours",$H31="En revue"),"E",IF($H31="Bloquée","B","P"))),""))</f>
        <v/>
      </c>
      <c r="AS31" s="53">
        <f>IF(OR($F31="",$G31=""),"",IF(AND(AS$5&lt;=$G31,AS$5+6&gt;=$F31),IF($H31="Complétée","F",IF(OR($H31="En cours",$H31="En revue"),"E",IF($H31="Bloquée","B","P"))),""))</f>
        <v/>
      </c>
      <c r="AT31" s="53">
        <f>IF(OR($F31="",$G31=""),"",IF(AND(AT$5&lt;=$G31,AT$5+6&gt;=$F31),IF($H31="Complétée","F",IF(OR($H31="En cours",$H31="En revue"),"E",IF($H31="Bloquée","B","P"))),""))</f>
        <v/>
      </c>
      <c r="AU31" s="53">
        <f>IF(OR($F31="",$G31=""),"",IF(AND(AU$5&lt;=$G31,AU$5+6&gt;=$F31),IF($H31="Complétée","F",IF(OR($H31="En cours",$H31="En revue"),"E",IF($H31="Bloquée","B","P"))),""))</f>
        <v/>
      </c>
      <c r="AV31" s="53">
        <f>IF(OR($F31="",$G31=""),"",IF(AND(AV$5&lt;=$G31,AV$5+6&gt;=$F31),IF($H31="Complétée","F",IF(OR($H31="En cours",$H31="En revue"),"E",IF($H31="Bloquée","B","P"))),""))</f>
        <v/>
      </c>
      <c r="AW31" s="53">
        <f>IF(OR($F31="",$G31=""),"",IF(AND(AW$5&lt;=$G31,AW$5+6&gt;=$F31),IF($H31="Complétée","F",IF(OR($H31="En cours",$H31="En revue"),"E",IF($H31="Bloquée","B","P"))),""))</f>
        <v/>
      </c>
    </row>
    <row r="32">
      <c r="B32" s="50">
        <f>IF(Taches!B32="","",Taches!B32)</f>
        <v/>
      </c>
      <c r="C32" s="51">
        <f>IF(Taches!B32="","",Taches!F32)</f>
        <v/>
      </c>
      <c r="D32" s="50">
        <f>IF(Taches!B32="","",Taches!C32)</f>
        <v/>
      </c>
      <c r="E32" s="50">
        <f>IF(Taches!B32="","",Taches!D32)</f>
        <v/>
      </c>
      <c r="F32" s="52">
        <f>IF(Taches!P32="","",Taches!P32)</f>
        <v/>
      </c>
      <c r="G32" s="52">
        <f>IF(Taches!Q32="","",Taches!Q32)</f>
        <v/>
      </c>
      <c r="H32" s="50">
        <f>IF(Taches!B32="","",Taches!J32)</f>
        <v/>
      </c>
      <c r="I32" s="53">
        <f>IF(OR($F32="",$G32=""),"",IF(AND(I$5&lt;=$G32,I$5+6&gt;=$F32),IF($H32="Complétée","F",IF(OR($H32="En cours",$H32="En revue"),"E",IF($H32="Bloquée","B","P"))),""))</f>
        <v/>
      </c>
      <c r="J32" s="53">
        <f>IF(OR($F32="",$G32=""),"",IF(AND(J$5&lt;=$G32,J$5+6&gt;=$F32),IF($H32="Complétée","F",IF(OR($H32="En cours",$H32="En revue"),"E",IF($H32="Bloquée","B","P"))),""))</f>
        <v/>
      </c>
      <c r="K32" s="53">
        <f>IF(OR($F32="",$G32=""),"",IF(AND(K$5&lt;=$G32,K$5+6&gt;=$F32),IF($H32="Complétée","F",IF(OR($H32="En cours",$H32="En revue"),"E",IF($H32="Bloquée","B","P"))),""))</f>
        <v/>
      </c>
      <c r="L32" s="53">
        <f>IF(OR($F32="",$G32=""),"",IF(AND(L$5&lt;=$G32,L$5+6&gt;=$F32),IF($H32="Complétée","F",IF(OR($H32="En cours",$H32="En revue"),"E",IF($H32="Bloquée","B","P"))),""))</f>
        <v/>
      </c>
      <c r="M32" s="53">
        <f>IF(OR($F32="",$G32=""),"",IF(AND(M$5&lt;=$G32,M$5+6&gt;=$F32),IF($H32="Complétée","F",IF(OR($H32="En cours",$H32="En revue"),"E",IF($H32="Bloquée","B","P"))),""))</f>
        <v/>
      </c>
      <c r="N32" s="53">
        <f>IF(OR($F32="",$G32=""),"",IF(AND(N$5&lt;=$G32,N$5+6&gt;=$F32),IF($H32="Complétée","F",IF(OR($H32="En cours",$H32="En revue"),"E",IF($H32="Bloquée","B","P"))),""))</f>
        <v/>
      </c>
      <c r="O32" s="53">
        <f>IF(OR($F32="",$G32=""),"",IF(AND(O$5&lt;=$G32,O$5+6&gt;=$F32),IF($H32="Complétée","F",IF(OR($H32="En cours",$H32="En revue"),"E",IF($H32="Bloquée","B","P"))),""))</f>
        <v/>
      </c>
      <c r="P32" s="53">
        <f>IF(OR($F32="",$G32=""),"",IF(AND(P$5&lt;=$G32,P$5+6&gt;=$F32),IF($H32="Complétée","F",IF(OR($H32="En cours",$H32="En revue"),"E",IF($H32="Bloquée","B","P"))),""))</f>
        <v/>
      </c>
      <c r="Q32" s="53">
        <f>IF(OR($F32="",$G32=""),"",IF(AND(Q$5&lt;=$G32,Q$5+6&gt;=$F32),IF($H32="Complétée","F",IF(OR($H32="En cours",$H32="En revue"),"E",IF($H32="Bloquée","B","P"))),""))</f>
        <v/>
      </c>
      <c r="R32" s="53">
        <f>IF(OR($F32="",$G32=""),"",IF(AND(R$5&lt;=$G32,R$5+6&gt;=$F32),IF($H32="Complétée","F",IF(OR($H32="En cours",$H32="En revue"),"E",IF($H32="Bloquée","B","P"))),""))</f>
        <v/>
      </c>
      <c r="S32" s="53">
        <f>IF(OR($F32="",$G32=""),"",IF(AND(S$5&lt;=$G32,S$5+6&gt;=$F32),IF($H32="Complétée","F",IF(OR($H32="En cours",$H32="En revue"),"E",IF($H32="Bloquée","B","P"))),""))</f>
        <v/>
      </c>
      <c r="T32" s="53">
        <f>IF(OR($F32="",$G32=""),"",IF(AND(T$5&lt;=$G32,T$5+6&gt;=$F32),IF($H32="Complétée","F",IF(OR($H32="En cours",$H32="En revue"),"E",IF($H32="Bloquée","B","P"))),""))</f>
        <v/>
      </c>
      <c r="U32" s="53">
        <f>IF(OR($F32="",$G32=""),"",IF(AND(U$5&lt;=$G32,U$5+6&gt;=$F32),IF($H32="Complétée","F",IF(OR($H32="En cours",$H32="En revue"),"E",IF($H32="Bloquée","B","P"))),""))</f>
        <v/>
      </c>
      <c r="V32" s="53">
        <f>IF(OR($F32="",$G32=""),"",IF(AND(V$5&lt;=$G32,V$5+6&gt;=$F32),IF($H32="Complétée","F",IF(OR($H32="En cours",$H32="En revue"),"E",IF($H32="Bloquée","B","P"))),""))</f>
        <v/>
      </c>
      <c r="W32" s="53">
        <f>IF(OR($F32="",$G32=""),"",IF(AND(W$5&lt;=$G32,W$5+6&gt;=$F32),IF($H32="Complétée","F",IF(OR($H32="En cours",$H32="En revue"),"E",IF($H32="Bloquée","B","P"))),""))</f>
        <v/>
      </c>
      <c r="X32" s="53">
        <f>IF(OR($F32="",$G32=""),"",IF(AND(X$5&lt;=$G32,X$5+6&gt;=$F32),IF($H32="Complétée","F",IF(OR($H32="En cours",$H32="En revue"),"E",IF($H32="Bloquée","B","P"))),""))</f>
        <v/>
      </c>
      <c r="Y32" s="53">
        <f>IF(OR($F32="",$G32=""),"",IF(AND(Y$5&lt;=$G32,Y$5+6&gt;=$F32),IF($H32="Complétée","F",IF(OR($H32="En cours",$H32="En revue"),"E",IF($H32="Bloquée","B","P"))),""))</f>
        <v/>
      </c>
      <c r="Z32" s="53">
        <f>IF(OR($F32="",$G32=""),"",IF(AND(Z$5&lt;=$G32,Z$5+6&gt;=$F32),IF($H32="Complétée","F",IF(OR($H32="En cours",$H32="En revue"),"E",IF($H32="Bloquée","B","P"))),""))</f>
        <v/>
      </c>
      <c r="AA32" s="53">
        <f>IF(OR($F32="",$G32=""),"",IF(AND(AA$5&lt;=$G32,AA$5+6&gt;=$F32),IF($H32="Complétée","F",IF(OR($H32="En cours",$H32="En revue"),"E",IF($H32="Bloquée","B","P"))),""))</f>
        <v/>
      </c>
      <c r="AB32" s="53">
        <f>IF(OR($F32="",$G32=""),"",IF(AND(AB$5&lt;=$G32,AB$5+6&gt;=$F32),IF($H32="Complétée","F",IF(OR($H32="En cours",$H32="En revue"),"E",IF($H32="Bloquée","B","P"))),""))</f>
        <v/>
      </c>
      <c r="AC32" s="53">
        <f>IF(OR($F32="",$G32=""),"",IF(AND(AC$5&lt;=$G32,AC$5+6&gt;=$F32),IF($H32="Complétée","F",IF(OR($H32="En cours",$H32="En revue"),"E",IF($H32="Bloquée","B","P"))),""))</f>
        <v/>
      </c>
      <c r="AD32" s="53">
        <f>IF(OR($F32="",$G32=""),"",IF(AND(AD$5&lt;=$G32,AD$5+6&gt;=$F32),IF($H32="Complétée","F",IF(OR($H32="En cours",$H32="En revue"),"E",IF($H32="Bloquée","B","P"))),""))</f>
        <v/>
      </c>
      <c r="AE32" s="53">
        <f>IF(OR($F32="",$G32=""),"",IF(AND(AE$5&lt;=$G32,AE$5+6&gt;=$F32),IF($H32="Complétée","F",IF(OR($H32="En cours",$H32="En revue"),"E",IF($H32="Bloquée","B","P"))),""))</f>
        <v/>
      </c>
      <c r="AF32" s="53">
        <f>IF(OR($F32="",$G32=""),"",IF(AND(AF$5&lt;=$G32,AF$5+6&gt;=$F32),IF($H32="Complétée","F",IF(OR($H32="En cours",$H32="En revue"),"E",IF($H32="Bloquée","B","P"))),""))</f>
        <v/>
      </c>
      <c r="AG32" s="53">
        <f>IF(OR($F32="",$G32=""),"",IF(AND(AG$5&lt;=$G32,AG$5+6&gt;=$F32),IF($H32="Complétée","F",IF(OR($H32="En cours",$H32="En revue"),"E",IF($H32="Bloquée","B","P"))),""))</f>
        <v/>
      </c>
      <c r="AH32" s="53">
        <f>IF(OR($F32="",$G32=""),"",IF(AND(AH$5&lt;=$G32,AH$5+6&gt;=$F32),IF($H32="Complétée","F",IF(OR($H32="En cours",$H32="En revue"),"E",IF($H32="Bloquée","B","P"))),""))</f>
        <v/>
      </c>
      <c r="AI32" s="53">
        <f>IF(OR($F32="",$G32=""),"",IF(AND(AI$5&lt;=$G32,AI$5+6&gt;=$F32),IF($H32="Complétée","F",IF(OR($H32="En cours",$H32="En revue"),"E",IF($H32="Bloquée","B","P"))),""))</f>
        <v/>
      </c>
      <c r="AJ32" s="53">
        <f>IF(OR($F32="",$G32=""),"",IF(AND(AJ$5&lt;=$G32,AJ$5+6&gt;=$F32),IF($H32="Complétée","F",IF(OR($H32="En cours",$H32="En revue"),"E",IF($H32="Bloquée","B","P"))),""))</f>
        <v/>
      </c>
      <c r="AK32" s="53">
        <f>IF(OR($F32="",$G32=""),"",IF(AND(AK$5&lt;=$G32,AK$5+6&gt;=$F32),IF($H32="Complétée","F",IF(OR($H32="En cours",$H32="En revue"),"E",IF($H32="Bloquée","B","P"))),""))</f>
        <v/>
      </c>
      <c r="AL32" s="53">
        <f>IF(OR($F32="",$G32=""),"",IF(AND(AL$5&lt;=$G32,AL$5+6&gt;=$F32),IF($H32="Complétée","F",IF(OR($H32="En cours",$H32="En revue"),"E",IF($H32="Bloquée","B","P"))),""))</f>
        <v/>
      </c>
      <c r="AM32" s="53">
        <f>IF(OR($F32="",$G32=""),"",IF(AND(AM$5&lt;=$G32,AM$5+6&gt;=$F32),IF($H32="Complétée","F",IF(OR($H32="En cours",$H32="En revue"),"E",IF($H32="Bloquée","B","P"))),""))</f>
        <v/>
      </c>
      <c r="AN32" s="53">
        <f>IF(OR($F32="",$G32=""),"",IF(AND(AN$5&lt;=$G32,AN$5+6&gt;=$F32),IF($H32="Complétée","F",IF(OR($H32="En cours",$H32="En revue"),"E",IF($H32="Bloquée","B","P"))),""))</f>
        <v/>
      </c>
      <c r="AO32" s="53">
        <f>IF(OR($F32="",$G32=""),"",IF(AND(AO$5&lt;=$G32,AO$5+6&gt;=$F32),IF($H32="Complétée","F",IF(OR($H32="En cours",$H32="En revue"),"E",IF($H32="Bloquée","B","P"))),""))</f>
        <v/>
      </c>
      <c r="AP32" s="53">
        <f>IF(OR($F32="",$G32=""),"",IF(AND(AP$5&lt;=$G32,AP$5+6&gt;=$F32),IF($H32="Complétée","F",IF(OR($H32="En cours",$H32="En revue"),"E",IF($H32="Bloquée","B","P"))),""))</f>
        <v/>
      </c>
      <c r="AQ32" s="53">
        <f>IF(OR($F32="",$G32=""),"",IF(AND(AQ$5&lt;=$G32,AQ$5+6&gt;=$F32),IF($H32="Complétée","F",IF(OR($H32="En cours",$H32="En revue"),"E",IF($H32="Bloquée","B","P"))),""))</f>
        <v/>
      </c>
      <c r="AR32" s="53">
        <f>IF(OR($F32="",$G32=""),"",IF(AND(AR$5&lt;=$G32,AR$5+6&gt;=$F32),IF($H32="Complétée","F",IF(OR($H32="En cours",$H32="En revue"),"E",IF($H32="Bloquée","B","P"))),""))</f>
        <v/>
      </c>
      <c r="AS32" s="53">
        <f>IF(OR($F32="",$G32=""),"",IF(AND(AS$5&lt;=$G32,AS$5+6&gt;=$F32),IF($H32="Complétée","F",IF(OR($H32="En cours",$H32="En revue"),"E",IF($H32="Bloquée","B","P"))),""))</f>
        <v/>
      </c>
      <c r="AT32" s="53">
        <f>IF(OR($F32="",$G32=""),"",IF(AND(AT$5&lt;=$G32,AT$5+6&gt;=$F32),IF($H32="Complétée","F",IF(OR($H32="En cours",$H32="En revue"),"E",IF($H32="Bloquée","B","P"))),""))</f>
        <v/>
      </c>
      <c r="AU32" s="53">
        <f>IF(OR($F32="",$G32=""),"",IF(AND(AU$5&lt;=$G32,AU$5+6&gt;=$F32),IF($H32="Complétée","F",IF(OR($H32="En cours",$H32="En revue"),"E",IF($H32="Bloquée","B","P"))),""))</f>
        <v/>
      </c>
      <c r="AV32" s="53">
        <f>IF(OR($F32="",$G32=""),"",IF(AND(AV$5&lt;=$G32,AV$5+6&gt;=$F32),IF($H32="Complétée","F",IF(OR($H32="En cours",$H32="En revue"),"E",IF($H32="Bloquée","B","P"))),""))</f>
        <v/>
      </c>
      <c r="AW32" s="53">
        <f>IF(OR($F32="",$G32=""),"",IF(AND(AW$5&lt;=$G32,AW$5+6&gt;=$F32),IF($H32="Complétée","F",IF(OR($H32="En cours",$H32="En revue"),"E",IF($H32="Bloquée","B","P"))),""))</f>
        <v/>
      </c>
    </row>
    <row r="33">
      <c r="B33" s="50">
        <f>IF(Taches!B33="","",Taches!B33)</f>
        <v/>
      </c>
      <c r="C33" s="51">
        <f>IF(Taches!B33="","",Taches!F33)</f>
        <v/>
      </c>
      <c r="D33" s="50">
        <f>IF(Taches!B33="","",Taches!C33)</f>
        <v/>
      </c>
      <c r="E33" s="50">
        <f>IF(Taches!B33="","",Taches!D33)</f>
        <v/>
      </c>
      <c r="F33" s="52">
        <f>IF(Taches!P33="","",Taches!P33)</f>
        <v/>
      </c>
      <c r="G33" s="52">
        <f>IF(Taches!Q33="","",Taches!Q33)</f>
        <v/>
      </c>
      <c r="H33" s="50">
        <f>IF(Taches!B33="","",Taches!J33)</f>
        <v/>
      </c>
      <c r="I33" s="53">
        <f>IF(OR($F33="",$G33=""),"",IF(AND(I$5&lt;=$G33,I$5+6&gt;=$F33),IF($H33="Complétée","F",IF(OR($H33="En cours",$H33="En revue"),"E",IF($H33="Bloquée","B","P"))),""))</f>
        <v/>
      </c>
      <c r="J33" s="53">
        <f>IF(OR($F33="",$G33=""),"",IF(AND(J$5&lt;=$G33,J$5+6&gt;=$F33),IF($H33="Complétée","F",IF(OR($H33="En cours",$H33="En revue"),"E",IF($H33="Bloquée","B","P"))),""))</f>
        <v/>
      </c>
      <c r="K33" s="53">
        <f>IF(OR($F33="",$G33=""),"",IF(AND(K$5&lt;=$G33,K$5+6&gt;=$F33),IF($H33="Complétée","F",IF(OR($H33="En cours",$H33="En revue"),"E",IF($H33="Bloquée","B","P"))),""))</f>
        <v/>
      </c>
      <c r="L33" s="53">
        <f>IF(OR($F33="",$G33=""),"",IF(AND(L$5&lt;=$G33,L$5+6&gt;=$F33),IF($H33="Complétée","F",IF(OR($H33="En cours",$H33="En revue"),"E",IF($H33="Bloquée","B","P"))),""))</f>
        <v/>
      </c>
      <c r="M33" s="53">
        <f>IF(OR($F33="",$G33=""),"",IF(AND(M$5&lt;=$G33,M$5+6&gt;=$F33),IF($H33="Complétée","F",IF(OR($H33="En cours",$H33="En revue"),"E",IF($H33="Bloquée","B","P"))),""))</f>
        <v/>
      </c>
      <c r="N33" s="53">
        <f>IF(OR($F33="",$G33=""),"",IF(AND(N$5&lt;=$G33,N$5+6&gt;=$F33),IF($H33="Complétée","F",IF(OR($H33="En cours",$H33="En revue"),"E",IF($H33="Bloquée","B","P"))),""))</f>
        <v/>
      </c>
      <c r="O33" s="53">
        <f>IF(OR($F33="",$G33=""),"",IF(AND(O$5&lt;=$G33,O$5+6&gt;=$F33),IF($H33="Complétée","F",IF(OR($H33="En cours",$H33="En revue"),"E",IF($H33="Bloquée","B","P"))),""))</f>
        <v/>
      </c>
      <c r="P33" s="53">
        <f>IF(OR($F33="",$G33=""),"",IF(AND(P$5&lt;=$G33,P$5+6&gt;=$F33),IF($H33="Complétée","F",IF(OR($H33="En cours",$H33="En revue"),"E",IF($H33="Bloquée","B","P"))),""))</f>
        <v/>
      </c>
      <c r="Q33" s="53">
        <f>IF(OR($F33="",$G33=""),"",IF(AND(Q$5&lt;=$G33,Q$5+6&gt;=$F33),IF($H33="Complétée","F",IF(OR($H33="En cours",$H33="En revue"),"E",IF($H33="Bloquée","B","P"))),""))</f>
        <v/>
      </c>
      <c r="R33" s="53">
        <f>IF(OR($F33="",$G33=""),"",IF(AND(R$5&lt;=$G33,R$5+6&gt;=$F33),IF($H33="Complétée","F",IF(OR($H33="En cours",$H33="En revue"),"E",IF($H33="Bloquée","B","P"))),""))</f>
        <v/>
      </c>
      <c r="S33" s="53">
        <f>IF(OR($F33="",$G33=""),"",IF(AND(S$5&lt;=$G33,S$5+6&gt;=$F33),IF($H33="Complétée","F",IF(OR($H33="En cours",$H33="En revue"),"E",IF($H33="Bloquée","B","P"))),""))</f>
        <v/>
      </c>
      <c r="T33" s="53">
        <f>IF(OR($F33="",$G33=""),"",IF(AND(T$5&lt;=$G33,T$5+6&gt;=$F33),IF($H33="Complétée","F",IF(OR($H33="En cours",$H33="En revue"),"E",IF($H33="Bloquée","B","P"))),""))</f>
        <v/>
      </c>
      <c r="U33" s="53">
        <f>IF(OR($F33="",$G33=""),"",IF(AND(U$5&lt;=$G33,U$5+6&gt;=$F33),IF($H33="Complétée","F",IF(OR($H33="En cours",$H33="En revue"),"E",IF($H33="Bloquée","B","P"))),""))</f>
        <v/>
      </c>
      <c r="V33" s="53">
        <f>IF(OR($F33="",$G33=""),"",IF(AND(V$5&lt;=$G33,V$5+6&gt;=$F33),IF($H33="Complétée","F",IF(OR($H33="En cours",$H33="En revue"),"E",IF($H33="Bloquée","B","P"))),""))</f>
        <v/>
      </c>
      <c r="W33" s="53">
        <f>IF(OR($F33="",$G33=""),"",IF(AND(W$5&lt;=$G33,W$5+6&gt;=$F33),IF($H33="Complétée","F",IF(OR($H33="En cours",$H33="En revue"),"E",IF($H33="Bloquée","B","P"))),""))</f>
        <v/>
      </c>
      <c r="X33" s="53">
        <f>IF(OR($F33="",$G33=""),"",IF(AND(X$5&lt;=$G33,X$5+6&gt;=$F33),IF($H33="Complétée","F",IF(OR($H33="En cours",$H33="En revue"),"E",IF($H33="Bloquée","B","P"))),""))</f>
        <v/>
      </c>
      <c r="Y33" s="53">
        <f>IF(OR($F33="",$G33=""),"",IF(AND(Y$5&lt;=$G33,Y$5+6&gt;=$F33),IF($H33="Complétée","F",IF(OR($H33="En cours",$H33="En revue"),"E",IF($H33="Bloquée","B","P"))),""))</f>
        <v/>
      </c>
      <c r="Z33" s="53">
        <f>IF(OR($F33="",$G33=""),"",IF(AND(Z$5&lt;=$G33,Z$5+6&gt;=$F33),IF($H33="Complétée","F",IF(OR($H33="En cours",$H33="En revue"),"E",IF($H33="Bloquée","B","P"))),""))</f>
        <v/>
      </c>
      <c r="AA33" s="53">
        <f>IF(OR($F33="",$G33=""),"",IF(AND(AA$5&lt;=$G33,AA$5+6&gt;=$F33),IF($H33="Complétée","F",IF(OR($H33="En cours",$H33="En revue"),"E",IF($H33="Bloquée","B","P"))),""))</f>
        <v/>
      </c>
      <c r="AB33" s="53">
        <f>IF(OR($F33="",$G33=""),"",IF(AND(AB$5&lt;=$G33,AB$5+6&gt;=$F33),IF($H33="Complétée","F",IF(OR($H33="En cours",$H33="En revue"),"E",IF($H33="Bloquée","B","P"))),""))</f>
        <v/>
      </c>
      <c r="AC33" s="53">
        <f>IF(OR($F33="",$G33=""),"",IF(AND(AC$5&lt;=$G33,AC$5+6&gt;=$F33),IF($H33="Complétée","F",IF(OR($H33="En cours",$H33="En revue"),"E",IF($H33="Bloquée","B","P"))),""))</f>
        <v/>
      </c>
      <c r="AD33" s="53">
        <f>IF(OR($F33="",$G33=""),"",IF(AND(AD$5&lt;=$G33,AD$5+6&gt;=$F33),IF($H33="Complétée","F",IF(OR($H33="En cours",$H33="En revue"),"E",IF($H33="Bloquée","B","P"))),""))</f>
        <v/>
      </c>
      <c r="AE33" s="53">
        <f>IF(OR($F33="",$G33=""),"",IF(AND(AE$5&lt;=$G33,AE$5+6&gt;=$F33),IF($H33="Complétée","F",IF(OR($H33="En cours",$H33="En revue"),"E",IF($H33="Bloquée","B","P"))),""))</f>
        <v/>
      </c>
      <c r="AF33" s="53">
        <f>IF(OR($F33="",$G33=""),"",IF(AND(AF$5&lt;=$G33,AF$5+6&gt;=$F33),IF($H33="Complétée","F",IF(OR($H33="En cours",$H33="En revue"),"E",IF($H33="Bloquée","B","P"))),""))</f>
        <v/>
      </c>
      <c r="AG33" s="53">
        <f>IF(OR($F33="",$G33=""),"",IF(AND(AG$5&lt;=$G33,AG$5+6&gt;=$F33),IF($H33="Complétée","F",IF(OR($H33="En cours",$H33="En revue"),"E",IF($H33="Bloquée","B","P"))),""))</f>
        <v/>
      </c>
      <c r="AH33" s="53">
        <f>IF(OR($F33="",$G33=""),"",IF(AND(AH$5&lt;=$G33,AH$5+6&gt;=$F33),IF($H33="Complétée","F",IF(OR($H33="En cours",$H33="En revue"),"E",IF($H33="Bloquée","B","P"))),""))</f>
        <v/>
      </c>
      <c r="AI33" s="53">
        <f>IF(OR($F33="",$G33=""),"",IF(AND(AI$5&lt;=$G33,AI$5+6&gt;=$F33),IF($H33="Complétée","F",IF(OR($H33="En cours",$H33="En revue"),"E",IF($H33="Bloquée","B","P"))),""))</f>
        <v/>
      </c>
      <c r="AJ33" s="53">
        <f>IF(OR($F33="",$G33=""),"",IF(AND(AJ$5&lt;=$G33,AJ$5+6&gt;=$F33),IF($H33="Complétée","F",IF(OR($H33="En cours",$H33="En revue"),"E",IF($H33="Bloquée","B","P"))),""))</f>
        <v/>
      </c>
      <c r="AK33" s="53">
        <f>IF(OR($F33="",$G33=""),"",IF(AND(AK$5&lt;=$G33,AK$5+6&gt;=$F33),IF($H33="Complétée","F",IF(OR($H33="En cours",$H33="En revue"),"E",IF($H33="Bloquée","B","P"))),""))</f>
        <v/>
      </c>
      <c r="AL33" s="53">
        <f>IF(OR($F33="",$G33=""),"",IF(AND(AL$5&lt;=$G33,AL$5+6&gt;=$F33),IF($H33="Complétée","F",IF(OR($H33="En cours",$H33="En revue"),"E",IF($H33="Bloquée","B","P"))),""))</f>
        <v/>
      </c>
      <c r="AM33" s="53">
        <f>IF(OR($F33="",$G33=""),"",IF(AND(AM$5&lt;=$G33,AM$5+6&gt;=$F33),IF($H33="Complétée","F",IF(OR($H33="En cours",$H33="En revue"),"E",IF($H33="Bloquée","B","P"))),""))</f>
        <v/>
      </c>
      <c r="AN33" s="53">
        <f>IF(OR($F33="",$G33=""),"",IF(AND(AN$5&lt;=$G33,AN$5+6&gt;=$F33),IF($H33="Complétée","F",IF(OR($H33="En cours",$H33="En revue"),"E",IF($H33="Bloquée","B","P"))),""))</f>
        <v/>
      </c>
      <c r="AO33" s="53">
        <f>IF(OR($F33="",$G33=""),"",IF(AND(AO$5&lt;=$G33,AO$5+6&gt;=$F33),IF($H33="Complétée","F",IF(OR($H33="En cours",$H33="En revue"),"E",IF($H33="Bloquée","B","P"))),""))</f>
        <v/>
      </c>
      <c r="AP33" s="53">
        <f>IF(OR($F33="",$G33=""),"",IF(AND(AP$5&lt;=$G33,AP$5+6&gt;=$F33),IF($H33="Complétée","F",IF(OR($H33="En cours",$H33="En revue"),"E",IF($H33="Bloquée","B","P"))),""))</f>
        <v/>
      </c>
      <c r="AQ33" s="53">
        <f>IF(OR($F33="",$G33=""),"",IF(AND(AQ$5&lt;=$G33,AQ$5+6&gt;=$F33),IF($H33="Complétée","F",IF(OR($H33="En cours",$H33="En revue"),"E",IF($H33="Bloquée","B","P"))),""))</f>
        <v/>
      </c>
      <c r="AR33" s="53">
        <f>IF(OR($F33="",$G33=""),"",IF(AND(AR$5&lt;=$G33,AR$5+6&gt;=$F33),IF($H33="Complétée","F",IF(OR($H33="En cours",$H33="En revue"),"E",IF($H33="Bloquée","B","P"))),""))</f>
        <v/>
      </c>
      <c r="AS33" s="53">
        <f>IF(OR($F33="",$G33=""),"",IF(AND(AS$5&lt;=$G33,AS$5+6&gt;=$F33),IF($H33="Complétée","F",IF(OR($H33="En cours",$H33="En revue"),"E",IF($H33="Bloquée","B","P"))),""))</f>
        <v/>
      </c>
      <c r="AT33" s="53">
        <f>IF(OR($F33="",$G33=""),"",IF(AND(AT$5&lt;=$G33,AT$5+6&gt;=$F33),IF($H33="Complétée","F",IF(OR($H33="En cours",$H33="En revue"),"E",IF($H33="Bloquée","B","P"))),""))</f>
        <v/>
      </c>
      <c r="AU33" s="53">
        <f>IF(OR($F33="",$G33=""),"",IF(AND(AU$5&lt;=$G33,AU$5+6&gt;=$F33),IF($H33="Complétée","F",IF(OR($H33="En cours",$H33="En revue"),"E",IF($H33="Bloquée","B","P"))),""))</f>
        <v/>
      </c>
      <c r="AV33" s="53">
        <f>IF(OR($F33="",$G33=""),"",IF(AND(AV$5&lt;=$G33,AV$5+6&gt;=$F33),IF($H33="Complétée","F",IF(OR($H33="En cours",$H33="En revue"),"E",IF($H33="Bloquée","B","P"))),""))</f>
        <v/>
      </c>
      <c r="AW33" s="53">
        <f>IF(OR($F33="",$G33=""),"",IF(AND(AW$5&lt;=$G33,AW$5+6&gt;=$F33),IF($H33="Complétée","F",IF(OR($H33="En cours",$H33="En revue"),"E",IF($H33="Bloquée","B","P"))),""))</f>
        <v/>
      </c>
    </row>
    <row r="34">
      <c r="B34" s="50">
        <f>IF(Taches!B34="","",Taches!B34)</f>
        <v/>
      </c>
      <c r="C34" s="51">
        <f>IF(Taches!B34="","",Taches!F34)</f>
        <v/>
      </c>
      <c r="D34" s="50">
        <f>IF(Taches!B34="","",Taches!C34)</f>
        <v/>
      </c>
      <c r="E34" s="50">
        <f>IF(Taches!B34="","",Taches!D34)</f>
        <v/>
      </c>
      <c r="F34" s="52">
        <f>IF(Taches!P34="","",Taches!P34)</f>
        <v/>
      </c>
      <c r="G34" s="52">
        <f>IF(Taches!Q34="","",Taches!Q34)</f>
        <v/>
      </c>
      <c r="H34" s="50">
        <f>IF(Taches!B34="","",Taches!J34)</f>
        <v/>
      </c>
      <c r="I34" s="53">
        <f>IF(OR($F34="",$G34=""),"",IF(AND(I$5&lt;=$G34,I$5+6&gt;=$F34),IF($H34="Complétée","F",IF(OR($H34="En cours",$H34="En revue"),"E",IF($H34="Bloquée","B","P"))),""))</f>
        <v/>
      </c>
      <c r="J34" s="53">
        <f>IF(OR($F34="",$G34=""),"",IF(AND(J$5&lt;=$G34,J$5+6&gt;=$F34),IF($H34="Complétée","F",IF(OR($H34="En cours",$H34="En revue"),"E",IF($H34="Bloquée","B","P"))),""))</f>
        <v/>
      </c>
      <c r="K34" s="53">
        <f>IF(OR($F34="",$G34=""),"",IF(AND(K$5&lt;=$G34,K$5+6&gt;=$F34),IF($H34="Complétée","F",IF(OR($H34="En cours",$H34="En revue"),"E",IF($H34="Bloquée","B","P"))),""))</f>
        <v/>
      </c>
      <c r="L34" s="53">
        <f>IF(OR($F34="",$G34=""),"",IF(AND(L$5&lt;=$G34,L$5+6&gt;=$F34),IF($H34="Complétée","F",IF(OR($H34="En cours",$H34="En revue"),"E",IF($H34="Bloquée","B","P"))),""))</f>
        <v/>
      </c>
      <c r="M34" s="53">
        <f>IF(OR($F34="",$G34=""),"",IF(AND(M$5&lt;=$G34,M$5+6&gt;=$F34),IF($H34="Complétée","F",IF(OR($H34="En cours",$H34="En revue"),"E",IF($H34="Bloquée","B","P"))),""))</f>
        <v/>
      </c>
      <c r="N34" s="53">
        <f>IF(OR($F34="",$G34=""),"",IF(AND(N$5&lt;=$G34,N$5+6&gt;=$F34),IF($H34="Complétée","F",IF(OR($H34="En cours",$H34="En revue"),"E",IF($H34="Bloquée","B","P"))),""))</f>
        <v/>
      </c>
      <c r="O34" s="53">
        <f>IF(OR($F34="",$G34=""),"",IF(AND(O$5&lt;=$G34,O$5+6&gt;=$F34),IF($H34="Complétée","F",IF(OR($H34="En cours",$H34="En revue"),"E",IF($H34="Bloquée","B","P"))),""))</f>
        <v/>
      </c>
      <c r="P34" s="53">
        <f>IF(OR($F34="",$G34=""),"",IF(AND(P$5&lt;=$G34,P$5+6&gt;=$F34),IF($H34="Complétée","F",IF(OR($H34="En cours",$H34="En revue"),"E",IF($H34="Bloquée","B","P"))),""))</f>
        <v/>
      </c>
      <c r="Q34" s="53">
        <f>IF(OR($F34="",$G34=""),"",IF(AND(Q$5&lt;=$G34,Q$5+6&gt;=$F34),IF($H34="Complétée","F",IF(OR($H34="En cours",$H34="En revue"),"E",IF($H34="Bloquée","B","P"))),""))</f>
        <v/>
      </c>
      <c r="R34" s="53">
        <f>IF(OR($F34="",$G34=""),"",IF(AND(R$5&lt;=$G34,R$5+6&gt;=$F34),IF($H34="Complétée","F",IF(OR($H34="En cours",$H34="En revue"),"E",IF($H34="Bloquée","B","P"))),""))</f>
        <v/>
      </c>
      <c r="S34" s="53">
        <f>IF(OR($F34="",$G34=""),"",IF(AND(S$5&lt;=$G34,S$5+6&gt;=$F34),IF($H34="Complétée","F",IF(OR($H34="En cours",$H34="En revue"),"E",IF($H34="Bloquée","B","P"))),""))</f>
        <v/>
      </c>
      <c r="T34" s="53">
        <f>IF(OR($F34="",$G34=""),"",IF(AND(T$5&lt;=$G34,T$5+6&gt;=$F34),IF($H34="Complétée","F",IF(OR($H34="En cours",$H34="En revue"),"E",IF($H34="Bloquée","B","P"))),""))</f>
        <v/>
      </c>
      <c r="U34" s="53">
        <f>IF(OR($F34="",$G34=""),"",IF(AND(U$5&lt;=$G34,U$5+6&gt;=$F34),IF($H34="Complétée","F",IF(OR($H34="En cours",$H34="En revue"),"E",IF($H34="Bloquée","B","P"))),""))</f>
        <v/>
      </c>
      <c r="V34" s="53">
        <f>IF(OR($F34="",$G34=""),"",IF(AND(V$5&lt;=$G34,V$5+6&gt;=$F34),IF($H34="Complétée","F",IF(OR($H34="En cours",$H34="En revue"),"E",IF($H34="Bloquée","B","P"))),""))</f>
        <v/>
      </c>
      <c r="W34" s="53">
        <f>IF(OR($F34="",$G34=""),"",IF(AND(W$5&lt;=$G34,W$5+6&gt;=$F34),IF($H34="Complétée","F",IF(OR($H34="En cours",$H34="En revue"),"E",IF($H34="Bloquée","B","P"))),""))</f>
        <v/>
      </c>
      <c r="X34" s="53">
        <f>IF(OR($F34="",$G34=""),"",IF(AND(X$5&lt;=$G34,X$5+6&gt;=$F34),IF($H34="Complétée","F",IF(OR($H34="En cours",$H34="En revue"),"E",IF($H34="Bloquée","B","P"))),""))</f>
        <v/>
      </c>
      <c r="Y34" s="53">
        <f>IF(OR($F34="",$G34=""),"",IF(AND(Y$5&lt;=$G34,Y$5+6&gt;=$F34),IF($H34="Complétée","F",IF(OR($H34="En cours",$H34="En revue"),"E",IF($H34="Bloquée","B","P"))),""))</f>
        <v/>
      </c>
      <c r="Z34" s="53">
        <f>IF(OR($F34="",$G34=""),"",IF(AND(Z$5&lt;=$G34,Z$5+6&gt;=$F34),IF($H34="Complétée","F",IF(OR($H34="En cours",$H34="En revue"),"E",IF($H34="Bloquée","B","P"))),""))</f>
        <v/>
      </c>
      <c r="AA34" s="53">
        <f>IF(OR($F34="",$G34=""),"",IF(AND(AA$5&lt;=$G34,AA$5+6&gt;=$F34),IF($H34="Complétée","F",IF(OR($H34="En cours",$H34="En revue"),"E",IF($H34="Bloquée","B","P"))),""))</f>
        <v/>
      </c>
      <c r="AB34" s="53">
        <f>IF(OR($F34="",$G34=""),"",IF(AND(AB$5&lt;=$G34,AB$5+6&gt;=$F34),IF($H34="Complétée","F",IF(OR($H34="En cours",$H34="En revue"),"E",IF($H34="Bloquée","B","P"))),""))</f>
        <v/>
      </c>
      <c r="AC34" s="53">
        <f>IF(OR($F34="",$G34=""),"",IF(AND(AC$5&lt;=$G34,AC$5+6&gt;=$F34),IF($H34="Complétée","F",IF(OR($H34="En cours",$H34="En revue"),"E",IF($H34="Bloquée","B","P"))),""))</f>
        <v/>
      </c>
      <c r="AD34" s="53">
        <f>IF(OR($F34="",$G34=""),"",IF(AND(AD$5&lt;=$G34,AD$5+6&gt;=$F34),IF($H34="Complétée","F",IF(OR($H34="En cours",$H34="En revue"),"E",IF($H34="Bloquée","B","P"))),""))</f>
        <v/>
      </c>
      <c r="AE34" s="53">
        <f>IF(OR($F34="",$G34=""),"",IF(AND(AE$5&lt;=$G34,AE$5+6&gt;=$F34),IF($H34="Complétée","F",IF(OR($H34="En cours",$H34="En revue"),"E",IF($H34="Bloquée","B","P"))),""))</f>
        <v/>
      </c>
      <c r="AF34" s="53">
        <f>IF(OR($F34="",$G34=""),"",IF(AND(AF$5&lt;=$G34,AF$5+6&gt;=$F34),IF($H34="Complétée","F",IF(OR($H34="En cours",$H34="En revue"),"E",IF($H34="Bloquée","B","P"))),""))</f>
        <v/>
      </c>
      <c r="AG34" s="53">
        <f>IF(OR($F34="",$G34=""),"",IF(AND(AG$5&lt;=$G34,AG$5+6&gt;=$F34),IF($H34="Complétée","F",IF(OR($H34="En cours",$H34="En revue"),"E",IF($H34="Bloquée","B","P"))),""))</f>
        <v/>
      </c>
      <c r="AH34" s="53">
        <f>IF(OR($F34="",$G34=""),"",IF(AND(AH$5&lt;=$G34,AH$5+6&gt;=$F34),IF($H34="Complétée","F",IF(OR($H34="En cours",$H34="En revue"),"E",IF($H34="Bloquée","B","P"))),""))</f>
        <v/>
      </c>
      <c r="AI34" s="53">
        <f>IF(OR($F34="",$G34=""),"",IF(AND(AI$5&lt;=$G34,AI$5+6&gt;=$F34),IF($H34="Complétée","F",IF(OR($H34="En cours",$H34="En revue"),"E",IF($H34="Bloquée","B","P"))),""))</f>
        <v/>
      </c>
      <c r="AJ34" s="53">
        <f>IF(OR($F34="",$G34=""),"",IF(AND(AJ$5&lt;=$G34,AJ$5+6&gt;=$F34),IF($H34="Complétée","F",IF(OR($H34="En cours",$H34="En revue"),"E",IF($H34="Bloquée","B","P"))),""))</f>
        <v/>
      </c>
      <c r="AK34" s="53">
        <f>IF(OR($F34="",$G34=""),"",IF(AND(AK$5&lt;=$G34,AK$5+6&gt;=$F34),IF($H34="Complétée","F",IF(OR($H34="En cours",$H34="En revue"),"E",IF($H34="Bloquée","B","P"))),""))</f>
        <v/>
      </c>
      <c r="AL34" s="53">
        <f>IF(OR($F34="",$G34=""),"",IF(AND(AL$5&lt;=$G34,AL$5+6&gt;=$F34),IF($H34="Complétée","F",IF(OR($H34="En cours",$H34="En revue"),"E",IF($H34="Bloquée","B","P"))),""))</f>
        <v/>
      </c>
      <c r="AM34" s="53">
        <f>IF(OR($F34="",$G34=""),"",IF(AND(AM$5&lt;=$G34,AM$5+6&gt;=$F34),IF($H34="Complétée","F",IF(OR($H34="En cours",$H34="En revue"),"E",IF($H34="Bloquée","B","P"))),""))</f>
        <v/>
      </c>
      <c r="AN34" s="53">
        <f>IF(OR($F34="",$G34=""),"",IF(AND(AN$5&lt;=$G34,AN$5+6&gt;=$F34),IF($H34="Complétée","F",IF(OR($H34="En cours",$H34="En revue"),"E",IF($H34="Bloquée","B","P"))),""))</f>
        <v/>
      </c>
      <c r="AO34" s="53">
        <f>IF(OR($F34="",$G34=""),"",IF(AND(AO$5&lt;=$G34,AO$5+6&gt;=$F34),IF($H34="Complétée","F",IF(OR($H34="En cours",$H34="En revue"),"E",IF($H34="Bloquée","B","P"))),""))</f>
        <v/>
      </c>
      <c r="AP34" s="53">
        <f>IF(OR($F34="",$G34=""),"",IF(AND(AP$5&lt;=$G34,AP$5+6&gt;=$F34),IF($H34="Complétée","F",IF(OR($H34="En cours",$H34="En revue"),"E",IF($H34="Bloquée","B","P"))),""))</f>
        <v/>
      </c>
      <c r="AQ34" s="53">
        <f>IF(OR($F34="",$G34=""),"",IF(AND(AQ$5&lt;=$G34,AQ$5+6&gt;=$F34),IF($H34="Complétée","F",IF(OR($H34="En cours",$H34="En revue"),"E",IF($H34="Bloquée","B","P"))),""))</f>
        <v/>
      </c>
      <c r="AR34" s="53">
        <f>IF(OR($F34="",$G34=""),"",IF(AND(AR$5&lt;=$G34,AR$5+6&gt;=$F34),IF($H34="Complétée","F",IF(OR($H34="En cours",$H34="En revue"),"E",IF($H34="Bloquée","B","P"))),""))</f>
        <v/>
      </c>
      <c r="AS34" s="53">
        <f>IF(OR($F34="",$G34=""),"",IF(AND(AS$5&lt;=$G34,AS$5+6&gt;=$F34),IF($H34="Complétée","F",IF(OR($H34="En cours",$H34="En revue"),"E",IF($H34="Bloquée","B","P"))),""))</f>
        <v/>
      </c>
      <c r="AT34" s="53">
        <f>IF(OR($F34="",$G34=""),"",IF(AND(AT$5&lt;=$G34,AT$5+6&gt;=$F34),IF($H34="Complétée","F",IF(OR($H34="En cours",$H34="En revue"),"E",IF($H34="Bloquée","B","P"))),""))</f>
        <v/>
      </c>
      <c r="AU34" s="53">
        <f>IF(OR($F34="",$G34=""),"",IF(AND(AU$5&lt;=$G34,AU$5+6&gt;=$F34),IF($H34="Complétée","F",IF(OR($H34="En cours",$H34="En revue"),"E",IF($H34="Bloquée","B","P"))),""))</f>
        <v/>
      </c>
      <c r="AV34" s="53">
        <f>IF(OR($F34="",$G34=""),"",IF(AND(AV$5&lt;=$G34,AV$5+6&gt;=$F34),IF($H34="Complétée","F",IF(OR($H34="En cours",$H34="En revue"),"E",IF($H34="Bloquée","B","P"))),""))</f>
        <v/>
      </c>
      <c r="AW34" s="53">
        <f>IF(OR($F34="",$G34=""),"",IF(AND(AW$5&lt;=$G34,AW$5+6&gt;=$F34),IF($H34="Complétée","F",IF(OR($H34="En cours",$H34="En revue"),"E",IF($H34="Bloquée","B","P"))),""))</f>
        <v/>
      </c>
    </row>
    <row r="35">
      <c r="B35" s="50">
        <f>IF(Taches!B35="","",Taches!B35)</f>
        <v/>
      </c>
      <c r="C35" s="51">
        <f>IF(Taches!B35="","",Taches!F35)</f>
        <v/>
      </c>
      <c r="D35" s="50">
        <f>IF(Taches!B35="","",Taches!C35)</f>
        <v/>
      </c>
      <c r="E35" s="50">
        <f>IF(Taches!B35="","",Taches!D35)</f>
        <v/>
      </c>
      <c r="F35" s="52">
        <f>IF(Taches!P35="","",Taches!P35)</f>
        <v/>
      </c>
      <c r="G35" s="52">
        <f>IF(Taches!Q35="","",Taches!Q35)</f>
        <v/>
      </c>
      <c r="H35" s="50">
        <f>IF(Taches!B35="","",Taches!J35)</f>
        <v/>
      </c>
      <c r="I35" s="53">
        <f>IF(OR($F35="",$G35=""),"",IF(AND(I$5&lt;=$G35,I$5+6&gt;=$F35),IF($H35="Complétée","F",IF(OR($H35="En cours",$H35="En revue"),"E",IF($H35="Bloquée","B","P"))),""))</f>
        <v/>
      </c>
      <c r="J35" s="53">
        <f>IF(OR($F35="",$G35=""),"",IF(AND(J$5&lt;=$G35,J$5+6&gt;=$F35),IF($H35="Complétée","F",IF(OR($H35="En cours",$H35="En revue"),"E",IF($H35="Bloquée","B","P"))),""))</f>
        <v/>
      </c>
      <c r="K35" s="53">
        <f>IF(OR($F35="",$G35=""),"",IF(AND(K$5&lt;=$G35,K$5+6&gt;=$F35),IF($H35="Complétée","F",IF(OR($H35="En cours",$H35="En revue"),"E",IF($H35="Bloquée","B","P"))),""))</f>
        <v/>
      </c>
      <c r="L35" s="53">
        <f>IF(OR($F35="",$G35=""),"",IF(AND(L$5&lt;=$G35,L$5+6&gt;=$F35),IF($H35="Complétée","F",IF(OR($H35="En cours",$H35="En revue"),"E",IF($H35="Bloquée","B","P"))),""))</f>
        <v/>
      </c>
      <c r="M35" s="53">
        <f>IF(OR($F35="",$G35=""),"",IF(AND(M$5&lt;=$G35,M$5+6&gt;=$F35),IF($H35="Complétée","F",IF(OR($H35="En cours",$H35="En revue"),"E",IF($H35="Bloquée","B","P"))),""))</f>
        <v/>
      </c>
      <c r="N35" s="53">
        <f>IF(OR($F35="",$G35=""),"",IF(AND(N$5&lt;=$G35,N$5+6&gt;=$F35),IF($H35="Complétée","F",IF(OR($H35="En cours",$H35="En revue"),"E",IF($H35="Bloquée","B","P"))),""))</f>
        <v/>
      </c>
      <c r="O35" s="53">
        <f>IF(OR($F35="",$G35=""),"",IF(AND(O$5&lt;=$G35,O$5+6&gt;=$F35),IF($H35="Complétée","F",IF(OR($H35="En cours",$H35="En revue"),"E",IF($H35="Bloquée","B","P"))),""))</f>
        <v/>
      </c>
      <c r="P35" s="53">
        <f>IF(OR($F35="",$G35=""),"",IF(AND(P$5&lt;=$G35,P$5+6&gt;=$F35),IF($H35="Complétée","F",IF(OR($H35="En cours",$H35="En revue"),"E",IF($H35="Bloquée","B","P"))),""))</f>
        <v/>
      </c>
      <c r="Q35" s="53">
        <f>IF(OR($F35="",$G35=""),"",IF(AND(Q$5&lt;=$G35,Q$5+6&gt;=$F35),IF($H35="Complétée","F",IF(OR($H35="En cours",$H35="En revue"),"E",IF($H35="Bloquée","B","P"))),""))</f>
        <v/>
      </c>
      <c r="R35" s="53">
        <f>IF(OR($F35="",$G35=""),"",IF(AND(R$5&lt;=$G35,R$5+6&gt;=$F35),IF($H35="Complétée","F",IF(OR($H35="En cours",$H35="En revue"),"E",IF($H35="Bloquée","B","P"))),""))</f>
        <v/>
      </c>
      <c r="S35" s="53">
        <f>IF(OR($F35="",$G35=""),"",IF(AND(S$5&lt;=$G35,S$5+6&gt;=$F35),IF($H35="Complétée","F",IF(OR($H35="En cours",$H35="En revue"),"E",IF($H35="Bloquée","B","P"))),""))</f>
        <v/>
      </c>
      <c r="T35" s="53">
        <f>IF(OR($F35="",$G35=""),"",IF(AND(T$5&lt;=$G35,T$5+6&gt;=$F35),IF($H35="Complétée","F",IF(OR($H35="En cours",$H35="En revue"),"E",IF($H35="Bloquée","B","P"))),""))</f>
        <v/>
      </c>
      <c r="U35" s="53">
        <f>IF(OR($F35="",$G35=""),"",IF(AND(U$5&lt;=$G35,U$5+6&gt;=$F35),IF($H35="Complétée","F",IF(OR($H35="En cours",$H35="En revue"),"E",IF($H35="Bloquée","B","P"))),""))</f>
        <v/>
      </c>
      <c r="V35" s="53">
        <f>IF(OR($F35="",$G35=""),"",IF(AND(V$5&lt;=$G35,V$5+6&gt;=$F35),IF($H35="Complétée","F",IF(OR($H35="En cours",$H35="En revue"),"E",IF($H35="Bloquée","B","P"))),""))</f>
        <v/>
      </c>
      <c r="W35" s="53">
        <f>IF(OR($F35="",$G35=""),"",IF(AND(W$5&lt;=$G35,W$5+6&gt;=$F35),IF($H35="Complétée","F",IF(OR($H35="En cours",$H35="En revue"),"E",IF($H35="Bloquée","B","P"))),""))</f>
        <v/>
      </c>
      <c r="X35" s="53">
        <f>IF(OR($F35="",$G35=""),"",IF(AND(X$5&lt;=$G35,X$5+6&gt;=$F35),IF($H35="Complétée","F",IF(OR($H35="En cours",$H35="En revue"),"E",IF($H35="Bloquée","B","P"))),""))</f>
        <v/>
      </c>
      <c r="Y35" s="53">
        <f>IF(OR($F35="",$G35=""),"",IF(AND(Y$5&lt;=$G35,Y$5+6&gt;=$F35),IF($H35="Complétée","F",IF(OR($H35="En cours",$H35="En revue"),"E",IF($H35="Bloquée","B","P"))),""))</f>
        <v/>
      </c>
      <c r="Z35" s="53">
        <f>IF(OR($F35="",$G35=""),"",IF(AND(Z$5&lt;=$G35,Z$5+6&gt;=$F35),IF($H35="Complétée","F",IF(OR($H35="En cours",$H35="En revue"),"E",IF($H35="Bloquée","B","P"))),""))</f>
        <v/>
      </c>
      <c r="AA35" s="53">
        <f>IF(OR($F35="",$G35=""),"",IF(AND(AA$5&lt;=$G35,AA$5+6&gt;=$F35),IF($H35="Complétée","F",IF(OR($H35="En cours",$H35="En revue"),"E",IF($H35="Bloquée","B","P"))),""))</f>
        <v/>
      </c>
      <c r="AB35" s="53">
        <f>IF(OR($F35="",$G35=""),"",IF(AND(AB$5&lt;=$G35,AB$5+6&gt;=$F35),IF($H35="Complétée","F",IF(OR($H35="En cours",$H35="En revue"),"E",IF($H35="Bloquée","B","P"))),""))</f>
        <v/>
      </c>
      <c r="AC35" s="53">
        <f>IF(OR($F35="",$G35=""),"",IF(AND(AC$5&lt;=$G35,AC$5+6&gt;=$F35),IF($H35="Complétée","F",IF(OR($H35="En cours",$H35="En revue"),"E",IF($H35="Bloquée","B","P"))),""))</f>
        <v/>
      </c>
      <c r="AD35" s="53">
        <f>IF(OR($F35="",$G35=""),"",IF(AND(AD$5&lt;=$G35,AD$5+6&gt;=$F35),IF($H35="Complétée","F",IF(OR($H35="En cours",$H35="En revue"),"E",IF($H35="Bloquée","B","P"))),""))</f>
        <v/>
      </c>
      <c r="AE35" s="53">
        <f>IF(OR($F35="",$G35=""),"",IF(AND(AE$5&lt;=$G35,AE$5+6&gt;=$F35),IF($H35="Complétée","F",IF(OR($H35="En cours",$H35="En revue"),"E",IF($H35="Bloquée","B","P"))),""))</f>
        <v/>
      </c>
      <c r="AF35" s="53">
        <f>IF(OR($F35="",$G35=""),"",IF(AND(AF$5&lt;=$G35,AF$5+6&gt;=$F35),IF($H35="Complétée","F",IF(OR($H35="En cours",$H35="En revue"),"E",IF($H35="Bloquée","B","P"))),""))</f>
        <v/>
      </c>
      <c r="AG35" s="53">
        <f>IF(OR($F35="",$G35=""),"",IF(AND(AG$5&lt;=$G35,AG$5+6&gt;=$F35),IF($H35="Complétée","F",IF(OR($H35="En cours",$H35="En revue"),"E",IF($H35="Bloquée","B","P"))),""))</f>
        <v/>
      </c>
      <c r="AH35" s="53">
        <f>IF(OR($F35="",$G35=""),"",IF(AND(AH$5&lt;=$G35,AH$5+6&gt;=$F35),IF($H35="Complétée","F",IF(OR($H35="En cours",$H35="En revue"),"E",IF($H35="Bloquée","B","P"))),""))</f>
        <v/>
      </c>
      <c r="AI35" s="53">
        <f>IF(OR($F35="",$G35=""),"",IF(AND(AI$5&lt;=$G35,AI$5+6&gt;=$F35),IF($H35="Complétée","F",IF(OR($H35="En cours",$H35="En revue"),"E",IF($H35="Bloquée","B","P"))),""))</f>
        <v/>
      </c>
      <c r="AJ35" s="53">
        <f>IF(OR($F35="",$G35=""),"",IF(AND(AJ$5&lt;=$G35,AJ$5+6&gt;=$F35),IF($H35="Complétée","F",IF(OR($H35="En cours",$H35="En revue"),"E",IF($H35="Bloquée","B","P"))),""))</f>
        <v/>
      </c>
      <c r="AK35" s="53">
        <f>IF(OR($F35="",$G35=""),"",IF(AND(AK$5&lt;=$G35,AK$5+6&gt;=$F35),IF($H35="Complétée","F",IF(OR($H35="En cours",$H35="En revue"),"E",IF($H35="Bloquée","B","P"))),""))</f>
        <v/>
      </c>
      <c r="AL35" s="53">
        <f>IF(OR($F35="",$G35=""),"",IF(AND(AL$5&lt;=$G35,AL$5+6&gt;=$F35),IF($H35="Complétée","F",IF(OR($H35="En cours",$H35="En revue"),"E",IF($H35="Bloquée","B","P"))),""))</f>
        <v/>
      </c>
      <c r="AM35" s="53">
        <f>IF(OR($F35="",$G35=""),"",IF(AND(AM$5&lt;=$G35,AM$5+6&gt;=$F35),IF($H35="Complétée","F",IF(OR($H35="En cours",$H35="En revue"),"E",IF($H35="Bloquée","B","P"))),""))</f>
        <v/>
      </c>
      <c r="AN35" s="53">
        <f>IF(OR($F35="",$G35=""),"",IF(AND(AN$5&lt;=$G35,AN$5+6&gt;=$F35),IF($H35="Complétée","F",IF(OR($H35="En cours",$H35="En revue"),"E",IF($H35="Bloquée","B","P"))),""))</f>
        <v/>
      </c>
      <c r="AO35" s="53">
        <f>IF(OR($F35="",$G35=""),"",IF(AND(AO$5&lt;=$G35,AO$5+6&gt;=$F35),IF($H35="Complétée","F",IF(OR($H35="En cours",$H35="En revue"),"E",IF($H35="Bloquée","B","P"))),""))</f>
        <v/>
      </c>
      <c r="AP35" s="53">
        <f>IF(OR($F35="",$G35=""),"",IF(AND(AP$5&lt;=$G35,AP$5+6&gt;=$F35),IF($H35="Complétée","F",IF(OR($H35="En cours",$H35="En revue"),"E",IF($H35="Bloquée","B","P"))),""))</f>
        <v/>
      </c>
      <c r="AQ35" s="53">
        <f>IF(OR($F35="",$G35=""),"",IF(AND(AQ$5&lt;=$G35,AQ$5+6&gt;=$F35),IF($H35="Complétée","F",IF(OR($H35="En cours",$H35="En revue"),"E",IF($H35="Bloquée","B","P"))),""))</f>
        <v/>
      </c>
      <c r="AR35" s="53">
        <f>IF(OR($F35="",$G35=""),"",IF(AND(AR$5&lt;=$G35,AR$5+6&gt;=$F35),IF($H35="Complétée","F",IF(OR($H35="En cours",$H35="En revue"),"E",IF($H35="Bloquée","B","P"))),""))</f>
        <v/>
      </c>
      <c r="AS35" s="53">
        <f>IF(OR($F35="",$G35=""),"",IF(AND(AS$5&lt;=$G35,AS$5+6&gt;=$F35),IF($H35="Complétée","F",IF(OR($H35="En cours",$H35="En revue"),"E",IF($H35="Bloquée","B","P"))),""))</f>
        <v/>
      </c>
      <c r="AT35" s="53">
        <f>IF(OR($F35="",$G35=""),"",IF(AND(AT$5&lt;=$G35,AT$5+6&gt;=$F35),IF($H35="Complétée","F",IF(OR($H35="En cours",$H35="En revue"),"E",IF($H35="Bloquée","B","P"))),""))</f>
        <v/>
      </c>
      <c r="AU35" s="53">
        <f>IF(OR($F35="",$G35=""),"",IF(AND(AU$5&lt;=$G35,AU$5+6&gt;=$F35),IF($H35="Complétée","F",IF(OR($H35="En cours",$H35="En revue"),"E",IF($H35="Bloquée","B","P"))),""))</f>
        <v/>
      </c>
      <c r="AV35" s="53">
        <f>IF(OR($F35="",$G35=""),"",IF(AND(AV$5&lt;=$G35,AV$5+6&gt;=$F35),IF($H35="Complétée","F",IF(OR($H35="En cours",$H35="En revue"),"E",IF($H35="Bloquée","B","P"))),""))</f>
        <v/>
      </c>
      <c r="AW35" s="53">
        <f>IF(OR($F35="",$G35=""),"",IF(AND(AW$5&lt;=$G35,AW$5+6&gt;=$F35),IF($H35="Complétée","F",IF(OR($H35="En cours",$H35="En revue"),"E",IF($H35="Bloquée","B","P"))),""))</f>
        <v/>
      </c>
    </row>
    <row r="36">
      <c r="B36" s="50">
        <f>IF(Taches!B36="","",Taches!B36)</f>
        <v/>
      </c>
      <c r="C36" s="51">
        <f>IF(Taches!B36="","",Taches!F36)</f>
        <v/>
      </c>
      <c r="D36" s="50">
        <f>IF(Taches!B36="","",Taches!C36)</f>
        <v/>
      </c>
      <c r="E36" s="50">
        <f>IF(Taches!B36="","",Taches!D36)</f>
        <v/>
      </c>
      <c r="F36" s="52">
        <f>IF(Taches!P36="","",Taches!P36)</f>
        <v/>
      </c>
      <c r="G36" s="52">
        <f>IF(Taches!Q36="","",Taches!Q36)</f>
        <v/>
      </c>
      <c r="H36" s="50">
        <f>IF(Taches!B36="","",Taches!J36)</f>
        <v/>
      </c>
      <c r="I36" s="53">
        <f>IF(OR($F36="",$G36=""),"",IF(AND(I$5&lt;=$G36,I$5+6&gt;=$F36),IF($H36="Complétée","F",IF(OR($H36="En cours",$H36="En revue"),"E",IF($H36="Bloquée","B","P"))),""))</f>
        <v/>
      </c>
      <c r="J36" s="53">
        <f>IF(OR($F36="",$G36=""),"",IF(AND(J$5&lt;=$G36,J$5+6&gt;=$F36),IF($H36="Complétée","F",IF(OR($H36="En cours",$H36="En revue"),"E",IF($H36="Bloquée","B","P"))),""))</f>
        <v/>
      </c>
      <c r="K36" s="53">
        <f>IF(OR($F36="",$G36=""),"",IF(AND(K$5&lt;=$G36,K$5+6&gt;=$F36),IF($H36="Complétée","F",IF(OR($H36="En cours",$H36="En revue"),"E",IF($H36="Bloquée","B","P"))),""))</f>
        <v/>
      </c>
      <c r="L36" s="53">
        <f>IF(OR($F36="",$G36=""),"",IF(AND(L$5&lt;=$G36,L$5+6&gt;=$F36),IF($H36="Complétée","F",IF(OR($H36="En cours",$H36="En revue"),"E",IF($H36="Bloquée","B","P"))),""))</f>
        <v/>
      </c>
      <c r="M36" s="53">
        <f>IF(OR($F36="",$G36=""),"",IF(AND(M$5&lt;=$G36,M$5+6&gt;=$F36),IF($H36="Complétée","F",IF(OR($H36="En cours",$H36="En revue"),"E",IF($H36="Bloquée","B","P"))),""))</f>
        <v/>
      </c>
      <c r="N36" s="53">
        <f>IF(OR($F36="",$G36=""),"",IF(AND(N$5&lt;=$G36,N$5+6&gt;=$F36),IF($H36="Complétée","F",IF(OR($H36="En cours",$H36="En revue"),"E",IF($H36="Bloquée","B","P"))),""))</f>
        <v/>
      </c>
      <c r="O36" s="53">
        <f>IF(OR($F36="",$G36=""),"",IF(AND(O$5&lt;=$G36,O$5+6&gt;=$F36),IF($H36="Complétée","F",IF(OR($H36="En cours",$H36="En revue"),"E",IF($H36="Bloquée","B","P"))),""))</f>
        <v/>
      </c>
      <c r="P36" s="53">
        <f>IF(OR($F36="",$G36=""),"",IF(AND(P$5&lt;=$G36,P$5+6&gt;=$F36),IF($H36="Complétée","F",IF(OR($H36="En cours",$H36="En revue"),"E",IF($H36="Bloquée","B","P"))),""))</f>
        <v/>
      </c>
      <c r="Q36" s="53">
        <f>IF(OR($F36="",$G36=""),"",IF(AND(Q$5&lt;=$G36,Q$5+6&gt;=$F36),IF($H36="Complétée","F",IF(OR($H36="En cours",$H36="En revue"),"E",IF($H36="Bloquée","B","P"))),""))</f>
        <v/>
      </c>
      <c r="R36" s="53">
        <f>IF(OR($F36="",$G36=""),"",IF(AND(R$5&lt;=$G36,R$5+6&gt;=$F36),IF($H36="Complétée","F",IF(OR($H36="En cours",$H36="En revue"),"E",IF($H36="Bloquée","B","P"))),""))</f>
        <v/>
      </c>
      <c r="S36" s="53">
        <f>IF(OR($F36="",$G36=""),"",IF(AND(S$5&lt;=$G36,S$5+6&gt;=$F36),IF($H36="Complétée","F",IF(OR($H36="En cours",$H36="En revue"),"E",IF($H36="Bloquée","B","P"))),""))</f>
        <v/>
      </c>
      <c r="T36" s="53">
        <f>IF(OR($F36="",$G36=""),"",IF(AND(T$5&lt;=$G36,T$5+6&gt;=$F36),IF($H36="Complétée","F",IF(OR($H36="En cours",$H36="En revue"),"E",IF($H36="Bloquée","B","P"))),""))</f>
        <v/>
      </c>
      <c r="U36" s="53">
        <f>IF(OR($F36="",$G36=""),"",IF(AND(U$5&lt;=$G36,U$5+6&gt;=$F36),IF($H36="Complétée","F",IF(OR($H36="En cours",$H36="En revue"),"E",IF($H36="Bloquée","B","P"))),""))</f>
        <v/>
      </c>
      <c r="V36" s="53">
        <f>IF(OR($F36="",$G36=""),"",IF(AND(V$5&lt;=$G36,V$5+6&gt;=$F36),IF($H36="Complétée","F",IF(OR($H36="En cours",$H36="En revue"),"E",IF($H36="Bloquée","B","P"))),""))</f>
        <v/>
      </c>
      <c r="W36" s="53">
        <f>IF(OR($F36="",$G36=""),"",IF(AND(W$5&lt;=$G36,W$5+6&gt;=$F36),IF($H36="Complétée","F",IF(OR($H36="En cours",$H36="En revue"),"E",IF($H36="Bloquée","B","P"))),""))</f>
        <v/>
      </c>
      <c r="X36" s="53">
        <f>IF(OR($F36="",$G36=""),"",IF(AND(X$5&lt;=$G36,X$5+6&gt;=$F36),IF($H36="Complétée","F",IF(OR($H36="En cours",$H36="En revue"),"E",IF($H36="Bloquée","B","P"))),""))</f>
        <v/>
      </c>
      <c r="Y36" s="53">
        <f>IF(OR($F36="",$G36=""),"",IF(AND(Y$5&lt;=$G36,Y$5+6&gt;=$F36),IF($H36="Complétée","F",IF(OR($H36="En cours",$H36="En revue"),"E",IF($H36="Bloquée","B","P"))),""))</f>
        <v/>
      </c>
      <c r="Z36" s="53">
        <f>IF(OR($F36="",$G36=""),"",IF(AND(Z$5&lt;=$G36,Z$5+6&gt;=$F36),IF($H36="Complétée","F",IF(OR($H36="En cours",$H36="En revue"),"E",IF($H36="Bloquée","B","P"))),""))</f>
        <v/>
      </c>
      <c r="AA36" s="53">
        <f>IF(OR($F36="",$G36=""),"",IF(AND(AA$5&lt;=$G36,AA$5+6&gt;=$F36),IF($H36="Complétée","F",IF(OR($H36="En cours",$H36="En revue"),"E",IF($H36="Bloquée","B","P"))),""))</f>
        <v/>
      </c>
      <c r="AB36" s="53">
        <f>IF(OR($F36="",$G36=""),"",IF(AND(AB$5&lt;=$G36,AB$5+6&gt;=$F36),IF($H36="Complétée","F",IF(OR($H36="En cours",$H36="En revue"),"E",IF($H36="Bloquée","B","P"))),""))</f>
        <v/>
      </c>
      <c r="AC36" s="53">
        <f>IF(OR($F36="",$G36=""),"",IF(AND(AC$5&lt;=$G36,AC$5+6&gt;=$F36),IF($H36="Complétée","F",IF(OR($H36="En cours",$H36="En revue"),"E",IF($H36="Bloquée","B","P"))),""))</f>
        <v/>
      </c>
      <c r="AD36" s="53">
        <f>IF(OR($F36="",$G36=""),"",IF(AND(AD$5&lt;=$G36,AD$5+6&gt;=$F36),IF($H36="Complétée","F",IF(OR($H36="En cours",$H36="En revue"),"E",IF($H36="Bloquée","B","P"))),""))</f>
        <v/>
      </c>
      <c r="AE36" s="53">
        <f>IF(OR($F36="",$G36=""),"",IF(AND(AE$5&lt;=$G36,AE$5+6&gt;=$F36),IF($H36="Complétée","F",IF(OR($H36="En cours",$H36="En revue"),"E",IF($H36="Bloquée","B","P"))),""))</f>
        <v/>
      </c>
      <c r="AF36" s="53">
        <f>IF(OR($F36="",$G36=""),"",IF(AND(AF$5&lt;=$G36,AF$5+6&gt;=$F36),IF($H36="Complétée","F",IF(OR($H36="En cours",$H36="En revue"),"E",IF($H36="Bloquée","B","P"))),""))</f>
        <v/>
      </c>
      <c r="AG36" s="53">
        <f>IF(OR($F36="",$G36=""),"",IF(AND(AG$5&lt;=$G36,AG$5+6&gt;=$F36),IF($H36="Complétée","F",IF(OR($H36="En cours",$H36="En revue"),"E",IF($H36="Bloquée","B","P"))),""))</f>
        <v/>
      </c>
      <c r="AH36" s="53">
        <f>IF(OR($F36="",$G36=""),"",IF(AND(AH$5&lt;=$G36,AH$5+6&gt;=$F36),IF($H36="Complétée","F",IF(OR($H36="En cours",$H36="En revue"),"E",IF($H36="Bloquée","B","P"))),""))</f>
        <v/>
      </c>
      <c r="AI36" s="53">
        <f>IF(OR($F36="",$G36=""),"",IF(AND(AI$5&lt;=$G36,AI$5+6&gt;=$F36),IF($H36="Complétée","F",IF(OR($H36="En cours",$H36="En revue"),"E",IF($H36="Bloquée","B","P"))),""))</f>
        <v/>
      </c>
      <c r="AJ36" s="53">
        <f>IF(OR($F36="",$G36=""),"",IF(AND(AJ$5&lt;=$G36,AJ$5+6&gt;=$F36),IF($H36="Complétée","F",IF(OR($H36="En cours",$H36="En revue"),"E",IF($H36="Bloquée","B","P"))),""))</f>
        <v/>
      </c>
      <c r="AK36" s="53">
        <f>IF(OR($F36="",$G36=""),"",IF(AND(AK$5&lt;=$G36,AK$5+6&gt;=$F36),IF($H36="Complétée","F",IF(OR($H36="En cours",$H36="En revue"),"E",IF($H36="Bloquée","B","P"))),""))</f>
        <v/>
      </c>
      <c r="AL36" s="53">
        <f>IF(OR($F36="",$G36=""),"",IF(AND(AL$5&lt;=$G36,AL$5+6&gt;=$F36),IF($H36="Complétée","F",IF(OR($H36="En cours",$H36="En revue"),"E",IF($H36="Bloquée","B","P"))),""))</f>
        <v/>
      </c>
      <c r="AM36" s="53">
        <f>IF(OR($F36="",$G36=""),"",IF(AND(AM$5&lt;=$G36,AM$5+6&gt;=$F36),IF($H36="Complétée","F",IF(OR($H36="En cours",$H36="En revue"),"E",IF($H36="Bloquée","B","P"))),""))</f>
        <v/>
      </c>
      <c r="AN36" s="53">
        <f>IF(OR($F36="",$G36=""),"",IF(AND(AN$5&lt;=$G36,AN$5+6&gt;=$F36),IF($H36="Complétée","F",IF(OR($H36="En cours",$H36="En revue"),"E",IF($H36="Bloquée","B","P"))),""))</f>
        <v/>
      </c>
      <c r="AO36" s="53">
        <f>IF(OR($F36="",$G36=""),"",IF(AND(AO$5&lt;=$G36,AO$5+6&gt;=$F36),IF($H36="Complétée","F",IF(OR($H36="En cours",$H36="En revue"),"E",IF($H36="Bloquée","B","P"))),""))</f>
        <v/>
      </c>
      <c r="AP36" s="53">
        <f>IF(OR($F36="",$G36=""),"",IF(AND(AP$5&lt;=$G36,AP$5+6&gt;=$F36),IF($H36="Complétée","F",IF(OR($H36="En cours",$H36="En revue"),"E",IF($H36="Bloquée","B","P"))),""))</f>
        <v/>
      </c>
      <c r="AQ36" s="53">
        <f>IF(OR($F36="",$G36=""),"",IF(AND(AQ$5&lt;=$G36,AQ$5+6&gt;=$F36),IF($H36="Complétée","F",IF(OR($H36="En cours",$H36="En revue"),"E",IF($H36="Bloquée","B","P"))),""))</f>
        <v/>
      </c>
      <c r="AR36" s="53">
        <f>IF(OR($F36="",$G36=""),"",IF(AND(AR$5&lt;=$G36,AR$5+6&gt;=$F36),IF($H36="Complétée","F",IF(OR($H36="En cours",$H36="En revue"),"E",IF($H36="Bloquée","B","P"))),""))</f>
        <v/>
      </c>
      <c r="AS36" s="53">
        <f>IF(OR($F36="",$G36=""),"",IF(AND(AS$5&lt;=$G36,AS$5+6&gt;=$F36),IF($H36="Complétée","F",IF(OR($H36="En cours",$H36="En revue"),"E",IF($H36="Bloquée","B","P"))),""))</f>
        <v/>
      </c>
      <c r="AT36" s="53">
        <f>IF(OR($F36="",$G36=""),"",IF(AND(AT$5&lt;=$G36,AT$5+6&gt;=$F36),IF($H36="Complétée","F",IF(OR($H36="En cours",$H36="En revue"),"E",IF($H36="Bloquée","B","P"))),""))</f>
        <v/>
      </c>
      <c r="AU36" s="53">
        <f>IF(OR($F36="",$G36=""),"",IF(AND(AU$5&lt;=$G36,AU$5+6&gt;=$F36),IF($H36="Complétée","F",IF(OR($H36="En cours",$H36="En revue"),"E",IF($H36="Bloquée","B","P"))),""))</f>
        <v/>
      </c>
      <c r="AV36" s="53">
        <f>IF(OR($F36="",$G36=""),"",IF(AND(AV$5&lt;=$G36,AV$5+6&gt;=$F36),IF($H36="Complétée","F",IF(OR($H36="En cours",$H36="En revue"),"E",IF($H36="Bloquée","B","P"))),""))</f>
        <v/>
      </c>
      <c r="AW36" s="53">
        <f>IF(OR($F36="",$G36=""),"",IF(AND(AW$5&lt;=$G36,AW$5+6&gt;=$F36),IF($H36="Complétée","F",IF(OR($H36="En cours",$H36="En revue"),"E",IF($H36="Bloquée","B","P"))),""))</f>
        <v/>
      </c>
    </row>
    <row r="37">
      <c r="B37" s="50">
        <f>IF(Taches!B37="","",Taches!B37)</f>
        <v/>
      </c>
      <c r="C37" s="51">
        <f>IF(Taches!B37="","",Taches!F37)</f>
        <v/>
      </c>
      <c r="D37" s="50">
        <f>IF(Taches!B37="","",Taches!C37)</f>
        <v/>
      </c>
      <c r="E37" s="50">
        <f>IF(Taches!B37="","",Taches!D37)</f>
        <v/>
      </c>
      <c r="F37" s="52">
        <f>IF(Taches!P37="","",Taches!P37)</f>
        <v/>
      </c>
      <c r="G37" s="52">
        <f>IF(Taches!Q37="","",Taches!Q37)</f>
        <v/>
      </c>
      <c r="H37" s="50">
        <f>IF(Taches!B37="","",Taches!J37)</f>
        <v/>
      </c>
      <c r="I37" s="53">
        <f>IF(OR($F37="",$G37=""),"",IF(AND(I$5&lt;=$G37,I$5+6&gt;=$F37),IF($H37="Complétée","F",IF(OR($H37="En cours",$H37="En revue"),"E",IF($H37="Bloquée","B","P"))),""))</f>
        <v/>
      </c>
      <c r="J37" s="53">
        <f>IF(OR($F37="",$G37=""),"",IF(AND(J$5&lt;=$G37,J$5+6&gt;=$F37),IF($H37="Complétée","F",IF(OR($H37="En cours",$H37="En revue"),"E",IF($H37="Bloquée","B","P"))),""))</f>
        <v/>
      </c>
      <c r="K37" s="53">
        <f>IF(OR($F37="",$G37=""),"",IF(AND(K$5&lt;=$G37,K$5+6&gt;=$F37),IF($H37="Complétée","F",IF(OR($H37="En cours",$H37="En revue"),"E",IF($H37="Bloquée","B","P"))),""))</f>
        <v/>
      </c>
      <c r="L37" s="53">
        <f>IF(OR($F37="",$G37=""),"",IF(AND(L$5&lt;=$G37,L$5+6&gt;=$F37),IF($H37="Complétée","F",IF(OR($H37="En cours",$H37="En revue"),"E",IF($H37="Bloquée","B","P"))),""))</f>
        <v/>
      </c>
      <c r="M37" s="53">
        <f>IF(OR($F37="",$G37=""),"",IF(AND(M$5&lt;=$G37,M$5+6&gt;=$F37),IF($H37="Complétée","F",IF(OR($H37="En cours",$H37="En revue"),"E",IF($H37="Bloquée","B","P"))),""))</f>
        <v/>
      </c>
      <c r="N37" s="53">
        <f>IF(OR($F37="",$G37=""),"",IF(AND(N$5&lt;=$G37,N$5+6&gt;=$F37),IF($H37="Complétée","F",IF(OR($H37="En cours",$H37="En revue"),"E",IF($H37="Bloquée","B","P"))),""))</f>
        <v/>
      </c>
      <c r="O37" s="53">
        <f>IF(OR($F37="",$G37=""),"",IF(AND(O$5&lt;=$G37,O$5+6&gt;=$F37),IF($H37="Complétée","F",IF(OR($H37="En cours",$H37="En revue"),"E",IF($H37="Bloquée","B","P"))),""))</f>
        <v/>
      </c>
      <c r="P37" s="53">
        <f>IF(OR($F37="",$G37=""),"",IF(AND(P$5&lt;=$G37,P$5+6&gt;=$F37),IF($H37="Complétée","F",IF(OR($H37="En cours",$H37="En revue"),"E",IF($H37="Bloquée","B","P"))),""))</f>
        <v/>
      </c>
      <c r="Q37" s="53">
        <f>IF(OR($F37="",$G37=""),"",IF(AND(Q$5&lt;=$G37,Q$5+6&gt;=$F37),IF($H37="Complétée","F",IF(OR($H37="En cours",$H37="En revue"),"E",IF($H37="Bloquée","B","P"))),""))</f>
        <v/>
      </c>
      <c r="R37" s="53">
        <f>IF(OR($F37="",$G37=""),"",IF(AND(R$5&lt;=$G37,R$5+6&gt;=$F37),IF($H37="Complétée","F",IF(OR($H37="En cours",$H37="En revue"),"E",IF($H37="Bloquée","B","P"))),""))</f>
        <v/>
      </c>
      <c r="S37" s="53">
        <f>IF(OR($F37="",$G37=""),"",IF(AND(S$5&lt;=$G37,S$5+6&gt;=$F37),IF($H37="Complétée","F",IF(OR($H37="En cours",$H37="En revue"),"E",IF($H37="Bloquée","B","P"))),""))</f>
        <v/>
      </c>
      <c r="T37" s="53">
        <f>IF(OR($F37="",$G37=""),"",IF(AND(T$5&lt;=$G37,T$5+6&gt;=$F37),IF($H37="Complétée","F",IF(OR($H37="En cours",$H37="En revue"),"E",IF($H37="Bloquée","B","P"))),""))</f>
        <v/>
      </c>
      <c r="U37" s="53">
        <f>IF(OR($F37="",$G37=""),"",IF(AND(U$5&lt;=$G37,U$5+6&gt;=$F37),IF($H37="Complétée","F",IF(OR($H37="En cours",$H37="En revue"),"E",IF($H37="Bloquée","B","P"))),""))</f>
        <v/>
      </c>
      <c r="V37" s="53">
        <f>IF(OR($F37="",$G37=""),"",IF(AND(V$5&lt;=$G37,V$5+6&gt;=$F37),IF($H37="Complétée","F",IF(OR($H37="En cours",$H37="En revue"),"E",IF($H37="Bloquée","B","P"))),""))</f>
        <v/>
      </c>
      <c r="W37" s="53">
        <f>IF(OR($F37="",$G37=""),"",IF(AND(W$5&lt;=$G37,W$5+6&gt;=$F37),IF($H37="Complétée","F",IF(OR($H37="En cours",$H37="En revue"),"E",IF($H37="Bloquée","B","P"))),""))</f>
        <v/>
      </c>
      <c r="X37" s="53">
        <f>IF(OR($F37="",$G37=""),"",IF(AND(X$5&lt;=$G37,X$5+6&gt;=$F37),IF($H37="Complétée","F",IF(OR($H37="En cours",$H37="En revue"),"E",IF($H37="Bloquée","B","P"))),""))</f>
        <v/>
      </c>
      <c r="Y37" s="53">
        <f>IF(OR($F37="",$G37=""),"",IF(AND(Y$5&lt;=$G37,Y$5+6&gt;=$F37),IF($H37="Complétée","F",IF(OR($H37="En cours",$H37="En revue"),"E",IF($H37="Bloquée","B","P"))),""))</f>
        <v/>
      </c>
      <c r="Z37" s="53">
        <f>IF(OR($F37="",$G37=""),"",IF(AND(Z$5&lt;=$G37,Z$5+6&gt;=$F37),IF($H37="Complétée","F",IF(OR($H37="En cours",$H37="En revue"),"E",IF($H37="Bloquée","B","P"))),""))</f>
        <v/>
      </c>
      <c r="AA37" s="53">
        <f>IF(OR($F37="",$G37=""),"",IF(AND(AA$5&lt;=$G37,AA$5+6&gt;=$F37),IF($H37="Complétée","F",IF(OR($H37="En cours",$H37="En revue"),"E",IF($H37="Bloquée","B","P"))),""))</f>
        <v/>
      </c>
      <c r="AB37" s="53">
        <f>IF(OR($F37="",$G37=""),"",IF(AND(AB$5&lt;=$G37,AB$5+6&gt;=$F37),IF($H37="Complétée","F",IF(OR($H37="En cours",$H37="En revue"),"E",IF($H37="Bloquée","B","P"))),""))</f>
        <v/>
      </c>
      <c r="AC37" s="53">
        <f>IF(OR($F37="",$G37=""),"",IF(AND(AC$5&lt;=$G37,AC$5+6&gt;=$F37),IF($H37="Complétée","F",IF(OR($H37="En cours",$H37="En revue"),"E",IF($H37="Bloquée","B","P"))),""))</f>
        <v/>
      </c>
      <c r="AD37" s="53">
        <f>IF(OR($F37="",$G37=""),"",IF(AND(AD$5&lt;=$G37,AD$5+6&gt;=$F37),IF($H37="Complétée","F",IF(OR($H37="En cours",$H37="En revue"),"E",IF($H37="Bloquée","B","P"))),""))</f>
        <v/>
      </c>
      <c r="AE37" s="53">
        <f>IF(OR($F37="",$G37=""),"",IF(AND(AE$5&lt;=$G37,AE$5+6&gt;=$F37),IF($H37="Complétée","F",IF(OR($H37="En cours",$H37="En revue"),"E",IF($H37="Bloquée","B","P"))),""))</f>
        <v/>
      </c>
      <c r="AF37" s="53">
        <f>IF(OR($F37="",$G37=""),"",IF(AND(AF$5&lt;=$G37,AF$5+6&gt;=$F37),IF($H37="Complétée","F",IF(OR($H37="En cours",$H37="En revue"),"E",IF($H37="Bloquée","B","P"))),""))</f>
        <v/>
      </c>
      <c r="AG37" s="53">
        <f>IF(OR($F37="",$G37=""),"",IF(AND(AG$5&lt;=$G37,AG$5+6&gt;=$F37),IF($H37="Complétée","F",IF(OR($H37="En cours",$H37="En revue"),"E",IF($H37="Bloquée","B","P"))),""))</f>
        <v/>
      </c>
      <c r="AH37" s="53">
        <f>IF(OR($F37="",$G37=""),"",IF(AND(AH$5&lt;=$G37,AH$5+6&gt;=$F37),IF($H37="Complétée","F",IF(OR($H37="En cours",$H37="En revue"),"E",IF($H37="Bloquée","B","P"))),""))</f>
        <v/>
      </c>
      <c r="AI37" s="53">
        <f>IF(OR($F37="",$G37=""),"",IF(AND(AI$5&lt;=$G37,AI$5+6&gt;=$F37),IF($H37="Complétée","F",IF(OR($H37="En cours",$H37="En revue"),"E",IF($H37="Bloquée","B","P"))),""))</f>
        <v/>
      </c>
      <c r="AJ37" s="53">
        <f>IF(OR($F37="",$G37=""),"",IF(AND(AJ$5&lt;=$G37,AJ$5+6&gt;=$F37),IF($H37="Complétée","F",IF(OR($H37="En cours",$H37="En revue"),"E",IF($H37="Bloquée","B","P"))),""))</f>
        <v/>
      </c>
      <c r="AK37" s="53">
        <f>IF(OR($F37="",$G37=""),"",IF(AND(AK$5&lt;=$G37,AK$5+6&gt;=$F37),IF($H37="Complétée","F",IF(OR($H37="En cours",$H37="En revue"),"E",IF($H37="Bloquée","B","P"))),""))</f>
        <v/>
      </c>
      <c r="AL37" s="53">
        <f>IF(OR($F37="",$G37=""),"",IF(AND(AL$5&lt;=$G37,AL$5+6&gt;=$F37),IF($H37="Complétée","F",IF(OR($H37="En cours",$H37="En revue"),"E",IF($H37="Bloquée","B","P"))),""))</f>
        <v/>
      </c>
      <c r="AM37" s="53">
        <f>IF(OR($F37="",$G37=""),"",IF(AND(AM$5&lt;=$G37,AM$5+6&gt;=$F37),IF($H37="Complétée","F",IF(OR($H37="En cours",$H37="En revue"),"E",IF($H37="Bloquée","B","P"))),""))</f>
        <v/>
      </c>
      <c r="AN37" s="53">
        <f>IF(OR($F37="",$G37=""),"",IF(AND(AN$5&lt;=$G37,AN$5+6&gt;=$F37),IF($H37="Complétée","F",IF(OR($H37="En cours",$H37="En revue"),"E",IF($H37="Bloquée","B","P"))),""))</f>
        <v/>
      </c>
      <c r="AO37" s="53">
        <f>IF(OR($F37="",$G37=""),"",IF(AND(AO$5&lt;=$G37,AO$5+6&gt;=$F37),IF($H37="Complétée","F",IF(OR($H37="En cours",$H37="En revue"),"E",IF($H37="Bloquée","B","P"))),""))</f>
        <v/>
      </c>
      <c r="AP37" s="53">
        <f>IF(OR($F37="",$G37=""),"",IF(AND(AP$5&lt;=$G37,AP$5+6&gt;=$F37),IF($H37="Complétée","F",IF(OR($H37="En cours",$H37="En revue"),"E",IF($H37="Bloquée","B","P"))),""))</f>
        <v/>
      </c>
      <c r="AQ37" s="53">
        <f>IF(OR($F37="",$G37=""),"",IF(AND(AQ$5&lt;=$G37,AQ$5+6&gt;=$F37),IF($H37="Complétée","F",IF(OR($H37="En cours",$H37="En revue"),"E",IF($H37="Bloquée","B","P"))),""))</f>
        <v/>
      </c>
      <c r="AR37" s="53">
        <f>IF(OR($F37="",$G37=""),"",IF(AND(AR$5&lt;=$G37,AR$5+6&gt;=$F37),IF($H37="Complétée","F",IF(OR($H37="En cours",$H37="En revue"),"E",IF($H37="Bloquée","B","P"))),""))</f>
        <v/>
      </c>
      <c r="AS37" s="53">
        <f>IF(OR($F37="",$G37=""),"",IF(AND(AS$5&lt;=$G37,AS$5+6&gt;=$F37),IF($H37="Complétée","F",IF(OR($H37="En cours",$H37="En revue"),"E",IF($H37="Bloquée","B","P"))),""))</f>
        <v/>
      </c>
      <c r="AT37" s="53">
        <f>IF(OR($F37="",$G37=""),"",IF(AND(AT$5&lt;=$G37,AT$5+6&gt;=$F37),IF($H37="Complétée","F",IF(OR($H37="En cours",$H37="En revue"),"E",IF($H37="Bloquée","B","P"))),""))</f>
        <v/>
      </c>
      <c r="AU37" s="53">
        <f>IF(OR($F37="",$G37=""),"",IF(AND(AU$5&lt;=$G37,AU$5+6&gt;=$F37),IF($H37="Complétée","F",IF(OR($H37="En cours",$H37="En revue"),"E",IF($H37="Bloquée","B","P"))),""))</f>
        <v/>
      </c>
      <c r="AV37" s="53">
        <f>IF(OR($F37="",$G37=""),"",IF(AND(AV$5&lt;=$G37,AV$5+6&gt;=$F37),IF($H37="Complétée","F",IF(OR($H37="En cours",$H37="En revue"),"E",IF($H37="Bloquée","B","P"))),""))</f>
        <v/>
      </c>
      <c r="AW37" s="53">
        <f>IF(OR($F37="",$G37=""),"",IF(AND(AW$5&lt;=$G37,AW$5+6&gt;=$F37),IF($H37="Complétée","F",IF(OR($H37="En cours",$H37="En revue"),"E",IF($H37="Bloquée","B","P"))),""))</f>
        <v/>
      </c>
    </row>
    <row r="38">
      <c r="B38" s="50">
        <f>IF(Taches!B38="","",Taches!B38)</f>
        <v/>
      </c>
      <c r="C38" s="51">
        <f>IF(Taches!B38="","",Taches!F38)</f>
        <v/>
      </c>
      <c r="D38" s="50">
        <f>IF(Taches!B38="","",Taches!C38)</f>
        <v/>
      </c>
      <c r="E38" s="50">
        <f>IF(Taches!B38="","",Taches!D38)</f>
        <v/>
      </c>
      <c r="F38" s="52">
        <f>IF(Taches!P38="","",Taches!P38)</f>
        <v/>
      </c>
      <c r="G38" s="52">
        <f>IF(Taches!Q38="","",Taches!Q38)</f>
        <v/>
      </c>
      <c r="H38" s="50">
        <f>IF(Taches!B38="","",Taches!J38)</f>
        <v/>
      </c>
      <c r="I38" s="53">
        <f>IF(OR($F38="",$G38=""),"",IF(AND(I$5&lt;=$G38,I$5+6&gt;=$F38),IF($H38="Complétée","F",IF(OR($H38="En cours",$H38="En revue"),"E",IF($H38="Bloquée","B","P"))),""))</f>
        <v/>
      </c>
      <c r="J38" s="53">
        <f>IF(OR($F38="",$G38=""),"",IF(AND(J$5&lt;=$G38,J$5+6&gt;=$F38),IF($H38="Complétée","F",IF(OR($H38="En cours",$H38="En revue"),"E",IF($H38="Bloquée","B","P"))),""))</f>
        <v/>
      </c>
      <c r="K38" s="53">
        <f>IF(OR($F38="",$G38=""),"",IF(AND(K$5&lt;=$G38,K$5+6&gt;=$F38),IF($H38="Complétée","F",IF(OR($H38="En cours",$H38="En revue"),"E",IF($H38="Bloquée","B","P"))),""))</f>
        <v/>
      </c>
      <c r="L38" s="53">
        <f>IF(OR($F38="",$G38=""),"",IF(AND(L$5&lt;=$G38,L$5+6&gt;=$F38),IF($H38="Complétée","F",IF(OR($H38="En cours",$H38="En revue"),"E",IF($H38="Bloquée","B","P"))),""))</f>
        <v/>
      </c>
      <c r="M38" s="53">
        <f>IF(OR($F38="",$G38=""),"",IF(AND(M$5&lt;=$G38,M$5+6&gt;=$F38),IF($H38="Complétée","F",IF(OR($H38="En cours",$H38="En revue"),"E",IF($H38="Bloquée","B","P"))),""))</f>
        <v/>
      </c>
      <c r="N38" s="53">
        <f>IF(OR($F38="",$G38=""),"",IF(AND(N$5&lt;=$G38,N$5+6&gt;=$F38),IF($H38="Complétée","F",IF(OR($H38="En cours",$H38="En revue"),"E",IF($H38="Bloquée","B","P"))),""))</f>
        <v/>
      </c>
      <c r="O38" s="53">
        <f>IF(OR($F38="",$G38=""),"",IF(AND(O$5&lt;=$G38,O$5+6&gt;=$F38),IF($H38="Complétée","F",IF(OR($H38="En cours",$H38="En revue"),"E",IF($H38="Bloquée","B","P"))),""))</f>
        <v/>
      </c>
      <c r="P38" s="53">
        <f>IF(OR($F38="",$G38=""),"",IF(AND(P$5&lt;=$G38,P$5+6&gt;=$F38),IF($H38="Complétée","F",IF(OR($H38="En cours",$H38="En revue"),"E",IF($H38="Bloquée","B","P"))),""))</f>
        <v/>
      </c>
      <c r="Q38" s="53">
        <f>IF(OR($F38="",$G38=""),"",IF(AND(Q$5&lt;=$G38,Q$5+6&gt;=$F38),IF($H38="Complétée","F",IF(OR($H38="En cours",$H38="En revue"),"E",IF($H38="Bloquée","B","P"))),""))</f>
        <v/>
      </c>
      <c r="R38" s="53">
        <f>IF(OR($F38="",$G38=""),"",IF(AND(R$5&lt;=$G38,R$5+6&gt;=$F38),IF($H38="Complétée","F",IF(OR($H38="En cours",$H38="En revue"),"E",IF($H38="Bloquée","B","P"))),""))</f>
        <v/>
      </c>
      <c r="S38" s="53">
        <f>IF(OR($F38="",$G38=""),"",IF(AND(S$5&lt;=$G38,S$5+6&gt;=$F38),IF($H38="Complétée","F",IF(OR($H38="En cours",$H38="En revue"),"E",IF($H38="Bloquée","B","P"))),""))</f>
        <v/>
      </c>
      <c r="T38" s="53">
        <f>IF(OR($F38="",$G38=""),"",IF(AND(T$5&lt;=$G38,T$5+6&gt;=$F38),IF($H38="Complétée","F",IF(OR($H38="En cours",$H38="En revue"),"E",IF($H38="Bloquée","B","P"))),""))</f>
        <v/>
      </c>
      <c r="U38" s="53">
        <f>IF(OR($F38="",$G38=""),"",IF(AND(U$5&lt;=$G38,U$5+6&gt;=$F38),IF($H38="Complétée","F",IF(OR($H38="En cours",$H38="En revue"),"E",IF($H38="Bloquée","B","P"))),""))</f>
        <v/>
      </c>
      <c r="V38" s="53">
        <f>IF(OR($F38="",$G38=""),"",IF(AND(V$5&lt;=$G38,V$5+6&gt;=$F38),IF($H38="Complétée","F",IF(OR($H38="En cours",$H38="En revue"),"E",IF($H38="Bloquée","B","P"))),""))</f>
        <v/>
      </c>
      <c r="W38" s="53">
        <f>IF(OR($F38="",$G38=""),"",IF(AND(W$5&lt;=$G38,W$5+6&gt;=$F38),IF($H38="Complétée","F",IF(OR($H38="En cours",$H38="En revue"),"E",IF($H38="Bloquée","B","P"))),""))</f>
        <v/>
      </c>
      <c r="X38" s="53">
        <f>IF(OR($F38="",$G38=""),"",IF(AND(X$5&lt;=$G38,X$5+6&gt;=$F38),IF($H38="Complétée","F",IF(OR($H38="En cours",$H38="En revue"),"E",IF($H38="Bloquée","B","P"))),""))</f>
        <v/>
      </c>
      <c r="Y38" s="53">
        <f>IF(OR($F38="",$G38=""),"",IF(AND(Y$5&lt;=$G38,Y$5+6&gt;=$F38),IF($H38="Complétée","F",IF(OR($H38="En cours",$H38="En revue"),"E",IF($H38="Bloquée","B","P"))),""))</f>
        <v/>
      </c>
      <c r="Z38" s="53">
        <f>IF(OR($F38="",$G38=""),"",IF(AND(Z$5&lt;=$G38,Z$5+6&gt;=$F38),IF($H38="Complétée","F",IF(OR($H38="En cours",$H38="En revue"),"E",IF($H38="Bloquée","B","P"))),""))</f>
        <v/>
      </c>
      <c r="AA38" s="53">
        <f>IF(OR($F38="",$G38=""),"",IF(AND(AA$5&lt;=$G38,AA$5+6&gt;=$F38),IF($H38="Complétée","F",IF(OR($H38="En cours",$H38="En revue"),"E",IF($H38="Bloquée","B","P"))),""))</f>
        <v/>
      </c>
      <c r="AB38" s="53">
        <f>IF(OR($F38="",$G38=""),"",IF(AND(AB$5&lt;=$G38,AB$5+6&gt;=$F38),IF($H38="Complétée","F",IF(OR($H38="En cours",$H38="En revue"),"E",IF($H38="Bloquée","B","P"))),""))</f>
        <v/>
      </c>
      <c r="AC38" s="53">
        <f>IF(OR($F38="",$G38=""),"",IF(AND(AC$5&lt;=$G38,AC$5+6&gt;=$F38),IF($H38="Complétée","F",IF(OR($H38="En cours",$H38="En revue"),"E",IF($H38="Bloquée","B","P"))),""))</f>
        <v/>
      </c>
      <c r="AD38" s="53">
        <f>IF(OR($F38="",$G38=""),"",IF(AND(AD$5&lt;=$G38,AD$5+6&gt;=$F38),IF($H38="Complétée","F",IF(OR($H38="En cours",$H38="En revue"),"E",IF($H38="Bloquée","B","P"))),""))</f>
        <v/>
      </c>
      <c r="AE38" s="53">
        <f>IF(OR($F38="",$G38=""),"",IF(AND(AE$5&lt;=$G38,AE$5+6&gt;=$F38),IF($H38="Complétée","F",IF(OR($H38="En cours",$H38="En revue"),"E",IF($H38="Bloquée","B","P"))),""))</f>
        <v/>
      </c>
      <c r="AF38" s="53">
        <f>IF(OR($F38="",$G38=""),"",IF(AND(AF$5&lt;=$G38,AF$5+6&gt;=$F38),IF($H38="Complétée","F",IF(OR($H38="En cours",$H38="En revue"),"E",IF($H38="Bloquée","B","P"))),""))</f>
        <v/>
      </c>
      <c r="AG38" s="53">
        <f>IF(OR($F38="",$G38=""),"",IF(AND(AG$5&lt;=$G38,AG$5+6&gt;=$F38),IF($H38="Complétée","F",IF(OR($H38="En cours",$H38="En revue"),"E",IF($H38="Bloquée","B","P"))),""))</f>
        <v/>
      </c>
      <c r="AH38" s="53">
        <f>IF(OR($F38="",$G38=""),"",IF(AND(AH$5&lt;=$G38,AH$5+6&gt;=$F38),IF($H38="Complétée","F",IF(OR($H38="En cours",$H38="En revue"),"E",IF($H38="Bloquée","B","P"))),""))</f>
        <v/>
      </c>
      <c r="AI38" s="53">
        <f>IF(OR($F38="",$G38=""),"",IF(AND(AI$5&lt;=$G38,AI$5+6&gt;=$F38),IF($H38="Complétée","F",IF(OR($H38="En cours",$H38="En revue"),"E",IF($H38="Bloquée","B","P"))),""))</f>
        <v/>
      </c>
      <c r="AJ38" s="53">
        <f>IF(OR($F38="",$G38=""),"",IF(AND(AJ$5&lt;=$G38,AJ$5+6&gt;=$F38),IF($H38="Complétée","F",IF(OR($H38="En cours",$H38="En revue"),"E",IF($H38="Bloquée","B","P"))),""))</f>
        <v/>
      </c>
      <c r="AK38" s="53">
        <f>IF(OR($F38="",$G38=""),"",IF(AND(AK$5&lt;=$G38,AK$5+6&gt;=$F38),IF($H38="Complétée","F",IF(OR($H38="En cours",$H38="En revue"),"E",IF($H38="Bloquée","B","P"))),""))</f>
        <v/>
      </c>
      <c r="AL38" s="53">
        <f>IF(OR($F38="",$G38=""),"",IF(AND(AL$5&lt;=$G38,AL$5+6&gt;=$F38),IF($H38="Complétée","F",IF(OR($H38="En cours",$H38="En revue"),"E",IF($H38="Bloquée","B","P"))),""))</f>
        <v/>
      </c>
      <c r="AM38" s="53">
        <f>IF(OR($F38="",$G38=""),"",IF(AND(AM$5&lt;=$G38,AM$5+6&gt;=$F38),IF($H38="Complétée","F",IF(OR($H38="En cours",$H38="En revue"),"E",IF($H38="Bloquée","B","P"))),""))</f>
        <v/>
      </c>
      <c r="AN38" s="53">
        <f>IF(OR($F38="",$G38=""),"",IF(AND(AN$5&lt;=$G38,AN$5+6&gt;=$F38),IF($H38="Complétée","F",IF(OR($H38="En cours",$H38="En revue"),"E",IF($H38="Bloquée","B","P"))),""))</f>
        <v/>
      </c>
      <c r="AO38" s="53">
        <f>IF(OR($F38="",$G38=""),"",IF(AND(AO$5&lt;=$G38,AO$5+6&gt;=$F38),IF($H38="Complétée","F",IF(OR($H38="En cours",$H38="En revue"),"E",IF($H38="Bloquée","B","P"))),""))</f>
        <v/>
      </c>
      <c r="AP38" s="53">
        <f>IF(OR($F38="",$G38=""),"",IF(AND(AP$5&lt;=$G38,AP$5+6&gt;=$F38),IF($H38="Complétée","F",IF(OR($H38="En cours",$H38="En revue"),"E",IF($H38="Bloquée","B","P"))),""))</f>
        <v/>
      </c>
      <c r="AQ38" s="53">
        <f>IF(OR($F38="",$G38=""),"",IF(AND(AQ$5&lt;=$G38,AQ$5+6&gt;=$F38),IF($H38="Complétée","F",IF(OR($H38="En cours",$H38="En revue"),"E",IF($H38="Bloquée","B","P"))),""))</f>
        <v/>
      </c>
      <c r="AR38" s="53">
        <f>IF(OR($F38="",$G38=""),"",IF(AND(AR$5&lt;=$G38,AR$5+6&gt;=$F38),IF($H38="Complétée","F",IF(OR($H38="En cours",$H38="En revue"),"E",IF($H38="Bloquée","B","P"))),""))</f>
        <v/>
      </c>
      <c r="AS38" s="53">
        <f>IF(OR($F38="",$G38=""),"",IF(AND(AS$5&lt;=$G38,AS$5+6&gt;=$F38),IF($H38="Complétée","F",IF(OR($H38="En cours",$H38="En revue"),"E",IF($H38="Bloquée","B","P"))),""))</f>
        <v/>
      </c>
      <c r="AT38" s="53">
        <f>IF(OR($F38="",$G38=""),"",IF(AND(AT$5&lt;=$G38,AT$5+6&gt;=$F38),IF($H38="Complétée","F",IF(OR($H38="En cours",$H38="En revue"),"E",IF($H38="Bloquée","B","P"))),""))</f>
        <v/>
      </c>
      <c r="AU38" s="53">
        <f>IF(OR($F38="",$G38=""),"",IF(AND(AU$5&lt;=$G38,AU$5+6&gt;=$F38),IF($H38="Complétée","F",IF(OR($H38="En cours",$H38="En revue"),"E",IF($H38="Bloquée","B","P"))),""))</f>
        <v/>
      </c>
      <c r="AV38" s="53">
        <f>IF(OR($F38="",$G38=""),"",IF(AND(AV$5&lt;=$G38,AV$5+6&gt;=$F38),IF($H38="Complétée","F",IF(OR($H38="En cours",$H38="En revue"),"E",IF($H38="Bloquée","B","P"))),""))</f>
        <v/>
      </c>
      <c r="AW38" s="53">
        <f>IF(OR($F38="",$G38=""),"",IF(AND(AW$5&lt;=$G38,AW$5+6&gt;=$F38),IF($H38="Complétée","F",IF(OR($H38="En cours",$H38="En revue"),"E",IF($H38="Bloquée","B","P"))),""))</f>
        <v/>
      </c>
    </row>
    <row r="39">
      <c r="B39" s="50">
        <f>IF(Taches!B39="","",Taches!B39)</f>
        <v/>
      </c>
      <c r="C39" s="51">
        <f>IF(Taches!B39="","",Taches!F39)</f>
        <v/>
      </c>
      <c r="D39" s="50">
        <f>IF(Taches!B39="","",Taches!C39)</f>
        <v/>
      </c>
      <c r="E39" s="50">
        <f>IF(Taches!B39="","",Taches!D39)</f>
        <v/>
      </c>
      <c r="F39" s="52">
        <f>IF(Taches!P39="","",Taches!P39)</f>
        <v/>
      </c>
      <c r="G39" s="52">
        <f>IF(Taches!Q39="","",Taches!Q39)</f>
        <v/>
      </c>
      <c r="H39" s="50">
        <f>IF(Taches!B39="","",Taches!J39)</f>
        <v/>
      </c>
      <c r="I39" s="53">
        <f>IF(OR($F39="",$G39=""),"",IF(AND(I$5&lt;=$G39,I$5+6&gt;=$F39),IF($H39="Complétée","F",IF(OR($H39="En cours",$H39="En revue"),"E",IF($H39="Bloquée","B","P"))),""))</f>
        <v/>
      </c>
      <c r="J39" s="53">
        <f>IF(OR($F39="",$G39=""),"",IF(AND(J$5&lt;=$G39,J$5+6&gt;=$F39),IF($H39="Complétée","F",IF(OR($H39="En cours",$H39="En revue"),"E",IF($H39="Bloquée","B","P"))),""))</f>
        <v/>
      </c>
      <c r="K39" s="53">
        <f>IF(OR($F39="",$G39=""),"",IF(AND(K$5&lt;=$G39,K$5+6&gt;=$F39),IF($H39="Complétée","F",IF(OR($H39="En cours",$H39="En revue"),"E",IF($H39="Bloquée","B","P"))),""))</f>
        <v/>
      </c>
      <c r="L39" s="53">
        <f>IF(OR($F39="",$G39=""),"",IF(AND(L$5&lt;=$G39,L$5+6&gt;=$F39),IF($H39="Complétée","F",IF(OR($H39="En cours",$H39="En revue"),"E",IF($H39="Bloquée","B","P"))),""))</f>
        <v/>
      </c>
      <c r="M39" s="53">
        <f>IF(OR($F39="",$G39=""),"",IF(AND(M$5&lt;=$G39,M$5+6&gt;=$F39),IF($H39="Complétée","F",IF(OR($H39="En cours",$H39="En revue"),"E",IF($H39="Bloquée","B","P"))),""))</f>
        <v/>
      </c>
      <c r="N39" s="53">
        <f>IF(OR($F39="",$G39=""),"",IF(AND(N$5&lt;=$G39,N$5+6&gt;=$F39),IF($H39="Complétée","F",IF(OR($H39="En cours",$H39="En revue"),"E",IF($H39="Bloquée","B","P"))),""))</f>
        <v/>
      </c>
      <c r="O39" s="53">
        <f>IF(OR($F39="",$G39=""),"",IF(AND(O$5&lt;=$G39,O$5+6&gt;=$F39),IF($H39="Complétée","F",IF(OR($H39="En cours",$H39="En revue"),"E",IF($H39="Bloquée","B","P"))),""))</f>
        <v/>
      </c>
      <c r="P39" s="53">
        <f>IF(OR($F39="",$G39=""),"",IF(AND(P$5&lt;=$G39,P$5+6&gt;=$F39),IF($H39="Complétée","F",IF(OR($H39="En cours",$H39="En revue"),"E",IF($H39="Bloquée","B","P"))),""))</f>
        <v/>
      </c>
      <c r="Q39" s="53">
        <f>IF(OR($F39="",$G39=""),"",IF(AND(Q$5&lt;=$G39,Q$5+6&gt;=$F39),IF($H39="Complétée","F",IF(OR($H39="En cours",$H39="En revue"),"E",IF($H39="Bloquée","B","P"))),""))</f>
        <v/>
      </c>
      <c r="R39" s="53">
        <f>IF(OR($F39="",$G39=""),"",IF(AND(R$5&lt;=$G39,R$5+6&gt;=$F39),IF($H39="Complétée","F",IF(OR($H39="En cours",$H39="En revue"),"E",IF($H39="Bloquée","B","P"))),""))</f>
        <v/>
      </c>
      <c r="S39" s="53">
        <f>IF(OR($F39="",$G39=""),"",IF(AND(S$5&lt;=$G39,S$5+6&gt;=$F39),IF($H39="Complétée","F",IF(OR($H39="En cours",$H39="En revue"),"E",IF($H39="Bloquée","B","P"))),""))</f>
        <v/>
      </c>
      <c r="T39" s="53">
        <f>IF(OR($F39="",$G39=""),"",IF(AND(T$5&lt;=$G39,T$5+6&gt;=$F39),IF($H39="Complétée","F",IF(OR($H39="En cours",$H39="En revue"),"E",IF($H39="Bloquée","B","P"))),""))</f>
        <v/>
      </c>
      <c r="U39" s="53">
        <f>IF(OR($F39="",$G39=""),"",IF(AND(U$5&lt;=$G39,U$5+6&gt;=$F39),IF($H39="Complétée","F",IF(OR($H39="En cours",$H39="En revue"),"E",IF($H39="Bloquée","B","P"))),""))</f>
        <v/>
      </c>
      <c r="V39" s="53">
        <f>IF(OR($F39="",$G39=""),"",IF(AND(V$5&lt;=$G39,V$5+6&gt;=$F39),IF($H39="Complétée","F",IF(OR($H39="En cours",$H39="En revue"),"E",IF($H39="Bloquée","B","P"))),""))</f>
        <v/>
      </c>
      <c r="W39" s="53">
        <f>IF(OR($F39="",$G39=""),"",IF(AND(W$5&lt;=$G39,W$5+6&gt;=$F39),IF($H39="Complétée","F",IF(OR($H39="En cours",$H39="En revue"),"E",IF($H39="Bloquée","B","P"))),""))</f>
        <v/>
      </c>
      <c r="X39" s="53">
        <f>IF(OR($F39="",$G39=""),"",IF(AND(X$5&lt;=$G39,X$5+6&gt;=$F39),IF($H39="Complétée","F",IF(OR($H39="En cours",$H39="En revue"),"E",IF($H39="Bloquée","B","P"))),""))</f>
        <v/>
      </c>
      <c r="Y39" s="53">
        <f>IF(OR($F39="",$G39=""),"",IF(AND(Y$5&lt;=$G39,Y$5+6&gt;=$F39),IF($H39="Complétée","F",IF(OR($H39="En cours",$H39="En revue"),"E",IF($H39="Bloquée","B","P"))),""))</f>
        <v/>
      </c>
      <c r="Z39" s="53">
        <f>IF(OR($F39="",$G39=""),"",IF(AND(Z$5&lt;=$G39,Z$5+6&gt;=$F39),IF($H39="Complétée","F",IF(OR($H39="En cours",$H39="En revue"),"E",IF($H39="Bloquée","B","P"))),""))</f>
        <v/>
      </c>
      <c r="AA39" s="53">
        <f>IF(OR($F39="",$G39=""),"",IF(AND(AA$5&lt;=$G39,AA$5+6&gt;=$F39),IF($H39="Complétée","F",IF(OR($H39="En cours",$H39="En revue"),"E",IF($H39="Bloquée","B","P"))),""))</f>
        <v/>
      </c>
      <c r="AB39" s="53">
        <f>IF(OR($F39="",$G39=""),"",IF(AND(AB$5&lt;=$G39,AB$5+6&gt;=$F39),IF($H39="Complétée","F",IF(OR($H39="En cours",$H39="En revue"),"E",IF($H39="Bloquée","B","P"))),""))</f>
        <v/>
      </c>
      <c r="AC39" s="53">
        <f>IF(OR($F39="",$G39=""),"",IF(AND(AC$5&lt;=$G39,AC$5+6&gt;=$F39),IF($H39="Complétée","F",IF(OR($H39="En cours",$H39="En revue"),"E",IF($H39="Bloquée","B","P"))),""))</f>
        <v/>
      </c>
      <c r="AD39" s="53">
        <f>IF(OR($F39="",$G39=""),"",IF(AND(AD$5&lt;=$G39,AD$5+6&gt;=$F39),IF($H39="Complétée","F",IF(OR($H39="En cours",$H39="En revue"),"E",IF($H39="Bloquée","B","P"))),""))</f>
        <v/>
      </c>
      <c r="AE39" s="53">
        <f>IF(OR($F39="",$G39=""),"",IF(AND(AE$5&lt;=$G39,AE$5+6&gt;=$F39),IF($H39="Complétée","F",IF(OR($H39="En cours",$H39="En revue"),"E",IF($H39="Bloquée","B","P"))),""))</f>
        <v/>
      </c>
      <c r="AF39" s="53">
        <f>IF(OR($F39="",$G39=""),"",IF(AND(AF$5&lt;=$G39,AF$5+6&gt;=$F39),IF($H39="Complétée","F",IF(OR($H39="En cours",$H39="En revue"),"E",IF($H39="Bloquée","B","P"))),""))</f>
        <v/>
      </c>
      <c r="AG39" s="53">
        <f>IF(OR($F39="",$G39=""),"",IF(AND(AG$5&lt;=$G39,AG$5+6&gt;=$F39),IF($H39="Complétée","F",IF(OR($H39="En cours",$H39="En revue"),"E",IF($H39="Bloquée","B","P"))),""))</f>
        <v/>
      </c>
      <c r="AH39" s="53">
        <f>IF(OR($F39="",$G39=""),"",IF(AND(AH$5&lt;=$G39,AH$5+6&gt;=$F39),IF($H39="Complétée","F",IF(OR($H39="En cours",$H39="En revue"),"E",IF($H39="Bloquée","B","P"))),""))</f>
        <v/>
      </c>
      <c r="AI39" s="53">
        <f>IF(OR($F39="",$G39=""),"",IF(AND(AI$5&lt;=$G39,AI$5+6&gt;=$F39),IF($H39="Complétée","F",IF(OR($H39="En cours",$H39="En revue"),"E",IF($H39="Bloquée","B","P"))),""))</f>
        <v/>
      </c>
      <c r="AJ39" s="53">
        <f>IF(OR($F39="",$G39=""),"",IF(AND(AJ$5&lt;=$G39,AJ$5+6&gt;=$F39),IF($H39="Complétée","F",IF(OR($H39="En cours",$H39="En revue"),"E",IF($H39="Bloquée","B","P"))),""))</f>
        <v/>
      </c>
      <c r="AK39" s="53">
        <f>IF(OR($F39="",$G39=""),"",IF(AND(AK$5&lt;=$G39,AK$5+6&gt;=$F39),IF($H39="Complétée","F",IF(OR($H39="En cours",$H39="En revue"),"E",IF($H39="Bloquée","B","P"))),""))</f>
        <v/>
      </c>
      <c r="AL39" s="53">
        <f>IF(OR($F39="",$G39=""),"",IF(AND(AL$5&lt;=$G39,AL$5+6&gt;=$F39),IF($H39="Complétée","F",IF(OR($H39="En cours",$H39="En revue"),"E",IF($H39="Bloquée","B","P"))),""))</f>
        <v/>
      </c>
      <c r="AM39" s="53">
        <f>IF(OR($F39="",$G39=""),"",IF(AND(AM$5&lt;=$G39,AM$5+6&gt;=$F39),IF($H39="Complétée","F",IF(OR($H39="En cours",$H39="En revue"),"E",IF($H39="Bloquée","B","P"))),""))</f>
        <v/>
      </c>
      <c r="AN39" s="53">
        <f>IF(OR($F39="",$G39=""),"",IF(AND(AN$5&lt;=$G39,AN$5+6&gt;=$F39),IF($H39="Complétée","F",IF(OR($H39="En cours",$H39="En revue"),"E",IF($H39="Bloquée","B","P"))),""))</f>
        <v/>
      </c>
      <c r="AO39" s="53">
        <f>IF(OR($F39="",$G39=""),"",IF(AND(AO$5&lt;=$G39,AO$5+6&gt;=$F39),IF($H39="Complétée","F",IF(OR($H39="En cours",$H39="En revue"),"E",IF($H39="Bloquée","B","P"))),""))</f>
        <v/>
      </c>
      <c r="AP39" s="53">
        <f>IF(OR($F39="",$G39=""),"",IF(AND(AP$5&lt;=$G39,AP$5+6&gt;=$F39),IF($H39="Complétée","F",IF(OR($H39="En cours",$H39="En revue"),"E",IF($H39="Bloquée","B","P"))),""))</f>
        <v/>
      </c>
      <c r="AQ39" s="53">
        <f>IF(OR($F39="",$G39=""),"",IF(AND(AQ$5&lt;=$G39,AQ$5+6&gt;=$F39),IF($H39="Complétée","F",IF(OR($H39="En cours",$H39="En revue"),"E",IF($H39="Bloquée","B","P"))),""))</f>
        <v/>
      </c>
      <c r="AR39" s="53">
        <f>IF(OR($F39="",$G39=""),"",IF(AND(AR$5&lt;=$G39,AR$5+6&gt;=$F39),IF($H39="Complétée","F",IF(OR($H39="En cours",$H39="En revue"),"E",IF($H39="Bloquée","B","P"))),""))</f>
        <v/>
      </c>
      <c r="AS39" s="53">
        <f>IF(OR($F39="",$G39=""),"",IF(AND(AS$5&lt;=$G39,AS$5+6&gt;=$F39),IF($H39="Complétée","F",IF(OR($H39="En cours",$H39="En revue"),"E",IF($H39="Bloquée","B","P"))),""))</f>
        <v/>
      </c>
      <c r="AT39" s="53">
        <f>IF(OR($F39="",$G39=""),"",IF(AND(AT$5&lt;=$G39,AT$5+6&gt;=$F39),IF($H39="Complétée","F",IF(OR($H39="En cours",$H39="En revue"),"E",IF($H39="Bloquée","B","P"))),""))</f>
        <v/>
      </c>
      <c r="AU39" s="53">
        <f>IF(OR($F39="",$G39=""),"",IF(AND(AU$5&lt;=$G39,AU$5+6&gt;=$F39),IF($H39="Complétée","F",IF(OR($H39="En cours",$H39="En revue"),"E",IF($H39="Bloquée","B","P"))),""))</f>
        <v/>
      </c>
      <c r="AV39" s="53">
        <f>IF(OR($F39="",$G39=""),"",IF(AND(AV$5&lt;=$G39,AV$5+6&gt;=$F39),IF($H39="Complétée","F",IF(OR($H39="En cours",$H39="En revue"),"E",IF($H39="Bloquée","B","P"))),""))</f>
        <v/>
      </c>
      <c r="AW39" s="53">
        <f>IF(OR($F39="",$G39=""),"",IF(AND(AW$5&lt;=$G39,AW$5+6&gt;=$F39),IF($H39="Complétée","F",IF(OR($H39="En cours",$H39="En revue"),"E",IF($H39="Bloquée","B","P"))),""))</f>
        <v/>
      </c>
    </row>
    <row r="40">
      <c r="B40" s="50">
        <f>IF(Taches!B40="","",Taches!B40)</f>
        <v/>
      </c>
      <c r="C40" s="51">
        <f>IF(Taches!B40="","",Taches!F40)</f>
        <v/>
      </c>
      <c r="D40" s="50">
        <f>IF(Taches!B40="","",Taches!C40)</f>
        <v/>
      </c>
      <c r="E40" s="50">
        <f>IF(Taches!B40="","",Taches!D40)</f>
        <v/>
      </c>
      <c r="F40" s="52">
        <f>IF(Taches!P40="","",Taches!P40)</f>
        <v/>
      </c>
      <c r="G40" s="52">
        <f>IF(Taches!Q40="","",Taches!Q40)</f>
        <v/>
      </c>
      <c r="H40" s="50">
        <f>IF(Taches!B40="","",Taches!J40)</f>
        <v/>
      </c>
      <c r="I40" s="53">
        <f>IF(OR($F40="",$G40=""),"",IF(AND(I$5&lt;=$G40,I$5+6&gt;=$F40),IF($H40="Complétée","F",IF(OR($H40="En cours",$H40="En revue"),"E",IF($H40="Bloquée","B","P"))),""))</f>
        <v/>
      </c>
      <c r="J40" s="53">
        <f>IF(OR($F40="",$G40=""),"",IF(AND(J$5&lt;=$G40,J$5+6&gt;=$F40),IF($H40="Complétée","F",IF(OR($H40="En cours",$H40="En revue"),"E",IF($H40="Bloquée","B","P"))),""))</f>
        <v/>
      </c>
      <c r="K40" s="53">
        <f>IF(OR($F40="",$G40=""),"",IF(AND(K$5&lt;=$G40,K$5+6&gt;=$F40),IF($H40="Complétée","F",IF(OR($H40="En cours",$H40="En revue"),"E",IF($H40="Bloquée","B","P"))),""))</f>
        <v/>
      </c>
      <c r="L40" s="53">
        <f>IF(OR($F40="",$G40=""),"",IF(AND(L$5&lt;=$G40,L$5+6&gt;=$F40),IF($H40="Complétée","F",IF(OR($H40="En cours",$H40="En revue"),"E",IF($H40="Bloquée","B","P"))),""))</f>
        <v/>
      </c>
      <c r="M40" s="53">
        <f>IF(OR($F40="",$G40=""),"",IF(AND(M$5&lt;=$G40,M$5+6&gt;=$F40),IF($H40="Complétée","F",IF(OR($H40="En cours",$H40="En revue"),"E",IF($H40="Bloquée","B","P"))),""))</f>
        <v/>
      </c>
      <c r="N40" s="53">
        <f>IF(OR($F40="",$G40=""),"",IF(AND(N$5&lt;=$G40,N$5+6&gt;=$F40),IF($H40="Complétée","F",IF(OR($H40="En cours",$H40="En revue"),"E",IF($H40="Bloquée","B","P"))),""))</f>
        <v/>
      </c>
      <c r="O40" s="53">
        <f>IF(OR($F40="",$G40=""),"",IF(AND(O$5&lt;=$G40,O$5+6&gt;=$F40),IF($H40="Complétée","F",IF(OR($H40="En cours",$H40="En revue"),"E",IF($H40="Bloquée","B","P"))),""))</f>
        <v/>
      </c>
      <c r="P40" s="53">
        <f>IF(OR($F40="",$G40=""),"",IF(AND(P$5&lt;=$G40,P$5+6&gt;=$F40),IF($H40="Complétée","F",IF(OR($H40="En cours",$H40="En revue"),"E",IF($H40="Bloquée","B","P"))),""))</f>
        <v/>
      </c>
      <c r="Q40" s="53">
        <f>IF(OR($F40="",$G40=""),"",IF(AND(Q$5&lt;=$G40,Q$5+6&gt;=$F40),IF($H40="Complétée","F",IF(OR($H40="En cours",$H40="En revue"),"E",IF($H40="Bloquée","B","P"))),""))</f>
        <v/>
      </c>
      <c r="R40" s="53">
        <f>IF(OR($F40="",$G40=""),"",IF(AND(R$5&lt;=$G40,R$5+6&gt;=$F40),IF($H40="Complétée","F",IF(OR($H40="En cours",$H40="En revue"),"E",IF($H40="Bloquée","B","P"))),""))</f>
        <v/>
      </c>
      <c r="S40" s="53">
        <f>IF(OR($F40="",$G40=""),"",IF(AND(S$5&lt;=$G40,S$5+6&gt;=$F40),IF($H40="Complétée","F",IF(OR($H40="En cours",$H40="En revue"),"E",IF($H40="Bloquée","B","P"))),""))</f>
        <v/>
      </c>
      <c r="T40" s="53">
        <f>IF(OR($F40="",$G40=""),"",IF(AND(T$5&lt;=$G40,T$5+6&gt;=$F40),IF($H40="Complétée","F",IF(OR($H40="En cours",$H40="En revue"),"E",IF($H40="Bloquée","B","P"))),""))</f>
        <v/>
      </c>
      <c r="U40" s="53">
        <f>IF(OR($F40="",$G40=""),"",IF(AND(U$5&lt;=$G40,U$5+6&gt;=$F40),IF($H40="Complétée","F",IF(OR($H40="En cours",$H40="En revue"),"E",IF($H40="Bloquée","B","P"))),""))</f>
        <v/>
      </c>
      <c r="V40" s="53">
        <f>IF(OR($F40="",$G40=""),"",IF(AND(V$5&lt;=$G40,V$5+6&gt;=$F40),IF($H40="Complétée","F",IF(OR($H40="En cours",$H40="En revue"),"E",IF($H40="Bloquée","B","P"))),""))</f>
        <v/>
      </c>
      <c r="W40" s="53">
        <f>IF(OR($F40="",$G40=""),"",IF(AND(W$5&lt;=$G40,W$5+6&gt;=$F40),IF($H40="Complétée","F",IF(OR($H40="En cours",$H40="En revue"),"E",IF($H40="Bloquée","B","P"))),""))</f>
        <v/>
      </c>
      <c r="X40" s="53">
        <f>IF(OR($F40="",$G40=""),"",IF(AND(X$5&lt;=$G40,X$5+6&gt;=$F40),IF($H40="Complétée","F",IF(OR($H40="En cours",$H40="En revue"),"E",IF($H40="Bloquée","B","P"))),""))</f>
        <v/>
      </c>
      <c r="Y40" s="53">
        <f>IF(OR($F40="",$G40=""),"",IF(AND(Y$5&lt;=$G40,Y$5+6&gt;=$F40),IF($H40="Complétée","F",IF(OR($H40="En cours",$H40="En revue"),"E",IF($H40="Bloquée","B","P"))),""))</f>
        <v/>
      </c>
      <c r="Z40" s="53">
        <f>IF(OR($F40="",$G40=""),"",IF(AND(Z$5&lt;=$G40,Z$5+6&gt;=$F40),IF($H40="Complétée","F",IF(OR($H40="En cours",$H40="En revue"),"E",IF($H40="Bloquée","B","P"))),""))</f>
        <v/>
      </c>
      <c r="AA40" s="53">
        <f>IF(OR($F40="",$G40=""),"",IF(AND(AA$5&lt;=$G40,AA$5+6&gt;=$F40),IF($H40="Complétée","F",IF(OR($H40="En cours",$H40="En revue"),"E",IF($H40="Bloquée","B","P"))),""))</f>
        <v/>
      </c>
      <c r="AB40" s="53">
        <f>IF(OR($F40="",$G40=""),"",IF(AND(AB$5&lt;=$G40,AB$5+6&gt;=$F40),IF($H40="Complétée","F",IF(OR($H40="En cours",$H40="En revue"),"E",IF($H40="Bloquée","B","P"))),""))</f>
        <v/>
      </c>
      <c r="AC40" s="53">
        <f>IF(OR($F40="",$G40=""),"",IF(AND(AC$5&lt;=$G40,AC$5+6&gt;=$F40),IF($H40="Complétée","F",IF(OR($H40="En cours",$H40="En revue"),"E",IF($H40="Bloquée","B","P"))),""))</f>
        <v/>
      </c>
      <c r="AD40" s="53">
        <f>IF(OR($F40="",$G40=""),"",IF(AND(AD$5&lt;=$G40,AD$5+6&gt;=$F40),IF($H40="Complétée","F",IF(OR($H40="En cours",$H40="En revue"),"E",IF($H40="Bloquée","B","P"))),""))</f>
        <v/>
      </c>
      <c r="AE40" s="53">
        <f>IF(OR($F40="",$G40=""),"",IF(AND(AE$5&lt;=$G40,AE$5+6&gt;=$F40),IF($H40="Complétée","F",IF(OR($H40="En cours",$H40="En revue"),"E",IF($H40="Bloquée","B","P"))),""))</f>
        <v/>
      </c>
      <c r="AF40" s="53">
        <f>IF(OR($F40="",$G40=""),"",IF(AND(AF$5&lt;=$G40,AF$5+6&gt;=$F40),IF($H40="Complétée","F",IF(OR($H40="En cours",$H40="En revue"),"E",IF($H40="Bloquée","B","P"))),""))</f>
        <v/>
      </c>
      <c r="AG40" s="53">
        <f>IF(OR($F40="",$G40=""),"",IF(AND(AG$5&lt;=$G40,AG$5+6&gt;=$F40),IF($H40="Complétée","F",IF(OR($H40="En cours",$H40="En revue"),"E",IF($H40="Bloquée","B","P"))),""))</f>
        <v/>
      </c>
      <c r="AH40" s="53">
        <f>IF(OR($F40="",$G40=""),"",IF(AND(AH$5&lt;=$G40,AH$5+6&gt;=$F40),IF($H40="Complétée","F",IF(OR($H40="En cours",$H40="En revue"),"E",IF($H40="Bloquée","B","P"))),""))</f>
        <v/>
      </c>
      <c r="AI40" s="53">
        <f>IF(OR($F40="",$G40=""),"",IF(AND(AI$5&lt;=$G40,AI$5+6&gt;=$F40),IF($H40="Complétée","F",IF(OR($H40="En cours",$H40="En revue"),"E",IF($H40="Bloquée","B","P"))),""))</f>
        <v/>
      </c>
      <c r="AJ40" s="53">
        <f>IF(OR($F40="",$G40=""),"",IF(AND(AJ$5&lt;=$G40,AJ$5+6&gt;=$F40),IF($H40="Complétée","F",IF(OR($H40="En cours",$H40="En revue"),"E",IF($H40="Bloquée","B","P"))),""))</f>
        <v/>
      </c>
      <c r="AK40" s="53">
        <f>IF(OR($F40="",$G40=""),"",IF(AND(AK$5&lt;=$G40,AK$5+6&gt;=$F40),IF($H40="Complétée","F",IF(OR($H40="En cours",$H40="En revue"),"E",IF($H40="Bloquée","B","P"))),""))</f>
        <v/>
      </c>
      <c r="AL40" s="53">
        <f>IF(OR($F40="",$G40=""),"",IF(AND(AL$5&lt;=$G40,AL$5+6&gt;=$F40),IF($H40="Complétée","F",IF(OR($H40="En cours",$H40="En revue"),"E",IF($H40="Bloquée","B","P"))),""))</f>
        <v/>
      </c>
      <c r="AM40" s="53">
        <f>IF(OR($F40="",$G40=""),"",IF(AND(AM$5&lt;=$G40,AM$5+6&gt;=$F40),IF($H40="Complétée","F",IF(OR($H40="En cours",$H40="En revue"),"E",IF($H40="Bloquée","B","P"))),""))</f>
        <v/>
      </c>
      <c r="AN40" s="53">
        <f>IF(OR($F40="",$G40=""),"",IF(AND(AN$5&lt;=$G40,AN$5+6&gt;=$F40),IF($H40="Complétée","F",IF(OR($H40="En cours",$H40="En revue"),"E",IF($H40="Bloquée","B","P"))),""))</f>
        <v/>
      </c>
      <c r="AO40" s="53">
        <f>IF(OR($F40="",$G40=""),"",IF(AND(AO$5&lt;=$G40,AO$5+6&gt;=$F40),IF($H40="Complétée","F",IF(OR($H40="En cours",$H40="En revue"),"E",IF($H40="Bloquée","B","P"))),""))</f>
        <v/>
      </c>
      <c r="AP40" s="53">
        <f>IF(OR($F40="",$G40=""),"",IF(AND(AP$5&lt;=$G40,AP$5+6&gt;=$F40),IF($H40="Complétée","F",IF(OR($H40="En cours",$H40="En revue"),"E",IF($H40="Bloquée","B","P"))),""))</f>
        <v/>
      </c>
      <c r="AQ40" s="53">
        <f>IF(OR($F40="",$G40=""),"",IF(AND(AQ$5&lt;=$G40,AQ$5+6&gt;=$F40),IF($H40="Complétée","F",IF(OR($H40="En cours",$H40="En revue"),"E",IF($H40="Bloquée","B","P"))),""))</f>
        <v/>
      </c>
      <c r="AR40" s="53">
        <f>IF(OR($F40="",$G40=""),"",IF(AND(AR$5&lt;=$G40,AR$5+6&gt;=$F40),IF($H40="Complétée","F",IF(OR($H40="En cours",$H40="En revue"),"E",IF($H40="Bloquée","B","P"))),""))</f>
        <v/>
      </c>
      <c r="AS40" s="53">
        <f>IF(OR($F40="",$G40=""),"",IF(AND(AS$5&lt;=$G40,AS$5+6&gt;=$F40),IF($H40="Complétée","F",IF(OR($H40="En cours",$H40="En revue"),"E",IF($H40="Bloquée","B","P"))),""))</f>
        <v/>
      </c>
      <c r="AT40" s="53">
        <f>IF(OR($F40="",$G40=""),"",IF(AND(AT$5&lt;=$G40,AT$5+6&gt;=$F40),IF($H40="Complétée","F",IF(OR($H40="En cours",$H40="En revue"),"E",IF($H40="Bloquée","B","P"))),""))</f>
        <v/>
      </c>
      <c r="AU40" s="53">
        <f>IF(OR($F40="",$G40=""),"",IF(AND(AU$5&lt;=$G40,AU$5+6&gt;=$F40),IF($H40="Complétée","F",IF(OR($H40="En cours",$H40="En revue"),"E",IF($H40="Bloquée","B","P"))),""))</f>
        <v/>
      </c>
      <c r="AV40" s="53">
        <f>IF(OR($F40="",$G40=""),"",IF(AND(AV$5&lt;=$G40,AV$5+6&gt;=$F40),IF($H40="Complétée","F",IF(OR($H40="En cours",$H40="En revue"),"E",IF($H40="Bloquée","B","P"))),""))</f>
        <v/>
      </c>
      <c r="AW40" s="53">
        <f>IF(OR($F40="",$G40=""),"",IF(AND(AW$5&lt;=$G40,AW$5+6&gt;=$F40),IF($H40="Complétée","F",IF(OR($H40="En cours",$H40="En revue"),"E",IF($H40="Bloquée","B","P"))),""))</f>
        <v/>
      </c>
    </row>
    <row r="41">
      <c r="B41" s="50">
        <f>IF(Taches!B41="","",Taches!B41)</f>
        <v/>
      </c>
      <c r="C41" s="51">
        <f>IF(Taches!B41="","",Taches!F41)</f>
        <v/>
      </c>
      <c r="D41" s="50">
        <f>IF(Taches!B41="","",Taches!C41)</f>
        <v/>
      </c>
      <c r="E41" s="50">
        <f>IF(Taches!B41="","",Taches!D41)</f>
        <v/>
      </c>
      <c r="F41" s="52">
        <f>IF(Taches!P41="","",Taches!P41)</f>
        <v/>
      </c>
      <c r="G41" s="52">
        <f>IF(Taches!Q41="","",Taches!Q41)</f>
        <v/>
      </c>
      <c r="H41" s="50">
        <f>IF(Taches!B41="","",Taches!J41)</f>
        <v/>
      </c>
      <c r="I41" s="53">
        <f>IF(OR($F41="",$G41=""),"",IF(AND(I$5&lt;=$G41,I$5+6&gt;=$F41),IF($H41="Complétée","F",IF(OR($H41="En cours",$H41="En revue"),"E",IF($H41="Bloquée","B","P"))),""))</f>
        <v/>
      </c>
      <c r="J41" s="53">
        <f>IF(OR($F41="",$G41=""),"",IF(AND(J$5&lt;=$G41,J$5+6&gt;=$F41),IF($H41="Complétée","F",IF(OR($H41="En cours",$H41="En revue"),"E",IF($H41="Bloquée","B","P"))),""))</f>
        <v/>
      </c>
      <c r="K41" s="53">
        <f>IF(OR($F41="",$G41=""),"",IF(AND(K$5&lt;=$G41,K$5+6&gt;=$F41),IF($H41="Complétée","F",IF(OR($H41="En cours",$H41="En revue"),"E",IF($H41="Bloquée","B","P"))),""))</f>
        <v/>
      </c>
      <c r="L41" s="53">
        <f>IF(OR($F41="",$G41=""),"",IF(AND(L$5&lt;=$G41,L$5+6&gt;=$F41),IF($H41="Complétée","F",IF(OR($H41="En cours",$H41="En revue"),"E",IF($H41="Bloquée","B","P"))),""))</f>
        <v/>
      </c>
      <c r="M41" s="53">
        <f>IF(OR($F41="",$G41=""),"",IF(AND(M$5&lt;=$G41,M$5+6&gt;=$F41),IF($H41="Complétée","F",IF(OR($H41="En cours",$H41="En revue"),"E",IF($H41="Bloquée","B","P"))),""))</f>
        <v/>
      </c>
      <c r="N41" s="53">
        <f>IF(OR($F41="",$G41=""),"",IF(AND(N$5&lt;=$G41,N$5+6&gt;=$F41),IF($H41="Complétée","F",IF(OR($H41="En cours",$H41="En revue"),"E",IF($H41="Bloquée","B","P"))),""))</f>
        <v/>
      </c>
      <c r="O41" s="53">
        <f>IF(OR($F41="",$G41=""),"",IF(AND(O$5&lt;=$G41,O$5+6&gt;=$F41),IF($H41="Complétée","F",IF(OR($H41="En cours",$H41="En revue"),"E",IF($H41="Bloquée","B","P"))),""))</f>
        <v/>
      </c>
      <c r="P41" s="53">
        <f>IF(OR($F41="",$G41=""),"",IF(AND(P$5&lt;=$G41,P$5+6&gt;=$F41),IF($H41="Complétée","F",IF(OR($H41="En cours",$H41="En revue"),"E",IF($H41="Bloquée","B","P"))),""))</f>
        <v/>
      </c>
      <c r="Q41" s="53">
        <f>IF(OR($F41="",$G41=""),"",IF(AND(Q$5&lt;=$G41,Q$5+6&gt;=$F41),IF($H41="Complétée","F",IF(OR($H41="En cours",$H41="En revue"),"E",IF($H41="Bloquée","B","P"))),""))</f>
        <v/>
      </c>
      <c r="R41" s="53">
        <f>IF(OR($F41="",$G41=""),"",IF(AND(R$5&lt;=$G41,R$5+6&gt;=$F41),IF($H41="Complétée","F",IF(OR($H41="En cours",$H41="En revue"),"E",IF($H41="Bloquée","B","P"))),""))</f>
        <v/>
      </c>
      <c r="S41" s="53">
        <f>IF(OR($F41="",$G41=""),"",IF(AND(S$5&lt;=$G41,S$5+6&gt;=$F41),IF($H41="Complétée","F",IF(OR($H41="En cours",$H41="En revue"),"E",IF($H41="Bloquée","B","P"))),""))</f>
        <v/>
      </c>
      <c r="T41" s="53">
        <f>IF(OR($F41="",$G41=""),"",IF(AND(T$5&lt;=$G41,T$5+6&gt;=$F41),IF($H41="Complétée","F",IF(OR($H41="En cours",$H41="En revue"),"E",IF($H41="Bloquée","B","P"))),""))</f>
        <v/>
      </c>
      <c r="U41" s="53">
        <f>IF(OR($F41="",$G41=""),"",IF(AND(U$5&lt;=$G41,U$5+6&gt;=$F41),IF($H41="Complétée","F",IF(OR($H41="En cours",$H41="En revue"),"E",IF($H41="Bloquée","B","P"))),""))</f>
        <v/>
      </c>
      <c r="V41" s="53">
        <f>IF(OR($F41="",$G41=""),"",IF(AND(V$5&lt;=$G41,V$5+6&gt;=$F41),IF($H41="Complétée","F",IF(OR($H41="En cours",$H41="En revue"),"E",IF($H41="Bloquée","B","P"))),""))</f>
        <v/>
      </c>
      <c r="W41" s="53">
        <f>IF(OR($F41="",$G41=""),"",IF(AND(W$5&lt;=$G41,W$5+6&gt;=$F41),IF($H41="Complétée","F",IF(OR($H41="En cours",$H41="En revue"),"E",IF($H41="Bloquée","B","P"))),""))</f>
        <v/>
      </c>
      <c r="X41" s="53">
        <f>IF(OR($F41="",$G41=""),"",IF(AND(X$5&lt;=$G41,X$5+6&gt;=$F41),IF($H41="Complétée","F",IF(OR($H41="En cours",$H41="En revue"),"E",IF($H41="Bloquée","B","P"))),""))</f>
        <v/>
      </c>
      <c r="Y41" s="53">
        <f>IF(OR($F41="",$G41=""),"",IF(AND(Y$5&lt;=$G41,Y$5+6&gt;=$F41),IF($H41="Complétée","F",IF(OR($H41="En cours",$H41="En revue"),"E",IF($H41="Bloquée","B","P"))),""))</f>
        <v/>
      </c>
      <c r="Z41" s="53">
        <f>IF(OR($F41="",$G41=""),"",IF(AND(Z$5&lt;=$G41,Z$5+6&gt;=$F41),IF($H41="Complétée","F",IF(OR($H41="En cours",$H41="En revue"),"E",IF($H41="Bloquée","B","P"))),""))</f>
        <v/>
      </c>
      <c r="AA41" s="53">
        <f>IF(OR($F41="",$G41=""),"",IF(AND(AA$5&lt;=$G41,AA$5+6&gt;=$F41),IF($H41="Complétée","F",IF(OR($H41="En cours",$H41="En revue"),"E",IF($H41="Bloquée","B","P"))),""))</f>
        <v/>
      </c>
      <c r="AB41" s="53">
        <f>IF(OR($F41="",$G41=""),"",IF(AND(AB$5&lt;=$G41,AB$5+6&gt;=$F41),IF($H41="Complétée","F",IF(OR($H41="En cours",$H41="En revue"),"E",IF($H41="Bloquée","B","P"))),""))</f>
        <v/>
      </c>
      <c r="AC41" s="53">
        <f>IF(OR($F41="",$G41=""),"",IF(AND(AC$5&lt;=$G41,AC$5+6&gt;=$F41),IF($H41="Complétée","F",IF(OR($H41="En cours",$H41="En revue"),"E",IF($H41="Bloquée","B","P"))),""))</f>
        <v/>
      </c>
      <c r="AD41" s="53">
        <f>IF(OR($F41="",$G41=""),"",IF(AND(AD$5&lt;=$G41,AD$5+6&gt;=$F41),IF($H41="Complétée","F",IF(OR($H41="En cours",$H41="En revue"),"E",IF($H41="Bloquée","B","P"))),""))</f>
        <v/>
      </c>
      <c r="AE41" s="53">
        <f>IF(OR($F41="",$G41=""),"",IF(AND(AE$5&lt;=$G41,AE$5+6&gt;=$F41),IF($H41="Complétée","F",IF(OR($H41="En cours",$H41="En revue"),"E",IF($H41="Bloquée","B","P"))),""))</f>
        <v/>
      </c>
      <c r="AF41" s="53">
        <f>IF(OR($F41="",$G41=""),"",IF(AND(AF$5&lt;=$G41,AF$5+6&gt;=$F41),IF($H41="Complétée","F",IF(OR($H41="En cours",$H41="En revue"),"E",IF($H41="Bloquée","B","P"))),""))</f>
        <v/>
      </c>
      <c r="AG41" s="53">
        <f>IF(OR($F41="",$G41=""),"",IF(AND(AG$5&lt;=$G41,AG$5+6&gt;=$F41),IF($H41="Complétée","F",IF(OR($H41="En cours",$H41="En revue"),"E",IF($H41="Bloquée","B","P"))),""))</f>
        <v/>
      </c>
      <c r="AH41" s="53">
        <f>IF(OR($F41="",$G41=""),"",IF(AND(AH$5&lt;=$G41,AH$5+6&gt;=$F41),IF($H41="Complétée","F",IF(OR($H41="En cours",$H41="En revue"),"E",IF($H41="Bloquée","B","P"))),""))</f>
        <v/>
      </c>
      <c r="AI41" s="53">
        <f>IF(OR($F41="",$G41=""),"",IF(AND(AI$5&lt;=$G41,AI$5+6&gt;=$F41),IF($H41="Complétée","F",IF(OR($H41="En cours",$H41="En revue"),"E",IF($H41="Bloquée","B","P"))),""))</f>
        <v/>
      </c>
      <c r="AJ41" s="53">
        <f>IF(OR($F41="",$G41=""),"",IF(AND(AJ$5&lt;=$G41,AJ$5+6&gt;=$F41),IF($H41="Complétée","F",IF(OR($H41="En cours",$H41="En revue"),"E",IF($H41="Bloquée","B","P"))),""))</f>
        <v/>
      </c>
      <c r="AK41" s="53">
        <f>IF(OR($F41="",$G41=""),"",IF(AND(AK$5&lt;=$G41,AK$5+6&gt;=$F41),IF($H41="Complétée","F",IF(OR($H41="En cours",$H41="En revue"),"E",IF($H41="Bloquée","B","P"))),""))</f>
        <v/>
      </c>
      <c r="AL41" s="53">
        <f>IF(OR($F41="",$G41=""),"",IF(AND(AL$5&lt;=$G41,AL$5+6&gt;=$F41),IF($H41="Complétée","F",IF(OR($H41="En cours",$H41="En revue"),"E",IF($H41="Bloquée","B","P"))),""))</f>
        <v/>
      </c>
      <c r="AM41" s="53">
        <f>IF(OR($F41="",$G41=""),"",IF(AND(AM$5&lt;=$G41,AM$5+6&gt;=$F41),IF($H41="Complétée","F",IF(OR($H41="En cours",$H41="En revue"),"E",IF($H41="Bloquée","B","P"))),""))</f>
        <v/>
      </c>
      <c r="AN41" s="53">
        <f>IF(OR($F41="",$G41=""),"",IF(AND(AN$5&lt;=$G41,AN$5+6&gt;=$F41),IF($H41="Complétée","F",IF(OR($H41="En cours",$H41="En revue"),"E",IF($H41="Bloquée","B","P"))),""))</f>
        <v/>
      </c>
      <c r="AO41" s="53">
        <f>IF(OR($F41="",$G41=""),"",IF(AND(AO$5&lt;=$G41,AO$5+6&gt;=$F41),IF($H41="Complétée","F",IF(OR($H41="En cours",$H41="En revue"),"E",IF($H41="Bloquée","B","P"))),""))</f>
        <v/>
      </c>
      <c r="AP41" s="53">
        <f>IF(OR($F41="",$G41=""),"",IF(AND(AP$5&lt;=$G41,AP$5+6&gt;=$F41),IF($H41="Complétée","F",IF(OR($H41="En cours",$H41="En revue"),"E",IF($H41="Bloquée","B","P"))),""))</f>
        <v/>
      </c>
      <c r="AQ41" s="53">
        <f>IF(OR($F41="",$G41=""),"",IF(AND(AQ$5&lt;=$G41,AQ$5+6&gt;=$F41),IF($H41="Complétée","F",IF(OR($H41="En cours",$H41="En revue"),"E",IF($H41="Bloquée","B","P"))),""))</f>
        <v/>
      </c>
      <c r="AR41" s="53">
        <f>IF(OR($F41="",$G41=""),"",IF(AND(AR$5&lt;=$G41,AR$5+6&gt;=$F41),IF($H41="Complétée","F",IF(OR($H41="En cours",$H41="En revue"),"E",IF($H41="Bloquée","B","P"))),""))</f>
        <v/>
      </c>
      <c r="AS41" s="53">
        <f>IF(OR($F41="",$G41=""),"",IF(AND(AS$5&lt;=$G41,AS$5+6&gt;=$F41),IF($H41="Complétée","F",IF(OR($H41="En cours",$H41="En revue"),"E",IF($H41="Bloquée","B","P"))),""))</f>
        <v/>
      </c>
      <c r="AT41" s="53">
        <f>IF(OR($F41="",$G41=""),"",IF(AND(AT$5&lt;=$G41,AT$5+6&gt;=$F41),IF($H41="Complétée","F",IF(OR($H41="En cours",$H41="En revue"),"E",IF($H41="Bloquée","B","P"))),""))</f>
        <v/>
      </c>
      <c r="AU41" s="53">
        <f>IF(OR($F41="",$G41=""),"",IF(AND(AU$5&lt;=$G41,AU$5+6&gt;=$F41),IF($H41="Complétée","F",IF(OR($H41="En cours",$H41="En revue"),"E",IF($H41="Bloquée","B","P"))),""))</f>
        <v/>
      </c>
      <c r="AV41" s="53">
        <f>IF(OR($F41="",$G41=""),"",IF(AND(AV$5&lt;=$G41,AV$5+6&gt;=$F41),IF($H41="Complétée","F",IF(OR($H41="En cours",$H41="En revue"),"E",IF($H41="Bloquée","B","P"))),""))</f>
        <v/>
      </c>
      <c r="AW41" s="53">
        <f>IF(OR($F41="",$G41=""),"",IF(AND(AW$5&lt;=$G41,AW$5+6&gt;=$F41),IF($H41="Complétée","F",IF(OR($H41="En cours",$H41="En revue"),"E",IF($H41="Bloquée","B","P"))),""))</f>
        <v/>
      </c>
    </row>
    <row r="42">
      <c r="B42" s="50">
        <f>IF(Taches!B42="","",Taches!B42)</f>
        <v/>
      </c>
      <c r="C42" s="51">
        <f>IF(Taches!B42="","",Taches!F42)</f>
        <v/>
      </c>
      <c r="D42" s="50">
        <f>IF(Taches!B42="","",Taches!C42)</f>
        <v/>
      </c>
      <c r="E42" s="50">
        <f>IF(Taches!B42="","",Taches!D42)</f>
        <v/>
      </c>
      <c r="F42" s="52">
        <f>IF(Taches!P42="","",Taches!P42)</f>
        <v/>
      </c>
      <c r="G42" s="52">
        <f>IF(Taches!Q42="","",Taches!Q42)</f>
        <v/>
      </c>
      <c r="H42" s="50">
        <f>IF(Taches!B42="","",Taches!J42)</f>
        <v/>
      </c>
      <c r="I42" s="53">
        <f>IF(OR($F42="",$G42=""),"",IF(AND(I$5&lt;=$G42,I$5+6&gt;=$F42),IF($H42="Complétée","F",IF(OR($H42="En cours",$H42="En revue"),"E",IF($H42="Bloquée","B","P"))),""))</f>
        <v/>
      </c>
      <c r="J42" s="53">
        <f>IF(OR($F42="",$G42=""),"",IF(AND(J$5&lt;=$G42,J$5+6&gt;=$F42),IF($H42="Complétée","F",IF(OR($H42="En cours",$H42="En revue"),"E",IF($H42="Bloquée","B","P"))),""))</f>
        <v/>
      </c>
      <c r="K42" s="53">
        <f>IF(OR($F42="",$G42=""),"",IF(AND(K$5&lt;=$G42,K$5+6&gt;=$F42),IF($H42="Complétée","F",IF(OR($H42="En cours",$H42="En revue"),"E",IF($H42="Bloquée","B","P"))),""))</f>
        <v/>
      </c>
      <c r="L42" s="53">
        <f>IF(OR($F42="",$G42=""),"",IF(AND(L$5&lt;=$G42,L$5+6&gt;=$F42),IF($H42="Complétée","F",IF(OR($H42="En cours",$H42="En revue"),"E",IF($H42="Bloquée","B","P"))),""))</f>
        <v/>
      </c>
      <c r="M42" s="53">
        <f>IF(OR($F42="",$G42=""),"",IF(AND(M$5&lt;=$G42,M$5+6&gt;=$F42),IF($H42="Complétée","F",IF(OR($H42="En cours",$H42="En revue"),"E",IF($H42="Bloquée","B","P"))),""))</f>
        <v/>
      </c>
      <c r="N42" s="53">
        <f>IF(OR($F42="",$G42=""),"",IF(AND(N$5&lt;=$G42,N$5+6&gt;=$F42),IF($H42="Complétée","F",IF(OR($H42="En cours",$H42="En revue"),"E",IF($H42="Bloquée","B","P"))),""))</f>
        <v/>
      </c>
      <c r="O42" s="53">
        <f>IF(OR($F42="",$G42=""),"",IF(AND(O$5&lt;=$G42,O$5+6&gt;=$F42),IF($H42="Complétée","F",IF(OR($H42="En cours",$H42="En revue"),"E",IF($H42="Bloquée","B","P"))),""))</f>
        <v/>
      </c>
      <c r="P42" s="53">
        <f>IF(OR($F42="",$G42=""),"",IF(AND(P$5&lt;=$G42,P$5+6&gt;=$F42),IF($H42="Complétée","F",IF(OR($H42="En cours",$H42="En revue"),"E",IF($H42="Bloquée","B","P"))),""))</f>
        <v/>
      </c>
      <c r="Q42" s="53">
        <f>IF(OR($F42="",$G42=""),"",IF(AND(Q$5&lt;=$G42,Q$5+6&gt;=$F42),IF($H42="Complétée","F",IF(OR($H42="En cours",$H42="En revue"),"E",IF($H42="Bloquée","B","P"))),""))</f>
        <v/>
      </c>
      <c r="R42" s="53">
        <f>IF(OR($F42="",$G42=""),"",IF(AND(R$5&lt;=$G42,R$5+6&gt;=$F42),IF($H42="Complétée","F",IF(OR($H42="En cours",$H42="En revue"),"E",IF($H42="Bloquée","B","P"))),""))</f>
        <v/>
      </c>
      <c r="S42" s="53">
        <f>IF(OR($F42="",$G42=""),"",IF(AND(S$5&lt;=$G42,S$5+6&gt;=$F42),IF($H42="Complétée","F",IF(OR($H42="En cours",$H42="En revue"),"E",IF($H42="Bloquée","B","P"))),""))</f>
        <v/>
      </c>
      <c r="T42" s="53">
        <f>IF(OR($F42="",$G42=""),"",IF(AND(T$5&lt;=$G42,T$5+6&gt;=$F42),IF($H42="Complétée","F",IF(OR($H42="En cours",$H42="En revue"),"E",IF($H42="Bloquée","B","P"))),""))</f>
        <v/>
      </c>
      <c r="U42" s="53">
        <f>IF(OR($F42="",$G42=""),"",IF(AND(U$5&lt;=$G42,U$5+6&gt;=$F42),IF($H42="Complétée","F",IF(OR($H42="En cours",$H42="En revue"),"E",IF($H42="Bloquée","B","P"))),""))</f>
        <v/>
      </c>
      <c r="V42" s="53">
        <f>IF(OR($F42="",$G42=""),"",IF(AND(V$5&lt;=$G42,V$5+6&gt;=$F42),IF($H42="Complétée","F",IF(OR($H42="En cours",$H42="En revue"),"E",IF($H42="Bloquée","B","P"))),""))</f>
        <v/>
      </c>
      <c r="W42" s="53">
        <f>IF(OR($F42="",$G42=""),"",IF(AND(W$5&lt;=$G42,W$5+6&gt;=$F42),IF($H42="Complétée","F",IF(OR($H42="En cours",$H42="En revue"),"E",IF($H42="Bloquée","B","P"))),""))</f>
        <v/>
      </c>
      <c r="X42" s="53">
        <f>IF(OR($F42="",$G42=""),"",IF(AND(X$5&lt;=$G42,X$5+6&gt;=$F42),IF($H42="Complétée","F",IF(OR($H42="En cours",$H42="En revue"),"E",IF($H42="Bloquée","B","P"))),""))</f>
        <v/>
      </c>
      <c r="Y42" s="53">
        <f>IF(OR($F42="",$G42=""),"",IF(AND(Y$5&lt;=$G42,Y$5+6&gt;=$F42),IF($H42="Complétée","F",IF(OR($H42="En cours",$H42="En revue"),"E",IF($H42="Bloquée","B","P"))),""))</f>
        <v/>
      </c>
      <c r="Z42" s="53">
        <f>IF(OR($F42="",$G42=""),"",IF(AND(Z$5&lt;=$G42,Z$5+6&gt;=$F42),IF($H42="Complétée","F",IF(OR($H42="En cours",$H42="En revue"),"E",IF($H42="Bloquée","B","P"))),""))</f>
        <v/>
      </c>
      <c r="AA42" s="53">
        <f>IF(OR($F42="",$G42=""),"",IF(AND(AA$5&lt;=$G42,AA$5+6&gt;=$F42),IF($H42="Complétée","F",IF(OR($H42="En cours",$H42="En revue"),"E",IF($H42="Bloquée","B","P"))),""))</f>
        <v/>
      </c>
      <c r="AB42" s="53">
        <f>IF(OR($F42="",$G42=""),"",IF(AND(AB$5&lt;=$G42,AB$5+6&gt;=$F42),IF($H42="Complétée","F",IF(OR($H42="En cours",$H42="En revue"),"E",IF($H42="Bloquée","B","P"))),""))</f>
        <v/>
      </c>
      <c r="AC42" s="53">
        <f>IF(OR($F42="",$G42=""),"",IF(AND(AC$5&lt;=$G42,AC$5+6&gt;=$F42),IF($H42="Complétée","F",IF(OR($H42="En cours",$H42="En revue"),"E",IF($H42="Bloquée","B","P"))),""))</f>
        <v/>
      </c>
      <c r="AD42" s="53">
        <f>IF(OR($F42="",$G42=""),"",IF(AND(AD$5&lt;=$G42,AD$5+6&gt;=$F42),IF($H42="Complétée","F",IF(OR($H42="En cours",$H42="En revue"),"E",IF($H42="Bloquée","B","P"))),""))</f>
        <v/>
      </c>
      <c r="AE42" s="53">
        <f>IF(OR($F42="",$G42=""),"",IF(AND(AE$5&lt;=$G42,AE$5+6&gt;=$F42),IF($H42="Complétée","F",IF(OR($H42="En cours",$H42="En revue"),"E",IF($H42="Bloquée","B","P"))),""))</f>
        <v/>
      </c>
      <c r="AF42" s="53">
        <f>IF(OR($F42="",$G42=""),"",IF(AND(AF$5&lt;=$G42,AF$5+6&gt;=$F42),IF($H42="Complétée","F",IF(OR($H42="En cours",$H42="En revue"),"E",IF($H42="Bloquée","B","P"))),""))</f>
        <v/>
      </c>
      <c r="AG42" s="53">
        <f>IF(OR($F42="",$G42=""),"",IF(AND(AG$5&lt;=$G42,AG$5+6&gt;=$F42),IF($H42="Complétée","F",IF(OR($H42="En cours",$H42="En revue"),"E",IF($H42="Bloquée","B","P"))),""))</f>
        <v/>
      </c>
      <c r="AH42" s="53">
        <f>IF(OR($F42="",$G42=""),"",IF(AND(AH$5&lt;=$G42,AH$5+6&gt;=$F42),IF($H42="Complétée","F",IF(OR($H42="En cours",$H42="En revue"),"E",IF($H42="Bloquée","B","P"))),""))</f>
        <v/>
      </c>
      <c r="AI42" s="53">
        <f>IF(OR($F42="",$G42=""),"",IF(AND(AI$5&lt;=$G42,AI$5+6&gt;=$F42),IF($H42="Complétée","F",IF(OR($H42="En cours",$H42="En revue"),"E",IF($H42="Bloquée","B","P"))),""))</f>
        <v/>
      </c>
      <c r="AJ42" s="53">
        <f>IF(OR($F42="",$G42=""),"",IF(AND(AJ$5&lt;=$G42,AJ$5+6&gt;=$F42),IF($H42="Complétée","F",IF(OR($H42="En cours",$H42="En revue"),"E",IF($H42="Bloquée","B","P"))),""))</f>
        <v/>
      </c>
      <c r="AK42" s="53">
        <f>IF(OR($F42="",$G42=""),"",IF(AND(AK$5&lt;=$G42,AK$5+6&gt;=$F42),IF($H42="Complétée","F",IF(OR($H42="En cours",$H42="En revue"),"E",IF($H42="Bloquée","B","P"))),""))</f>
        <v/>
      </c>
      <c r="AL42" s="53">
        <f>IF(OR($F42="",$G42=""),"",IF(AND(AL$5&lt;=$G42,AL$5+6&gt;=$F42),IF($H42="Complétée","F",IF(OR($H42="En cours",$H42="En revue"),"E",IF($H42="Bloquée","B","P"))),""))</f>
        <v/>
      </c>
      <c r="AM42" s="53">
        <f>IF(OR($F42="",$G42=""),"",IF(AND(AM$5&lt;=$G42,AM$5+6&gt;=$F42),IF($H42="Complétée","F",IF(OR($H42="En cours",$H42="En revue"),"E",IF($H42="Bloquée","B","P"))),""))</f>
        <v/>
      </c>
      <c r="AN42" s="53">
        <f>IF(OR($F42="",$G42=""),"",IF(AND(AN$5&lt;=$G42,AN$5+6&gt;=$F42),IF($H42="Complétée","F",IF(OR($H42="En cours",$H42="En revue"),"E",IF($H42="Bloquée","B","P"))),""))</f>
        <v/>
      </c>
      <c r="AO42" s="53">
        <f>IF(OR($F42="",$G42=""),"",IF(AND(AO$5&lt;=$G42,AO$5+6&gt;=$F42),IF($H42="Complétée","F",IF(OR($H42="En cours",$H42="En revue"),"E",IF($H42="Bloquée","B","P"))),""))</f>
        <v/>
      </c>
      <c r="AP42" s="53">
        <f>IF(OR($F42="",$G42=""),"",IF(AND(AP$5&lt;=$G42,AP$5+6&gt;=$F42),IF($H42="Complétée","F",IF(OR($H42="En cours",$H42="En revue"),"E",IF($H42="Bloquée","B","P"))),""))</f>
        <v/>
      </c>
      <c r="AQ42" s="53">
        <f>IF(OR($F42="",$G42=""),"",IF(AND(AQ$5&lt;=$G42,AQ$5+6&gt;=$F42),IF($H42="Complétée","F",IF(OR($H42="En cours",$H42="En revue"),"E",IF($H42="Bloquée","B","P"))),""))</f>
        <v/>
      </c>
      <c r="AR42" s="53">
        <f>IF(OR($F42="",$G42=""),"",IF(AND(AR$5&lt;=$G42,AR$5+6&gt;=$F42),IF($H42="Complétée","F",IF(OR($H42="En cours",$H42="En revue"),"E",IF($H42="Bloquée","B","P"))),""))</f>
        <v/>
      </c>
      <c r="AS42" s="53">
        <f>IF(OR($F42="",$G42=""),"",IF(AND(AS$5&lt;=$G42,AS$5+6&gt;=$F42),IF($H42="Complétée","F",IF(OR($H42="En cours",$H42="En revue"),"E",IF($H42="Bloquée","B","P"))),""))</f>
        <v/>
      </c>
      <c r="AT42" s="53">
        <f>IF(OR($F42="",$G42=""),"",IF(AND(AT$5&lt;=$G42,AT$5+6&gt;=$F42),IF($H42="Complétée","F",IF(OR($H42="En cours",$H42="En revue"),"E",IF($H42="Bloquée","B","P"))),""))</f>
        <v/>
      </c>
      <c r="AU42" s="53">
        <f>IF(OR($F42="",$G42=""),"",IF(AND(AU$5&lt;=$G42,AU$5+6&gt;=$F42),IF($H42="Complétée","F",IF(OR($H42="En cours",$H42="En revue"),"E",IF($H42="Bloquée","B","P"))),""))</f>
        <v/>
      </c>
      <c r="AV42" s="53">
        <f>IF(OR($F42="",$G42=""),"",IF(AND(AV$5&lt;=$G42,AV$5+6&gt;=$F42),IF($H42="Complétée","F",IF(OR($H42="En cours",$H42="En revue"),"E",IF($H42="Bloquée","B","P"))),""))</f>
        <v/>
      </c>
      <c r="AW42" s="53">
        <f>IF(OR($F42="",$G42=""),"",IF(AND(AW$5&lt;=$G42,AW$5+6&gt;=$F42),IF($H42="Complétée","F",IF(OR($H42="En cours",$H42="En revue"),"E",IF($H42="Bloquée","B","P"))),""))</f>
        <v/>
      </c>
    </row>
    <row r="43">
      <c r="B43" s="50">
        <f>IF(Taches!B43="","",Taches!B43)</f>
        <v/>
      </c>
      <c r="C43" s="51">
        <f>IF(Taches!B43="","",Taches!F43)</f>
        <v/>
      </c>
      <c r="D43" s="50">
        <f>IF(Taches!B43="","",Taches!C43)</f>
        <v/>
      </c>
      <c r="E43" s="50">
        <f>IF(Taches!B43="","",Taches!D43)</f>
        <v/>
      </c>
      <c r="F43" s="52">
        <f>IF(Taches!P43="","",Taches!P43)</f>
        <v/>
      </c>
      <c r="G43" s="52">
        <f>IF(Taches!Q43="","",Taches!Q43)</f>
        <v/>
      </c>
      <c r="H43" s="50">
        <f>IF(Taches!B43="","",Taches!J43)</f>
        <v/>
      </c>
      <c r="I43" s="53">
        <f>IF(OR($F43="",$G43=""),"",IF(AND(I$5&lt;=$G43,I$5+6&gt;=$F43),IF($H43="Complétée","F",IF(OR($H43="En cours",$H43="En revue"),"E",IF($H43="Bloquée","B","P"))),""))</f>
        <v/>
      </c>
      <c r="J43" s="53">
        <f>IF(OR($F43="",$G43=""),"",IF(AND(J$5&lt;=$G43,J$5+6&gt;=$F43),IF($H43="Complétée","F",IF(OR($H43="En cours",$H43="En revue"),"E",IF($H43="Bloquée","B","P"))),""))</f>
        <v/>
      </c>
      <c r="K43" s="53">
        <f>IF(OR($F43="",$G43=""),"",IF(AND(K$5&lt;=$G43,K$5+6&gt;=$F43),IF($H43="Complétée","F",IF(OR($H43="En cours",$H43="En revue"),"E",IF($H43="Bloquée","B","P"))),""))</f>
        <v/>
      </c>
      <c r="L43" s="53">
        <f>IF(OR($F43="",$G43=""),"",IF(AND(L$5&lt;=$G43,L$5+6&gt;=$F43),IF($H43="Complétée","F",IF(OR($H43="En cours",$H43="En revue"),"E",IF($H43="Bloquée","B","P"))),""))</f>
        <v/>
      </c>
      <c r="M43" s="53">
        <f>IF(OR($F43="",$G43=""),"",IF(AND(M$5&lt;=$G43,M$5+6&gt;=$F43),IF($H43="Complétée","F",IF(OR($H43="En cours",$H43="En revue"),"E",IF($H43="Bloquée","B","P"))),""))</f>
        <v/>
      </c>
      <c r="N43" s="53">
        <f>IF(OR($F43="",$G43=""),"",IF(AND(N$5&lt;=$G43,N$5+6&gt;=$F43),IF($H43="Complétée","F",IF(OR($H43="En cours",$H43="En revue"),"E",IF($H43="Bloquée","B","P"))),""))</f>
        <v/>
      </c>
      <c r="O43" s="53">
        <f>IF(OR($F43="",$G43=""),"",IF(AND(O$5&lt;=$G43,O$5+6&gt;=$F43),IF($H43="Complétée","F",IF(OR($H43="En cours",$H43="En revue"),"E",IF($H43="Bloquée","B","P"))),""))</f>
        <v/>
      </c>
      <c r="P43" s="53">
        <f>IF(OR($F43="",$G43=""),"",IF(AND(P$5&lt;=$G43,P$5+6&gt;=$F43),IF($H43="Complétée","F",IF(OR($H43="En cours",$H43="En revue"),"E",IF($H43="Bloquée","B","P"))),""))</f>
        <v/>
      </c>
      <c r="Q43" s="53">
        <f>IF(OR($F43="",$G43=""),"",IF(AND(Q$5&lt;=$G43,Q$5+6&gt;=$F43),IF($H43="Complétée","F",IF(OR($H43="En cours",$H43="En revue"),"E",IF($H43="Bloquée","B","P"))),""))</f>
        <v/>
      </c>
      <c r="R43" s="53">
        <f>IF(OR($F43="",$G43=""),"",IF(AND(R$5&lt;=$G43,R$5+6&gt;=$F43),IF($H43="Complétée","F",IF(OR($H43="En cours",$H43="En revue"),"E",IF($H43="Bloquée","B","P"))),""))</f>
        <v/>
      </c>
      <c r="S43" s="53">
        <f>IF(OR($F43="",$G43=""),"",IF(AND(S$5&lt;=$G43,S$5+6&gt;=$F43),IF($H43="Complétée","F",IF(OR($H43="En cours",$H43="En revue"),"E",IF($H43="Bloquée","B","P"))),""))</f>
        <v/>
      </c>
      <c r="T43" s="53">
        <f>IF(OR($F43="",$G43=""),"",IF(AND(T$5&lt;=$G43,T$5+6&gt;=$F43),IF($H43="Complétée","F",IF(OR($H43="En cours",$H43="En revue"),"E",IF($H43="Bloquée","B","P"))),""))</f>
        <v/>
      </c>
      <c r="U43" s="53">
        <f>IF(OR($F43="",$G43=""),"",IF(AND(U$5&lt;=$G43,U$5+6&gt;=$F43),IF($H43="Complétée","F",IF(OR($H43="En cours",$H43="En revue"),"E",IF($H43="Bloquée","B","P"))),""))</f>
        <v/>
      </c>
      <c r="V43" s="53">
        <f>IF(OR($F43="",$G43=""),"",IF(AND(V$5&lt;=$G43,V$5+6&gt;=$F43),IF($H43="Complétée","F",IF(OR($H43="En cours",$H43="En revue"),"E",IF($H43="Bloquée","B","P"))),""))</f>
        <v/>
      </c>
      <c r="W43" s="53">
        <f>IF(OR($F43="",$G43=""),"",IF(AND(W$5&lt;=$G43,W$5+6&gt;=$F43),IF($H43="Complétée","F",IF(OR($H43="En cours",$H43="En revue"),"E",IF($H43="Bloquée","B","P"))),""))</f>
        <v/>
      </c>
      <c r="X43" s="53">
        <f>IF(OR($F43="",$G43=""),"",IF(AND(X$5&lt;=$G43,X$5+6&gt;=$F43),IF($H43="Complétée","F",IF(OR($H43="En cours",$H43="En revue"),"E",IF($H43="Bloquée","B","P"))),""))</f>
        <v/>
      </c>
      <c r="Y43" s="53">
        <f>IF(OR($F43="",$G43=""),"",IF(AND(Y$5&lt;=$G43,Y$5+6&gt;=$F43),IF($H43="Complétée","F",IF(OR($H43="En cours",$H43="En revue"),"E",IF($H43="Bloquée","B","P"))),""))</f>
        <v/>
      </c>
      <c r="Z43" s="53">
        <f>IF(OR($F43="",$G43=""),"",IF(AND(Z$5&lt;=$G43,Z$5+6&gt;=$F43),IF($H43="Complétée","F",IF(OR($H43="En cours",$H43="En revue"),"E",IF($H43="Bloquée","B","P"))),""))</f>
        <v/>
      </c>
      <c r="AA43" s="53">
        <f>IF(OR($F43="",$G43=""),"",IF(AND(AA$5&lt;=$G43,AA$5+6&gt;=$F43),IF($H43="Complétée","F",IF(OR($H43="En cours",$H43="En revue"),"E",IF($H43="Bloquée","B","P"))),""))</f>
        <v/>
      </c>
      <c r="AB43" s="53">
        <f>IF(OR($F43="",$G43=""),"",IF(AND(AB$5&lt;=$G43,AB$5+6&gt;=$F43),IF($H43="Complétée","F",IF(OR($H43="En cours",$H43="En revue"),"E",IF($H43="Bloquée","B","P"))),""))</f>
        <v/>
      </c>
      <c r="AC43" s="53">
        <f>IF(OR($F43="",$G43=""),"",IF(AND(AC$5&lt;=$G43,AC$5+6&gt;=$F43),IF($H43="Complétée","F",IF(OR($H43="En cours",$H43="En revue"),"E",IF($H43="Bloquée","B","P"))),""))</f>
        <v/>
      </c>
      <c r="AD43" s="53">
        <f>IF(OR($F43="",$G43=""),"",IF(AND(AD$5&lt;=$G43,AD$5+6&gt;=$F43),IF($H43="Complétée","F",IF(OR($H43="En cours",$H43="En revue"),"E",IF($H43="Bloquée","B","P"))),""))</f>
        <v/>
      </c>
      <c r="AE43" s="53">
        <f>IF(OR($F43="",$G43=""),"",IF(AND(AE$5&lt;=$G43,AE$5+6&gt;=$F43),IF($H43="Complétée","F",IF(OR($H43="En cours",$H43="En revue"),"E",IF($H43="Bloquée","B","P"))),""))</f>
        <v/>
      </c>
      <c r="AF43" s="53">
        <f>IF(OR($F43="",$G43=""),"",IF(AND(AF$5&lt;=$G43,AF$5+6&gt;=$F43),IF($H43="Complétée","F",IF(OR($H43="En cours",$H43="En revue"),"E",IF($H43="Bloquée","B","P"))),""))</f>
        <v/>
      </c>
      <c r="AG43" s="53">
        <f>IF(OR($F43="",$G43=""),"",IF(AND(AG$5&lt;=$G43,AG$5+6&gt;=$F43),IF($H43="Complétée","F",IF(OR($H43="En cours",$H43="En revue"),"E",IF($H43="Bloquée","B","P"))),""))</f>
        <v/>
      </c>
      <c r="AH43" s="53">
        <f>IF(OR($F43="",$G43=""),"",IF(AND(AH$5&lt;=$G43,AH$5+6&gt;=$F43),IF($H43="Complétée","F",IF(OR($H43="En cours",$H43="En revue"),"E",IF($H43="Bloquée","B","P"))),""))</f>
        <v/>
      </c>
      <c r="AI43" s="53">
        <f>IF(OR($F43="",$G43=""),"",IF(AND(AI$5&lt;=$G43,AI$5+6&gt;=$F43),IF($H43="Complétée","F",IF(OR($H43="En cours",$H43="En revue"),"E",IF($H43="Bloquée","B","P"))),""))</f>
        <v/>
      </c>
      <c r="AJ43" s="53">
        <f>IF(OR($F43="",$G43=""),"",IF(AND(AJ$5&lt;=$G43,AJ$5+6&gt;=$F43),IF($H43="Complétée","F",IF(OR($H43="En cours",$H43="En revue"),"E",IF($H43="Bloquée","B","P"))),""))</f>
        <v/>
      </c>
      <c r="AK43" s="53">
        <f>IF(OR($F43="",$G43=""),"",IF(AND(AK$5&lt;=$G43,AK$5+6&gt;=$F43),IF($H43="Complétée","F",IF(OR($H43="En cours",$H43="En revue"),"E",IF($H43="Bloquée","B","P"))),""))</f>
        <v/>
      </c>
      <c r="AL43" s="53">
        <f>IF(OR($F43="",$G43=""),"",IF(AND(AL$5&lt;=$G43,AL$5+6&gt;=$F43),IF($H43="Complétée","F",IF(OR($H43="En cours",$H43="En revue"),"E",IF($H43="Bloquée","B","P"))),""))</f>
        <v/>
      </c>
      <c r="AM43" s="53">
        <f>IF(OR($F43="",$G43=""),"",IF(AND(AM$5&lt;=$G43,AM$5+6&gt;=$F43),IF($H43="Complétée","F",IF(OR($H43="En cours",$H43="En revue"),"E",IF($H43="Bloquée","B","P"))),""))</f>
        <v/>
      </c>
      <c r="AN43" s="53">
        <f>IF(OR($F43="",$G43=""),"",IF(AND(AN$5&lt;=$G43,AN$5+6&gt;=$F43),IF($H43="Complétée","F",IF(OR($H43="En cours",$H43="En revue"),"E",IF($H43="Bloquée","B","P"))),""))</f>
        <v/>
      </c>
      <c r="AO43" s="53">
        <f>IF(OR($F43="",$G43=""),"",IF(AND(AO$5&lt;=$G43,AO$5+6&gt;=$F43),IF($H43="Complétée","F",IF(OR($H43="En cours",$H43="En revue"),"E",IF($H43="Bloquée","B","P"))),""))</f>
        <v/>
      </c>
      <c r="AP43" s="53">
        <f>IF(OR($F43="",$G43=""),"",IF(AND(AP$5&lt;=$G43,AP$5+6&gt;=$F43),IF($H43="Complétée","F",IF(OR($H43="En cours",$H43="En revue"),"E",IF($H43="Bloquée","B","P"))),""))</f>
        <v/>
      </c>
      <c r="AQ43" s="53">
        <f>IF(OR($F43="",$G43=""),"",IF(AND(AQ$5&lt;=$G43,AQ$5+6&gt;=$F43),IF($H43="Complétée","F",IF(OR($H43="En cours",$H43="En revue"),"E",IF($H43="Bloquée","B","P"))),""))</f>
        <v/>
      </c>
      <c r="AR43" s="53">
        <f>IF(OR($F43="",$G43=""),"",IF(AND(AR$5&lt;=$G43,AR$5+6&gt;=$F43),IF($H43="Complétée","F",IF(OR($H43="En cours",$H43="En revue"),"E",IF($H43="Bloquée","B","P"))),""))</f>
        <v/>
      </c>
      <c r="AS43" s="53">
        <f>IF(OR($F43="",$G43=""),"",IF(AND(AS$5&lt;=$G43,AS$5+6&gt;=$F43),IF($H43="Complétée","F",IF(OR($H43="En cours",$H43="En revue"),"E",IF($H43="Bloquée","B","P"))),""))</f>
        <v/>
      </c>
      <c r="AT43" s="53">
        <f>IF(OR($F43="",$G43=""),"",IF(AND(AT$5&lt;=$G43,AT$5+6&gt;=$F43),IF($H43="Complétée","F",IF(OR($H43="En cours",$H43="En revue"),"E",IF($H43="Bloquée","B","P"))),""))</f>
        <v/>
      </c>
      <c r="AU43" s="53">
        <f>IF(OR($F43="",$G43=""),"",IF(AND(AU$5&lt;=$G43,AU$5+6&gt;=$F43),IF($H43="Complétée","F",IF(OR($H43="En cours",$H43="En revue"),"E",IF($H43="Bloquée","B","P"))),""))</f>
        <v/>
      </c>
      <c r="AV43" s="53">
        <f>IF(OR($F43="",$G43=""),"",IF(AND(AV$5&lt;=$G43,AV$5+6&gt;=$F43),IF($H43="Complétée","F",IF(OR($H43="En cours",$H43="En revue"),"E",IF($H43="Bloquée","B","P"))),""))</f>
        <v/>
      </c>
      <c r="AW43" s="53">
        <f>IF(OR($F43="",$G43=""),"",IF(AND(AW$5&lt;=$G43,AW$5+6&gt;=$F43),IF($H43="Complétée","F",IF(OR($H43="En cours",$H43="En revue"),"E",IF($H43="Bloquée","B","P"))),""))</f>
        <v/>
      </c>
    </row>
    <row r="44">
      <c r="B44" s="50">
        <f>IF(Taches!B44="","",Taches!B44)</f>
        <v/>
      </c>
      <c r="C44" s="51">
        <f>IF(Taches!B44="","",Taches!F44)</f>
        <v/>
      </c>
      <c r="D44" s="50">
        <f>IF(Taches!B44="","",Taches!C44)</f>
        <v/>
      </c>
      <c r="E44" s="50">
        <f>IF(Taches!B44="","",Taches!D44)</f>
        <v/>
      </c>
      <c r="F44" s="52">
        <f>IF(Taches!P44="","",Taches!P44)</f>
        <v/>
      </c>
      <c r="G44" s="52">
        <f>IF(Taches!Q44="","",Taches!Q44)</f>
        <v/>
      </c>
      <c r="H44" s="50">
        <f>IF(Taches!B44="","",Taches!J44)</f>
        <v/>
      </c>
      <c r="I44" s="53">
        <f>IF(OR($F44="",$G44=""),"",IF(AND(I$5&lt;=$G44,I$5+6&gt;=$F44),IF($H44="Complétée","F",IF(OR($H44="En cours",$H44="En revue"),"E",IF($H44="Bloquée","B","P"))),""))</f>
        <v/>
      </c>
      <c r="J44" s="53">
        <f>IF(OR($F44="",$G44=""),"",IF(AND(J$5&lt;=$G44,J$5+6&gt;=$F44),IF($H44="Complétée","F",IF(OR($H44="En cours",$H44="En revue"),"E",IF($H44="Bloquée","B","P"))),""))</f>
        <v/>
      </c>
      <c r="K44" s="53">
        <f>IF(OR($F44="",$G44=""),"",IF(AND(K$5&lt;=$G44,K$5+6&gt;=$F44),IF($H44="Complétée","F",IF(OR($H44="En cours",$H44="En revue"),"E",IF($H44="Bloquée","B","P"))),""))</f>
        <v/>
      </c>
      <c r="L44" s="53">
        <f>IF(OR($F44="",$G44=""),"",IF(AND(L$5&lt;=$G44,L$5+6&gt;=$F44),IF($H44="Complétée","F",IF(OR($H44="En cours",$H44="En revue"),"E",IF($H44="Bloquée","B","P"))),""))</f>
        <v/>
      </c>
      <c r="M44" s="53">
        <f>IF(OR($F44="",$G44=""),"",IF(AND(M$5&lt;=$G44,M$5+6&gt;=$F44),IF($H44="Complétée","F",IF(OR($H44="En cours",$H44="En revue"),"E",IF($H44="Bloquée","B","P"))),""))</f>
        <v/>
      </c>
      <c r="N44" s="53">
        <f>IF(OR($F44="",$G44=""),"",IF(AND(N$5&lt;=$G44,N$5+6&gt;=$F44),IF($H44="Complétée","F",IF(OR($H44="En cours",$H44="En revue"),"E",IF($H44="Bloquée","B","P"))),""))</f>
        <v/>
      </c>
      <c r="O44" s="53">
        <f>IF(OR($F44="",$G44=""),"",IF(AND(O$5&lt;=$G44,O$5+6&gt;=$F44),IF($H44="Complétée","F",IF(OR($H44="En cours",$H44="En revue"),"E",IF($H44="Bloquée","B","P"))),""))</f>
        <v/>
      </c>
      <c r="P44" s="53">
        <f>IF(OR($F44="",$G44=""),"",IF(AND(P$5&lt;=$G44,P$5+6&gt;=$F44),IF($H44="Complétée","F",IF(OR($H44="En cours",$H44="En revue"),"E",IF($H44="Bloquée","B","P"))),""))</f>
        <v/>
      </c>
      <c r="Q44" s="53">
        <f>IF(OR($F44="",$G44=""),"",IF(AND(Q$5&lt;=$G44,Q$5+6&gt;=$F44),IF($H44="Complétée","F",IF(OR($H44="En cours",$H44="En revue"),"E",IF($H44="Bloquée","B","P"))),""))</f>
        <v/>
      </c>
      <c r="R44" s="53">
        <f>IF(OR($F44="",$G44=""),"",IF(AND(R$5&lt;=$G44,R$5+6&gt;=$F44),IF($H44="Complétée","F",IF(OR($H44="En cours",$H44="En revue"),"E",IF($H44="Bloquée","B","P"))),""))</f>
        <v/>
      </c>
      <c r="S44" s="53">
        <f>IF(OR($F44="",$G44=""),"",IF(AND(S$5&lt;=$G44,S$5+6&gt;=$F44),IF($H44="Complétée","F",IF(OR($H44="En cours",$H44="En revue"),"E",IF($H44="Bloquée","B","P"))),""))</f>
        <v/>
      </c>
      <c r="T44" s="53">
        <f>IF(OR($F44="",$G44=""),"",IF(AND(T$5&lt;=$G44,T$5+6&gt;=$F44),IF($H44="Complétée","F",IF(OR($H44="En cours",$H44="En revue"),"E",IF($H44="Bloquée","B","P"))),""))</f>
        <v/>
      </c>
      <c r="U44" s="53">
        <f>IF(OR($F44="",$G44=""),"",IF(AND(U$5&lt;=$G44,U$5+6&gt;=$F44),IF($H44="Complétée","F",IF(OR($H44="En cours",$H44="En revue"),"E",IF($H44="Bloquée","B","P"))),""))</f>
        <v/>
      </c>
      <c r="V44" s="53">
        <f>IF(OR($F44="",$G44=""),"",IF(AND(V$5&lt;=$G44,V$5+6&gt;=$F44),IF($H44="Complétée","F",IF(OR($H44="En cours",$H44="En revue"),"E",IF($H44="Bloquée","B","P"))),""))</f>
        <v/>
      </c>
      <c r="W44" s="53">
        <f>IF(OR($F44="",$G44=""),"",IF(AND(W$5&lt;=$G44,W$5+6&gt;=$F44),IF($H44="Complétée","F",IF(OR($H44="En cours",$H44="En revue"),"E",IF($H44="Bloquée","B","P"))),""))</f>
        <v/>
      </c>
      <c r="X44" s="53">
        <f>IF(OR($F44="",$G44=""),"",IF(AND(X$5&lt;=$G44,X$5+6&gt;=$F44),IF($H44="Complétée","F",IF(OR($H44="En cours",$H44="En revue"),"E",IF($H44="Bloquée","B","P"))),""))</f>
        <v/>
      </c>
      <c r="Y44" s="53">
        <f>IF(OR($F44="",$G44=""),"",IF(AND(Y$5&lt;=$G44,Y$5+6&gt;=$F44),IF($H44="Complétée","F",IF(OR($H44="En cours",$H44="En revue"),"E",IF($H44="Bloquée","B","P"))),""))</f>
        <v/>
      </c>
      <c r="Z44" s="53">
        <f>IF(OR($F44="",$G44=""),"",IF(AND(Z$5&lt;=$G44,Z$5+6&gt;=$F44),IF($H44="Complétée","F",IF(OR($H44="En cours",$H44="En revue"),"E",IF($H44="Bloquée","B","P"))),""))</f>
        <v/>
      </c>
      <c r="AA44" s="53">
        <f>IF(OR($F44="",$G44=""),"",IF(AND(AA$5&lt;=$G44,AA$5+6&gt;=$F44),IF($H44="Complétée","F",IF(OR($H44="En cours",$H44="En revue"),"E",IF($H44="Bloquée","B","P"))),""))</f>
        <v/>
      </c>
      <c r="AB44" s="53">
        <f>IF(OR($F44="",$G44=""),"",IF(AND(AB$5&lt;=$G44,AB$5+6&gt;=$F44),IF($H44="Complétée","F",IF(OR($H44="En cours",$H44="En revue"),"E",IF($H44="Bloquée","B","P"))),""))</f>
        <v/>
      </c>
      <c r="AC44" s="53">
        <f>IF(OR($F44="",$G44=""),"",IF(AND(AC$5&lt;=$G44,AC$5+6&gt;=$F44),IF($H44="Complétée","F",IF(OR($H44="En cours",$H44="En revue"),"E",IF($H44="Bloquée","B","P"))),""))</f>
        <v/>
      </c>
      <c r="AD44" s="53">
        <f>IF(OR($F44="",$G44=""),"",IF(AND(AD$5&lt;=$G44,AD$5+6&gt;=$F44),IF($H44="Complétée","F",IF(OR($H44="En cours",$H44="En revue"),"E",IF($H44="Bloquée","B","P"))),""))</f>
        <v/>
      </c>
      <c r="AE44" s="53">
        <f>IF(OR($F44="",$G44=""),"",IF(AND(AE$5&lt;=$G44,AE$5+6&gt;=$F44),IF($H44="Complétée","F",IF(OR($H44="En cours",$H44="En revue"),"E",IF($H44="Bloquée","B","P"))),""))</f>
        <v/>
      </c>
      <c r="AF44" s="53">
        <f>IF(OR($F44="",$G44=""),"",IF(AND(AF$5&lt;=$G44,AF$5+6&gt;=$F44),IF($H44="Complétée","F",IF(OR($H44="En cours",$H44="En revue"),"E",IF($H44="Bloquée","B","P"))),""))</f>
        <v/>
      </c>
      <c r="AG44" s="53">
        <f>IF(OR($F44="",$G44=""),"",IF(AND(AG$5&lt;=$G44,AG$5+6&gt;=$F44),IF($H44="Complétée","F",IF(OR($H44="En cours",$H44="En revue"),"E",IF($H44="Bloquée","B","P"))),""))</f>
        <v/>
      </c>
      <c r="AH44" s="53">
        <f>IF(OR($F44="",$G44=""),"",IF(AND(AH$5&lt;=$G44,AH$5+6&gt;=$F44),IF($H44="Complétée","F",IF(OR($H44="En cours",$H44="En revue"),"E",IF($H44="Bloquée","B","P"))),""))</f>
        <v/>
      </c>
      <c r="AI44" s="53">
        <f>IF(OR($F44="",$G44=""),"",IF(AND(AI$5&lt;=$G44,AI$5+6&gt;=$F44),IF($H44="Complétée","F",IF(OR($H44="En cours",$H44="En revue"),"E",IF($H44="Bloquée","B","P"))),""))</f>
        <v/>
      </c>
      <c r="AJ44" s="53">
        <f>IF(OR($F44="",$G44=""),"",IF(AND(AJ$5&lt;=$G44,AJ$5+6&gt;=$F44),IF($H44="Complétée","F",IF(OR($H44="En cours",$H44="En revue"),"E",IF($H44="Bloquée","B","P"))),""))</f>
        <v/>
      </c>
      <c r="AK44" s="53">
        <f>IF(OR($F44="",$G44=""),"",IF(AND(AK$5&lt;=$G44,AK$5+6&gt;=$F44),IF($H44="Complétée","F",IF(OR($H44="En cours",$H44="En revue"),"E",IF($H44="Bloquée","B","P"))),""))</f>
        <v/>
      </c>
      <c r="AL44" s="53">
        <f>IF(OR($F44="",$G44=""),"",IF(AND(AL$5&lt;=$G44,AL$5+6&gt;=$F44),IF($H44="Complétée","F",IF(OR($H44="En cours",$H44="En revue"),"E",IF($H44="Bloquée","B","P"))),""))</f>
        <v/>
      </c>
      <c r="AM44" s="53">
        <f>IF(OR($F44="",$G44=""),"",IF(AND(AM$5&lt;=$G44,AM$5+6&gt;=$F44),IF($H44="Complétée","F",IF(OR($H44="En cours",$H44="En revue"),"E",IF($H44="Bloquée","B","P"))),""))</f>
        <v/>
      </c>
      <c r="AN44" s="53">
        <f>IF(OR($F44="",$G44=""),"",IF(AND(AN$5&lt;=$G44,AN$5+6&gt;=$F44),IF($H44="Complétée","F",IF(OR($H44="En cours",$H44="En revue"),"E",IF($H44="Bloquée","B","P"))),""))</f>
        <v/>
      </c>
      <c r="AO44" s="53">
        <f>IF(OR($F44="",$G44=""),"",IF(AND(AO$5&lt;=$G44,AO$5+6&gt;=$F44),IF($H44="Complétée","F",IF(OR($H44="En cours",$H44="En revue"),"E",IF($H44="Bloquée","B","P"))),""))</f>
        <v/>
      </c>
      <c r="AP44" s="53">
        <f>IF(OR($F44="",$G44=""),"",IF(AND(AP$5&lt;=$G44,AP$5+6&gt;=$F44),IF($H44="Complétée","F",IF(OR($H44="En cours",$H44="En revue"),"E",IF($H44="Bloquée","B","P"))),""))</f>
        <v/>
      </c>
      <c r="AQ44" s="53">
        <f>IF(OR($F44="",$G44=""),"",IF(AND(AQ$5&lt;=$G44,AQ$5+6&gt;=$F44),IF($H44="Complétée","F",IF(OR($H44="En cours",$H44="En revue"),"E",IF($H44="Bloquée","B","P"))),""))</f>
        <v/>
      </c>
      <c r="AR44" s="53">
        <f>IF(OR($F44="",$G44=""),"",IF(AND(AR$5&lt;=$G44,AR$5+6&gt;=$F44),IF($H44="Complétée","F",IF(OR($H44="En cours",$H44="En revue"),"E",IF($H44="Bloquée","B","P"))),""))</f>
        <v/>
      </c>
      <c r="AS44" s="53">
        <f>IF(OR($F44="",$G44=""),"",IF(AND(AS$5&lt;=$G44,AS$5+6&gt;=$F44),IF($H44="Complétée","F",IF(OR($H44="En cours",$H44="En revue"),"E",IF($H44="Bloquée","B","P"))),""))</f>
        <v/>
      </c>
      <c r="AT44" s="53">
        <f>IF(OR($F44="",$G44=""),"",IF(AND(AT$5&lt;=$G44,AT$5+6&gt;=$F44),IF($H44="Complétée","F",IF(OR($H44="En cours",$H44="En revue"),"E",IF($H44="Bloquée","B","P"))),""))</f>
        <v/>
      </c>
      <c r="AU44" s="53">
        <f>IF(OR($F44="",$G44=""),"",IF(AND(AU$5&lt;=$G44,AU$5+6&gt;=$F44),IF($H44="Complétée","F",IF(OR($H44="En cours",$H44="En revue"),"E",IF($H44="Bloquée","B","P"))),""))</f>
        <v/>
      </c>
      <c r="AV44" s="53">
        <f>IF(OR($F44="",$G44=""),"",IF(AND(AV$5&lt;=$G44,AV$5+6&gt;=$F44),IF($H44="Complétée","F",IF(OR($H44="En cours",$H44="En revue"),"E",IF($H44="Bloquée","B","P"))),""))</f>
        <v/>
      </c>
      <c r="AW44" s="53">
        <f>IF(OR($F44="",$G44=""),"",IF(AND(AW$5&lt;=$G44,AW$5+6&gt;=$F44),IF($H44="Complétée","F",IF(OR($H44="En cours",$H44="En revue"),"E",IF($H44="Bloquée","B","P"))),""))</f>
        <v/>
      </c>
    </row>
    <row r="45">
      <c r="B45" s="50">
        <f>IF(Taches!B45="","",Taches!B45)</f>
        <v/>
      </c>
      <c r="C45" s="51">
        <f>IF(Taches!B45="","",Taches!F45)</f>
        <v/>
      </c>
      <c r="D45" s="50">
        <f>IF(Taches!B45="","",Taches!C45)</f>
        <v/>
      </c>
      <c r="E45" s="50">
        <f>IF(Taches!B45="","",Taches!D45)</f>
        <v/>
      </c>
      <c r="F45" s="52">
        <f>IF(Taches!P45="","",Taches!P45)</f>
        <v/>
      </c>
      <c r="G45" s="52">
        <f>IF(Taches!Q45="","",Taches!Q45)</f>
        <v/>
      </c>
      <c r="H45" s="50">
        <f>IF(Taches!B45="","",Taches!J45)</f>
        <v/>
      </c>
      <c r="I45" s="53">
        <f>IF(OR($F45="",$G45=""),"",IF(AND(I$5&lt;=$G45,I$5+6&gt;=$F45),IF($H45="Complétée","F",IF(OR($H45="En cours",$H45="En revue"),"E",IF($H45="Bloquée","B","P"))),""))</f>
        <v/>
      </c>
      <c r="J45" s="53">
        <f>IF(OR($F45="",$G45=""),"",IF(AND(J$5&lt;=$G45,J$5+6&gt;=$F45),IF($H45="Complétée","F",IF(OR($H45="En cours",$H45="En revue"),"E",IF($H45="Bloquée","B","P"))),""))</f>
        <v/>
      </c>
      <c r="K45" s="53">
        <f>IF(OR($F45="",$G45=""),"",IF(AND(K$5&lt;=$G45,K$5+6&gt;=$F45),IF($H45="Complétée","F",IF(OR($H45="En cours",$H45="En revue"),"E",IF($H45="Bloquée","B","P"))),""))</f>
        <v/>
      </c>
      <c r="L45" s="53">
        <f>IF(OR($F45="",$G45=""),"",IF(AND(L$5&lt;=$G45,L$5+6&gt;=$F45),IF($H45="Complétée","F",IF(OR($H45="En cours",$H45="En revue"),"E",IF($H45="Bloquée","B","P"))),""))</f>
        <v/>
      </c>
      <c r="M45" s="53">
        <f>IF(OR($F45="",$G45=""),"",IF(AND(M$5&lt;=$G45,M$5+6&gt;=$F45),IF($H45="Complétée","F",IF(OR($H45="En cours",$H45="En revue"),"E",IF($H45="Bloquée","B","P"))),""))</f>
        <v/>
      </c>
      <c r="N45" s="53">
        <f>IF(OR($F45="",$G45=""),"",IF(AND(N$5&lt;=$G45,N$5+6&gt;=$F45),IF($H45="Complétée","F",IF(OR($H45="En cours",$H45="En revue"),"E",IF($H45="Bloquée","B","P"))),""))</f>
        <v/>
      </c>
      <c r="O45" s="53">
        <f>IF(OR($F45="",$G45=""),"",IF(AND(O$5&lt;=$G45,O$5+6&gt;=$F45),IF($H45="Complétée","F",IF(OR($H45="En cours",$H45="En revue"),"E",IF($H45="Bloquée","B","P"))),""))</f>
        <v/>
      </c>
      <c r="P45" s="53">
        <f>IF(OR($F45="",$G45=""),"",IF(AND(P$5&lt;=$G45,P$5+6&gt;=$F45),IF($H45="Complétée","F",IF(OR($H45="En cours",$H45="En revue"),"E",IF($H45="Bloquée","B","P"))),""))</f>
        <v/>
      </c>
      <c r="Q45" s="53">
        <f>IF(OR($F45="",$G45=""),"",IF(AND(Q$5&lt;=$G45,Q$5+6&gt;=$F45),IF($H45="Complétée","F",IF(OR($H45="En cours",$H45="En revue"),"E",IF($H45="Bloquée","B","P"))),""))</f>
        <v/>
      </c>
      <c r="R45" s="53">
        <f>IF(OR($F45="",$G45=""),"",IF(AND(R$5&lt;=$G45,R$5+6&gt;=$F45),IF($H45="Complétée","F",IF(OR($H45="En cours",$H45="En revue"),"E",IF($H45="Bloquée","B","P"))),""))</f>
        <v/>
      </c>
      <c r="S45" s="53">
        <f>IF(OR($F45="",$G45=""),"",IF(AND(S$5&lt;=$G45,S$5+6&gt;=$F45),IF($H45="Complétée","F",IF(OR($H45="En cours",$H45="En revue"),"E",IF($H45="Bloquée","B","P"))),""))</f>
        <v/>
      </c>
      <c r="T45" s="53">
        <f>IF(OR($F45="",$G45=""),"",IF(AND(T$5&lt;=$G45,T$5+6&gt;=$F45),IF($H45="Complétée","F",IF(OR($H45="En cours",$H45="En revue"),"E",IF($H45="Bloquée","B","P"))),""))</f>
        <v/>
      </c>
      <c r="U45" s="53">
        <f>IF(OR($F45="",$G45=""),"",IF(AND(U$5&lt;=$G45,U$5+6&gt;=$F45),IF($H45="Complétée","F",IF(OR($H45="En cours",$H45="En revue"),"E",IF($H45="Bloquée","B","P"))),""))</f>
        <v/>
      </c>
      <c r="V45" s="53">
        <f>IF(OR($F45="",$G45=""),"",IF(AND(V$5&lt;=$G45,V$5+6&gt;=$F45),IF($H45="Complétée","F",IF(OR($H45="En cours",$H45="En revue"),"E",IF($H45="Bloquée","B","P"))),""))</f>
        <v/>
      </c>
      <c r="W45" s="53">
        <f>IF(OR($F45="",$G45=""),"",IF(AND(W$5&lt;=$G45,W$5+6&gt;=$F45),IF($H45="Complétée","F",IF(OR($H45="En cours",$H45="En revue"),"E",IF($H45="Bloquée","B","P"))),""))</f>
        <v/>
      </c>
      <c r="X45" s="53">
        <f>IF(OR($F45="",$G45=""),"",IF(AND(X$5&lt;=$G45,X$5+6&gt;=$F45),IF($H45="Complétée","F",IF(OR($H45="En cours",$H45="En revue"),"E",IF($H45="Bloquée","B","P"))),""))</f>
        <v/>
      </c>
      <c r="Y45" s="53">
        <f>IF(OR($F45="",$G45=""),"",IF(AND(Y$5&lt;=$G45,Y$5+6&gt;=$F45),IF($H45="Complétée","F",IF(OR($H45="En cours",$H45="En revue"),"E",IF($H45="Bloquée","B","P"))),""))</f>
        <v/>
      </c>
      <c r="Z45" s="53">
        <f>IF(OR($F45="",$G45=""),"",IF(AND(Z$5&lt;=$G45,Z$5+6&gt;=$F45),IF($H45="Complétée","F",IF(OR($H45="En cours",$H45="En revue"),"E",IF($H45="Bloquée","B","P"))),""))</f>
        <v/>
      </c>
      <c r="AA45" s="53">
        <f>IF(OR($F45="",$G45=""),"",IF(AND(AA$5&lt;=$G45,AA$5+6&gt;=$F45),IF($H45="Complétée","F",IF(OR($H45="En cours",$H45="En revue"),"E",IF($H45="Bloquée","B","P"))),""))</f>
        <v/>
      </c>
      <c r="AB45" s="53">
        <f>IF(OR($F45="",$G45=""),"",IF(AND(AB$5&lt;=$G45,AB$5+6&gt;=$F45),IF($H45="Complétée","F",IF(OR($H45="En cours",$H45="En revue"),"E",IF($H45="Bloquée","B","P"))),""))</f>
        <v/>
      </c>
      <c r="AC45" s="53">
        <f>IF(OR($F45="",$G45=""),"",IF(AND(AC$5&lt;=$G45,AC$5+6&gt;=$F45),IF($H45="Complétée","F",IF(OR($H45="En cours",$H45="En revue"),"E",IF($H45="Bloquée","B","P"))),""))</f>
        <v/>
      </c>
      <c r="AD45" s="53">
        <f>IF(OR($F45="",$G45=""),"",IF(AND(AD$5&lt;=$G45,AD$5+6&gt;=$F45),IF($H45="Complétée","F",IF(OR($H45="En cours",$H45="En revue"),"E",IF($H45="Bloquée","B","P"))),""))</f>
        <v/>
      </c>
      <c r="AE45" s="53">
        <f>IF(OR($F45="",$G45=""),"",IF(AND(AE$5&lt;=$G45,AE$5+6&gt;=$F45),IF($H45="Complétée","F",IF(OR($H45="En cours",$H45="En revue"),"E",IF($H45="Bloquée","B","P"))),""))</f>
        <v/>
      </c>
      <c r="AF45" s="53">
        <f>IF(OR($F45="",$G45=""),"",IF(AND(AF$5&lt;=$G45,AF$5+6&gt;=$F45),IF($H45="Complétée","F",IF(OR($H45="En cours",$H45="En revue"),"E",IF($H45="Bloquée","B","P"))),""))</f>
        <v/>
      </c>
      <c r="AG45" s="53">
        <f>IF(OR($F45="",$G45=""),"",IF(AND(AG$5&lt;=$G45,AG$5+6&gt;=$F45),IF($H45="Complétée","F",IF(OR($H45="En cours",$H45="En revue"),"E",IF($H45="Bloquée","B","P"))),""))</f>
        <v/>
      </c>
      <c r="AH45" s="53">
        <f>IF(OR($F45="",$G45=""),"",IF(AND(AH$5&lt;=$G45,AH$5+6&gt;=$F45),IF($H45="Complétée","F",IF(OR($H45="En cours",$H45="En revue"),"E",IF($H45="Bloquée","B","P"))),""))</f>
        <v/>
      </c>
      <c r="AI45" s="53">
        <f>IF(OR($F45="",$G45=""),"",IF(AND(AI$5&lt;=$G45,AI$5+6&gt;=$F45),IF($H45="Complétée","F",IF(OR($H45="En cours",$H45="En revue"),"E",IF($H45="Bloquée","B","P"))),""))</f>
        <v/>
      </c>
      <c r="AJ45" s="53">
        <f>IF(OR($F45="",$G45=""),"",IF(AND(AJ$5&lt;=$G45,AJ$5+6&gt;=$F45),IF($H45="Complétée","F",IF(OR($H45="En cours",$H45="En revue"),"E",IF($H45="Bloquée","B","P"))),""))</f>
        <v/>
      </c>
      <c r="AK45" s="53">
        <f>IF(OR($F45="",$G45=""),"",IF(AND(AK$5&lt;=$G45,AK$5+6&gt;=$F45),IF($H45="Complétée","F",IF(OR($H45="En cours",$H45="En revue"),"E",IF($H45="Bloquée","B","P"))),""))</f>
        <v/>
      </c>
      <c r="AL45" s="53">
        <f>IF(OR($F45="",$G45=""),"",IF(AND(AL$5&lt;=$G45,AL$5+6&gt;=$F45),IF($H45="Complétée","F",IF(OR($H45="En cours",$H45="En revue"),"E",IF($H45="Bloquée","B","P"))),""))</f>
        <v/>
      </c>
      <c r="AM45" s="53">
        <f>IF(OR($F45="",$G45=""),"",IF(AND(AM$5&lt;=$G45,AM$5+6&gt;=$F45),IF($H45="Complétée","F",IF(OR($H45="En cours",$H45="En revue"),"E",IF($H45="Bloquée","B","P"))),""))</f>
        <v/>
      </c>
      <c r="AN45" s="53">
        <f>IF(OR($F45="",$G45=""),"",IF(AND(AN$5&lt;=$G45,AN$5+6&gt;=$F45),IF($H45="Complétée","F",IF(OR($H45="En cours",$H45="En revue"),"E",IF($H45="Bloquée","B","P"))),""))</f>
        <v/>
      </c>
      <c r="AO45" s="53">
        <f>IF(OR($F45="",$G45=""),"",IF(AND(AO$5&lt;=$G45,AO$5+6&gt;=$F45),IF($H45="Complétée","F",IF(OR($H45="En cours",$H45="En revue"),"E",IF($H45="Bloquée","B","P"))),""))</f>
        <v/>
      </c>
      <c r="AP45" s="53">
        <f>IF(OR($F45="",$G45=""),"",IF(AND(AP$5&lt;=$G45,AP$5+6&gt;=$F45),IF($H45="Complétée","F",IF(OR($H45="En cours",$H45="En revue"),"E",IF($H45="Bloquée","B","P"))),""))</f>
        <v/>
      </c>
      <c r="AQ45" s="53">
        <f>IF(OR($F45="",$G45=""),"",IF(AND(AQ$5&lt;=$G45,AQ$5+6&gt;=$F45),IF($H45="Complétée","F",IF(OR($H45="En cours",$H45="En revue"),"E",IF($H45="Bloquée","B","P"))),""))</f>
        <v/>
      </c>
      <c r="AR45" s="53">
        <f>IF(OR($F45="",$G45=""),"",IF(AND(AR$5&lt;=$G45,AR$5+6&gt;=$F45),IF($H45="Complétée","F",IF(OR($H45="En cours",$H45="En revue"),"E",IF($H45="Bloquée","B","P"))),""))</f>
        <v/>
      </c>
      <c r="AS45" s="53">
        <f>IF(OR($F45="",$G45=""),"",IF(AND(AS$5&lt;=$G45,AS$5+6&gt;=$F45),IF($H45="Complétée","F",IF(OR($H45="En cours",$H45="En revue"),"E",IF($H45="Bloquée","B","P"))),""))</f>
        <v/>
      </c>
      <c r="AT45" s="53">
        <f>IF(OR($F45="",$G45=""),"",IF(AND(AT$5&lt;=$G45,AT$5+6&gt;=$F45),IF($H45="Complétée","F",IF(OR($H45="En cours",$H45="En revue"),"E",IF($H45="Bloquée","B","P"))),""))</f>
        <v/>
      </c>
      <c r="AU45" s="53">
        <f>IF(OR($F45="",$G45=""),"",IF(AND(AU$5&lt;=$G45,AU$5+6&gt;=$F45),IF($H45="Complétée","F",IF(OR($H45="En cours",$H45="En revue"),"E",IF($H45="Bloquée","B","P"))),""))</f>
        <v/>
      </c>
      <c r="AV45" s="53">
        <f>IF(OR($F45="",$G45=""),"",IF(AND(AV$5&lt;=$G45,AV$5+6&gt;=$F45),IF($H45="Complétée","F",IF(OR($H45="En cours",$H45="En revue"),"E",IF($H45="Bloquée","B","P"))),""))</f>
        <v/>
      </c>
      <c r="AW45" s="53">
        <f>IF(OR($F45="",$G45=""),"",IF(AND(AW$5&lt;=$G45,AW$5+6&gt;=$F45),IF($H45="Complétée","F",IF(OR($H45="En cours",$H45="En revue"),"E",IF($H45="Bloquée","B","P"))),""))</f>
        <v/>
      </c>
    </row>
    <row r="46">
      <c r="B46" s="50">
        <f>IF(Taches!B46="","",Taches!B46)</f>
        <v/>
      </c>
      <c r="C46" s="51">
        <f>IF(Taches!B46="","",Taches!F46)</f>
        <v/>
      </c>
      <c r="D46" s="50">
        <f>IF(Taches!B46="","",Taches!C46)</f>
        <v/>
      </c>
      <c r="E46" s="50">
        <f>IF(Taches!B46="","",Taches!D46)</f>
        <v/>
      </c>
      <c r="F46" s="52">
        <f>IF(Taches!P46="","",Taches!P46)</f>
        <v/>
      </c>
      <c r="G46" s="52">
        <f>IF(Taches!Q46="","",Taches!Q46)</f>
        <v/>
      </c>
      <c r="H46" s="50">
        <f>IF(Taches!B46="","",Taches!J46)</f>
        <v/>
      </c>
      <c r="I46" s="53">
        <f>IF(OR($F46="",$G46=""),"",IF(AND(I$5&lt;=$G46,I$5+6&gt;=$F46),IF($H46="Complétée","F",IF(OR($H46="En cours",$H46="En revue"),"E",IF($H46="Bloquée","B","P"))),""))</f>
        <v/>
      </c>
      <c r="J46" s="53">
        <f>IF(OR($F46="",$G46=""),"",IF(AND(J$5&lt;=$G46,J$5+6&gt;=$F46),IF($H46="Complétée","F",IF(OR($H46="En cours",$H46="En revue"),"E",IF($H46="Bloquée","B","P"))),""))</f>
        <v/>
      </c>
      <c r="K46" s="53">
        <f>IF(OR($F46="",$G46=""),"",IF(AND(K$5&lt;=$G46,K$5+6&gt;=$F46),IF($H46="Complétée","F",IF(OR($H46="En cours",$H46="En revue"),"E",IF($H46="Bloquée","B","P"))),""))</f>
        <v/>
      </c>
      <c r="L46" s="53">
        <f>IF(OR($F46="",$G46=""),"",IF(AND(L$5&lt;=$G46,L$5+6&gt;=$F46),IF($H46="Complétée","F",IF(OR($H46="En cours",$H46="En revue"),"E",IF($H46="Bloquée","B","P"))),""))</f>
        <v/>
      </c>
      <c r="M46" s="53">
        <f>IF(OR($F46="",$G46=""),"",IF(AND(M$5&lt;=$G46,M$5+6&gt;=$F46),IF($H46="Complétée","F",IF(OR($H46="En cours",$H46="En revue"),"E",IF($H46="Bloquée","B","P"))),""))</f>
        <v/>
      </c>
      <c r="N46" s="53">
        <f>IF(OR($F46="",$G46=""),"",IF(AND(N$5&lt;=$G46,N$5+6&gt;=$F46),IF($H46="Complétée","F",IF(OR($H46="En cours",$H46="En revue"),"E",IF($H46="Bloquée","B","P"))),""))</f>
        <v/>
      </c>
      <c r="O46" s="53">
        <f>IF(OR($F46="",$G46=""),"",IF(AND(O$5&lt;=$G46,O$5+6&gt;=$F46),IF($H46="Complétée","F",IF(OR($H46="En cours",$H46="En revue"),"E",IF($H46="Bloquée","B","P"))),""))</f>
        <v/>
      </c>
      <c r="P46" s="53">
        <f>IF(OR($F46="",$G46=""),"",IF(AND(P$5&lt;=$G46,P$5+6&gt;=$F46),IF($H46="Complétée","F",IF(OR($H46="En cours",$H46="En revue"),"E",IF($H46="Bloquée","B","P"))),""))</f>
        <v/>
      </c>
      <c r="Q46" s="53">
        <f>IF(OR($F46="",$G46=""),"",IF(AND(Q$5&lt;=$G46,Q$5+6&gt;=$F46),IF($H46="Complétée","F",IF(OR($H46="En cours",$H46="En revue"),"E",IF($H46="Bloquée","B","P"))),""))</f>
        <v/>
      </c>
      <c r="R46" s="53">
        <f>IF(OR($F46="",$G46=""),"",IF(AND(R$5&lt;=$G46,R$5+6&gt;=$F46),IF($H46="Complétée","F",IF(OR($H46="En cours",$H46="En revue"),"E",IF($H46="Bloquée","B","P"))),""))</f>
        <v/>
      </c>
      <c r="S46" s="53">
        <f>IF(OR($F46="",$G46=""),"",IF(AND(S$5&lt;=$G46,S$5+6&gt;=$F46),IF($H46="Complétée","F",IF(OR($H46="En cours",$H46="En revue"),"E",IF($H46="Bloquée","B","P"))),""))</f>
        <v/>
      </c>
      <c r="T46" s="53">
        <f>IF(OR($F46="",$G46=""),"",IF(AND(T$5&lt;=$G46,T$5+6&gt;=$F46),IF($H46="Complétée","F",IF(OR($H46="En cours",$H46="En revue"),"E",IF($H46="Bloquée","B","P"))),""))</f>
        <v/>
      </c>
      <c r="U46" s="53">
        <f>IF(OR($F46="",$G46=""),"",IF(AND(U$5&lt;=$G46,U$5+6&gt;=$F46),IF($H46="Complétée","F",IF(OR($H46="En cours",$H46="En revue"),"E",IF($H46="Bloquée","B","P"))),""))</f>
        <v/>
      </c>
      <c r="V46" s="53">
        <f>IF(OR($F46="",$G46=""),"",IF(AND(V$5&lt;=$G46,V$5+6&gt;=$F46),IF($H46="Complétée","F",IF(OR($H46="En cours",$H46="En revue"),"E",IF($H46="Bloquée","B","P"))),""))</f>
        <v/>
      </c>
      <c r="W46" s="53">
        <f>IF(OR($F46="",$G46=""),"",IF(AND(W$5&lt;=$G46,W$5+6&gt;=$F46),IF($H46="Complétée","F",IF(OR($H46="En cours",$H46="En revue"),"E",IF($H46="Bloquée","B","P"))),""))</f>
        <v/>
      </c>
      <c r="X46" s="53">
        <f>IF(OR($F46="",$G46=""),"",IF(AND(X$5&lt;=$G46,X$5+6&gt;=$F46),IF($H46="Complétée","F",IF(OR($H46="En cours",$H46="En revue"),"E",IF($H46="Bloquée","B","P"))),""))</f>
        <v/>
      </c>
      <c r="Y46" s="53">
        <f>IF(OR($F46="",$G46=""),"",IF(AND(Y$5&lt;=$G46,Y$5+6&gt;=$F46),IF($H46="Complétée","F",IF(OR($H46="En cours",$H46="En revue"),"E",IF($H46="Bloquée","B","P"))),""))</f>
        <v/>
      </c>
      <c r="Z46" s="53">
        <f>IF(OR($F46="",$G46=""),"",IF(AND(Z$5&lt;=$G46,Z$5+6&gt;=$F46),IF($H46="Complétée","F",IF(OR($H46="En cours",$H46="En revue"),"E",IF($H46="Bloquée","B","P"))),""))</f>
        <v/>
      </c>
      <c r="AA46" s="53">
        <f>IF(OR($F46="",$G46=""),"",IF(AND(AA$5&lt;=$G46,AA$5+6&gt;=$F46),IF($H46="Complétée","F",IF(OR($H46="En cours",$H46="En revue"),"E",IF($H46="Bloquée","B","P"))),""))</f>
        <v/>
      </c>
      <c r="AB46" s="53">
        <f>IF(OR($F46="",$G46=""),"",IF(AND(AB$5&lt;=$G46,AB$5+6&gt;=$F46),IF($H46="Complétée","F",IF(OR($H46="En cours",$H46="En revue"),"E",IF($H46="Bloquée","B","P"))),""))</f>
        <v/>
      </c>
      <c r="AC46" s="53">
        <f>IF(OR($F46="",$G46=""),"",IF(AND(AC$5&lt;=$G46,AC$5+6&gt;=$F46),IF($H46="Complétée","F",IF(OR($H46="En cours",$H46="En revue"),"E",IF($H46="Bloquée","B","P"))),""))</f>
        <v/>
      </c>
      <c r="AD46" s="53">
        <f>IF(OR($F46="",$G46=""),"",IF(AND(AD$5&lt;=$G46,AD$5+6&gt;=$F46),IF($H46="Complétée","F",IF(OR($H46="En cours",$H46="En revue"),"E",IF($H46="Bloquée","B","P"))),""))</f>
        <v/>
      </c>
      <c r="AE46" s="53">
        <f>IF(OR($F46="",$G46=""),"",IF(AND(AE$5&lt;=$G46,AE$5+6&gt;=$F46),IF($H46="Complétée","F",IF(OR($H46="En cours",$H46="En revue"),"E",IF($H46="Bloquée","B","P"))),""))</f>
        <v/>
      </c>
      <c r="AF46" s="53">
        <f>IF(OR($F46="",$G46=""),"",IF(AND(AF$5&lt;=$G46,AF$5+6&gt;=$F46),IF($H46="Complétée","F",IF(OR($H46="En cours",$H46="En revue"),"E",IF($H46="Bloquée","B","P"))),""))</f>
        <v/>
      </c>
      <c r="AG46" s="53">
        <f>IF(OR($F46="",$G46=""),"",IF(AND(AG$5&lt;=$G46,AG$5+6&gt;=$F46),IF($H46="Complétée","F",IF(OR($H46="En cours",$H46="En revue"),"E",IF($H46="Bloquée","B","P"))),""))</f>
        <v/>
      </c>
      <c r="AH46" s="53">
        <f>IF(OR($F46="",$G46=""),"",IF(AND(AH$5&lt;=$G46,AH$5+6&gt;=$F46),IF($H46="Complétée","F",IF(OR($H46="En cours",$H46="En revue"),"E",IF($H46="Bloquée","B","P"))),""))</f>
        <v/>
      </c>
      <c r="AI46" s="53">
        <f>IF(OR($F46="",$G46=""),"",IF(AND(AI$5&lt;=$G46,AI$5+6&gt;=$F46),IF($H46="Complétée","F",IF(OR($H46="En cours",$H46="En revue"),"E",IF($H46="Bloquée","B","P"))),""))</f>
        <v/>
      </c>
      <c r="AJ46" s="53">
        <f>IF(OR($F46="",$G46=""),"",IF(AND(AJ$5&lt;=$G46,AJ$5+6&gt;=$F46),IF($H46="Complétée","F",IF(OR($H46="En cours",$H46="En revue"),"E",IF($H46="Bloquée","B","P"))),""))</f>
        <v/>
      </c>
      <c r="AK46" s="53">
        <f>IF(OR($F46="",$G46=""),"",IF(AND(AK$5&lt;=$G46,AK$5+6&gt;=$F46),IF($H46="Complétée","F",IF(OR($H46="En cours",$H46="En revue"),"E",IF($H46="Bloquée","B","P"))),""))</f>
        <v/>
      </c>
      <c r="AL46" s="53">
        <f>IF(OR($F46="",$G46=""),"",IF(AND(AL$5&lt;=$G46,AL$5+6&gt;=$F46),IF($H46="Complétée","F",IF(OR($H46="En cours",$H46="En revue"),"E",IF($H46="Bloquée","B","P"))),""))</f>
        <v/>
      </c>
      <c r="AM46" s="53">
        <f>IF(OR($F46="",$G46=""),"",IF(AND(AM$5&lt;=$G46,AM$5+6&gt;=$F46),IF($H46="Complétée","F",IF(OR($H46="En cours",$H46="En revue"),"E",IF($H46="Bloquée","B","P"))),""))</f>
        <v/>
      </c>
      <c r="AN46" s="53">
        <f>IF(OR($F46="",$G46=""),"",IF(AND(AN$5&lt;=$G46,AN$5+6&gt;=$F46),IF($H46="Complétée","F",IF(OR($H46="En cours",$H46="En revue"),"E",IF($H46="Bloquée","B","P"))),""))</f>
        <v/>
      </c>
      <c r="AO46" s="53">
        <f>IF(OR($F46="",$G46=""),"",IF(AND(AO$5&lt;=$G46,AO$5+6&gt;=$F46),IF($H46="Complétée","F",IF(OR($H46="En cours",$H46="En revue"),"E",IF($H46="Bloquée","B","P"))),""))</f>
        <v/>
      </c>
      <c r="AP46" s="53">
        <f>IF(OR($F46="",$G46=""),"",IF(AND(AP$5&lt;=$G46,AP$5+6&gt;=$F46),IF($H46="Complétée","F",IF(OR($H46="En cours",$H46="En revue"),"E",IF($H46="Bloquée","B","P"))),""))</f>
        <v/>
      </c>
      <c r="AQ46" s="53">
        <f>IF(OR($F46="",$G46=""),"",IF(AND(AQ$5&lt;=$G46,AQ$5+6&gt;=$F46),IF($H46="Complétée","F",IF(OR($H46="En cours",$H46="En revue"),"E",IF($H46="Bloquée","B","P"))),""))</f>
        <v/>
      </c>
      <c r="AR46" s="53">
        <f>IF(OR($F46="",$G46=""),"",IF(AND(AR$5&lt;=$G46,AR$5+6&gt;=$F46),IF($H46="Complétée","F",IF(OR($H46="En cours",$H46="En revue"),"E",IF($H46="Bloquée","B","P"))),""))</f>
        <v/>
      </c>
      <c r="AS46" s="53">
        <f>IF(OR($F46="",$G46=""),"",IF(AND(AS$5&lt;=$G46,AS$5+6&gt;=$F46),IF($H46="Complétée","F",IF(OR($H46="En cours",$H46="En revue"),"E",IF($H46="Bloquée","B","P"))),""))</f>
        <v/>
      </c>
      <c r="AT46" s="53">
        <f>IF(OR($F46="",$G46=""),"",IF(AND(AT$5&lt;=$G46,AT$5+6&gt;=$F46),IF($H46="Complétée","F",IF(OR($H46="En cours",$H46="En revue"),"E",IF($H46="Bloquée","B","P"))),""))</f>
        <v/>
      </c>
      <c r="AU46" s="53">
        <f>IF(OR($F46="",$G46=""),"",IF(AND(AU$5&lt;=$G46,AU$5+6&gt;=$F46),IF($H46="Complétée","F",IF(OR($H46="En cours",$H46="En revue"),"E",IF($H46="Bloquée","B","P"))),""))</f>
        <v/>
      </c>
      <c r="AV46" s="53">
        <f>IF(OR($F46="",$G46=""),"",IF(AND(AV$5&lt;=$G46,AV$5+6&gt;=$F46),IF($H46="Complétée","F",IF(OR($H46="En cours",$H46="En revue"),"E",IF($H46="Bloquée","B","P"))),""))</f>
        <v/>
      </c>
      <c r="AW46" s="53">
        <f>IF(OR($F46="",$G46=""),"",IF(AND(AW$5&lt;=$G46,AW$5+6&gt;=$F46),IF($H46="Complétée","F",IF(OR($H46="En cours",$H46="En revue"),"E",IF($H46="Bloquée","B","P"))),""))</f>
        <v/>
      </c>
    </row>
    <row r="47">
      <c r="B47" s="50">
        <f>IF(Taches!B47="","",Taches!B47)</f>
        <v/>
      </c>
      <c r="C47" s="51">
        <f>IF(Taches!B47="","",Taches!F47)</f>
        <v/>
      </c>
      <c r="D47" s="50">
        <f>IF(Taches!B47="","",Taches!C47)</f>
        <v/>
      </c>
      <c r="E47" s="50">
        <f>IF(Taches!B47="","",Taches!D47)</f>
        <v/>
      </c>
      <c r="F47" s="52">
        <f>IF(Taches!P47="","",Taches!P47)</f>
        <v/>
      </c>
      <c r="G47" s="52">
        <f>IF(Taches!Q47="","",Taches!Q47)</f>
        <v/>
      </c>
      <c r="H47" s="50">
        <f>IF(Taches!B47="","",Taches!J47)</f>
        <v/>
      </c>
      <c r="I47" s="53">
        <f>IF(OR($F47="",$G47=""),"",IF(AND(I$5&lt;=$G47,I$5+6&gt;=$F47),IF($H47="Complétée","F",IF(OR($H47="En cours",$H47="En revue"),"E",IF($H47="Bloquée","B","P"))),""))</f>
        <v/>
      </c>
      <c r="J47" s="53">
        <f>IF(OR($F47="",$G47=""),"",IF(AND(J$5&lt;=$G47,J$5+6&gt;=$F47),IF($H47="Complétée","F",IF(OR($H47="En cours",$H47="En revue"),"E",IF($H47="Bloquée","B","P"))),""))</f>
        <v/>
      </c>
      <c r="K47" s="53">
        <f>IF(OR($F47="",$G47=""),"",IF(AND(K$5&lt;=$G47,K$5+6&gt;=$F47),IF($H47="Complétée","F",IF(OR($H47="En cours",$H47="En revue"),"E",IF($H47="Bloquée","B","P"))),""))</f>
        <v/>
      </c>
      <c r="L47" s="53">
        <f>IF(OR($F47="",$G47=""),"",IF(AND(L$5&lt;=$G47,L$5+6&gt;=$F47),IF($H47="Complétée","F",IF(OR($H47="En cours",$H47="En revue"),"E",IF($H47="Bloquée","B","P"))),""))</f>
        <v/>
      </c>
      <c r="M47" s="53">
        <f>IF(OR($F47="",$G47=""),"",IF(AND(M$5&lt;=$G47,M$5+6&gt;=$F47),IF($H47="Complétée","F",IF(OR($H47="En cours",$H47="En revue"),"E",IF($H47="Bloquée","B","P"))),""))</f>
        <v/>
      </c>
      <c r="N47" s="53">
        <f>IF(OR($F47="",$G47=""),"",IF(AND(N$5&lt;=$G47,N$5+6&gt;=$F47),IF($H47="Complétée","F",IF(OR($H47="En cours",$H47="En revue"),"E",IF($H47="Bloquée","B","P"))),""))</f>
        <v/>
      </c>
      <c r="O47" s="53">
        <f>IF(OR($F47="",$G47=""),"",IF(AND(O$5&lt;=$G47,O$5+6&gt;=$F47),IF($H47="Complétée","F",IF(OR($H47="En cours",$H47="En revue"),"E",IF($H47="Bloquée","B","P"))),""))</f>
        <v/>
      </c>
      <c r="P47" s="53">
        <f>IF(OR($F47="",$G47=""),"",IF(AND(P$5&lt;=$G47,P$5+6&gt;=$F47),IF($H47="Complétée","F",IF(OR($H47="En cours",$H47="En revue"),"E",IF($H47="Bloquée","B","P"))),""))</f>
        <v/>
      </c>
      <c r="Q47" s="53">
        <f>IF(OR($F47="",$G47=""),"",IF(AND(Q$5&lt;=$G47,Q$5+6&gt;=$F47),IF($H47="Complétée","F",IF(OR($H47="En cours",$H47="En revue"),"E",IF($H47="Bloquée","B","P"))),""))</f>
        <v/>
      </c>
      <c r="R47" s="53">
        <f>IF(OR($F47="",$G47=""),"",IF(AND(R$5&lt;=$G47,R$5+6&gt;=$F47),IF($H47="Complétée","F",IF(OR($H47="En cours",$H47="En revue"),"E",IF($H47="Bloquée","B","P"))),""))</f>
        <v/>
      </c>
      <c r="S47" s="53">
        <f>IF(OR($F47="",$G47=""),"",IF(AND(S$5&lt;=$G47,S$5+6&gt;=$F47),IF($H47="Complétée","F",IF(OR($H47="En cours",$H47="En revue"),"E",IF($H47="Bloquée","B","P"))),""))</f>
        <v/>
      </c>
      <c r="T47" s="53">
        <f>IF(OR($F47="",$G47=""),"",IF(AND(T$5&lt;=$G47,T$5+6&gt;=$F47),IF($H47="Complétée","F",IF(OR($H47="En cours",$H47="En revue"),"E",IF($H47="Bloquée","B","P"))),""))</f>
        <v/>
      </c>
      <c r="U47" s="53">
        <f>IF(OR($F47="",$G47=""),"",IF(AND(U$5&lt;=$G47,U$5+6&gt;=$F47),IF($H47="Complétée","F",IF(OR($H47="En cours",$H47="En revue"),"E",IF($H47="Bloquée","B","P"))),""))</f>
        <v/>
      </c>
      <c r="V47" s="53">
        <f>IF(OR($F47="",$G47=""),"",IF(AND(V$5&lt;=$G47,V$5+6&gt;=$F47),IF($H47="Complétée","F",IF(OR($H47="En cours",$H47="En revue"),"E",IF($H47="Bloquée","B","P"))),""))</f>
        <v/>
      </c>
      <c r="W47" s="53">
        <f>IF(OR($F47="",$G47=""),"",IF(AND(W$5&lt;=$G47,W$5+6&gt;=$F47),IF($H47="Complétée","F",IF(OR($H47="En cours",$H47="En revue"),"E",IF($H47="Bloquée","B","P"))),""))</f>
        <v/>
      </c>
      <c r="X47" s="53">
        <f>IF(OR($F47="",$G47=""),"",IF(AND(X$5&lt;=$G47,X$5+6&gt;=$F47),IF($H47="Complétée","F",IF(OR($H47="En cours",$H47="En revue"),"E",IF($H47="Bloquée","B","P"))),""))</f>
        <v/>
      </c>
      <c r="Y47" s="53">
        <f>IF(OR($F47="",$G47=""),"",IF(AND(Y$5&lt;=$G47,Y$5+6&gt;=$F47),IF($H47="Complétée","F",IF(OR($H47="En cours",$H47="En revue"),"E",IF($H47="Bloquée","B","P"))),""))</f>
        <v/>
      </c>
      <c r="Z47" s="53">
        <f>IF(OR($F47="",$G47=""),"",IF(AND(Z$5&lt;=$G47,Z$5+6&gt;=$F47),IF($H47="Complétée","F",IF(OR($H47="En cours",$H47="En revue"),"E",IF($H47="Bloquée","B","P"))),""))</f>
        <v/>
      </c>
      <c r="AA47" s="53">
        <f>IF(OR($F47="",$G47=""),"",IF(AND(AA$5&lt;=$G47,AA$5+6&gt;=$F47),IF($H47="Complétée","F",IF(OR($H47="En cours",$H47="En revue"),"E",IF($H47="Bloquée","B","P"))),""))</f>
        <v/>
      </c>
      <c r="AB47" s="53">
        <f>IF(OR($F47="",$G47=""),"",IF(AND(AB$5&lt;=$G47,AB$5+6&gt;=$F47),IF($H47="Complétée","F",IF(OR($H47="En cours",$H47="En revue"),"E",IF($H47="Bloquée","B","P"))),""))</f>
        <v/>
      </c>
      <c r="AC47" s="53">
        <f>IF(OR($F47="",$G47=""),"",IF(AND(AC$5&lt;=$G47,AC$5+6&gt;=$F47),IF($H47="Complétée","F",IF(OR($H47="En cours",$H47="En revue"),"E",IF($H47="Bloquée","B","P"))),""))</f>
        <v/>
      </c>
      <c r="AD47" s="53">
        <f>IF(OR($F47="",$G47=""),"",IF(AND(AD$5&lt;=$G47,AD$5+6&gt;=$F47),IF($H47="Complétée","F",IF(OR($H47="En cours",$H47="En revue"),"E",IF($H47="Bloquée","B","P"))),""))</f>
        <v/>
      </c>
      <c r="AE47" s="53">
        <f>IF(OR($F47="",$G47=""),"",IF(AND(AE$5&lt;=$G47,AE$5+6&gt;=$F47),IF($H47="Complétée","F",IF(OR($H47="En cours",$H47="En revue"),"E",IF($H47="Bloquée","B","P"))),""))</f>
        <v/>
      </c>
      <c r="AF47" s="53">
        <f>IF(OR($F47="",$G47=""),"",IF(AND(AF$5&lt;=$G47,AF$5+6&gt;=$F47),IF($H47="Complétée","F",IF(OR($H47="En cours",$H47="En revue"),"E",IF($H47="Bloquée","B","P"))),""))</f>
        <v/>
      </c>
      <c r="AG47" s="53">
        <f>IF(OR($F47="",$G47=""),"",IF(AND(AG$5&lt;=$G47,AG$5+6&gt;=$F47),IF($H47="Complétée","F",IF(OR($H47="En cours",$H47="En revue"),"E",IF($H47="Bloquée","B","P"))),""))</f>
        <v/>
      </c>
      <c r="AH47" s="53">
        <f>IF(OR($F47="",$G47=""),"",IF(AND(AH$5&lt;=$G47,AH$5+6&gt;=$F47),IF($H47="Complétée","F",IF(OR($H47="En cours",$H47="En revue"),"E",IF($H47="Bloquée","B","P"))),""))</f>
        <v/>
      </c>
      <c r="AI47" s="53">
        <f>IF(OR($F47="",$G47=""),"",IF(AND(AI$5&lt;=$G47,AI$5+6&gt;=$F47),IF($H47="Complétée","F",IF(OR($H47="En cours",$H47="En revue"),"E",IF($H47="Bloquée","B","P"))),""))</f>
        <v/>
      </c>
      <c r="AJ47" s="53">
        <f>IF(OR($F47="",$G47=""),"",IF(AND(AJ$5&lt;=$G47,AJ$5+6&gt;=$F47),IF($H47="Complétée","F",IF(OR($H47="En cours",$H47="En revue"),"E",IF($H47="Bloquée","B","P"))),""))</f>
        <v/>
      </c>
      <c r="AK47" s="53">
        <f>IF(OR($F47="",$G47=""),"",IF(AND(AK$5&lt;=$G47,AK$5+6&gt;=$F47),IF($H47="Complétée","F",IF(OR($H47="En cours",$H47="En revue"),"E",IF($H47="Bloquée","B","P"))),""))</f>
        <v/>
      </c>
      <c r="AL47" s="53">
        <f>IF(OR($F47="",$G47=""),"",IF(AND(AL$5&lt;=$G47,AL$5+6&gt;=$F47),IF($H47="Complétée","F",IF(OR($H47="En cours",$H47="En revue"),"E",IF($H47="Bloquée","B","P"))),""))</f>
        <v/>
      </c>
      <c r="AM47" s="53">
        <f>IF(OR($F47="",$G47=""),"",IF(AND(AM$5&lt;=$G47,AM$5+6&gt;=$F47),IF($H47="Complétée","F",IF(OR($H47="En cours",$H47="En revue"),"E",IF($H47="Bloquée","B","P"))),""))</f>
        <v/>
      </c>
      <c r="AN47" s="53">
        <f>IF(OR($F47="",$G47=""),"",IF(AND(AN$5&lt;=$G47,AN$5+6&gt;=$F47),IF($H47="Complétée","F",IF(OR($H47="En cours",$H47="En revue"),"E",IF($H47="Bloquée","B","P"))),""))</f>
        <v/>
      </c>
      <c r="AO47" s="53">
        <f>IF(OR($F47="",$G47=""),"",IF(AND(AO$5&lt;=$G47,AO$5+6&gt;=$F47),IF($H47="Complétée","F",IF(OR($H47="En cours",$H47="En revue"),"E",IF($H47="Bloquée","B","P"))),""))</f>
        <v/>
      </c>
      <c r="AP47" s="53">
        <f>IF(OR($F47="",$G47=""),"",IF(AND(AP$5&lt;=$G47,AP$5+6&gt;=$F47),IF($H47="Complétée","F",IF(OR($H47="En cours",$H47="En revue"),"E",IF($H47="Bloquée","B","P"))),""))</f>
        <v/>
      </c>
      <c r="AQ47" s="53">
        <f>IF(OR($F47="",$G47=""),"",IF(AND(AQ$5&lt;=$G47,AQ$5+6&gt;=$F47),IF($H47="Complétée","F",IF(OR($H47="En cours",$H47="En revue"),"E",IF($H47="Bloquée","B","P"))),""))</f>
        <v/>
      </c>
      <c r="AR47" s="53">
        <f>IF(OR($F47="",$G47=""),"",IF(AND(AR$5&lt;=$G47,AR$5+6&gt;=$F47),IF($H47="Complétée","F",IF(OR($H47="En cours",$H47="En revue"),"E",IF($H47="Bloquée","B","P"))),""))</f>
        <v/>
      </c>
      <c r="AS47" s="53">
        <f>IF(OR($F47="",$G47=""),"",IF(AND(AS$5&lt;=$G47,AS$5+6&gt;=$F47),IF($H47="Complétée","F",IF(OR($H47="En cours",$H47="En revue"),"E",IF($H47="Bloquée","B","P"))),""))</f>
        <v/>
      </c>
      <c r="AT47" s="53">
        <f>IF(OR($F47="",$G47=""),"",IF(AND(AT$5&lt;=$G47,AT$5+6&gt;=$F47),IF($H47="Complétée","F",IF(OR($H47="En cours",$H47="En revue"),"E",IF($H47="Bloquée","B","P"))),""))</f>
        <v/>
      </c>
      <c r="AU47" s="53">
        <f>IF(OR($F47="",$G47=""),"",IF(AND(AU$5&lt;=$G47,AU$5+6&gt;=$F47),IF($H47="Complétée","F",IF(OR($H47="En cours",$H47="En revue"),"E",IF($H47="Bloquée","B","P"))),""))</f>
        <v/>
      </c>
      <c r="AV47" s="53">
        <f>IF(OR($F47="",$G47=""),"",IF(AND(AV$5&lt;=$G47,AV$5+6&gt;=$F47),IF($H47="Complétée","F",IF(OR($H47="En cours",$H47="En revue"),"E",IF($H47="Bloquée","B","P"))),""))</f>
        <v/>
      </c>
      <c r="AW47" s="53">
        <f>IF(OR($F47="",$G47=""),"",IF(AND(AW$5&lt;=$G47,AW$5+6&gt;=$F47),IF($H47="Complétée","F",IF(OR($H47="En cours",$H47="En revue"),"E",IF($H47="Bloquée","B","P"))),""))</f>
        <v/>
      </c>
    </row>
    <row r="48">
      <c r="B48" s="50">
        <f>IF(Taches!B48="","",Taches!B48)</f>
        <v/>
      </c>
      <c r="C48" s="51">
        <f>IF(Taches!B48="","",Taches!F48)</f>
        <v/>
      </c>
      <c r="D48" s="50">
        <f>IF(Taches!B48="","",Taches!C48)</f>
        <v/>
      </c>
      <c r="E48" s="50">
        <f>IF(Taches!B48="","",Taches!D48)</f>
        <v/>
      </c>
      <c r="F48" s="52">
        <f>IF(Taches!P48="","",Taches!P48)</f>
        <v/>
      </c>
      <c r="G48" s="52">
        <f>IF(Taches!Q48="","",Taches!Q48)</f>
        <v/>
      </c>
      <c r="H48" s="50">
        <f>IF(Taches!B48="","",Taches!J48)</f>
        <v/>
      </c>
      <c r="I48" s="53">
        <f>IF(OR($F48="",$G48=""),"",IF(AND(I$5&lt;=$G48,I$5+6&gt;=$F48),IF($H48="Complétée","F",IF(OR($H48="En cours",$H48="En revue"),"E",IF($H48="Bloquée","B","P"))),""))</f>
        <v/>
      </c>
      <c r="J48" s="53">
        <f>IF(OR($F48="",$G48=""),"",IF(AND(J$5&lt;=$G48,J$5+6&gt;=$F48),IF($H48="Complétée","F",IF(OR($H48="En cours",$H48="En revue"),"E",IF($H48="Bloquée","B","P"))),""))</f>
        <v/>
      </c>
      <c r="K48" s="53">
        <f>IF(OR($F48="",$G48=""),"",IF(AND(K$5&lt;=$G48,K$5+6&gt;=$F48),IF($H48="Complétée","F",IF(OR($H48="En cours",$H48="En revue"),"E",IF($H48="Bloquée","B","P"))),""))</f>
        <v/>
      </c>
      <c r="L48" s="53">
        <f>IF(OR($F48="",$G48=""),"",IF(AND(L$5&lt;=$G48,L$5+6&gt;=$F48),IF($H48="Complétée","F",IF(OR($H48="En cours",$H48="En revue"),"E",IF($H48="Bloquée","B","P"))),""))</f>
        <v/>
      </c>
      <c r="M48" s="53">
        <f>IF(OR($F48="",$G48=""),"",IF(AND(M$5&lt;=$G48,M$5+6&gt;=$F48),IF($H48="Complétée","F",IF(OR($H48="En cours",$H48="En revue"),"E",IF($H48="Bloquée","B","P"))),""))</f>
        <v/>
      </c>
      <c r="N48" s="53">
        <f>IF(OR($F48="",$G48=""),"",IF(AND(N$5&lt;=$G48,N$5+6&gt;=$F48),IF($H48="Complétée","F",IF(OR($H48="En cours",$H48="En revue"),"E",IF($H48="Bloquée","B","P"))),""))</f>
        <v/>
      </c>
      <c r="O48" s="53">
        <f>IF(OR($F48="",$G48=""),"",IF(AND(O$5&lt;=$G48,O$5+6&gt;=$F48),IF($H48="Complétée","F",IF(OR($H48="En cours",$H48="En revue"),"E",IF($H48="Bloquée","B","P"))),""))</f>
        <v/>
      </c>
      <c r="P48" s="53">
        <f>IF(OR($F48="",$G48=""),"",IF(AND(P$5&lt;=$G48,P$5+6&gt;=$F48),IF($H48="Complétée","F",IF(OR($H48="En cours",$H48="En revue"),"E",IF($H48="Bloquée","B","P"))),""))</f>
        <v/>
      </c>
      <c r="Q48" s="53">
        <f>IF(OR($F48="",$G48=""),"",IF(AND(Q$5&lt;=$G48,Q$5+6&gt;=$F48),IF($H48="Complétée","F",IF(OR($H48="En cours",$H48="En revue"),"E",IF($H48="Bloquée","B","P"))),""))</f>
        <v/>
      </c>
      <c r="R48" s="53">
        <f>IF(OR($F48="",$G48=""),"",IF(AND(R$5&lt;=$G48,R$5+6&gt;=$F48),IF($H48="Complétée","F",IF(OR($H48="En cours",$H48="En revue"),"E",IF($H48="Bloquée","B","P"))),""))</f>
        <v/>
      </c>
      <c r="S48" s="53">
        <f>IF(OR($F48="",$G48=""),"",IF(AND(S$5&lt;=$G48,S$5+6&gt;=$F48),IF($H48="Complétée","F",IF(OR($H48="En cours",$H48="En revue"),"E",IF($H48="Bloquée","B","P"))),""))</f>
        <v/>
      </c>
      <c r="T48" s="53">
        <f>IF(OR($F48="",$G48=""),"",IF(AND(T$5&lt;=$G48,T$5+6&gt;=$F48),IF($H48="Complétée","F",IF(OR($H48="En cours",$H48="En revue"),"E",IF($H48="Bloquée","B","P"))),""))</f>
        <v/>
      </c>
      <c r="U48" s="53">
        <f>IF(OR($F48="",$G48=""),"",IF(AND(U$5&lt;=$G48,U$5+6&gt;=$F48),IF($H48="Complétée","F",IF(OR($H48="En cours",$H48="En revue"),"E",IF($H48="Bloquée","B","P"))),""))</f>
        <v/>
      </c>
      <c r="V48" s="53">
        <f>IF(OR($F48="",$G48=""),"",IF(AND(V$5&lt;=$G48,V$5+6&gt;=$F48),IF($H48="Complétée","F",IF(OR($H48="En cours",$H48="En revue"),"E",IF($H48="Bloquée","B","P"))),""))</f>
        <v/>
      </c>
      <c r="W48" s="53">
        <f>IF(OR($F48="",$G48=""),"",IF(AND(W$5&lt;=$G48,W$5+6&gt;=$F48),IF($H48="Complétée","F",IF(OR($H48="En cours",$H48="En revue"),"E",IF($H48="Bloquée","B","P"))),""))</f>
        <v/>
      </c>
      <c r="X48" s="53">
        <f>IF(OR($F48="",$G48=""),"",IF(AND(X$5&lt;=$G48,X$5+6&gt;=$F48),IF($H48="Complétée","F",IF(OR($H48="En cours",$H48="En revue"),"E",IF($H48="Bloquée","B","P"))),""))</f>
        <v/>
      </c>
      <c r="Y48" s="53">
        <f>IF(OR($F48="",$G48=""),"",IF(AND(Y$5&lt;=$G48,Y$5+6&gt;=$F48),IF($H48="Complétée","F",IF(OR($H48="En cours",$H48="En revue"),"E",IF($H48="Bloquée","B","P"))),""))</f>
        <v/>
      </c>
      <c r="Z48" s="53">
        <f>IF(OR($F48="",$G48=""),"",IF(AND(Z$5&lt;=$G48,Z$5+6&gt;=$F48),IF($H48="Complétée","F",IF(OR($H48="En cours",$H48="En revue"),"E",IF($H48="Bloquée","B","P"))),""))</f>
        <v/>
      </c>
      <c r="AA48" s="53">
        <f>IF(OR($F48="",$G48=""),"",IF(AND(AA$5&lt;=$G48,AA$5+6&gt;=$F48),IF($H48="Complétée","F",IF(OR($H48="En cours",$H48="En revue"),"E",IF($H48="Bloquée","B","P"))),""))</f>
        <v/>
      </c>
      <c r="AB48" s="53">
        <f>IF(OR($F48="",$G48=""),"",IF(AND(AB$5&lt;=$G48,AB$5+6&gt;=$F48),IF($H48="Complétée","F",IF(OR($H48="En cours",$H48="En revue"),"E",IF($H48="Bloquée","B","P"))),""))</f>
        <v/>
      </c>
      <c r="AC48" s="53">
        <f>IF(OR($F48="",$G48=""),"",IF(AND(AC$5&lt;=$G48,AC$5+6&gt;=$F48),IF($H48="Complétée","F",IF(OR($H48="En cours",$H48="En revue"),"E",IF($H48="Bloquée","B","P"))),""))</f>
        <v/>
      </c>
      <c r="AD48" s="53">
        <f>IF(OR($F48="",$G48=""),"",IF(AND(AD$5&lt;=$G48,AD$5+6&gt;=$F48),IF($H48="Complétée","F",IF(OR($H48="En cours",$H48="En revue"),"E",IF($H48="Bloquée","B","P"))),""))</f>
        <v/>
      </c>
      <c r="AE48" s="53">
        <f>IF(OR($F48="",$G48=""),"",IF(AND(AE$5&lt;=$G48,AE$5+6&gt;=$F48),IF($H48="Complétée","F",IF(OR($H48="En cours",$H48="En revue"),"E",IF($H48="Bloquée","B","P"))),""))</f>
        <v/>
      </c>
      <c r="AF48" s="53">
        <f>IF(OR($F48="",$G48=""),"",IF(AND(AF$5&lt;=$G48,AF$5+6&gt;=$F48),IF($H48="Complétée","F",IF(OR($H48="En cours",$H48="En revue"),"E",IF($H48="Bloquée","B","P"))),""))</f>
        <v/>
      </c>
      <c r="AG48" s="53">
        <f>IF(OR($F48="",$G48=""),"",IF(AND(AG$5&lt;=$G48,AG$5+6&gt;=$F48),IF($H48="Complétée","F",IF(OR($H48="En cours",$H48="En revue"),"E",IF($H48="Bloquée","B","P"))),""))</f>
        <v/>
      </c>
      <c r="AH48" s="53">
        <f>IF(OR($F48="",$G48=""),"",IF(AND(AH$5&lt;=$G48,AH$5+6&gt;=$F48),IF($H48="Complétée","F",IF(OR($H48="En cours",$H48="En revue"),"E",IF($H48="Bloquée","B","P"))),""))</f>
        <v/>
      </c>
      <c r="AI48" s="53">
        <f>IF(OR($F48="",$G48=""),"",IF(AND(AI$5&lt;=$G48,AI$5+6&gt;=$F48),IF($H48="Complétée","F",IF(OR($H48="En cours",$H48="En revue"),"E",IF($H48="Bloquée","B","P"))),""))</f>
        <v/>
      </c>
      <c r="AJ48" s="53">
        <f>IF(OR($F48="",$G48=""),"",IF(AND(AJ$5&lt;=$G48,AJ$5+6&gt;=$F48),IF($H48="Complétée","F",IF(OR($H48="En cours",$H48="En revue"),"E",IF($H48="Bloquée","B","P"))),""))</f>
        <v/>
      </c>
      <c r="AK48" s="53">
        <f>IF(OR($F48="",$G48=""),"",IF(AND(AK$5&lt;=$G48,AK$5+6&gt;=$F48),IF($H48="Complétée","F",IF(OR($H48="En cours",$H48="En revue"),"E",IF($H48="Bloquée","B","P"))),""))</f>
        <v/>
      </c>
      <c r="AL48" s="53">
        <f>IF(OR($F48="",$G48=""),"",IF(AND(AL$5&lt;=$G48,AL$5+6&gt;=$F48),IF($H48="Complétée","F",IF(OR($H48="En cours",$H48="En revue"),"E",IF($H48="Bloquée","B","P"))),""))</f>
        <v/>
      </c>
      <c r="AM48" s="53">
        <f>IF(OR($F48="",$G48=""),"",IF(AND(AM$5&lt;=$G48,AM$5+6&gt;=$F48),IF($H48="Complétée","F",IF(OR($H48="En cours",$H48="En revue"),"E",IF($H48="Bloquée","B","P"))),""))</f>
        <v/>
      </c>
      <c r="AN48" s="53">
        <f>IF(OR($F48="",$G48=""),"",IF(AND(AN$5&lt;=$G48,AN$5+6&gt;=$F48),IF($H48="Complétée","F",IF(OR($H48="En cours",$H48="En revue"),"E",IF($H48="Bloquée","B","P"))),""))</f>
        <v/>
      </c>
      <c r="AO48" s="53">
        <f>IF(OR($F48="",$G48=""),"",IF(AND(AO$5&lt;=$G48,AO$5+6&gt;=$F48),IF($H48="Complétée","F",IF(OR($H48="En cours",$H48="En revue"),"E",IF($H48="Bloquée","B","P"))),""))</f>
        <v/>
      </c>
      <c r="AP48" s="53">
        <f>IF(OR($F48="",$G48=""),"",IF(AND(AP$5&lt;=$G48,AP$5+6&gt;=$F48),IF($H48="Complétée","F",IF(OR($H48="En cours",$H48="En revue"),"E",IF($H48="Bloquée","B","P"))),""))</f>
        <v/>
      </c>
      <c r="AQ48" s="53">
        <f>IF(OR($F48="",$G48=""),"",IF(AND(AQ$5&lt;=$G48,AQ$5+6&gt;=$F48),IF($H48="Complétée","F",IF(OR($H48="En cours",$H48="En revue"),"E",IF($H48="Bloquée","B","P"))),""))</f>
        <v/>
      </c>
      <c r="AR48" s="53">
        <f>IF(OR($F48="",$G48=""),"",IF(AND(AR$5&lt;=$G48,AR$5+6&gt;=$F48),IF($H48="Complétée","F",IF(OR($H48="En cours",$H48="En revue"),"E",IF($H48="Bloquée","B","P"))),""))</f>
        <v/>
      </c>
      <c r="AS48" s="53">
        <f>IF(OR($F48="",$G48=""),"",IF(AND(AS$5&lt;=$G48,AS$5+6&gt;=$F48),IF($H48="Complétée","F",IF(OR($H48="En cours",$H48="En revue"),"E",IF($H48="Bloquée","B","P"))),""))</f>
        <v/>
      </c>
      <c r="AT48" s="53">
        <f>IF(OR($F48="",$G48=""),"",IF(AND(AT$5&lt;=$G48,AT$5+6&gt;=$F48),IF($H48="Complétée","F",IF(OR($H48="En cours",$H48="En revue"),"E",IF($H48="Bloquée","B","P"))),""))</f>
        <v/>
      </c>
      <c r="AU48" s="53">
        <f>IF(OR($F48="",$G48=""),"",IF(AND(AU$5&lt;=$G48,AU$5+6&gt;=$F48),IF($H48="Complétée","F",IF(OR($H48="En cours",$H48="En revue"),"E",IF($H48="Bloquée","B","P"))),""))</f>
        <v/>
      </c>
      <c r="AV48" s="53">
        <f>IF(OR($F48="",$G48=""),"",IF(AND(AV$5&lt;=$G48,AV$5+6&gt;=$F48),IF($H48="Complétée","F",IF(OR($H48="En cours",$H48="En revue"),"E",IF($H48="Bloquée","B","P"))),""))</f>
        <v/>
      </c>
      <c r="AW48" s="53">
        <f>IF(OR($F48="",$G48=""),"",IF(AND(AW$5&lt;=$G48,AW$5+6&gt;=$F48),IF($H48="Complétée","F",IF(OR($H48="En cours",$H48="En revue"),"E",IF($H48="Bloquée","B","P"))),""))</f>
        <v/>
      </c>
    </row>
    <row r="49">
      <c r="B49" s="50">
        <f>IF(Taches!B49="","",Taches!B49)</f>
        <v/>
      </c>
      <c r="C49" s="51">
        <f>IF(Taches!B49="","",Taches!F49)</f>
        <v/>
      </c>
      <c r="D49" s="50">
        <f>IF(Taches!B49="","",Taches!C49)</f>
        <v/>
      </c>
      <c r="E49" s="50">
        <f>IF(Taches!B49="","",Taches!D49)</f>
        <v/>
      </c>
      <c r="F49" s="52">
        <f>IF(Taches!P49="","",Taches!P49)</f>
        <v/>
      </c>
      <c r="G49" s="52">
        <f>IF(Taches!Q49="","",Taches!Q49)</f>
        <v/>
      </c>
      <c r="H49" s="50">
        <f>IF(Taches!B49="","",Taches!J49)</f>
        <v/>
      </c>
      <c r="I49" s="53">
        <f>IF(OR($F49="",$G49=""),"",IF(AND(I$5&lt;=$G49,I$5+6&gt;=$F49),IF($H49="Complétée","F",IF(OR($H49="En cours",$H49="En revue"),"E",IF($H49="Bloquée","B","P"))),""))</f>
        <v/>
      </c>
      <c r="J49" s="53">
        <f>IF(OR($F49="",$G49=""),"",IF(AND(J$5&lt;=$G49,J$5+6&gt;=$F49),IF($H49="Complétée","F",IF(OR($H49="En cours",$H49="En revue"),"E",IF($H49="Bloquée","B","P"))),""))</f>
        <v/>
      </c>
      <c r="K49" s="53">
        <f>IF(OR($F49="",$G49=""),"",IF(AND(K$5&lt;=$G49,K$5+6&gt;=$F49),IF($H49="Complétée","F",IF(OR($H49="En cours",$H49="En revue"),"E",IF($H49="Bloquée","B","P"))),""))</f>
        <v/>
      </c>
      <c r="L49" s="53">
        <f>IF(OR($F49="",$G49=""),"",IF(AND(L$5&lt;=$G49,L$5+6&gt;=$F49),IF($H49="Complétée","F",IF(OR($H49="En cours",$H49="En revue"),"E",IF($H49="Bloquée","B","P"))),""))</f>
        <v/>
      </c>
      <c r="M49" s="53">
        <f>IF(OR($F49="",$G49=""),"",IF(AND(M$5&lt;=$G49,M$5+6&gt;=$F49),IF($H49="Complétée","F",IF(OR($H49="En cours",$H49="En revue"),"E",IF($H49="Bloquée","B","P"))),""))</f>
        <v/>
      </c>
      <c r="N49" s="53">
        <f>IF(OR($F49="",$G49=""),"",IF(AND(N$5&lt;=$G49,N$5+6&gt;=$F49),IF($H49="Complétée","F",IF(OR($H49="En cours",$H49="En revue"),"E",IF($H49="Bloquée","B","P"))),""))</f>
        <v/>
      </c>
      <c r="O49" s="53">
        <f>IF(OR($F49="",$G49=""),"",IF(AND(O$5&lt;=$G49,O$5+6&gt;=$F49),IF($H49="Complétée","F",IF(OR($H49="En cours",$H49="En revue"),"E",IF($H49="Bloquée","B","P"))),""))</f>
        <v/>
      </c>
      <c r="P49" s="53">
        <f>IF(OR($F49="",$G49=""),"",IF(AND(P$5&lt;=$G49,P$5+6&gt;=$F49),IF($H49="Complétée","F",IF(OR($H49="En cours",$H49="En revue"),"E",IF($H49="Bloquée","B","P"))),""))</f>
        <v/>
      </c>
      <c r="Q49" s="53">
        <f>IF(OR($F49="",$G49=""),"",IF(AND(Q$5&lt;=$G49,Q$5+6&gt;=$F49),IF($H49="Complétée","F",IF(OR($H49="En cours",$H49="En revue"),"E",IF($H49="Bloquée","B","P"))),""))</f>
        <v/>
      </c>
      <c r="R49" s="53">
        <f>IF(OR($F49="",$G49=""),"",IF(AND(R$5&lt;=$G49,R$5+6&gt;=$F49),IF($H49="Complétée","F",IF(OR($H49="En cours",$H49="En revue"),"E",IF($H49="Bloquée","B","P"))),""))</f>
        <v/>
      </c>
      <c r="S49" s="53">
        <f>IF(OR($F49="",$G49=""),"",IF(AND(S$5&lt;=$G49,S$5+6&gt;=$F49),IF($H49="Complétée","F",IF(OR($H49="En cours",$H49="En revue"),"E",IF($H49="Bloquée","B","P"))),""))</f>
        <v/>
      </c>
      <c r="T49" s="53">
        <f>IF(OR($F49="",$G49=""),"",IF(AND(T$5&lt;=$G49,T$5+6&gt;=$F49),IF($H49="Complétée","F",IF(OR($H49="En cours",$H49="En revue"),"E",IF($H49="Bloquée","B","P"))),""))</f>
        <v/>
      </c>
      <c r="U49" s="53">
        <f>IF(OR($F49="",$G49=""),"",IF(AND(U$5&lt;=$G49,U$5+6&gt;=$F49),IF($H49="Complétée","F",IF(OR($H49="En cours",$H49="En revue"),"E",IF($H49="Bloquée","B","P"))),""))</f>
        <v/>
      </c>
      <c r="V49" s="53">
        <f>IF(OR($F49="",$G49=""),"",IF(AND(V$5&lt;=$G49,V$5+6&gt;=$F49),IF($H49="Complétée","F",IF(OR($H49="En cours",$H49="En revue"),"E",IF($H49="Bloquée","B","P"))),""))</f>
        <v/>
      </c>
      <c r="W49" s="53">
        <f>IF(OR($F49="",$G49=""),"",IF(AND(W$5&lt;=$G49,W$5+6&gt;=$F49),IF($H49="Complétée","F",IF(OR($H49="En cours",$H49="En revue"),"E",IF($H49="Bloquée","B","P"))),""))</f>
        <v/>
      </c>
      <c r="X49" s="53">
        <f>IF(OR($F49="",$G49=""),"",IF(AND(X$5&lt;=$G49,X$5+6&gt;=$F49),IF($H49="Complétée","F",IF(OR($H49="En cours",$H49="En revue"),"E",IF($H49="Bloquée","B","P"))),""))</f>
        <v/>
      </c>
      <c r="Y49" s="53">
        <f>IF(OR($F49="",$G49=""),"",IF(AND(Y$5&lt;=$G49,Y$5+6&gt;=$F49),IF($H49="Complétée","F",IF(OR($H49="En cours",$H49="En revue"),"E",IF($H49="Bloquée","B","P"))),""))</f>
        <v/>
      </c>
      <c r="Z49" s="53">
        <f>IF(OR($F49="",$G49=""),"",IF(AND(Z$5&lt;=$G49,Z$5+6&gt;=$F49),IF($H49="Complétée","F",IF(OR($H49="En cours",$H49="En revue"),"E",IF($H49="Bloquée","B","P"))),""))</f>
        <v/>
      </c>
      <c r="AA49" s="53">
        <f>IF(OR($F49="",$G49=""),"",IF(AND(AA$5&lt;=$G49,AA$5+6&gt;=$F49),IF($H49="Complétée","F",IF(OR($H49="En cours",$H49="En revue"),"E",IF($H49="Bloquée","B","P"))),""))</f>
        <v/>
      </c>
      <c r="AB49" s="53">
        <f>IF(OR($F49="",$G49=""),"",IF(AND(AB$5&lt;=$G49,AB$5+6&gt;=$F49),IF($H49="Complétée","F",IF(OR($H49="En cours",$H49="En revue"),"E",IF($H49="Bloquée","B","P"))),""))</f>
        <v/>
      </c>
      <c r="AC49" s="53">
        <f>IF(OR($F49="",$G49=""),"",IF(AND(AC$5&lt;=$G49,AC$5+6&gt;=$F49),IF($H49="Complétée","F",IF(OR($H49="En cours",$H49="En revue"),"E",IF($H49="Bloquée","B","P"))),""))</f>
        <v/>
      </c>
      <c r="AD49" s="53">
        <f>IF(OR($F49="",$G49=""),"",IF(AND(AD$5&lt;=$G49,AD$5+6&gt;=$F49),IF($H49="Complétée","F",IF(OR($H49="En cours",$H49="En revue"),"E",IF($H49="Bloquée","B","P"))),""))</f>
        <v/>
      </c>
      <c r="AE49" s="53">
        <f>IF(OR($F49="",$G49=""),"",IF(AND(AE$5&lt;=$G49,AE$5+6&gt;=$F49),IF($H49="Complétée","F",IF(OR($H49="En cours",$H49="En revue"),"E",IF($H49="Bloquée","B","P"))),""))</f>
        <v/>
      </c>
      <c r="AF49" s="53">
        <f>IF(OR($F49="",$G49=""),"",IF(AND(AF$5&lt;=$G49,AF$5+6&gt;=$F49),IF($H49="Complétée","F",IF(OR($H49="En cours",$H49="En revue"),"E",IF($H49="Bloquée","B","P"))),""))</f>
        <v/>
      </c>
      <c r="AG49" s="53">
        <f>IF(OR($F49="",$G49=""),"",IF(AND(AG$5&lt;=$G49,AG$5+6&gt;=$F49),IF($H49="Complétée","F",IF(OR($H49="En cours",$H49="En revue"),"E",IF($H49="Bloquée","B","P"))),""))</f>
        <v/>
      </c>
      <c r="AH49" s="53">
        <f>IF(OR($F49="",$G49=""),"",IF(AND(AH$5&lt;=$G49,AH$5+6&gt;=$F49),IF($H49="Complétée","F",IF(OR($H49="En cours",$H49="En revue"),"E",IF($H49="Bloquée","B","P"))),""))</f>
        <v/>
      </c>
      <c r="AI49" s="53">
        <f>IF(OR($F49="",$G49=""),"",IF(AND(AI$5&lt;=$G49,AI$5+6&gt;=$F49),IF($H49="Complétée","F",IF(OR($H49="En cours",$H49="En revue"),"E",IF($H49="Bloquée","B","P"))),""))</f>
        <v/>
      </c>
      <c r="AJ49" s="53">
        <f>IF(OR($F49="",$G49=""),"",IF(AND(AJ$5&lt;=$G49,AJ$5+6&gt;=$F49),IF($H49="Complétée","F",IF(OR($H49="En cours",$H49="En revue"),"E",IF($H49="Bloquée","B","P"))),""))</f>
        <v/>
      </c>
      <c r="AK49" s="53">
        <f>IF(OR($F49="",$G49=""),"",IF(AND(AK$5&lt;=$G49,AK$5+6&gt;=$F49),IF($H49="Complétée","F",IF(OR($H49="En cours",$H49="En revue"),"E",IF($H49="Bloquée","B","P"))),""))</f>
        <v/>
      </c>
      <c r="AL49" s="53">
        <f>IF(OR($F49="",$G49=""),"",IF(AND(AL$5&lt;=$G49,AL$5+6&gt;=$F49),IF($H49="Complétée","F",IF(OR($H49="En cours",$H49="En revue"),"E",IF($H49="Bloquée","B","P"))),""))</f>
        <v/>
      </c>
      <c r="AM49" s="53">
        <f>IF(OR($F49="",$G49=""),"",IF(AND(AM$5&lt;=$G49,AM$5+6&gt;=$F49),IF($H49="Complétée","F",IF(OR($H49="En cours",$H49="En revue"),"E",IF($H49="Bloquée","B","P"))),""))</f>
        <v/>
      </c>
      <c r="AN49" s="53">
        <f>IF(OR($F49="",$G49=""),"",IF(AND(AN$5&lt;=$G49,AN$5+6&gt;=$F49),IF($H49="Complétée","F",IF(OR($H49="En cours",$H49="En revue"),"E",IF($H49="Bloquée","B","P"))),""))</f>
        <v/>
      </c>
      <c r="AO49" s="53">
        <f>IF(OR($F49="",$G49=""),"",IF(AND(AO$5&lt;=$G49,AO$5+6&gt;=$F49),IF($H49="Complétée","F",IF(OR($H49="En cours",$H49="En revue"),"E",IF($H49="Bloquée","B","P"))),""))</f>
        <v/>
      </c>
      <c r="AP49" s="53">
        <f>IF(OR($F49="",$G49=""),"",IF(AND(AP$5&lt;=$G49,AP$5+6&gt;=$F49),IF($H49="Complétée","F",IF(OR($H49="En cours",$H49="En revue"),"E",IF($H49="Bloquée","B","P"))),""))</f>
        <v/>
      </c>
      <c r="AQ49" s="53">
        <f>IF(OR($F49="",$G49=""),"",IF(AND(AQ$5&lt;=$G49,AQ$5+6&gt;=$F49),IF($H49="Complétée","F",IF(OR($H49="En cours",$H49="En revue"),"E",IF($H49="Bloquée","B","P"))),""))</f>
        <v/>
      </c>
      <c r="AR49" s="53">
        <f>IF(OR($F49="",$G49=""),"",IF(AND(AR$5&lt;=$G49,AR$5+6&gt;=$F49),IF($H49="Complétée","F",IF(OR($H49="En cours",$H49="En revue"),"E",IF($H49="Bloquée","B","P"))),""))</f>
        <v/>
      </c>
      <c r="AS49" s="53">
        <f>IF(OR($F49="",$G49=""),"",IF(AND(AS$5&lt;=$G49,AS$5+6&gt;=$F49),IF($H49="Complétée","F",IF(OR($H49="En cours",$H49="En revue"),"E",IF($H49="Bloquée","B","P"))),""))</f>
        <v/>
      </c>
      <c r="AT49" s="53">
        <f>IF(OR($F49="",$G49=""),"",IF(AND(AT$5&lt;=$G49,AT$5+6&gt;=$F49),IF($H49="Complétée","F",IF(OR($H49="En cours",$H49="En revue"),"E",IF($H49="Bloquée","B","P"))),""))</f>
        <v/>
      </c>
      <c r="AU49" s="53">
        <f>IF(OR($F49="",$G49=""),"",IF(AND(AU$5&lt;=$G49,AU$5+6&gt;=$F49),IF($H49="Complétée","F",IF(OR($H49="En cours",$H49="En revue"),"E",IF($H49="Bloquée","B","P"))),""))</f>
        <v/>
      </c>
      <c r="AV49" s="53">
        <f>IF(OR($F49="",$G49=""),"",IF(AND(AV$5&lt;=$G49,AV$5+6&gt;=$F49),IF($H49="Complétée","F",IF(OR($H49="En cours",$H49="En revue"),"E",IF($H49="Bloquée","B","P"))),""))</f>
        <v/>
      </c>
      <c r="AW49" s="53">
        <f>IF(OR($F49="",$G49=""),"",IF(AND(AW$5&lt;=$G49,AW$5+6&gt;=$F49),IF($H49="Complétée","F",IF(OR($H49="En cours",$H49="En revue"),"E",IF($H49="Bloquée","B","P"))),""))</f>
        <v/>
      </c>
    </row>
    <row r="50">
      <c r="B50" s="50">
        <f>IF(Taches!B50="","",Taches!B50)</f>
        <v/>
      </c>
      <c r="C50" s="51">
        <f>IF(Taches!B50="","",Taches!F50)</f>
        <v/>
      </c>
      <c r="D50" s="50">
        <f>IF(Taches!B50="","",Taches!C50)</f>
        <v/>
      </c>
      <c r="E50" s="50">
        <f>IF(Taches!B50="","",Taches!D50)</f>
        <v/>
      </c>
      <c r="F50" s="52">
        <f>IF(Taches!P50="","",Taches!P50)</f>
        <v/>
      </c>
      <c r="G50" s="52">
        <f>IF(Taches!Q50="","",Taches!Q50)</f>
        <v/>
      </c>
      <c r="H50" s="50">
        <f>IF(Taches!B50="","",Taches!J50)</f>
        <v/>
      </c>
      <c r="I50" s="53">
        <f>IF(OR($F50="",$G50=""),"",IF(AND(I$5&lt;=$G50,I$5+6&gt;=$F50),IF($H50="Complétée","F",IF(OR($H50="En cours",$H50="En revue"),"E",IF($H50="Bloquée","B","P"))),""))</f>
        <v/>
      </c>
      <c r="J50" s="53">
        <f>IF(OR($F50="",$G50=""),"",IF(AND(J$5&lt;=$G50,J$5+6&gt;=$F50),IF($H50="Complétée","F",IF(OR($H50="En cours",$H50="En revue"),"E",IF($H50="Bloquée","B","P"))),""))</f>
        <v/>
      </c>
      <c r="K50" s="53">
        <f>IF(OR($F50="",$G50=""),"",IF(AND(K$5&lt;=$G50,K$5+6&gt;=$F50),IF($H50="Complétée","F",IF(OR($H50="En cours",$H50="En revue"),"E",IF($H50="Bloquée","B","P"))),""))</f>
        <v/>
      </c>
      <c r="L50" s="53">
        <f>IF(OR($F50="",$G50=""),"",IF(AND(L$5&lt;=$G50,L$5+6&gt;=$F50),IF($H50="Complétée","F",IF(OR($H50="En cours",$H50="En revue"),"E",IF($H50="Bloquée","B","P"))),""))</f>
        <v/>
      </c>
      <c r="M50" s="53">
        <f>IF(OR($F50="",$G50=""),"",IF(AND(M$5&lt;=$G50,M$5+6&gt;=$F50),IF($H50="Complétée","F",IF(OR($H50="En cours",$H50="En revue"),"E",IF($H50="Bloquée","B","P"))),""))</f>
        <v/>
      </c>
      <c r="N50" s="53">
        <f>IF(OR($F50="",$G50=""),"",IF(AND(N$5&lt;=$G50,N$5+6&gt;=$F50),IF($H50="Complétée","F",IF(OR($H50="En cours",$H50="En revue"),"E",IF($H50="Bloquée","B","P"))),""))</f>
        <v/>
      </c>
      <c r="O50" s="53">
        <f>IF(OR($F50="",$G50=""),"",IF(AND(O$5&lt;=$G50,O$5+6&gt;=$F50),IF($H50="Complétée","F",IF(OR($H50="En cours",$H50="En revue"),"E",IF($H50="Bloquée","B","P"))),""))</f>
        <v/>
      </c>
      <c r="P50" s="53">
        <f>IF(OR($F50="",$G50=""),"",IF(AND(P$5&lt;=$G50,P$5+6&gt;=$F50),IF($H50="Complétée","F",IF(OR($H50="En cours",$H50="En revue"),"E",IF($H50="Bloquée","B","P"))),""))</f>
        <v/>
      </c>
      <c r="Q50" s="53">
        <f>IF(OR($F50="",$G50=""),"",IF(AND(Q$5&lt;=$G50,Q$5+6&gt;=$F50),IF($H50="Complétée","F",IF(OR($H50="En cours",$H50="En revue"),"E",IF($H50="Bloquée","B","P"))),""))</f>
        <v/>
      </c>
      <c r="R50" s="53">
        <f>IF(OR($F50="",$G50=""),"",IF(AND(R$5&lt;=$G50,R$5+6&gt;=$F50),IF($H50="Complétée","F",IF(OR($H50="En cours",$H50="En revue"),"E",IF($H50="Bloquée","B","P"))),""))</f>
        <v/>
      </c>
      <c r="S50" s="53">
        <f>IF(OR($F50="",$G50=""),"",IF(AND(S$5&lt;=$G50,S$5+6&gt;=$F50),IF($H50="Complétée","F",IF(OR($H50="En cours",$H50="En revue"),"E",IF($H50="Bloquée","B","P"))),""))</f>
        <v/>
      </c>
      <c r="T50" s="53">
        <f>IF(OR($F50="",$G50=""),"",IF(AND(T$5&lt;=$G50,T$5+6&gt;=$F50),IF($H50="Complétée","F",IF(OR($H50="En cours",$H50="En revue"),"E",IF($H50="Bloquée","B","P"))),""))</f>
        <v/>
      </c>
      <c r="U50" s="53">
        <f>IF(OR($F50="",$G50=""),"",IF(AND(U$5&lt;=$G50,U$5+6&gt;=$F50),IF($H50="Complétée","F",IF(OR($H50="En cours",$H50="En revue"),"E",IF($H50="Bloquée","B","P"))),""))</f>
        <v/>
      </c>
      <c r="V50" s="53">
        <f>IF(OR($F50="",$G50=""),"",IF(AND(V$5&lt;=$G50,V$5+6&gt;=$F50),IF($H50="Complétée","F",IF(OR($H50="En cours",$H50="En revue"),"E",IF($H50="Bloquée","B","P"))),""))</f>
        <v/>
      </c>
      <c r="W50" s="53">
        <f>IF(OR($F50="",$G50=""),"",IF(AND(W$5&lt;=$G50,W$5+6&gt;=$F50),IF($H50="Complétée","F",IF(OR($H50="En cours",$H50="En revue"),"E",IF($H50="Bloquée","B","P"))),""))</f>
        <v/>
      </c>
      <c r="X50" s="53">
        <f>IF(OR($F50="",$G50=""),"",IF(AND(X$5&lt;=$G50,X$5+6&gt;=$F50),IF($H50="Complétée","F",IF(OR($H50="En cours",$H50="En revue"),"E",IF($H50="Bloquée","B","P"))),""))</f>
        <v/>
      </c>
      <c r="Y50" s="53">
        <f>IF(OR($F50="",$G50=""),"",IF(AND(Y$5&lt;=$G50,Y$5+6&gt;=$F50),IF($H50="Complétée","F",IF(OR($H50="En cours",$H50="En revue"),"E",IF($H50="Bloquée","B","P"))),""))</f>
        <v/>
      </c>
      <c r="Z50" s="53">
        <f>IF(OR($F50="",$G50=""),"",IF(AND(Z$5&lt;=$G50,Z$5+6&gt;=$F50),IF($H50="Complétée","F",IF(OR($H50="En cours",$H50="En revue"),"E",IF($H50="Bloquée","B","P"))),""))</f>
        <v/>
      </c>
      <c r="AA50" s="53">
        <f>IF(OR($F50="",$G50=""),"",IF(AND(AA$5&lt;=$G50,AA$5+6&gt;=$F50),IF($H50="Complétée","F",IF(OR($H50="En cours",$H50="En revue"),"E",IF($H50="Bloquée","B","P"))),""))</f>
        <v/>
      </c>
      <c r="AB50" s="53">
        <f>IF(OR($F50="",$G50=""),"",IF(AND(AB$5&lt;=$G50,AB$5+6&gt;=$F50),IF($H50="Complétée","F",IF(OR($H50="En cours",$H50="En revue"),"E",IF($H50="Bloquée","B","P"))),""))</f>
        <v/>
      </c>
      <c r="AC50" s="53">
        <f>IF(OR($F50="",$G50=""),"",IF(AND(AC$5&lt;=$G50,AC$5+6&gt;=$F50),IF($H50="Complétée","F",IF(OR($H50="En cours",$H50="En revue"),"E",IF($H50="Bloquée","B","P"))),""))</f>
        <v/>
      </c>
      <c r="AD50" s="53">
        <f>IF(OR($F50="",$G50=""),"",IF(AND(AD$5&lt;=$G50,AD$5+6&gt;=$F50),IF($H50="Complétée","F",IF(OR($H50="En cours",$H50="En revue"),"E",IF($H50="Bloquée","B","P"))),""))</f>
        <v/>
      </c>
      <c r="AE50" s="53">
        <f>IF(OR($F50="",$G50=""),"",IF(AND(AE$5&lt;=$G50,AE$5+6&gt;=$F50),IF($H50="Complétée","F",IF(OR($H50="En cours",$H50="En revue"),"E",IF($H50="Bloquée","B","P"))),""))</f>
        <v/>
      </c>
      <c r="AF50" s="53">
        <f>IF(OR($F50="",$G50=""),"",IF(AND(AF$5&lt;=$G50,AF$5+6&gt;=$F50),IF($H50="Complétée","F",IF(OR($H50="En cours",$H50="En revue"),"E",IF($H50="Bloquée","B","P"))),""))</f>
        <v/>
      </c>
      <c r="AG50" s="53">
        <f>IF(OR($F50="",$G50=""),"",IF(AND(AG$5&lt;=$G50,AG$5+6&gt;=$F50),IF($H50="Complétée","F",IF(OR($H50="En cours",$H50="En revue"),"E",IF($H50="Bloquée","B","P"))),""))</f>
        <v/>
      </c>
      <c r="AH50" s="53">
        <f>IF(OR($F50="",$G50=""),"",IF(AND(AH$5&lt;=$G50,AH$5+6&gt;=$F50),IF($H50="Complétée","F",IF(OR($H50="En cours",$H50="En revue"),"E",IF($H50="Bloquée","B","P"))),""))</f>
        <v/>
      </c>
      <c r="AI50" s="53">
        <f>IF(OR($F50="",$G50=""),"",IF(AND(AI$5&lt;=$G50,AI$5+6&gt;=$F50),IF($H50="Complétée","F",IF(OR($H50="En cours",$H50="En revue"),"E",IF($H50="Bloquée","B","P"))),""))</f>
        <v/>
      </c>
      <c r="AJ50" s="53">
        <f>IF(OR($F50="",$G50=""),"",IF(AND(AJ$5&lt;=$G50,AJ$5+6&gt;=$F50),IF($H50="Complétée","F",IF(OR($H50="En cours",$H50="En revue"),"E",IF($H50="Bloquée","B","P"))),""))</f>
        <v/>
      </c>
      <c r="AK50" s="53">
        <f>IF(OR($F50="",$G50=""),"",IF(AND(AK$5&lt;=$G50,AK$5+6&gt;=$F50),IF($H50="Complétée","F",IF(OR($H50="En cours",$H50="En revue"),"E",IF($H50="Bloquée","B","P"))),""))</f>
        <v/>
      </c>
      <c r="AL50" s="53">
        <f>IF(OR($F50="",$G50=""),"",IF(AND(AL$5&lt;=$G50,AL$5+6&gt;=$F50),IF($H50="Complétée","F",IF(OR($H50="En cours",$H50="En revue"),"E",IF($H50="Bloquée","B","P"))),""))</f>
        <v/>
      </c>
      <c r="AM50" s="53">
        <f>IF(OR($F50="",$G50=""),"",IF(AND(AM$5&lt;=$G50,AM$5+6&gt;=$F50),IF($H50="Complétée","F",IF(OR($H50="En cours",$H50="En revue"),"E",IF($H50="Bloquée","B","P"))),""))</f>
        <v/>
      </c>
      <c r="AN50" s="53">
        <f>IF(OR($F50="",$G50=""),"",IF(AND(AN$5&lt;=$G50,AN$5+6&gt;=$F50),IF($H50="Complétée","F",IF(OR($H50="En cours",$H50="En revue"),"E",IF($H50="Bloquée","B","P"))),""))</f>
        <v/>
      </c>
      <c r="AO50" s="53">
        <f>IF(OR($F50="",$G50=""),"",IF(AND(AO$5&lt;=$G50,AO$5+6&gt;=$F50),IF($H50="Complétée","F",IF(OR($H50="En cours",$H50="En revue"),"E",IF($H50="Bloquée","B","P"))),""))</f>
        <v/>
      </c>
      <c r="AP50" s="53">
        <f>IF(OR($F50="",$G50=""),"",IF(AND(AP$5&lt;=$G50,AP$5+6&gt;=$F50),IF($H50="Complétée","F",IF(OR($H50="En cours",$H50="En revue"),"E",IF($H50="Bloquée","B","P"))),""))</f>
        <v/>
      </c>
      <c r="AQ50" s="53">
        <f>IF(OR($F50="",$G50=""),"",IF(AND(AQ$5&lt;=$G50,AQ$5+6&gt;=$F50),IF($H50="Complétée","F",IF(OR($H50="En cours",$H50="En revue"),"E",IF($H50="Bloquée","B","P"))),""))</f>
        <v/>
      </c>
      <c r="AR50" s="53">
        <f>IF(OR($F50="",$G50=""),"",IF(AND(AR$5&lt;=$G50,AR$5+6&gt;=$F50),IF($H50="Complétée","F",IF(OR($H50="En cours",$H50="En revue"),"E",IF($H50="Bloquée","B","P"))),""))</f>
        <v/>
      </c>
      <c r="AS50" s="53">
        <f>IF(OR($F50="",$G50=""),"",IF(AND(AS$5&lt;=$G50,AS$5+6&gt;=$F50),IF($H50="Complétée","F",IF(OR($H50="En cours",$H50="En revue"),"E",IF($H50="Bloquée","B","P"))),""))</f>
        <v/>
      </c>
      <c r="AT50" s="53">
        <f>IF(OR($F50="",$G50=""),"",IF(AND(AT$5&lt;=$G50,AT$5+6&gt;=$F50),IF($H50="Complétée","F",IF(OR($H50="En cours",$H50="En revue"),"E",IF($H50="Bloquée","B","P"))),""))</f>
        <v/>
      </c>
      <c r="AU50" s="53">
        <f>IF(OR($F50="",$G50=""),"",IF(AND(AU$5&lt;=$G50,AU$5+6&gt;=$F50),IF($H50="Complétée","F",IF(OR($H50="En cours",$H50="En revue"),"E",IF($H50="Bloquée","B","P"))),""))</f>
        <v/>
      </c>
      <c r="AV50" s="53">
        <f>IF(OR($F50="",$G50=""),"",IF(AND(AV$5&lt;=$G50,AV$5+6&gt;=$F50),IF($H50="Complétée","F",IF(OR($H50="En cours",$H50="En revue"),"E",IF($H50="Bloquée","B","P"))),""))</f>
        <v/>
      </c>
      <c r="AW50" s="53">
        <f>IF(OR($F50="",$G50=""),"",IF(AND(AW$5&lt;=$G50,AW$5+6&gt;=$F50),IF($H50="Complétée","F",IF(OR($H50="En cours",$H50="En revue"),"E",IF($H50="Bloquée","B","P"))),""))</f>
        <v/>
      </c>
    </row>
    <row r="51">
      <c r="B51" s="50">
        <f>IF(Taches!B51="","",Taches!B51)</f>
        <v/>
      </c>
      <c r="C51" s="51">
        <f>IF(Taches!B51="","",Taches!F51)</f>
        <v/>
      </c>
      <c r="D51" s="50">
        <f>IF(Taches!B51="","",Taches!C51)</f>
        <v/>
      </c>
      <c r="E51" s="50">
        <f>IF(Taches!B51="","",Taches!D51)</f>
        <v/>
      </c>
      <c r="F51" s="52">
        <f>IF(Taches!P51="","",Taches!P51)</f>
        <v/>
      </c>
      <c r="G51" s="52">
        <f>IF(Taches!Q51="","",Taches!Q51)</f>
        <v/>
      </c>
      <c r="H51" s="50">
        <f>IF(Taches!B51="","",Taches!J51)</f>
        <v/>
      </c>
      <c r="I51" s="53">
        <f>IF(OR($F51="",$G51=""),"",IF(AND(I$5&lt;=$G51,I$5+6&gt;=$F51),IF($H51="Complétée","F",IF(OR($H51="En cours",$H51="En revue"),"E",IF($H51="Bloquée","B","P"))),""))</f>
        <v/>
      </c>
      <c r="J51" s="53">
        <f>IF(OR($F51="",$G51=""),"",IF(AND(J$5&lt;=$G51,J$5+6&gt;=$F51),IF($H51="Complétée","F",IF(OR($H51="En cours",$H51="En revue"),"E",IF($H51="Bloquée","B","P"))),""))</f>
        <v/>
      </c>
      <c r="K51" s="53">
        <f>IF(OR($F51="",$G51=""),"",IF(AND(K$5&lt;=$G51,K$5+6&gt;=$F51),IF($H51="Complétée","F",IF(OR($H51="En cours",$H51="En revue"),"E",IF($H51="Bloquée","B","P"))),""))</f>
        <v/>
      </c>
      <c r="L51" s="53">
        <f>IF(OR($F51="",$G51=""),"",IF(AND(L$5&lt;=$G51,L$5+6&gt;=$F51),IF($H51="Complétée","F",IF(OR($H51="En cours",$H51="En revue"),"E",IF($H51="Bloquée","B","P"))),""))</f>
        <v/>
      </c>
      <c r="M51" s="53">
        <f>IF(OR($F51="",$G51=""),"",IF(AND(M$5&lt;=$G51,M$5+6&gt;=$F51),IF($H51="Complétée","F",IF(OR($H51="En cours",$H51="En revue"),"E",IF($H51="Bloquée","B","P"))),""))</f>
        <v/>
      </c>
      <c r="N51" s="53">
        <f>IF(OR($F51="",$G51=""),"",IF(AND(N$5&lt;=$G51,N$5+6&gt;=$F51),IF($H51="Complétée","F",IF(OR($H51="En cours",$H51="En revue"),"E",IF($H51="Bloquée","B","P"))),""))</f>
        <v/>
      </c>
      <c r="O51" s="53">
        <f>IF(OR($F51="",$G51=""),"",IF(AND(O$5&lt;=$G51,O$5+6&gt;=$F51),IF($H51="Complétée","F",IF(OR($H51="En cours",$H51="En revue"),"E",IF($H51="Bloquée","B","P"))),""))</f>
        <v/>
      </c>
      <c r="P51" s="53">
        <f>IF(OR($F51="",$G51=""),"",IF(AND(P$5&lt;=$G51,P$5+6&gt;=$F51),IF($H51="Complétée","F",IF(OR($H51="En cours",$H51="En revue"),"E",IF($H51="Bloquée","B","P"))),""))</f>
        <v/>
      </c>
      <c r="Q51" s="53">
        <f>IF(OR($F51="",$G51=""),"",IF(AND(Q$5&lt;=$G51,Q$5+6&gt;=$F51),IF($H51="Complétée","F",IF(OR($H51="En cours",$H51="En revue"),"E",IF($H51="Bloquée","B","P"))),""))</f>
        <v/>
      </c>
      <c r="R51" s="53">
        <f>IF(OR($F51="",$G51=""),"",IF(AND(R$5&lt;=$G51,R$5+6&gt;=$F51),IF($H51="Complétée","F",IF(OR($H51="En cours",$H51="En revue"),"E",IF($H51="Bloquée","B","P"))),""))</f>
        <v/>
      </c>
      <c r="S51" s="53">
        <f>IF(OR($F51="",$G51=""),"",IF(AND(S$5&lt;=$G51,S$5+6&gt;=$F51),IF($H51="Complétée","F",IF(OR($H51="En cours",$H51="En revue"),"E",IF($H51="Bloquée","B","P"))),""))</f>
        <v/>
      </c>
      <c r="T51" s="53">
        <f>IF(OR($F51="",$G51=""),"",IF(AND(T$5&lt;=$G51,T$5+6&gt;=$F51),IF($H51="Complétée","F",IF(OR($H51="En cours",$H51="En revue"),"E",IF($H51="Bloquée","B","P"))),""))</f>
        <v/>
      </c>
      <c r="U51" s="53">
        <f>IF(OR($F51="",$G51=""),"",IF(AND(U$5&lt;=$G51,U$5+6&gt;=$F51),IF($H51="Complétée","F",IF(OR($H51="En cours",$H51="En revue"),"E",IF($H51="Bloquée","B","P"))),""))</f>
        <v/>
      </c>
      <c r="V51" s="53">
        <f>IF(OR($F51="",$G51=""),"",IF(AND(V$5&lt;=$G51,V$5+6&gt;=$F51),IF($H51="Complétée","F",IF(OR($H51="En cours",$H51="En revue"),"E",IF($H51="Bloquée","B","P"))),""))</f>
        <v/>
      </c>
      <c r="W51" s="53">
        <f>IF(OR($F51="",$G51=""),"",IF(AND(W$5&lt;=$G51,W$5+6&gt;=$F51),IF($H51="Complétée","F",IF(OR($H51="En cours",$H51="En revue"),"E",IF($H51="Bloquée","B","P"))),""))</f>
        <v/>
      </c>
      <c r="X51" s="53">
        <f>IF(OR($F51="",$G51=""),"",IF(AND(X$5&lt;=$G51,X$5+6&gt;=$F51),IF($H51="Complétée","F",IF(OR($H51="En cours",$H51="En revue"),"E",IF($H51="Bloquée","B","P"))),""))</f>
        <v/>
      </c>
      <c r="Y51" s="53">
        <f>IF(OR($F51="",$G51=""),"",IF(AND(Y$5&lt;=$G51,Y$5+6&gt;=$F51),IF($H51="Complétée","F",IF(OR($H51="En cours",$H51="En revue"),"E",IF($H51="Bloquée","B","P"))),""))</f>
        <v/>
      </c>
      <c r="Z51" s="53">
        <f>IF(OR($F51="",$G51=""),"",IF(AND(Z$5&lt;=$G51,Z$5+6&gt;=$F51),IF($H51="Complétée","F",IF(OR($H51="En cours",$H51="En revue"),"E",IF($H51="Bloquée","B","P"))),""))</f>
        <v/>
      </c>
      <c r="AA51" s="53">
        <f>IF(OR($F51="",$G51=""),"",IF(AND(AA$5&lt;=$G51,AA$5+6&gt;=$F51),IF($H51="Complétée","F",IF(OR($H51="En cours",$H51="En revue"),"E",IF($H51="Bloquée","B","P"))),""))</f>
        <v/>
      </c>
      <c r="AB51" s="53">
        <f>IF(OR($F51="",$G51=""),"",IF(AND(AB$5&lt;=$G51,AB$5+6&gt;=$F51),IF($H51="Complétée","F",IF(OR($H51="En cours",$H51="En revue"),"E",IF($H51="Bloquée","B","P"))),""))</f>
        <v/>
      </c>
      <c r="AC51" s="53">
        <f>IF(OR($F51="",$G51=""),"",IF(AND(AC$5&lt;=$G51,AC$5+6&gt;=$F51),IF($H51="Complétée","F",IF(OR($H51="En cours",$H51="En revue"),"E",IF($H51="Bloquée","B","P"))),""))</f>
        <v/>
      </c>
      <c r="AD51" s="53">
        <f>IF(OR($F51="",$G51=""),"",IF(AND(AD$5&lt;=$G51,AD$5+6&gt;=$F51),IF($H51="Complétée","F",IF(OR($H51="En cours",$H51="En revue"),"E",IF($H51="Bloquée","B","P"))),""))</f>
        <v/>
      </c>
      <c r="AE51" s="53">
        <f>IF(OR($F51="",$G51=""),"",IF(AND(AE$5&lt;=$G51,AE$5+6&gt;=$F51),IF($H51="Complétée","F",IF(OR($H51="En cours",$H51="En revue"),"E",IF($H51="Bloquée","B","P"))),""))</f>
        <v/>
      </c>
      <c r="AF51" s="53">
        <f>IF(OR($F51="",$G51=""),"",IF(AND(AF$5&lt;=$G51,AF$5+6&gt;=$F51),IF($H51="Complétée","F",IF(OR($H51="En cours",$H51="En revue"),"E",IF($H51="Bloquée","B","P"))),""))</f>
        <v/>
      </c>
      <c r="AG51" s="53">
        <f>IF(OR($F51="",$G51=""),"",IF(AND(AG$5&lt;=$G51,AG$5+6&gt;=$F51),IF($H51="Complétée","F",IF(OR($H51="En cours",$H51="En revue"),"E",IF($H51="Bloquée","B","P"))),""))</f>
        <v/>
      </c>
      <c r="AH51" s="53">
        <f>IF(OR($F51="",$G51=""),"",IF(AND(AH$5&lt;=$G51,AH$5+6&gt;=$F51),IF($H51="Complétée","F",IF(OR($H51="En cours",$H51="En revue"),"E",IF($H51="Bloquée","B","P"))),""))</f>
        <v/>
      </c>
      <c r="AI51" s="53">
        <f>IF(OR($F51="",$G51=""),"",IF(AND(AI$5&lt;=$G51,AI$5+6&gt;=$F51),IF($H51="Complétée","F",IF(OR($H51="En cours",$H51="En revue"),"E",IF($H51="Bloquée","B","P"))),""))</f>
        <v/>
      </c>
      <c r="AJ51" s="53">
        <f>IF(OR($F51="",$G51=""),"",IF(AND(AJ$5&lt;=$G51,AJ$5+6&gt;=$F51),IF($H51="Complétée","F",IF(OR($H51="En cours",$H51="En revue"),"E",IF($H51="Bloquée","B","P"))),""))</f>
        <v/>
      </c>
      <c r="AK51" s="53">
        <f>IF(OR($F51="",$G51=""),"",IF(AND(AK$5&lt;=$G51,AK$5+6&gt;=$F51),IF($H51="Complétée","F",IF(OR($H51="En cours",$H51="En revue"),"E",IF($H51="Bloquée","B","P"))),""))</f>
        <v/>
      </c>
      <c r="AL51" s="53">
        <f>IF(OR($F51="",$G51=""),"",IF(AND(AL$5&lt;=$G51,AL$5+6&gt;=$F51),IF($H51="Complétée","F",IF(OR($H51="En cours",$H51="En revue"),"E",IF($H51="Bloquée","B","P"))),""))</f>
        <v/>
      </c>
      <c r="AM51" s="53">
        <f>IF(OR($F51="",$G51=""),"",IF(AND(AM$5&lt;=$G51,AM$5+6&gt;=$F51),IF($H51="Complétée","F",IF(OR($H51="En cours",$H51="En revue"),"E",IF($H51="Bloquée","B","P"))),""))</f>
        <v/>
      </c>
      <c r="AN51" s="53">
        <f>IF(OR($F51="",$G51=""),"",IF(AND(AN$5&lt;=$G51,AN$5+6&gt;=$F51),IF($H51="Complétée","F",IF(OR($H51="En cours",$H51="En revue"),"E",IF($H51="Bloquée","B","P"))),""))</f>
        <v/>
      </c>
      <c r="AO51" s="53">
        <f>IF(OR($F51="",$G51=""),"",IF(AND(AO$5&lt;=$G51,AO$5+6&gt;=$F51),IF($H51="Complétée","F",IF(OR($H51="En cours",$H51="En revue"),"E",IF($H51="Bloquée","B","P"))),""))</f>
        <v/>
      </c>
      <c r="AP51" s="53">
        <f>IF(OR($F51="",$G51=""),"",IF(AND(AP$5&lt;=$G51,AP$5+6&gt;=$F51),IF($H51="Complétée","F",IF(OR($H51="En cours",$H51="En revue"),"E",IF($H51="Bloquée","B","P"))),""))</f>
        <v/>
      </c>
      <c r="AQ51" s="53">
        <f>IF(OR($F51="",$G51=""),"",IF(AND(AQ$5&lt;=$G51,AQ$5+6&gt;=$F51),IF($H51="Complétée","F",IF(OR($H51="En cours",$H51="En revue"),"E",IF($H51="Bloquée","B","P"))),""))</f>
        <v/>
      </c>
      <c r="AR51" s="53">
        <f>IF(OR($F51="",$G51=""),"",IF(AND(AR$5&lt;=$G51,AR$5+6&gt;=$F51),IF($H51="Complétée","F",IF(OR($H51="En cours",$H51="En revue"),"E",IF($H51="Bloquée","B","P"))),""))</f>
        <v/>
      </c>
      <c r="AS51" s="53">
        <f>IF(OR($F51="",$G51=""),"",IF(AND(AS$5&lt;=$G51,AS$5+6&gt;=$F51),IF($H51="Complétée","F",IF(OR($H51="En cours",$H51="En revue"),"E",IF($H51="Bloquée","B","P"))),""))</f>
        <v/>
      </c>
      <c r="AT51" s="53">
        <f>IF(OR($F51="",$G51=""),"",IF(AND(AT$5&lt;=$G51,AT$5+6&gt;=$F51),IF($H51="Complétée","F",IF(OR($H51="En cours",$H51="En revue"),"E",IF($H51="Bloquée","B","P"))),""))</f>
        <v/>
      </c>
      <c r="AU51" s="53">
        <f>IF(OR($F51="",$G51=""),"",IF(AND(AU$5&lt;=$G51,AU$5+6&gt;=$F51),IF($H51="Complétée","F",IF(OR($H51="En cours",$H51="En revue"),"E",IF($H51="Bloquée","B","P"))),""))</f>
        <v/>
      </c>
      <c r="AV51" s="53">
        <f>IF(OR($F51="",$G51=""),"",IF(AND(AV$5&lt;=$G51,AV$5+6&gt;=$F51),IF($H51="Complétée","F",IF(OR($H51="En cours",$H51="En revue"),"E",IF($H51="Bloquée","B","P"))),""))</f>
        <v/>
      </c>
      <c r="AW51" s="53">
        <f>IF(OR($F51="",$G51=""),"",IF(AND(AW$5&lt;=$G51,AW$5+6&gt;=$F51),IF($H51="Complétée","F",IF(OR($H51="En cours",$H51="En revue"),"E",IF($H51="Bloquée","B","P"))),""))</f>
        <v/>
      </c>
    </row>
    <row r="52">
      <c r="B52" s="50">
        <f>IF(Taches!B52="","",Taches!B52)</f>
        <v/>
      </c>
      <c r="C52" s="51">
        <f>IF(Taches!B52="","",Taches!F52)</f>
        <v/>
      </c>
      <c r="D52" s="50">
        <f>IF(Taches!B52="","",Taches!C52)</f>
        <v/>
      </c>
      <c r="E52" s="50">
        <f>IF(Taches!B52="","",Taches!D52)</f>
        <v/>
      </c>
      <c r="F52" s="52">
        <f>IF(Taches!P52="","",Taches!P52)</f>
        <v/>
      </c>
      <c r="G52" s="52">
        <f>IF(Taches!Q52="","",Taches!Q52)</f>
        <v/>
      </c>
      <c r="H52" s="50">
        <f>IF(Taches!B52="","",Taches!J52)</f>
        <v/>
      </c>
      <c r="I52" s="53">
        <f>IF(OR($F52="",$G52=""),"",IF(AND(I$5&lt;=$G52,I$5+6&gt;=$F52),IF($H52="Complétée","F",IF(OR($H52="En cours",$H52="En revue"),"E",IF($H52="Bloquée","B","P"))),""))</f>
        <v/>
      </c>
      <c r="J52" s="53">
        <f>IF(OR($F52="",$G52=""),"",IF(AND(J$5&lt;=$G52,J$5+6&gt;=$F52),IF($H52="Complétée","F",IF(OR($H52="En cours",$H52="En revue"),"E",IF($H52="Bloquée","B","P"))),""))</f>
        <v/>
      </c>
      <c r="K52" s="53">
        <f>IF(OR($F52="",$G52=""),"",IF(AND(K$5&lt;=$G52,K$5+6&gt;=$F52),IF($H52="Complétée","F",IF(OR($H52="En cours",$H52="En revue"),"E",IF($H52="Bloquée","B","P"))),""))</f>
        <v/>
      </c>
      <c r="L52" s="53">
        <f>IF(OR($F52="",$G52=""),"",IF(AND(L$5&lt;=$G52,L$5+6&gt;=$F52),IF($H52="Complétée","F",IF(OR($H52="En cours",$H52="En revue"),"E",IF($H52="Bloquée","B","P"))),""))</f>
        <v/>
      </c>
      <c r="M52" s="53">
        <f>IF(OR($F52="",$G52=""),"",IF(AND(M$5&lt;=$G52,M$5+6&gt;=$F52),IF($H52="Complétée","F",IF(OR($H52="En cours",$H52="En revue"),"E",IF($H52="Bloquée","B","P"))),""))</f>
        <v/>
      </c>
      <c r="N52" s="53">
        <f>IF(OR($F52="",$G52=""),"",IF(AND(N$5&lt;=$G52,N$5+6&gt;=$F52),IF($H52="Complétée","F",IF(OR($H52="En cours",$H52="En revue"),"E",IF($H52="Bloquée","B","P"))),""))</f>
        <v/>
      </c>
      <c r="O52" s="53">
        <f>IF(OR($F52="",$G52=""),"",IF(AND(O$5&lt;=$G52,O$5+6&gt;=$F52),IF($H52="Complétée","F",IF(OR($H52="En cours",$H52="En revue"),"E",IF($H52="Bloquée","B","P"))),""))</f>
        <v/>
      </c>
      <c r="P52" s="53">
        <f>IF(OR($F52="",$G52=""),"",IF(AND(P$5&lt;=$G52,P$5+6&gt;=$F52),IF($H52="Complétée","F",IF(OR($H52="En cours",$H52="En revue"),"E",IF($H52="Bloquée","B","P"))),""))</f>
        <v/>
      </c>
      <c r="Q52" s="53">
        <f>IF(OR($F52="",$G52=""),"",IF(AND(Q$5&lt;=$G52,Q$5+6&gt;=$F52),IF($H52="Complétée","F",IF(OR($H52="En cours",$H52="En revue"),"E",IF($H52="Bloquée","B","P"))),""))</f>
        <v/>
      </c>
      <c r="R52" s="53">
        <f>IF(OR($F52="",$G52=""),"",IF(AND(R$5&lt;=$G52,R$5+6&gt;=$F52),IF($H52="Complétée","F",IF(OR($H52="En cours",$H52="En revue"),"E",IF($H52="Bloquée","B","P"))),""))</f>
        <v/>
      </c>
      <c r="S52" s="53">
        <f>IF(OR($F52="",$G52=""),"",IF(AND(S$5&lt;=$G52,S$5+6&gt;=$F52),IF($H52="Complétée","F",IF(OR($H52="En cours",$H52="En revue"),"E",IF($H52="Bloquée","B","P"))),""))</f>
        <v/>
      </c>
      <c r="T52" s="53">
        <f>IF(OR($F52="",$G52=""),"",IF(AND(T$5&lt;=$G52,T$5+6&gt;=$F52),IF($H52="Complétée","F",IF(OR($H52="En cours",$H52="En revue"),"E",IF($H52="Bloquée","B","P"))),""))</f>
        <v/>
      </c>
      <c r="U52" s="53">
        <f>IF(OR($F52="",$G52=""),"",IF(AND(U$5&lt;=$G52,U$5+6&gt;=$F52),IF($H52="Complétée","F",IF(OR($H52="En cours",$H52="En revue"),"E",IF($H52="Bloquée","B","P"))),""))</f>
        <v/>
      </c>
      <c r="V52" s="53">
        <f>IF(OR($F52="",$G52=""),"",IF(AND(V$5&lt;=$G52,V$5+6&gt;=$F52),IF($H52="Complétée","F",IF(OR($H52="En cours",$H52="En revue"),"E",IF($H52="Bloquée","B","P"))),""))</f>
        <v/>
      </c>
      <c r="W52" s="53">
        <f>IF(OR($F52="",$G52=""),"",IF(AND(W$5&lt;=$G52,W$5+6&gt;=$F52),IF($H52="Complétée","F",IF(OR($H52="En cours",$H52="En revue"),"E",IF($H52="Bloquée","B","P"))),""))</f>
        <v/>
      </c>
      <c r="X52" s="53">
        <f>IF(OR($F52="",$G52=""),"",IF(AND(X$5&lt;=$G52,X$5+6&gt;=$F52),IF($H52="Complétée","F",IF(OR($H52="En cours",$H52="En revue"),"E",IF($H52="Bloquée","B","P"))),""))</f>
        <v/>
      </c>
      <c r="Y52" s="53">
        <f>IF(OR($F52="",$G52=""),"",IF(AND(Y$5&lt;=$G52,Y$5+6&gt;=$F52),IF($H52="Complétée","F",IF(OR($H52="En cours",$H52="En revue"),"E",IF($H52="Bloquée","B","P"))),""))</f>
        <v/>
      </c>
      <c r="Z52" s="53">
        <f>IF(OR($F52="",$G52=""),"",IF(AND(Z$5&lt;=$G52,Z$5+6&gt;=$F52),IF($H52="Complétée","F",IF(OR($H52="En cours",$H52="En revue"),"E",IF($H52="Bloquée","B","P"))),""))</f>
        <v/>
      </c>
      <c r="AA52" s="53">
        <f>IF(OR($F52="",$G52=""),"",IF(AND(AA$5&lt;=$G52,AA$5+6&gt;=$F52),IF($H52="Complétée","F",IF(OR($H52="En cours",$H52="En revue"),"E",IF($H52="Bloquée","B","P"))),""))</f>
        <v/>
      </c>
      <c r="AB52" s="53">
        <f>IF(OR($F52="",$G52=""),"",IF(AND(AB$5&lt;=$G52,AB$5+6&gt;=$F52),IF($H52="Complétée","F",IF(OR($H52="En cours",$H52="En revue"),"E",IF($H52="Bloquée","B","P"))),""))</f>
        <v/>
      </c>
      <c r="AC52" s="53">
        <f>IF(OR($F52="",$G52=""),"",IF(AND(AC$5&lt;=$G52,AC$5+6&gt;=$F52),IF($H52="Complétée","F",IF(OR($H52="En cours",$H52="En revue"),"E",IF($H52="Bloquée","B","P"))),""))</f>
        <v/>
      </c>
      <c r="AD52" s="53">
        <f>IF(OR($F52="",$G52=""),"",IF(AND(AD$5&lt;=$G52,AD$5+6&gt;=$F52),IF($H52="Complétée","F",IF(OR($H52="En cours",$H52="En revue"),"E",IF($H52="Bloquée","B","P"))),""))</f>
        <v/>
      </c>
      <c r="AE52" s="53">
        <f>IF(OR($F52="",$G52=""),"",IF(AND(AE$5&lt;=$G52,AE$5+6&gt;=$F52),IF($H52="Complétée","F",IF(OR($H52="En cours",$H52="En revue"),"E",IF($H52="Bloquée","B","P"))),""))</f>
        <v/>
      </c>
      <c r="AF52" s="53">
        <f>IF(OR($F52="",$G52=""),"",IF(AND(AF$5&lt;=$G52,AF$5+6&gt;=$F52),IF($H52="Complétée","F",IF(OR($H52="En cours",$H52="En revue"),"E",IF($H52="Bloquée","B","P"))),""))</f>
        <v/>
      </c>
      <c r="AG52" s="53">
        <f>IF(OR($F52="",$G52=""),"",IF(AND(AG$5&lt;=$G52,AG$5+6&gt;=$F52),IF($H52="Complétée","F",IF(OR($H52="En cours",$H52="En revue"),"E",IF($H52="Bloquée","B","P"))),""))</f>
        <v/>
      </c>
      <c r="AH52" s="53">
        <f>IF(OR($F52="",$G52=""),"",IF(AND(AH$5&lt;=$G52,AH$5+6&gt;=$F52),IF($H52="Complétée","F",IF(OR($H52="En cours",$H52="En revue"),"E",IF($H52="Bloquée","B","P"))),""))</f>
        <v/>
      </c>
      <c r="AI52" s="53">
        <f>IF(OR($F52="",$G52=""),"",IF(AND(AI$5&lt;=$G52,AI$5+6&gt;=$F52),IF($H52="Complétée","F",IF(OR($H52="En cours",$H52="En revue"),"E",IF($H52="Bloquée","B","P"))),""))</f>
        <v/>
      </c>
      <c r="AJ52" s="53">
        <f>IF(OR($F52="",$G52=""),"",IF(AND(AJ$5&lt;=$G52,AJ$5+6&gt;=$F52),IF($H52="Complétée","F",IF(OR($H52="En cours",$H52="En revue"),"E",IF($H52="Bloquée","B","P"))),""))</f>
        <v/>
      </c>
      <c r="AK52" s="53">
        <f>IF(OR($F52="",$G52=""),"",IF(AND(AK$5&lt;=$G52,AK$5+6&gt;=$F52),IF($H52="Complétée","F",IF(OR($H52="En cours",$H52="En revue"),"E",IF($H52="Bloquée","B","P"))),""))</f>
        <v/>
      </c>
      <c r="AL52" s="53">
        <f>IF(OR($F52="",$G52=""),"",IF(AND(AL$5&lt;=$G52,AL$5+6&gt;=$F52),IF($H52="Complétée","F",IF(OR($H52="En cours",$H52="En revue"),"E",IF($H52="Bloquée","B","P"))),""))</f>
        <v/>
      </c>
      <c r="AM52" s="53">
        <f>IF(OR($F52="",$G52=""),"",IF(AND(AM$5&lt;=$G52,AM$5+6&gt;=$F52),IF($H52="Complétée","F",IF(OR($H52="En cours",$H52="En revue"),"E",IF($H52="Bloquée","B","P"))),""))</f>
        <v/>
      </c>
      <c r="AN52" s="53">
        <f>IF(OR($F52="",$G52=""),"",IF(AND(AN$5&lt;=$G52,AN$5+6&gt;=$F52),IF($H52="Complétée","F",IF(OR($H52="En cours",$H52="En revue"),"E",IF($H52="Bloquée","B","P"))),""))</f>
        <v/>
      </c>
      <c r="AO52" s="53">
        <f>IF(OR($F52="",$G52=""),"",IF(AND(AO$5&lt;=$G52,AO$5+6&gt;=$F52),IF($H52="Complétée","F",IF(OR($H52="En cours",$H52="En revue"),"E",IF($H52="Bloquée","B","P"))),""))</f>
        <v/>
      </c>
      <c r="AP52" s="53">
        <f>IF(OR($F52="",$G52=""),"",IF(AND(AP$5&lt;=$G52,AP$5+6&gt;=$F52),IF($H52="Complétée","F",IF(OR($H52="En cours",$H52="En revue"),"E",IF($H52="Bloquée","B","P"))),""))</f>
        <v/>
      </c>
      <c r="AQ52" s="53">
        <f>IF(OR($F52="",$G52=""),"",IF(AND(AQ$5&lt;=$G52,AQ$5+6&gt;=$F52),IF($H52="Complétée","F",IF(OR($H52="En cours",$H52="En revue"),"E",IF($H52="Bloquée","B","P"))),""))</f>
        <v/>
      </c>
      <c r="AR52" s="53">
        <f>IF(OR($F52="",$G52=""),"",IF(AND(AR$5&lt;=$G52,AR$5+6&gt;=$F52),IF($H52="Complétée","F",IF(OR($H52="En cours",$H52="En revue"),"E",IF($H52="Bloquée","B","P"))),""))</f>
        <v/>
      </c>
      <c r="AS52" s="53">
        <f>IF(OR($F52="",$G52=""),"",IF(AND(AS$5&lt;=$G52,AS$5+6&gt;=$F52),IF($H52="Complétée","F",IF(OR($H52="En cours",$H52="En revue"),"E",IF($H52="Bloquée","B","P"))),""))</f>
        <v/>
      </c>
      <c r="AT52" s="53">
        <f>IF(OR($F52="",$G52=""),"",IF(AND(AT$5&lt;=$G52,AT$5+6&gt;=$F52),IF($H52="Complétée","F",IF(OR($H52="En cours",$H52="En revue"),"E",IF($H52="Bloquée","B","P"))),""))</f>
        <v/>
      </c>
      <c r="AU52" s="53">
        <f>IF(OR($F52="",$G52=""),"",IF(AND(AU$5&lt;=$G52,AU$5+6&gt;=$F52),IF($H52="Complétée","F",IF(OR($H52="En cours",$H52="En revue"),"E",IF($H52="Bloquée","B","P"))),""))</f>
        <v/>
      </c>
      <c r="AV52" s="53">
        <f>IF(OR($F52="",$G52=""),"",IF(AND(AV$5&lt;=$G52,AV$5+6&gt;=$F52),IF($H52="Complétée","F",IF(OR($H52="En cours",$H52="En revue"),"E",IF($H52="Bloquée","B","P"))),""))</f>
        <v/>
      </c>
      <c r="AW52" s="53">
        <f>IF(OR($F52="",$G52=""),"",IF(AND(AW$5&lt;=$G52,AW$5+6&gt;=$F52),IF($H52="Complétée","F",IF(OR($H52="En cours",$H52="En revue"),"E",IF($H52="Bloquée","B","P"))),""))</f>
        <v/>
      </c>
    </row>
    <row r="53">
      <c r="B53" s="50">
        <f>IF(Taches!B53="","",Taches!B53)</f>
        <v/>
      </c>
      <c r="C53" s="51">
        <f>IF(Taches!B53="","",Taches!F53)</f>
        <v/>
      </c>
      <c r="D53" s="50">
        <f>IF(Taches!B53="","",Taches!C53)</f>
        <v/>
      </c>
      <c r="E53" s="50">
        <f>IF(Taches!B53="","",Taches!D53)</f>
        <v/>
      </c>
      <c r="F53" s="52">
        <f>IF(Taches!P53="","",Taches!P53)</f>
        <v/>
      </c>
      <c r="G53" s="52">
        <f>IF(Taches!Q53="","",Taches!Q53)</f>
        <v/>
      </c>
      <c r="H53" s="50">
        <f>IF(Taches!B53="","",Taches!J53)</f>
        <v/>
      </c>
      <c r="I53" s="53">
        <f>IF(OR($F53="",$G53=""),"",IF(AND(I$5&lt;=$G53,I$5+6&gt;=$F53),IF($H53="Complétée","F",IF(OR($H53="En cours",$H53="En revue"),"E",IF($H53="Bloquée","B","P"))),""))</f>
        <v/>
      </c>
      <c r="J53" s="53">
        <f>IF(OR($F53="",$G53=""),"",IF(AND(J$5&lt;=$G53,J$5+6&gt;=$F53),IF($H53="Complétée","F",IF(OR($H53="En cours",$H53="En revue"),"E",IF($H53="Bloquée","B","P"))),""))</f>
        <v/>
      </c>
      <c r="K53" s="53">
        <f>IF(OR($F53="",$G53=""),"",IF(AND(K$5&lt;=$G53,K$5+6&gt;=$F53),IF($H53="Complétée","F",IF(OR($H53="En cours",$H53="En revue"),"E",IF($H53="Bloquée","B","P"))),""))</f>
        <v/>
      </c>
      <c r="L53" s="53">
        <f>IF(OR($F53="",$G53=""),"",IF(AND(L$5&lt;=$G53,L$5+6&gt;=$F53),IF($H53="Complétée","F",IF(OR($H53="En cours",$H53="En revue"),"E",IF($H53="Bloquée","B","P"))),""))</f>
        <v/>
      </c>
      <c r="M53" s="53">
        <f>IF(OR($F53="",$G53=""),"",IF(AND(M$5&lt;=$G53,M$5+6&gt;=$F53),IF($H53="Complétée","F",IF(OR($H53="En cours",$H53="En revue"),"E",IF($H53="Bloquée","B","P"))),""))</f>
        <v/>
      </c>
      <c r="N53" s="53">
        <f>IF(OR($F53="",$G53=""),"",IF(AND(N$5&lt;=$G53,N$5+6&gt;=$F53),IF($H53="Complétée","F",IF(OR($H53="En cours",$H53="En revue"),"E",IF($H53="Bloquée","B","P"))),""))</f>
        <v/>
      </c>
      <c r="O53" s="53">
        <f>IF(OR($F53="",$G53=""),"",IF(AND(O$5&lt;=$G53,O$5+6&gt;=$F53),IF($H53="Complétée","F",IF(OR($H53="En cours",$H53="En revue"),"E",IF($H53="Bloquée","B","P"))),""))</f>
        <v/>
      </c>
      <c r="P53" s="53">
        <f>IF(OR($F53="",$G53=""),"",IF(AND(P$5&lt;=$G53,P$5+6&gt;=$F53),IF($H53="Complétée","F",IF(OR($H53="En cours",$H53="En revue"),"E",IF($H53="Bloquée","B","P"))),""))</f>
        <v/>
      </c>
      <c r="Q53" s="53">
        <f>IF(OR($F53="",$G53=""),"",IF(AND(Q$5&lt;=$G53,Q$5+6&gt;=$F53),IF($H53="Complétée","F",IF(OR($H53="En cours",$H53="En revue"),"E",IF($H53="Bloquée","B","P"))),""))</f>
        <v/>
      </c>
      <c r="R53" s="53">
        <f>IF(OR($F53="",$G53=""),"",IF(AND(R$5&lt;=$G53,R$5+6&gt;=$F53),IF($H53="Complétée","F",IF(OR($H53="En cours",$H53="En revue"),"E",IF($H53="Bloquée","B","P"))),""))</f>
        <v/>
      </c>
      <c r="S53" s="53">
        <f>IF(OR($F53="",$G53=""),"",IF(AND(S$5&lt;=$G53,S$5+6&gt;=$F53),IF($H53="Complétée","F",IF(OR($H53="En cours",$H53="En revue"),"E",IF($H53="Bloquée","B","P"))),""))</f>
        <v/>
      </c>
      <c r="T53" s="53">
        <f>IF(OR($F53="",$G53=""),"",IF(AND(T$5&lt;=$G53,T$5+6&gt;=$F53),IF($H53="Complétée","F",IF(OR($H53="En cours",$H53="En revue"),"E",IF($H53="Bloquée","B","P"))),""))</f>
        <v/>
      </c>
      <c r="U53" s="53">
        <f>IF(OR($F53="",$G53=""),"",IF(AND(U$5&lt;=$G53,U$5+6&gt;=$F53),IF($H53="Complétée","F",IF(OR($H53="En cours",$H53="En revue"),"E",IF($H53="Bloquée","B","P"))),""))</f>
        <v/>
      </c>
      <c r="V53" s="53">
        <f>IF(OR($F53="",$G53=""),"",IF(AND(V$5&lt;=$G53,V$5+6&gt;=$F53),IF($H53="Complétée","F",IF(OR($H53="En cours",$H53="En revue"),"E",IF($H53="Bloquée","B","P"))),""))</f>
        <v/>
      </c>
      <c r="W53" s="53">
        <f>IF(OR($F53="",$G53=""),"",IF(AND(W$5&lt;=$G53,W$5+6&gt;=$F53),IF($H53="Complétée","F",IF(OR($H53="En cours",$H53="En revue"),"E",IF($H53="Bloquée","B","P"))),""))</f>
        <v/>
      </c>
      <c r="X53" s="53">
        <f>IF(OR($F53="",$G53=""),"",IF(AND(X$5&lt;=$G53,X$5+6&gt;=$F53),IF($H53="Complétée","F",IF(OR($H53="En cours",$H53="En revue"),"E",IF($H53="Bloquée","B","P"))),""))</f>
        <v/>
      </c>
      <c r="Y53" s="53">
        <f>IF(OR($F53="",$G53=""),"",IF(AND(Y$5&lt;=$G53,Y$5+6&gt;=$F53),IF($H53="Complétée","F",IF(OR($H53="En cours",$H53="En revue"),"E",IF($H53="Bloquée","B","P"))),""))</f>
        <v/>
      </c>
      <c r="Z53" s="53">
        <f>IF(OR($F53="",$G53=""),"",IF(AND(Z$5&lt;=$G53,Z$5+6&gt;=$F53),IF($H53="Complétée","F",IF(OR($H53="En cours",$H53="En revue"),"E",IF($H53="Bloquée","B","P"))),""))</f>
        <v/>
      </c>
      <c r="AA53" s="53">
        <f>IF(OR($F53="",$G53=""),"",IF(AND(AA$5&lt;=$G53,AA$5+6&gt;=$F53),IF($H53="Complétée","F",IF(OR($H53="En cours",$H53="En revue"),"E",IF($H53="Bloquée","B","P"))),""))</f>
        <v/>
      </c>
      <c r="AB53" s="53">
        <f>IF(OR($F53="",$G53=""),"",IF(AND(AB$5&lt;=$G53,AB$5+6&gt;=$F53),IF($H53="Complétée","F",IF(OR($H53="En cours",$H53="En revue"),"E",IF($H53="Bloquée","B","P"))),""))</f>
        <v/>
      </c>
      <c r="AC53" s="53">
        <f>IF(OR($F53="",$G53=""),"",IF(AND(AC$5&lt;=$G53,AC$5+6&gt;=$F53),IF($H53="Complétée","F",IF(OR($H53="En cours",$H53="En revue"),"E",IF($H53="Bloquée","B","P"))),""))</f>
        <v/>
      </c>
      <c r="AD53" s="53">
        <f>IF(OR($F53="",$G53=""),"",IF(AND(AD$5&lt;=$G53,AD$5+6&gt;=$F53),IF($H53="Complétée","F",IF(OR($H53="En cours",$H53="En revue"),"E",IF($H53="Bloquée","B","P"))),""))</f>
        <v/>
      </c>
      <c r="AE53" s="53">
        <f>IF(OR($F53="",$G53=""),"",IF(AND(AE$5&lt;=$G53,AE$5+6&gt;=$F53),IF($H53="Complétée","F",IF(OR($H53="En cours",$H53="En revue"),"E",IF($H53="Bloquée","B","P"))),""))</f>
        <v/>
      </c>
      <c r="AF53" s="53">
        <f>IF(OR($F53="",$G53=""),"",IF(AND(AF$5&lt;=$G53,AF$5+6&gt;=$F53),IF($H53="Complétée","F",IF(OR($H53="En cours",$H53="En revue"),"E",IF($H53="Bloquée","B","P"))),""))</f>
        <v/>
      </c>
      <c r="AG53" s="53">
        <f>IF(OR($F53="",$G53=""),"",IF(AND(AG$5&lt;=$G53,AG$5+6&gt;=$F53),IF($H53="Complétée","F",IF(OR($H53="En cours",$H53="En revue"),"E",IF($H53="Bloquée","B","P"))),""))</f>
        <v/>
      </c>
      <c r="AH53" s="53">
        <f>IF(OR($F53="",$G53=""),"",IF(AND(AH$5&lt;=$G53,AH$5+6&gt;=$F53),IF($H53="Complétée","F",IF(OR($H53="En cours",$H53="En revue"),"E",IF($H53="Bloquée","B","P"))),""))</f>
        <v/>
      </c>
      <c r="AI53" s="53">
        <f>IF(OR($F53="",$G53=""),"",IF(AND(AI$5&lt;=$G53,AI$5+6&gt;=$F53),IF($H53="Complétée","F",IF(OR($H53="En cours",$H53="En revue"),"E",IF($H53="Bloquée","B","P"))),""))</f>
        <v/>
      </c>
      <c r="AJ53" s="53">
        <f>IF(OR($F53="",$G53=""),"",IF(AND(AJ$5&lt;=$G53,AJ$5+6&gt;=$F53),IF($H53="Complétée","F",IF(OR($H53="En cours",$H53="En revue"),"E",IF($H53="Bloquée","B","P"))),""))</f>
        <v/>
      </c>
      <c r="AK53" s="53">
        <f>IF(OR($F53="",$G53=""),"",IF(AND(AK$5&lt;=$G53,AK$5+6&gt;=$F53),IF($H53="Complétée","F",IF(OR($H53="En cours",$H53="En revue"),"E",IF($H53="Bloquée","B","P"))),""))</f>
        <v/>
      </c>
      <c r="AL53" s="53">
        <f>IF(OR($F53="",$G53=""),"",IF(AND(AL$5&lt;=$G53,AL$5+6&gt;=$F53),IF($H53="Complétée","F",IF(OR($H53="En cours",$H53="En revue"),"E",IF($H53="Bloquée","B","P"))),""))</f>
        <v/>
      </c>
      <c r="AM53" s="53">
        <f>IF(OR($F53="",$G53=""),"",IF(AND(AM$5&lt;=$G53,AM$5+6&gt;=$F53),IF($H53="Complétée","F",IF(OR($H53="En cours",$H53="En revue"),"E",IF($H53="Bloquée","B","P"))),""))</f>
        <v/>
      </c>
      <c r="AN53" s="53">
        <f>IF(OR($F53="",$G53=""),"",IF(AND(AN$5&lt;=$G53,AN$5+6&gt;=$F53),IF($H53="Complétée","F",IF(OR($H53="En cours",$H53="En revue"),"E",IF($H53="Bloquée","B","P"))),""))</f>
        <v/>
      </c>
      <c r="AO53" s="53">
        <f>IF(OR($F53="",$G53=""),"",IF(AND(AO$5&lt;=$G53,AO$5+6&gt;=$F53),IF($H53="Complétée","F",IF(OR($H53="En cours",$H53="En revue"),"E",IF($H53="Bloquée","B","P"))),""))</f>
        <v/>
      </c>
      <c r="AP53" s="53">
        <f>IF(OR($F53="",$G53=""),"",IF(AND(AP$5&lt;=$G53,AP$5+6&gt;=$F53),IF($H53="Complétée","F",IF(OR($H53="En cours",$H53="En revue"),"E",IF($H53="Bloquée","B","P"))),""))</f>
        <v/>
      </c>
      <c r="AQ53" s="53">
        <f>IF(OR($F53="",$G53=""),"",IF(AND(AQ$5&lt;=$G53,AQ$5+6&gt;=$F53),IF($H53="Complétée","F",IF(OR($H53="En cours",$H53="En revue"),"E",IF($H53="Bloquée","B","P"))),""))</f>
        <v/>
      </c>
      <c r="AR53" s="53">
        <f>IF(OR($F53="",$G53=""),"",IF(AND(AR$5&lt;=$G53,AR$5+6&gt;=$F53),IF($H53="Complétée","F",IF(OR($H53="En cours",$H53="En revue"),"E",IF($H53="Bloquée","B","P"))),""))</f>
        <v/>
      </c>
      <c r="AS53" s="53">
        <f>IF(OR($F53="",$G53=""),"",IF(AND(AS$5&lt;=$G53,AS$5+6&gt;=$F53),IF($H53="Complétée","F",IF(OR($H53="En cours",$H53="En revue"),"E",IF($H53="Bloquée","B","P"))),""))</f>
        <v/>
      </c>
      <c r="AT53" s="53">
        <f>IF(OR($F53="",$G53=""),"",IF(AND(AT$5&lt;=$G53,AT$5+6&gt;=$F53),IF($H53="Complétée","F",IF(OR($H53="En cours",$H53="En revue"),"E",IF($H53="Bloquée","B","P"))),""))</f>
        <v/>
      </c>
      <c r="AU53" s="53">
        <f>IF(OR($F53="",$G53=""),"",IF(AND(AU$5&lt;=$G53,AU$5+6&gt;=$F53),IF($H53="Complétée","F",IF(OR($H53="En cours",$H53="En revue"),"E",IF($H53="Bloquée","B","P"))),""))</f>
        <v/>
      </c>
      <c r="AV53" s="53">
        <f>IF(OR($F53="",$G53=""),"",IF(AND(AV$5&lt;=$G53,AV$5+6&gt;=$F53),IF($H53="Complétée","F",IF(OR($H53="En cours",$H53="En revue"),"E",IF($H53="Bloquée","B","P"))),""))</f>
        <v/>
      </c>
      <c r="AW53" s="53">
        <f>IF(OR($F53="",$G53=""),"",IF(AND(AW$5&lt;=$G53,AW$5+6&gt;=$F53),IF($H53="Complétée","F",IF(OR($H53="En cours",$H53="En revue"),"E",IF($H53="Bloquée","B","P"))),""))</f>
        <v/>
      </c>
    </row>
    <row r="54">
      <c r="B54" s="50">
        <f>IF(Taches!B54="","",Taches!B54)</f>
        <v/>
      </c>
      <c r="C54" s="51">
        <f>IF(Taches!B54="","",Taches!F54)</f>
        <v/>
      </c>
      <c r="D54" s="50">
        <f>IF(Taches!B54="","",Taches!C54)</f>
        <v/>
      </c>
      <c r="E54" s="50">
        <f>IF(Taches!B54="","",Taches!D54)</f>
        <v/>
      </c>
      <c r="F54" s="52">
        <f>IF(Taches!P54="","",Taches!P54)</f>
        <v/>
      </c>
      <c r="G54" s="52">
        <f>IF(Taches!Q54="","",Taches!Q54)</f>
        <v/>
      </c>
      <c r="H54" s="50">
        <f>IF(Taches!B54="","",Taches!J54)</f>
        <v/>
      </c>
      <c r="I54" s="53">
        <f>IF(OR($F54="",$G54=""),"",IF(AND(I$5&lt;=$G54,I$5+6&gt;=$F54),IF($H54="Complétée","F",IF(OR($H54="En cours",$H54="En revue"),"E",IF($H54="Bloquée","B","P"))),""))</f>
        <v/>
      </c>
      <c r="J54" s="53">
        <f>IF(OR($F54="",$G54=""),"",IF(AND(J$5&lt;=$G54,J$5+6&gt;=$F54),IF($H54="Complétée","F",IF(OR($H54="En cours",$H54="En revue"),"E",IF($H54="Bloquée","B","P"))),""))</f>
        <v/>
      </c>
      <c r="K54" s="53">
        <f>IF(OR($F54="",$G54=""),"",IF(AND(K$5&lt;=$G54,K$5+6&gt;=$F54),IF($H54="Complétée","F",IF(OR($H54="En cours",$H54="En revue"),"E",IF($H54="Bloquée","B","P"))),""))</f>
        <v/>
      </c>
      <c r="L54" s="53">
        <f>IF(OR($F54="",$G54=""),"",IF(AND(L$5&lt;=$G54,L$5+6&gt;=$F54),IF($H54="Complétée","F",IF(OR($H54="En cours",$H54="En revue"),"E",IF($H54="Bloquée","B","P"))),""))</f>
        <v/>
      </c>
      <c r="M54" s="53">
        <f>IF(OR($F54="",$G54=""),"",IF(AND(M$5&lt;=$G54,M$5+6&gt;=$F54),IF($H54="Complétée","F",IF(OR($H54="En cours",$H54="En revue"),"E",IF($H54="Bloquée","B","P"))),""))</f>
        <v/>
      </c>
      <c r="N54" s="53">
        <f>IF(OR($F54="",$G54=""),"",IF(AND(N$5&lt;=$G54,N$5+6&gt;=$F54),IF($H54="Complétée","F",IF(OR($H54="En cours",$H54="En revue"),"E",IF($H54="Bloquée","B","P"))),""))</f>
        <v/>
      </c>
      <c r="O54" s="53">
        <f>IF(OR($F54="",$G54=""),"",IF(AND(O$5&lt;=$G54,O$5+6&gt;=$F54),IF($H54="Complétée","F",IF(OR($H54="En cours",$H54="En revue"),"E",IF($H54="Bloquée","B","P"))),""))</f>
        <v/>
      </c>
      <c r="P54" s="53">
        <f>IF(OR($F54="",$G54=""),"",IF(AND(P$5&lt;=$G54,P$5+6&gt;=$F54),IF($H54="Complétée","F",IF(OR($H54="En cours",$H54="En revue"),"E",IF($H54="Bloquée","B","P"))),""))</f>
        <v/>
      </c>
      <c r="Q54" s="53">
        <f>IF(OR($F54="",$G54=""),"",IF(AND(Q$5&lt;=$G54,Q$5+6&gt;=$F54),IF($H54="Complétée","F",IF(OR($H54="En cours",$H54="En revue"),"E",IF($H54="Bloquée","B","P"))),""))</f>
        <v/>
      </c>
      <c r="R54" s="53">
        <f>IF(OR($F54="",$G54=""),"",IF(AND(R$5&lt;=$G54,R$5+6&gt;=$F54),IF($H54="Complétée","F",IF(OR($H54="En cours",$H54="En revue"),"E",IF($H54="Bloquée","B","P"))),""))</f>
        <v/>
      </c>
      <c r="S54" s="53">
        <f>IF(OR($F54="",$G54=""),"",IF(AND(S$5&lt;=$G54,S$5+6&gt;=$F54),IF($H54="Complétée","F",IF(OR($H54="En cours",$H54="En revue"),"E",IF($H54="Bloquée","B","P"))),""))</f>
        <v/>
      </c>
      <c r="T54" s="53">
        <f>IF(OR($F54="",$G54=""),"",IF(AND(T$5&lt;=$G54,T$5+6&gt;=$F54),IF($H54="Complétée","F",IF(OR($H54="En cours",$H54="En revue"),"E",IF($H54="Bloquée","B","P"))),""))</f>
        <v/>
      </c>
      <c r="U54" s="53">
        <f>IF(OR($F54="",$G54=""),"",IF(AND(U$5&lt;=$G54,U$5+6&gt;=$F54),IF($H54="Complétée","F",IF(OR($H54="En cours",$H54="En revue"),"E",IF($H54="Bloquée","B","P"))),""))</f>
        <v/>
      </c>
      <c r="V54" s="53">
        <f>IF(OR($F54="",$G54=""),"",IF(AND(V$5&lt;=$G54,V$5+6&gt;=$F54),IF($H54="Complétée","F",IF(OR($H54="En cours",$H54="En revue"),"E",IF($H54="Bloquée","B","P"))),""))</f>
        <v/>
      </c>
      <c r="W54" s="53">
        <f>IF(OR($F54="",$G54=""),"",IF(AND(W$5&lt;=$G54,W$5+6&gt;=$F54),IF($H54="Complétée","F",IF(OR($H54="En cours",$H54="En revue"),"E",IF($H54="Bloquée","B","P"))),""))</f>
        <v/>
      </c>
      <c r="X54" s="53">
        <f>IF(OR($F54="",$G54=""),"",IF(AND(X$5&lt;=$G54,X$5+6&gt;=$F54),IF($H54="Complétée","F",IF(OR($H54="En cours",$H54="En revue"),"E",IF($H54="Bloquée","B","P"))),""))</f>
        <v/>
      </c>
      <c r="Y54" s="53">
        <f>IF(OR($F54="",$G54=""),"",IF(AND(Y$5&lt;=$G54,Y$5+6&gt;=$F54),IF($H54="Complétée","F",IF(OR($H54="En cours",$H54="En revue"),"E",IF($H54="Bloquée","B","P"))),""))</f>
        <v/>
      </c>
      <c r="Z54" s="53">
        <f>IF(OR($F54="",$G54=""),"",IF(AND(Z$5&lt;=$G54,Z$5+6&gt;=$F54),IF($H54="Complétée","F",IF(OR($H54="En cours",$H54="En revue"),"E",IF($H54="Bloquée","B","P"))),""))</f>
        <v/>
      </c>
      <c r="AA54" s="53">
        <f>IF(OR($F54="",$G54=""),"",IF(AND(AA$5&lt;=$G54,AA$5+6&gt;=$F54),IF($H54="Complétée","F",IF(OR($H54="En cours",$H54="En revue"),"E",IF($H54="Bloquée","B","P"))),""))</f>
        <v/>
      </c>
      <c r="AB54" s="53">
        <f>IF(OR($F54="",$G54=""),"",IF(AND(AB$5&lt;=$G54,AB$5+6&gt;=$F54),IF($H54="Complétée","F",IF(OR($H54="En cours",$H54="En revue"),"E",IF($H54="Bloquée","B","P"))),""))</f>
        <v/>
      </c>
      <c r="AC54" s="53">
        <f>IF(OR($F54="",$G54=""),"",IF(AND(AC$5&lt;=$G54,AC$5+6&gt;=$F54),IF($H54="Complétée","F",IF(OR($H54="En cours",$H54="En revue"),"E",IF($H54="Bloquée","B","P"))),""))</f>
        <v/>
      </c>
      <c r="AD54" s="53">
        <f>IF(OR($F54="",$G54=""),"",IF(AND(AD$5&lt;=$G54,AD$5+6&gt;=$F54),IF($H54="Complétée","F",IF(OR($H54="En cours",$H54="En revue"),"E",IF($H54="Bloquée","B","P"))),""))</f>
        <v/>
      </c>
      <c r="AE54" s="53">
        <f>IF(OR($F54="",$G54=""),"",IF(AND(AE$5&lt;=$G54,AE$5+6&gt;=$F54),IF($H54="Complétée","F",IF(OR($H54="En cours",$H54="En revue"),"E",IF($H54="Bloquée","B","P"))),""))</f>
        <v/>
      </c>
      <c r="AF54" s="53">
        <f>IF(OR($F54="",$G54=""),"",IF(AND(AF$5&lt;=$G54,AF$5+6&gt;=$F54),IF($H54="Complétée","F",IF(OR($H54="En cours",$H54="En revue"),"E",IF($H54="Bloquée","B","P"))),""))</f>
        <v/>
      </c>
      <c r="AG54" s="53">
        <f>IF(OR($F54="",$G54=""),"",IF(AND(AG$5&lt;=$G54,AG$5+6&gt;=$F54),IF($H54="Complétée","F",IF(OR($H54="En cours",$H54="En revue"),"E",IF($H54="Bloquée","B","P"))),""))</f>
        <v/>
      </c>
      <c r="AH54" s="53">
        <f>IF(OR($F54="",$G54=""),"",IF(AND(AH$5&lt;=$G54,AH$5+6&gt;=$F54),IF($H54="Complétée","F",IF(OR($H54="En cours",$H54="En revue"),"E",IF($H54="Bloquée","B","P"))),""))</f>
        <v/>
      </c>
      <c r="AI54" s="53">
        <f>IF(OR($F54="",$G54=""),"",IF(AND(AI$5&lt;=$G54,AI$5+6&gt;=$F54),IF($H54="Complétée","F",IF(OR($H54="En cours",$H54="En revue"),"E",IF($H54="Bloquée","B","P"))),""))</f>
        <v/>
      </c>
      <c r="AJ54" s="53">
        <f>IF(OR($F54="",$G54=""),"",IF(AND(AJ$5&lt;=$G54,AJ$5+6&gt;=$F54),IF($H54="Complétée","F",IF(OR($H54="En cours",$H54="En revue"),"E",IF($H54="Bloquée","B","P"))),""))</f>
        <v/>
      </c>
      <c r="AK54" s="53">
        <f>IF(OR($F54="",$G54=""),"",IF(AND(AK$5&lt;=$G54,AK$5+6&gt;=$F54),IF($H54="Complétée","F",IF(OR($H54="En cours",$H54="En revue"),"E",IF($H54="Bloquée","B","P"))),""))</f>
        <v/>
      </c>
      <c r="AL54" s="53">
        <f>IF(OR($F54="",$G54=""),"",IF(AND(AL$5&lt;=$G54,AL$5+6&gt;=$F54),IF($H54="Complétée","F",IF(OR($H54="En cours",$H54="En revue"),"E",IF($H54="Bloquée","B","P"))),""))</f>
        <v/>
      </c>
      <c r="AM54" s="53">
        <f>IF(OR($F54="",$G54=""),"",IF(AND(AM$5&lt;=$G54,AM$5+6&gt;=$F54),IF($H54="Complétée","F",IF(OR($H54="En cours",$H54="En revue"),"E",IF($H54="Bloquée","B","P"))),""))</f>
        <v/>
      </c>
      <c r="AN54" s="53">
        <f>IF(OR($F54="",$G54=""),"",IF(AND(AN$5&lt;=$G54,AN$5+6&gt;=$F54),IF($H54="Complétée","F",IF(OR($H54="En cours",$H54="En revue"),"E",IF($H54="Bloquée","B","P"))),""))</f>
        <v/>
      </c>
      <c r="AO54" s="53">
        <f>IF(OR($F54="",$G54=""),"",IF(AND(AO$5&lt;=$G54,AO$5+6&gt;=$F54),IF($H54="Complétée","F",IF(OR($H54="En cours",$H54="En revue"),"E",IF($H54="Bloquée","B","P"))),""))</f>
        <v/>
      </c>
      <c r="AP54" s="53">
        <f>IF(OR($F54="",$G54=""),"",IF(AND(AP$5&lt;=$G54,AP$5+6&gt;=$F54),IF($H54="Complétée","F",IF(OR($H54="En cours",$H54="En revue"),"E",IF($H54="Bloquée","B","P"))),""))</f>
        <v/>
      </c>
      <c r="AQ54" s="53">
        <f>IF(OR($F54="",$G54=""),"",IF(AND(AQ$5&lt;=$G54,AQ$5+6&gt;=$F54),IF($H54="Complétée","F",IF(OR($H54="En cours",$H54="En revue"),"E",IF($H54="Bloquée","B","P"))),""))</f>
        <v/>
      </c>
      <c r="AR54" s="53">
        <f>IF(OR($F54="",$G54=""),"",IF(AND(AR$5&lt;=$G54,AR$5+6&gt;=$F54),IF($H54="Complétée","F",IF(OR($H54="En cours",$H54="En revue"),"E",IF($H54="Bloquée","B","P"))),""))</f>
        <v/>
      </c>
      <c r="AS54" s="53">
        <f>IF(OR($F54="",$G54=""),"",IF(AND(AS$5&lt;=$G54,AS$5+6&gt;=$F54),IF($H54="Complétée","F",IF(OR($H54="En cours",$H54="En revue"),"E",IF($H54="Bloquée","B","P"))),""))</f>
        <v/>
      </c>
      <c r="AT54" s="53">
        <f>IF(OR($F54="",$G54=""),"",IF(AND(AT$5&lt;=$G54,AT$5+6&gt;=$F54),IF($H54="Complétée","F",IF(OR($H54="En cours",$H54="En revue"),"E",IF($H54="Bloquée","B","P"))),""))</f>
        <v/>
      </c>
      <c r="AU54" s="53">
        <f>IF(OR($F54="",$G54=""),"",IF(AND(AU$5&lt;=$G54,AU$5+6&gt;=$F54),IF($H54="Complétée","F",IF(OR($H54="En cours",$H54="En revue"),"E",IF($H54="Bloquée","B","P"))),""))</f>
        <v/>
      </c>
      <c r="AV54" s="53">
        <f>IF(OR($F54="",$G54=""),"",IF(AND(AV$5&lt;=$G54,AV$5+6&gt;=$F54),IF($H54="Complétée","F",IF(OR($H54="En cours",$H54="En revue"),"E",IF($H54="Bloquée","B","P"))),""))</f>
        <v/>
      </c>
      <c r="AW54" s="53">
        <f>IF(OR($F54="",$G54=""),"",IF(AND(AW$5&lt;=$G54,AW$5+6&gt;=$F54),IF($H54="Complétée","F",IF(OR($H54="En cours",$H54="En revue"),"E",IF($H54="Bloquée","B","P"))),""))</f>
        <v/>
      </c>
    </row>
    <row r="55">
      <c r="B55" s="50">
        <f>IF(Taches!B55="","",Taches!B55)</f>
        <v/>
      </c>
      <c r="C55" s="51">
        <f>IF(Taches!B55="","",Taches!F55)</f>
        <v/>
      </c>
      <c r="D55" s="50">
        <f>IF(Taches!B55="","",Taches!C55)</f>
        <v/>
      </c>
      <c r="E55" s="50">
        <f>IF(Taches!B55="","",Taches!D55)</f>
        <v/>
      </c>
      <c r="F55" s="52">
        <f>IF(Taches!P55="","",Taches!P55)</f>
        <v/>
      </c>
      <c r="G55" s="52">
        <f>IF(Taches!Q55="","",Taches!Q55)</f>
        <v/>
      </c>
      <c r="H55" s="50">
        <f>IF(Taches!B55="","",Taches!J55)</f>
        <v/>
      </c>
      <c r="I55" s="53">
        <f>IF(OR($F55="",$G55=""),"",IF(AND(I$5&lt;=$G55,I$5+6&gt;=$F55),IF($H55="Complétée","F",IF(OR($H55="En cours",$H55="En revue"),"E",IF($H55="Bloquée","B","P"))),""))</f>
        <v/>
      </c>
      <c r="J55" s="53">
        <f>IF(OR($F55="",$G55=""),"",IF(AND(J$5&lt;=$G55,J$5+6&gt;=$F55),IF($H55="Complétée","F",IF(OR($H55="En cours",$H55="En revue"),"E",IF($H55="Bloquée","B","P"))),""))</f>
        <v/>
      </c>
      <c r="K55" s="53">
        <f>IF(OR($F55="",$G55=""),"",IF(AND(K$5&lt;=$G55,K$5+6&gt;=$F55),IF($H55="Complétée","F",IF(OR($H55="En cours",$H55="En revue"),"E",IF($H55="Bloquée","B","P"))),""))</f>
        <v/>
      </c>
      <c r="L55" s="53">
        <f>IF(OR($F55="",$G55=""),"",IF(AND(L$5&lt;=$G55,L$5+6&gt;=$F55),IF($H55="Complétée","F",IF(OR($H55="En cours",$H55="En revue"),"E",IF($H55="Bloquée","B","P"))),""))</f>
        <v/>
      </c>
      <c r="M55" s="53">
        <f>IF(OR($F55="",$G55=""),"",IF(AND(M$5&lt;=$G55,M$5+6&gt;=$F55),IF($H55="Complétée","F",IF(OR($H55="En cours",$H55="En revue"),"E",IF($H55="Bloquée","B","P"))),""))</f>
        <v/>
      </c>
      <c r="N55" s="53">
        <f>IF(OR($F55="",$G55=""),"",IF(AND(N$5&lt;=$G55,N$5+6&gt;=$F55),IF($H55="Complétée","F",IF(OR($H55="En cours",$H55="En revue"),"E",IF($H55="Bloquée","B","P"))),""))</f>
        <v/>
      </c>
      <c r="O55" s="53">
        <f>IF(OR($F55="",$G55=""),"",IF(AND(O$5&lt;=$G55,O$5+6&gt;=$F55),IF($H55="Complétée","F",IF(OR($H55="En cours",$H55="En revue"),"E",IF($H55="Bloquée","B","P"))),""))</f>
        <v/>
      </c>
      <c r="P55" s="53">
        <f>IF(OR($F55="",$G55=""),"",IF(AND(P$5&lt;=$G55,P$5+6&gt;=$F55),IF($H55="Complétée","F",IF(OR($H55="En cours",$H55="En revue"),"E",IF($H55="Bloquée","B","P"))),""))</f>
        <v/>
      </c>
      <c r="Q55" s="53">
        <f>IF(OR($F55="",$G55=""),"",IF(AND(Q$5&lt;=$G55,Q$5+6&gt;=$F55),IF($H55="Complétée","F",IF(OR($H55="En cours",$H55="En revue"),"E",IF($H55="Bloquée","B","P"))),""))</f>
        <v/>
      </c>
      <c r="R55" s="53">
        <f>IF(OR($F55="",$G55=""),"",IF(AND(R$5&lt;=$G55,R$5+6&gt;=$F55),IF($H55="Complétée","F",IF(OR($H55="En cours",$H55="En revue"),"E",IF($H55="Bloquée","B","P"))),""))</f>
        <v/>
      </c>
      <c r="S55" s="53">
        <f>IF(OR($F55="",$G55=""),"",IF(AND(S$5&lt;=$G55,S$5+6&gt;=$F55),IF($H55="Complétée","F",IF(OR($H55="En cours",$H55="En revue"),"E",IF($H55="Bloquée","B","P"))),""))</f>
        <v/>
      </c>
      <c r="T55" s="53">
        <f>IF(OR($F55="",$G55=""),"",IF(AND(T$5&lt;=$G55,T$5+6&gt;=$F55),IF($H55="Complétée","F",IF(OR($H55="En cours",$H55="En revue"),"E",IF($H55="Bloquée","B","P"))),""))</f>
        <v/>
      </c>
      <c r="U55" s="53">
        <f>IF(OR($F55="",$G55=""),"",IF(AND(U$5&lt;=$G55,U$5+6&gt;=$F55),IF($H55="Complétée","F",IF(OR($H55="En cours",$H55="En revue"),"E",IF($H55="Bloquée","B","P"))),""))</f>
        <v/>
      </c>
      <c r="V55" s="53">
        <f>IF(OR($F55="",$G55=""),"",IF(AND(V$5&lt;=$G55,V$5+6&gt;=$F55),IF($H55="Complétée","F",IF(OR($H55="En cours",$H55="En revue"),"E",IF($H55="Bloquée","B","P"))),""))</f>
        <v/>
      </c>
      <c r="W55" s="53">
        <f>IF(OR($F55="",$G55=""),"",IF(AND(W$5&lt;=$G55,W$5+6&gt;=$F55),IF($H55="Complétée","F",IF(OR($H55="En cours",$H55="En revue"),"E",IF($H55="Bloquée","B","P"))),""))</f>
        <v/>
      </c>
      <c r="X55" s="53">
        <f>IF(OR($F55="",$G55=""),"",IF(AND(X$5&lt;=$G55,X$5+6&gt;=$F55),IF($H55="Complétée","F",IF(OR($H55="En cours",$H55="En revue"),"E",IF($H55="Bloquée","B","P"))),""))</f>
        <v/>
      </c>
      <c r="Y55" s="53">
        <f>IF(OR($F55="",$G55=""),"",IF(AND(Y$5&lt;=$G55,Y$5+6&gt;=$F55),IF($H55="Complétée","F",IF(OR($H55="En cours",$H55="En revue"),"E",IF($H55="Bloquée","B","P"))),""))</f>
        <v/>
      </c>
      <c r="Z55" s="53">
        <f>IF(OR($F55="",$G55=""),"",IF(AND(Z$5&lt;=$G55,Z$5+6&gt;=$F55),IF($H55="Complétée","F",IF(OR($H55="En cours",$H55="En revue"),"E",IF($H55="Bloquée","B","P"))),""))</f>
        <v/>
      </c>
      <c r="AA55" s="53">
        <f>IF(OR($F55="",$G55=""),"",IF(AND(AA$5&lt;=$G55,AA$5+6&gt;=$F55),IF($H55="Complétée","F",IF(OR($H55="En cours",$H55="En revue"),"E",IF($H55="Bloquée","B","P"))),""))</f>
        <v/>
      </c>
      <c r="AB55" s="53">
        <f>IF(OR($F55="",$G55=""),"",IF(AND(AB$5&lt;=$G55,AB$5+6&gt;=$F55),IF($H55="Complétée","F",IF(OR($H55="En cours",$H55="En revue"),"E",IF($H55="Bloquée","B","P"))),""))</f>
        <v/>
      </c>
      <c r="AC55" s="53">
        <f>IF(OR($F55="",$G55=""),"",IF(AND(AC$5&lt;=$G55,AC$5+6&gt;=$F55),IF($H55="Complétée","F",IF(OR($H55="En cours",$H55="En revue"),"E",IF($H55="Bloquée","B","P"))),""))</f>
        <v/>
      </c>
      <c r="AD55" s="53">
        <f>IF(OR($F55="",$G55=""),"",IF(AND(AD$5&lt;=$G55,AD$5+6&gt;=$F55),IF($H55="Complétée","F",IF(OR($H55="En cours",$H55="En revue"),"E",IF($H55="Bloquée","B","P"))),""))</f>
        <v/>
      </c>
      <c r="AE55" s="53">
        <f>IF(OR($F55="",$G55=""),"",IF(AND(AE$5&lt;=$G55,AE$5+6&gt;=$F55),IF($H55="Complétée","F",IF(OR($H55="En cours",$H55="En revue"),"E",IF($H55="Bloquée","B","P"))),""))</f>
        <v/>
      </c>
      <c r="AF55" s="53">
        <f>IF(OR($F55="",$G55=""),"",IF(AND(AF$5&lt;=$G55,AF$5+6&gt;=$F55),IF($H55="Complétée","F",IF(OR($H55="En cours",$H55="En revue"),"E",IF($H55="Bloquée","B","P"))),""))</f>
        <v/>
      </c>
      <c r="AG55" s="53">
        <f>IF(OR($F55="",$G55=""),"",IF(AND(AG$5&lt;=$G55,AG$5+6&gt;=$F55),IF($H55="Complétée","F",IF(OR($H55="En cours",$H55="En revue"),"E",IF($H55="Bloquée","B","P"))),""))</f>
        <v/>
      </c>
      <c r="AH55" s="53">
        <f>IF(OR($F55="",$G55=""),"",IF(AND(AH$5&lt;=$G55,AH$5+6&gt;=$F55),IF($H55="Complétée","F",IF(OR($H55="En cours",$H55="En revue"),"E",IF($H55="Bloquée","B","P"))),""))</f>
        <v/>
      </c>
      <c r="AI55" s="53">
        <f>IF(OR($F55="",$G55=""),"",IF(AND(AI$5&lt;=$G55,AI$5+6&gt;=$F55),IF($H55="Complétée","F",IF(OR($H55="En cours",$H55="En revue"),"E",IF($H55="Bloquée","B","P"))),""))</f>
        <v/>
      </c>
      <c r="AJ55" s="53">
        <f>IF(OR($F55="",$G55=""),"",IF(AND(AJ$5&lt;=$G55,AJ$5+6&gt;=$F55),IF($H55="Complétée","F",IF(OR($H55="En cours",$H55="En revue"),"E",IF($H55="Bloquée","B","P"))),""))</f>
        <v/>
      </c>
      <c r="AK55" s="53">
        <f>IF(OR($F55="",$G55=""),"",IF(AND(AK$5&lt;=$G55,AK$5+6&gt;=$F55),IF($H55="Complétée","F",IF(OR($H55="En cours",$H55="En revue"),"E",IF($H55="Bloquée","B","P"))),""))</f>
        <v/>
      </c>
      <c r="AL55" s="53">
        <f>IF(OR($F55="",$G55=""),"",IF(AND(AL$5&lt;=$G55,AL$5+6&gt;=$F55),IF($H55="Complétée","F",IF(OR($H55="En cours",$H55="En revue"),"E",IF($H55="Bloquée","B","P"))),""))</f>
        <v/>
      </c>
      <c r="AM55" s="53">
        <f>IF(OR($F55="",$G55=""),"",IF(AND(AM$5&lt;=$G55,AM$5+6&gt;=$F55),IF($H55="Complétée","F",IF(OR($H55="En cours",$H55="En revue"),"E",IF($H55="Bloquée","B","P"))),""))</f>
        <v/>
      </c>
      <c r="AN55" s="53">
        <f>IF(OR($F55="",$G55=""),"",IF(AND(AN$5&lt;=$G55,AN$5+6&gt;=$F55),IF($H55="Complétée","F",IF(OR($H55="En cours",$H55="En revue"),"E",IF($H55="Bloquée","B","P"))),""))</f>
        <v/>
      </c>
      <c r="AO55" s="53">
        <f>IF(OR($F55="",$G55=""),"",IF(AND(AO$5&lt;=$G55,AO$5+6&gt;=$F55),IF($H55="Complétée","F",IF(OR($H55="En cours",$H55="En revue"),"E",IF($H55="Bloquée","B","P"))),""))</f>
        <v/>
      </c>
      <c r="AP55" s="53">
        <f>IF(OR($F55="",$G55=""),"",IF(AND(AP$5&lt;=$G55,AP$5+6&gt;=$F55),IF($H55="Complétée","F",IF(OR($H55="En cours",$H55="En revue"),"E",IF($H55="Bloquée","B","P"))),""))</f>
        <v/>
      </c>
      <c r="AQ55" s="53">
        <f>IF(OR($F55="",$G55=""),"",IF(AND(AQ$5&lt;=$G55,AQ$5+6&gt;=$F55),IF($H55="Complétée","F",IF(OR($H55="En cours",$H55="En revue"),"E",IF($H55="Bloquée","B","P"))),""))</f>
        <v/>
      </c>
      <c r="AR55" s="53">
        <f>IF(OR($F55="",$G55=""),"",IF(AND(AR$5&lt;=$G55,AR$5+6&gt;=$F55),IF($H55="Complétée","F",IF(OR($H55="En cours",$H55="En revue"),"E",IF($H55="Bloquée","B","P"))),""))</f>
        <v/>
      </c>
      <c r="AS55" s="53">
        <f>IF(OR($F55="",$G55=""),"",IF(AND(AS$5&lt;=$G55,AS$5+6&gt;=$F55),IF($H55="Complétée","F",IF(OR($H55="En cours",$H55="En revue"),"E",IF($H55="Bloquée","B","P"))),""))</f>
        <v/>
      </c>
      <c r="AT55" s="53">
        <f>IF(OR($F55="",$G55=""),"",IF(AND(AT$5&lt;=$G55,AT$5+6&gt;=$F55),IF($H55="Complétée","F",IF(OR($H55="En cours",$H55="En revue"),"E",IF($H55="Bloquée","B","P"))),""))</f>
        <v/>
      </c>
      <c r="AU55" s="53">
        <f>IF(OR($F55="",$G55=""),"",IF(AND(AU$5&lt;=$G55,AU$5+6&gt;=$F55),IF($H55="Complétée","F",IF(OR($H55="En cours",$H55="En revue"),"E",IF($H55="Bloquée","B","P"))),""))</f>
        <v/>
      </c>
      <c r="AV55" s="53">
        <f>IF(OR($F55="",$G55=""),"",IF(AND(AV$5&lt;=$G55,AV$5+6&gt;=$F55),IF($H55="Complétée","F",IF(OR($H55="En cours",$H55="En revue"),"E",IF($H55="Bloquée","B","P"))),""))</f>
        <v/>
      </c>
      <c r="AW55" s="53">
        <f>IF(OR($F55="",$G55=""),"",IF(AND(AW$5&lt;=$G55,AW$5+6&gt;=$F55),IF($H55="Complétée","F",IF(OR($H55="En cours",$H55="En revue"),"E",IF($H55="Bloquée","B","P"))),""))</f>
        <v/>
      </c>
    </row>
    <row r="56">
      <c r="B56" s="50">
        <f>IF(Taches!B56="","",Taches!B56)</f>
        <v/>
      </c>
      <c r="C56" s="51">
        <f>IF(Taches!B56="","",Taches!F56)</f>
        <v/>
      </c>
      <c r="D56" s="50">
        <f>IF(Taches!B56="","",Taches!C56)</f>
        <v/>
      </c>
      <c r="E56" s="50">
        <f>IF(Taches!B56="","",Taches!D56)</f>
        <v/>
      </c>
      <c r="F56" s="52">
        <f>IF(Taches!P56="","",Taches!P56)</f>
        <v/>
      </c>
      <c r="G56" s="52">
        <f>IF(Taches!Q56="","",Taches!Q56)</f>
        <v/>
      </c>
      <c r="H56" s="50">
        <f>IF(Taches!B56="","",Taches!J56)</f>
        <v/>
      </c>
      <c r="I56" s="53">
        <f>IF(OR($F56="",$G56=""),"",IF(AND(I$5&lt;=$G56,I$5+6&gt;=$F56),IF($H56="Complétée","F",IF(OR($H56="En cours",$H56="En revue"),"E",IF($H56="Bloquée","B","P"))),""))</f>
        <v/>
      </c>
      <c r="J56" s="53">
        <f>IF(OR($F56="",$G56=""),"",IF(AND(J$5&lt;=$G56,J$5+6&gt;=$F56),IF($H56="Complétée","F",IF(OR($H56="En cours",$H56="En revue"),"E",IF($H56="Bloquée","B","P"))),""))</f>
        <v/>
      </c>
      <c r="K56" s="53">
        <f>IF(OR($F56="",$G56=""),"",IF(AND(K$5&lt;=$G56,K$5+6&gt;=$F56),IF($H56="Complétée","F",IF(OR($H56="En cours",$H56="En revue"),"E",IF($H56="Bloquée","B","P"))),""))</f>
        <v/>
      </c>
      <c r="L56" s="53">
        <f>IF(OR($F56="",$G56=""),"",IF(AND(L$5&lt;=$G56,L$5+6&gt;=$F56),IF($H56="Complétée","F",IF(OR($H56="En cours",$H56="En revue"),"E",IF($H56="Bloquée","B","P"))),""))</f>
        <v/>
      </c>
      <c r="M56" s="53">
        <f>IF(OR($F56="",$G56=""),"",IF(AND(M$5&lt;=$G56,M$5+6&gt;=$F56),IF($H56="Complétée","F",IF(OR($H56="En cours",$H56="En revue"),"E",IF($H56="Bloquée","B","P"))),""))</f>
        <v/>
      </c>
      <c r="N56" s="53">
        <f>IF(OR($F56="",$G56=""),"",IF(AND(N$5&lt;=$G56,N$5+6&gt;=$F56),IF($H56="Complétée","F",IF(OR($H56="En cours",$H56="En revue"),"E",IF($H56="Bloquée","B","P"))),""))</f>
        <v/>
      </c>
      <c r="O56" s="53">
        <f>IF(OR($F56="",$G56=""),"",IF(AND(O$5&lt;=$G56,O$5+6&gt;=$F56),IF($H56="Complétée","F",IF(OR($H56="En cours",$H56="En revue"),"E",IF($H56="Bloquée","B","P"))),""))</f>
        <v/>
      </c>
      <c r="P56" s="53">
        <f>IF(OR($F56="",$G56=""),"",IF(AND(P$5&lt;=$G56,P$5+6&gt;=$F56),IF($H56="Complétée","F",IF(OR($H56="En cours",$H56="En revue"),"E",IF($H56="Bloquée","B","P"))),""))</f>
        <v/>
      </c>
      <c r="Q56" s="53">
        <f>IF(OR($F56="",$G56=""),"",IF(AND(Q$5&lt;=$G56,Q$5+6&gt;=$F56),IF($H56="Complétée","F",IF(OR($H56="En cours",$H56="En revue"),"E",IF($H56="Bloquée","B","P"))),""))</f>
        <v/>
      </c>
      <c r="R56" s="53">
        <f>IF(OR($F56="",$G56=""),"",IF(AND(R$5&lt;=$G56,R$5+6&gt;=$F56),IF($H56="Complétée","F",IF(OR($H56="En cours",$H56="En revue"),"E",IF($H56="Bloquée","B","P"))),""))</f>
        <v/>
      </c>
      <c r="S56" s="53">
        <f>IF(OR($F56="",$G56=""),"",IF(AND(S$5&lt;=$G56,S$5+6&gt;=$F56),IF($H56="Complétée","F",IF(OR($H56="En cours",$H56="En revue"),"E",IF($H56="Bloquée","B","P"))),""))</f>
        <v/>
      </c>
      <c r="T56" s="53">
        <f>IF(OR($F56="",$G56=""),"",IF(AND(T$5&lt;=$G56,T$5+6&gt;=$F56),IF($H56="Complétée","F",IF(OR($H56="En cours",$H56="En revue"),"E",IF($H56="Bloquée","B","P"))),""))</f>
        <v/>
      </c>
      <c r="U56" s="53">
        <f>IF(OR($F56="",$G56=""),"",IF(AND(U$5&lt;=$G56,U$5+6&gt;=$F56),IF($H56="Complétée","F",IF(OR($H56="En cours",$H56="En revue"),"E",IF($H56="Bloquée","B","P"))),""))</f>
        <v/>
      </c>
      <c r="V56" s="53">
        <f>IF(OR($F56="",$G56=""),"",IF(AND(V$5&lt;=$G56,V$5+6&gt;=$F56),IF($H56="Complétée","F",IF(OR($H56="En cours",$H56="En revue"),"E",IF($H56="Bloquée","B","P"))),""))</f>
        <v/>
      </c>
      <c r="W56" s="53">
        <f>IF(OR($F56="",$G56=""),"",IF(AND(W$5&lt;=$G56,W$5+6&gt;=$F56),IF($H56="Complétée","F",IF(OR($H56="En cours",$H56="En revue"),"E",IF($H56="Bloquée","B","P"))),""))</f>
        <v/>
      </c>
      <c r="X56" s="53">
        <f>IF(OR($F56="",$G56=""),"",IF(AND(X$5&lt;=$G56,X$5+6&gt;=$F56),IF($H56="Complétée","F",IF(OR($H56="En cours",$H56="En revue"),"E",IF($H56="Bloquée","B","P"))),""))</f>
        <v/>
      </c>
      <c r="Y56" s="53">
        <f>IF(OR($F56="",$G56=""),"",IF(AND(Y$5&lt;=$G56,Y$5+6&gt;=$F56),IF($H56="Complétée","F",IF(OR($H56="En cours",$H56="En revue"),"E",IF($H56="Bloquée","B","P"))),""))</f>
        <v/>
      </c>
      <c r="Z56" s="53">
        <f>IF(OR($F56="",$G56=""),"",IF(AND(Z$5&lt;=$G56,Z$5+6&gt;=$F56),IF($H56="Complétée","F",IF(OR($H56="En cours",$H56="En revue"),"E",IF($H56="Bloquée","B","P"))),""))</f>
        <v/>
      </c>
      <c r="AA56" s="53">
        <f>IF(OR($F56="",$G56=""),"",IF(AND(AA$5&lt;=$G56,AA$5+6&gt;=$F56),IF($H56="Complétée","F",IF(OR($H56="En cours",$H56="En revue"),"E",IF($H56="Bloquée","B","P"))),""))</f>
        <v/>
      </c>
      <c r="AB56" s="53">
        <f>IF(OR($F56="",$G56=""),"",IF(AND(AB$5&lt;=$G56,AB$5+6&gt;=$F56),IF($H56="Complétée","F",IF(OR($H56="En cours",$H56="En revue"),"E",IF($H56="Bloquée","B","P"))),""))</f>
        <v/>
      </c>
      <c r="AC56" s="53">
        <f>IF(OR($F56="",$G56=""),"",IF(AND(AC$5&lt;=$G56,AC$5+6&gt;=$F56),IF($H56="Complétée","F",IF(OR($H56="En cours",$H56="En revue"),"E",IF($H56="Bloquée","B","P"))),""))</f>
        <v/>
      </c>
      <c r="AD56" s="53">
        <f>IF(OR($F56="",$G56=""),"",IF(AND(AD$5&lt;=$G56,AD$5+6&gt;=$F56),IF($H56="Complétée","F",IF(OR($H56="En cours",$H56="En revue"),"E",IF($H56="Bloquée","B","P"))),""))</f>
        <v/>
      </c>
      <c r="AE56" s="53">
        <f>IF(OR($F56="",$G56=""),"",IF(AND(AE$5&lt;=$G56,AE$5+6&gt;=$F56),IF($H56="Complétée","F",IF(OR($H56="En cours",$H56="En revue"),"E",IF($H56="Bloquée","B","P"))),""))</f>
        <v/>
      </c>
      <c r="AF56" s="53">
        <f>IF(OR($F56="",$G56=""),"",IF(AND(AF$5&lt;=$G56,AF$5+6&gt;=$F56),IF($H56="Complétée","F",IF(OR($H56="En cours",$H56="En revue"),"E",IF($H56="Bloquée","B","P"))),""))</f>
        <v/>
      </c>
      <c r="AG56" s="53">
        <f>IF(OR($F56="",$G56=""),"",IF(AND(AG$5&lt;=$G56,AG$5+6&gt;=$F56),IF($H56="Complétée","F",IF(OR($H56="En cours",$H56="En revue"),"E",IF($H56="Bloquée","B","P"))),""))</f>
        <v/>
      </c>
      <c r="AH56" s="53">
        <f>IF(OR($F56="",$G56=""),"",IF(AND(AH$5&lt;=$G56,AH$5+6&gt;=$F56),IF($H56="Complétée","F",IF(OR($H56="En cours",$H56="En revue"),"E",IF($H56="Bloquée","B","P"))),""))</f>
        <v/>
      </c>
      <c r="AI56" s="53">
        <f>IF(OR($F56="",$G56=""),"",IF(AND(AI$5&lt;=$G56,AI$5+6&gt;=$F56),IF($H56="Complétée","F",IF(OR($H56="En cours",$H56="En revue"),"E",IF($H56="Bloquée","B","P"))),""))</f>
        <v/>
      </c>
      <c r="AJ56" s="53">
        <f>IF(OR($F56="",$G56=""),"",IF(AND(AJ$5&lt;=$G56,AJ$5+6&gt;=$F56),IF($H56="Complétée","F",IF(OR($H56="En cours",$H56="En revue"),"E",IF($H56="Bloquée","B","P"))),""))</f>
        <v/>
      </c>
      <c r="AK56" s="53">
        <f>IF(OR($F56="",$G56=""),"",IF(AND(AK$5&lt;=$G56,AK$5+6&gt;=$F56),IF($H56="Complétée","F",IF(OR($H56="En cours",$H56="En revue"),"E",IF($H56="Bloquée","B","P"))),""))</f>
        <v/>
      </c>
      <c r="AL56" s="53">
        <f>IF(OR($F56="",$G56=""),"",IF(AND(AL$5&lt;=$G56,AL$5+6&gt;=$F56),IF($H56="Complétée","F",IF(OR($H56="En cours",$H56="En revue"),"E",IF($H56="Bloquée","B","P"))),""))</f>
        <v/>
      </c>
      <c r="AM56" s="53">
        <f>IF(OR($F56="",$G56=""),"",IF(AND(AM$5&lt;=$G56,AM$5+6&gt;=$F56),IF($H56="Complétée","F",IF(OR($H56="En cours",$H56="En revue"),"E",IF($H56="Bloquée","B","P"))),""))</f>
        <v/>
      </c>
      <c r="AN56" s="53">
        <f>IF(OR($F56="",$G56=""),"",IF(AND(AN$5&lt;=$G56,AN$5+6&gt;=$F56),IF($H56="Complétée","F",IF(OR($H56="En cours",$H56="En revue"),"E",IF($H56="Bloquée","B","P"))),""))</f>
        <v/>
      </c>
      <c r="AO56" s="53">
        <f>IF(OR($F56="",$G56=""),"",IF(AND(AO$5&lt;=$G56,AO$5+6&gt;=$F56),IF($H56="Complétée","F",IF(OR($H56="En cours",$H56="En revue"),"E",IF($H56="Bloquée","B","P"))),""))</f>
        <v/>
      </c>
      <c r="AP56" s="53">
        <f>IF(OR($F56="",$G56=""),"",IF(AND(AP$5&lt;=$G56,AP$5+6&gt;=$F56),IF($H56="Complétée","F",IF(OR($H56="En cours",$H56="En revue"),"E",IF($H56="Bloquée","B","P"))),""))</f>
        <v/>
      </c>
      <c r="AQ56" s="53">
        <f>IF(OR($F56="",$G56=""),"",IF(AND(AQ$5&lt;=$G56,AQ$5+6&gt;=$F56),IF($H56="Complétée","F",IF(OR($H56="En cours",$H56="En revue"),"E",IF($H56="Bloquée","B","P"))),""))</f>
        <v/>
      </c>
      <c r="AR56" s="53">
        <f>IF(OR($F56="",$G56=""),"",IF(AND(AR$5&lt;=$G56,AR$5+6&gt;=$F56),IF($H56="Complétée","F",IF(OR($H56="En cours",$H56="En revue"),"E",IF($H56="Bloquée","B","P"))),""))</f>
        <v/>
      </c>
      <c r="AS56" s="53">
        <f>IF(OR($F56="",$G56=""),"",IF(AND(AS$5&lt;=$G56,AS$5+6&gt;=$F56),IF($H56="Complétée","F",IF(OR($H56="En cours",$H56="En revue"),"E",IF($H56="Bloquée","B","P"))),""))</f>
        <v/>
      </c>
      <c r="AT56" s="53">
        <f>IF(OR($F56="",$G56=""),"",IF(AND(AT$5&lt;=$G56,AT$5+6&gt;=$F56),IF($H56="Complétée","F",IF(OR($H56="En cours",$H56="En revue"),"E",IF($H56="Bloquée","B","P"))),""))</f>
        <v/>
      </c>
      <c r="AU56" s="53">
        <f>IF(OR($F56="",$G56=""),"",IF(AND(AU$5&lt;=$G56,AU$5+6&gt;=$F56),IF($H56="Complétée","F",IF(OR($H56="En cours",$H56="En revue"),"E",IF($H56="Bloquée","B","P"))),""))</f>
        <v/>
      </c>
      <c r="AV56" s="53">
        <f>IF(OR($F56="",$G56=""),"",IF(AND(AV$5&lt;=$G56,AV$5+6&gt;=$F56),IF($H56="Complétée","F",IF(OR($H56="En cours",$H56="En revue"),"E",IF($H56="Bloquée","B","P"))),""))</f>
        <v/>
      </c>
      <c r="AW56" s="53">
        <f>IF(OR($F56="",$G56=""),"",IF(AND(AW$5&lt;=$G56,AW$5+6&gt;=$F56),IF($H56="Complétée","F",IF(OR($H56="En cours",$H56="En revue"),"E",IF($H56="Bloquée","B","P"))),""))</f>
        <v/>
      </c>
    </row>
    <row r="57">
      <c r="B57" s="50">
        <f>IF(Taches!B57="","",Taches!B57)</f>
        <v/>
      </c>
      <c r="C57" s="51">
        <f>IF(Taches!B57="","",Taches!F57)</f>
        <v/>
      </c>
      <c r="D57" s="50">
        <f>IF(Taches!B57="","",Taches!C57)</f>
        <v/>
      </c>
      <c r="E57" s="50">
        <f>IF(Taches!B57="","",Taches!D57)</f>
        <v/>
      </c>
      <c r="F57" s="52">
        <f>IF(Taches!P57="","",Taches!P57)</f>
        <v/>
      </c>
      <c r="G57" s="52">
        <f>IF(Taches!Q57="","",Taches!Q57)</f>
        <v/>
      </c>
      <c r="H57" s="50">
        <f>IF(Taches!B57="","",Taches!J57)</f>
        <v/>
      </c>
      <c r="I57" s="53">
        <f>IF(OR($F57="",$G57=""),"",IF(AND(I$5&lt;=$G57,I$5+6&gt;=$F57),IF($H57="Complétée","F",IF(OR($H57="En cours",$H57="En revue"),"E",IF($H57="Bloquée","B","P"))),""))</f>
        <v/>
      </c>
      <c r="J57" s="53">
        <f>IF(OR($F57="",$G57=""),"",IF(AND(J$5&lt;=$G57,J$5+6&gt;=$F57),IF($H57="Complétée","F",IF(OR($H57="En cours",$H57="En revue"),"E",IF($H57="Bloquée","B","P"))),""))</f>
        <v/>
      </c>
      <c r="K57" s="53">
        <f>IF(OR($F57="",$G57=""),"",IF(AND(K$5&lt;=$G57,K$5+6&gt;=$F57),IF($H57="Complétée","F",IF(OR($H57="En cours",$H57="En revue"),"E",IF($H57="Bloquée","B","P"))),""))</f>
        <v/>
      </c>
      <c r="L57" s="53">
        <f>IF(OR($F57="",$G57=""),"",IF(AND(L$5&lt;=$G57,L$5+6&gt;=$F57),IF($H57="Complétée","F",IF(OR($H57="En cours",$H57="En revue"),"E",IF($H57="Bloquée","B","P"))),""))</f>
        <v/>
      </c>
      <c r="M57" s="53">
        <f>IF(OR($F57="",$G57=""),"",IF(AND(M$5&lt;=$G57,M$5+6&gt;=$F57),IF($H57="Complétée","F",IF(OR($H57="En cours",$H57="En revue"),"E",IF($H57="Bloquée","B","P"))),""))</f>
        <v/>
      </c>
      <c r="N57" s="53">
        <f>IF(OR($F57="",$G57=""),"",IF(AND(N$5&lt;=$G57,N$5+6&gt;=$F57),IF($H57="Complétée","F",IF(OR($H57="En cours",$H57="En revue"),"E",IF($H57="Bloquée","B","P"))),""))</f>
        <v/>
      </c>
      <c r="O57" s="53">
        <f>IF(OR($F57="",$G57=""),"",IF(AND(O$5&lt;=$G57,O$5+6&gt;=$F57),IF($H57="Complétée","F",IF(OR($H57="En cours",$H57="En revue"),"E",IF($H57="Bloquée","B","P"))),""))</f>
        <v/>
      </c>
      <c r="P57" s="53">
        <f>IF(OR($F57="",$G57=""),"",IF(AND(P$5&lt;=$G57,P$5+6&gt;=$F57),IF($H57="Complétée","F",IF(OR($H57="En cours",$H57="En revue"),"E",IF($H57="Bloquée","B","P"))),""))</f>
        <v/>
      </c>
      <c r="Q57" s="53">
        <f>IF(OR($F57="",$G57=""),"",IF(AND(Q$5&lt;=$G57,Q$5+6&gt;=$F57),IF($H57="Complétée","F",IF(OR($H57="En cours",$H57="En revue"),"E",IF($H57="Bloquée","B","P"))),""))</f>
        <v/>
      </c>
      <c r="R57" s="53">
        <f>IF(OR($F57="",$G57=""),"",IF(AND(R$5&lt;=$G57,R$5+6&gt;=$F57),IF($H57="Complétée","F",IF(OR($H57="En cours",$H57="En revue"),"E",IF($H57="Bloquée","B","P"))),""))</f>
        <v/>
      </c>
      <c r="S57" s="53">
        <f>IF(OR($F57="",$G57=""),"",IF(AND(S$5&lt;=$G57,S$5+6&gt;=$F57),IF($H57="Complétée","F",IF(OR($H57="En cours",$H57="En revue"),"E",IF($H57="Bloquée","B","P"))),""))</f>
        <v/>
      </c>
      <c r="T57" s="53">
        <f>IF(OR($F57="",$G57=""),"",IF(AND(T$5&lt;=$G57,T$5+6&gt;=$F57),IF($H57="Complétée","F",IF(OR($H57="En cours",$H57="En revue"),"E",IF($H57="Bloquée","B","P"))),""))</f>
        <v/>
      </c>
      <c r="U57" s="53">
        <f>IF(OR($F57="",$G57=""),"",IF(AND(U$5&lt;=$G57,U$5+6&gt;=$F57),IF($H57="Complétée","F",IF(OR($H57="En cours",$H57="En revue"),"E",IF($H57="Bloquée","B","P"))),""))</f>
        <v/>
      </c>
      <c r="V57" s="53">
        <f>IF(OR($F57="",$G57=""),"",IF(AND(V$5&lt;=$G57,V$5+6&gt;=$F57),IF($H57="Complétée","F",IF(OR($H57="En cours",$H57="En revue"),"E",IF($H57="Bloquée","B","P"))),""))</f>
        <v/>
      </c>
      <c r="W57" s="53">
        <f>IF(OR($F57="",$G57=""),"",IF(AND(W$5&lt;=$G57,W$5+6&gt;=$F57),IF($H57="Complétée","F",IF(OR($H57="En cours",$H57="En revue"),"E",IF($H57="Bloquée","B","P"))),""))</f>
        <v/>
      </c>
      <c r="X57" s="53">
        <f>IF(OR($F57="",$G57=""),"",IF(AND(X$5&lt;=$G57,X$5+6&gt;=$F57),IF($H57="Complétée","F",IF(OR($H57="En cours",$H57="En revue"),"E",IF($H57="Bloquée","B","P"))),""))</f>
        <v/>
      </c>
      <c r="Y57" s="53">
        <f>IF(OR($F57="",$G57=""),"",IF(AND(Y$5&lt;=$G57,Y$5+6&gt;=$F57),IF($H57="Complétée","F",IF(OR($H57="En cours",$H57="En revue"),"E",IF($H57="Bloquée","B","P"))),""))</f>
        <v/>
      </c>
      <c r="Z57" s="53">
        <f>IF(OR($F57="",$G57=""),"",IF(AND(Z$5&lt;=$G57,Z$5+6&gt;=$F57),IF($H57="Complétée","F",IF(OR($H57="En cours",$H57="En revue"),"E",IF($H57="Bloquée","B","P"))),""))</f>
        <v/>
      </c>
      <c r="AA57" s="53">
        <f>IF(OR($F57="",$G57=""),"",IF(AND(AA$5&lt;=$G57,AA$5+6&gt;=$F57),IF($H57="Complétée","F",IF(OR($H57="En cours",$H57="En revue"),"E",IF($H57="Bloquée","B","P"))),""))</f>
        <v/>
      </c>
      <c r="AB57" s="53">
        <f>IF(OR($F57="",$G57=""),"",IF(AND(AB$5&lt;=$G57,AB$5+6&gt;=$F57),IF($H57="Complétée","F",IF(OR($H57="En cours",$H57="En revue"),"E",IF($H57="Bloquée","B","P"))),""))</f>
        <v/>
      </c>
      <c r="AC57" s="53">
        <f>IF(OR($F57="",$G57=""),"",IF(AND(AC$5&lt;=$G57,AC$5+6&gt;=$F57),IF($H57="Complétée","F",IF(OR($H57="En cours",$H57="En revue"),"E",IF($H57="Bloquée","B","P"))),""))</f>
        <v/>
      </c>
      <c r="AD57" s="53">
        <f>IF(OR($F57="",$G57=""),"",IF(AND(AD$5&lt;=$G57,AD$5+6&gt;=$F57),IF($H57="Complétée","F",IF(OR($H57="En cours",$H57="En revue"),"E",IF($H57="Bloquée","B","P"))),""))</f>
        <v/>
      </c>
      <c r="AE57" s="53">
        <f>IF(OR($F57="",$G57=""),"",IF(AND(AE$5&lt;=$G57,AE$5+6&gt;=$F57),IF($H57="Complétée","F",IF(OR($H57="En cours",$H57="En revue"),"E",IF($H57="Bloquée","B","P"))),""))</f>
        <v/>
      </c>
      <c r="AF57" s="53">
        <f>IF(OR($F57="",$G57=""),"",IF(AND(AF$5&lt;=$G57,AF$5+6&gt;=$F57),IF($H57="Complétée","F",IF(OR($H57="En cours",$H57="En revue"),"E",IF($H57="Bloquée","B","P"))),""))</f>
        <v/>
      </c>
      <c r="AG57" s="53">
        <f>IF(OR($F57="",$G57=""),"",IF(AND(AG$5&lt;=$G57,AG$5+6&gt;=$F57),IF($H57="Complétée","F",IF(OR($H57="En cours",$H57="En revue"),"E",IF($H57="Bloquée","B","P"))),""))</f>
        <v/>
      </c>
      <c r="AH57" s="53">
        <f>IF(OR($F57="",$G57=""),"",IF(AND(AH$5&lt;=$G57,AH$5+6&gt;=$F57),IF($H57="Complétée","F",IF(OR($H57="En cours",$H57="En revue"),"E",IF($H57="Bloquée","B","P"))),""))</f>
        <v/>
      </c>
      <c r="AI57" s="53">
        <f>IF(OR($F57="",$G57=""),"",IF(AND(AI$5&lt;=$G57,AI$5+6&gt;=$F57),IF($H57="Complétée","F",IF(OR($H57="En cours",$H57="En revue"),"E",IF($H57="Bloquée","B","P"))),""))</f>
        <v/>
      </c>
      <c r="AJ57" s="53">
        <f>IF(OR($F57="",$G57=""),"",IF(AND(AJ$5&lt;=$G57,AJ$5+6&gt;=$F57),IF($H57="Complétée","F",IF(OR($H57="En cours",$H57="En revue"),"E",IF($H57="Bloquée","B","P"))),""))</f>
        <v/>
      </c>
      <c r="AK57" s="53">
        <f>IF(OR($F57="",$G57=""),"",IF(AND(AK$5&lt;=$G57,AK$5+6&gt;=$F57),IF($H57="Complétée","F",IF(OR($H57="En cours",$H57="En revue"),"E",IF($H57="Bloquée","B","P"))),""))</f>
        <v/>
      </c>
      <c r="AL57" s="53">
        <f>IF(OR($F57="",$G57=""),"",IF(AND(AL$5&lt;=$G57,AL$5+6&gt;=$F57),IF($H57="Complétée","F",IF(OR($H57="En cours",$H57="En revue"),"E",IF($H57="Bloquée","B","P"))),""))</f>
        <v/>
      </c>
      <c r="AM57" s="53">
        <f>IF(OR($F57="",$G57=""),"",IF(AND(AM$5&lt;=$G57,AM$5+6&gt;=$F57),IF($H57="Complétée","F",IF(OR($H57="En cours",$H57="En revue"),"E",IF($H57="Bloquée","B","P"))),""))</f>
        <v/>
      </c>
      <c r="AN57" s="53">
        <f>IF(OR($F57="",$G57=""),"",IF(AND(AN$5&lt;=$G57,AN$5+6&gt;=$F57),IF($H57="Complétée","F",IF(OR($H57="En cours",$H57="En revue"),"E",IF($H57="Bloquée","B","P"))),""))</f>
        <v/>
      </c>
      <c r="AO57" s="53">
        <f>IF(OR($F57="",$G57=""),"",IF(AND(AO$5&lt;=$G57,AO$5+6&gt;=$F57),IF($H57="Complétée","F",IF(OR($H57="En cours",$H57="En revue"),"E",IF($H57="Bloquée","B","P"))),""))</f>
        <v/>
      </c>
      <c r="AP57" s="53">
        <f>IF(OR($F57="",$G57=""),"",IF(AND(AP$5&lt;=$G57,AP$5+6&gt;=$F57),IF($H57="Complétée","F",IF(OR($H57="En cours",$H57="En revue"),"E",IF($H57="Bloquée","B","P"))),""))</f>
        <v/>
      </c>
      <c r="AQ57" s="53">
        <f>IF(OR($F57="",$G57=""),"",IF(AND(AQ$5&lt;=$G57,AQ$5+6&gt;=$F57),IF($H57="Complétée","F",IF(OR($H57="En cours",$H57="En revue"),"E",IF($H57="Bloquée","B","P"))),""))</f>
        <v/>
      </c>
      <c r="AR57" s="53">
        <f>IF(OR($F57="",$G57=""),"",IF(AND(AR$5&lt;=$G57,AR$5+6&gt;=$F57),IF($H57="Complétée","F",IF(OR($H57="En cours",$H57="En revue"),"E",IF($H57="Bloquée","B","P"))),""))</f>
        <v/>
      </c>
      <c r="AS57" s="53">
        <f>IF(OR($F57="",$G57=""),"",IF(AND(AS$5&lt;=$G57,AS$5+6&gt;=$F57),IF($H57="Complétée","F",IF(OR($H57="En cours",$H57="En revue"),"E",IF($H57="Bloquée","B","P"))),""))</f>
        <v/>
      </c>
      <c r="AT57" s="53">
        <f>IF(OR($F57="",$G57=""),"",IF(AND(AT$5&lt;=$G57,AT$5+6&gt;=$F57),IF($H57="Complétée","F",IF(OR($H57="En cours",$H57="En revue"),"E",IF($H57="Bloquée","B","P"))),""))</f>
        <v/>
      </c>
      <c r="AU57" s="53">
        <f>IF(OR($F57="",$G57=""),"",IF(AND(AU$5&lt;=$G57,AU$5+6&gt;=$F57),IF($H57="Complétée","F",IF(OR($H57="En cours",$H57="En revue"),"E",IF($H57="Bloquée","B","P"))),""))</f>
        <v/>
      </c>
      <c r="AV57" s="53">
        <f>IF(OR($F57="",$G57=""),"",IF(AND(AV$5&lt;=$G57,AV$5+6&gt;=$F57),IF($H57="Complétée","F",IF(OR($H57="En cours",$H57="En revue"),"E",IF($H57="Bloquée","B","P"))),""))</f>
        <v/>
      </c>
      <c r="AW57" s="53">
        <f>IF(OR($F57="",$G57=""),"",IF(AND(AW$5&lt;=$G57,AW$5+6&gt;=$F57),IF($H57="Complétée","F",IF(OR($H57="En cours",$H57="En revue"),"E",IF($H57="Bloquée","B","P"))),""))</f>
        <v/>
      </c>
    </row>
    <row r="58">
      <c r="B58" s="50">
        <f>IF(Taches!B58="","",Taches!B58)</f>
        <v/>
      </c>
      <c r="C58" s="51">
        <f>IF(Taches!B58="","",Taches!F58)</f>
        <v/>
      </c>
      <c r="D58" s="50">
        <f>IF(Taches!B58="","",Taches!C58)</f>
        <v/>
      </c>
      <c r="E58" s="50">
        <f>IF(Taches!B58="","",Taches!D58)</f>
        <v/>
      </c>
      <c r="F58" s="52">
        <f>IF(Taches!P58="","",Taches!P58)</f>
        <v/>
      </c>
      <c r="G58" s="52">
        <f>IF(Taches!Q58="","",Taches!Q58)</f>
        <v/>
      </c>
      <c r="H58" s="50">
        <f>IF(Taches!B58="","",Taches!J58)</f>
        <v/>
      </c>
      <c r="I58" s="53">
        <f>IF(OR($F58="",$G58=""),"",IF(AND(I$5&lt;=$G58,I$5+6&gt;=$F58),IF($H58="Complétée","F",IF(OR($H58="En cours",$H58="En revue"),"E",IF($H58="Bloquée","B","P"))),""))</f>
        <v/>
      </c>
      <c r="J58" s="53">
        <f>IF(OR($F58="",$G58=""),"",IF(AND(J$5&lt;=$G58,J$5+6&gt;=$F58),IF($H58="Complétée","F",IF(OR($H58="En cours",$H58="En revue"),"E",IF($H58="Bloquée","B","P"))),""))</f>
        <v/>
      </c>
      <c r="K58" s="53">
        <f>IF(OR($F58="",$G58=""),"",IF(AND(K$5&lt;=$G58,K$5+6&gt;=$F58),IF($H58="Complétée","F",IF(OR($H58="En cours",$H58="En revue"),"E",IF($H58="Bloquée","B","P"))),""))</f>
        <v/>
      </c>
      <c r="L58" s="53">
        <f>IF(OR($F58="",$G58=""),"",IF(AND(L$5&lt;=$G58,L$5+6&gt;=$F58),IF($H58="Complétée","F",IF(OR($H58="En cours",$H58="En revue"),"E",IF($H58="Bloquée","B","P"))),""))</f>
        <v/>
      </c>
      <c r="M58" s="53">
        <f>IF(OR($F58="",$G58=""),"",IF(AND(M$5&lt;=$G58,M$5+6&gt;=$F58),IF($H58="Complétée","F",IF(OR($H58="En cours",$H58="En revue"),"E",IF($H58="Bloquée","B","P"))),""))</f>
        <v/>
      </c>
      <c r="N58" s="53">
        <f>IF(OR($F58="",$G58=""),"",IF(AND(N$5&lt;=$G58,N$5+6&gt;=$F58),IF($H58="Complétée","F",IF(OR($H58="En cours",$H58="En revue"),"E",IF($H58="Bloquée","B","P"))),""))</f>
        <v/>
      </c>
      <c r="O58" s="53">
        <f>IF(OR($F58="",$G58=""),"",IF(AND(O$5&lt;=$G58,O$5+6&gt;=$F58),IF($H58="Complétée","F",IF(OR($H58="En cours",$H58="En revue"),"E",IF($H58="Bloquée","B","P"))),""))</f>
        <v/>
      </c>
      <c r="P58" s="53">
        <f>IF(OR($F58="",$G58=""),"",IF(AND(P$5&lt;=$G58,P$5+6&gt;=$F58),IF($H58="Complétée","F",IF(OR($H58="En cours",$H58="En revue"),"E",IF($H58="Bloquée","B","P"))),""))</f>
        <v/>
      </c>
      <c r="Q58" s="53">
        <f>IF(OR($F58="",$G58=""),"",IF(AND(Q$5&lt;=$G58,Q$5+6&gt;=$F58),IF($H58="Complétée","F",IF(OR($H58="En cours",$H58="En revue"),"E",IF($H58="Bloquée","B","P"))),""))</f>
        <v/>
      </c>
      <c r="R58" s="53">
        <f>IF(OR($F58="",$G58=""),"",IF(AND(R$5&lt;=$G58,R$5+6&gt;=$F58),IF($H58="Complétée","F",IF(OR($H58="En cours",$H58="En revue"),"E",IF($H58="Bloquée","B","P"))),""))</f>
        <v/>
      </c>
      <c r="S58" s="53">
        <f>IF(OR($F58="",$G58=""),"",IF(AND(S$5&lt;=$G58,S$5+6&gt;=$F58),IF($H58="Complétée","F",IF(OR($H58="En cours",$H58="En revue"),"E",IF($H58="Bloquée","B","P"))),""))</f>
        <v/>
      </c>
      <c r="T58" s="53">
        <f>IF(OR($F58="",$G58=""),"",IF(AND(T$5&lt;=$G58,T$5+6&gt;=$F58),IF($H58="Complétée","F",IF(OR($H58="En cours",$H58="En revue"),"E",IF($H58="Bloquée","B","P"))),""))</f>
        <v/>
      </c>
      <c r="U58" s="53">
        <f>IF(OR($F58="",$G58=""),"",IF(AND(U$5&lt;=$G58,U$5+6&gt;=$F58),IF($H58="Complétée","F",IF(OR($H58="En cours",$H58="En revue"),"E",IF($H58="Bloquée","B","P"))),""))</f>
        <v/>
      </c>
      <c r="V58" s="53">
        <f>IF(OR($F58="",$G58=""),"",IF(AND(V$5&lt;=$G58,V$5+6&gt;=$F58),IF($H58="Complétée","F",IF(OR($H58="En cours",$H58="En revue"),"E",IF($H58="Bloquée","B","P"))),""))</f>
        <v/>
      </c>
      <c r="W58" s="53">
        <f>IF(OR($F58="",$G58=""),"",IF(AND(W$5&lt;=$G58,W$5+6&gt;=$F58),IF($H58="Complétée","F",IF(OR($H58="En cours",$H58="En revue"),"E",IF($H58="Bloquée","B","P"))),""))</f>
        <v/>
      </c>
      <c r="X58" s="53">
        <f>IF(OR($F58="",$G58=""),"",IF(AND(X$5&lt;=$G58,X$5+6&gt;=$F58),IF($H58="Complétée","F",IF(OR($H58="En cours",$H58="En revue"),"E",IF($H58="Bloquée","B","P"))),""))</f>
        <v/>
      </c>
      <c r="Y58" s="53">
        <f>IF(OR($F58="",$G58=""),"",IF(AND(Y$5&lt;=$G58,Y$5+6&gt;=$F58),IF($H58="Complétée","F",IF(OR($H58="En cours",$H58="En revue"),"E",IF($H58="Bloquée","B","P"))),""))</f>
        <v/>
      </c>
      <c r="Z58" s="53">
        <f>IF(OR($F58="",$G58=""),"",IF(AND(Z$5&lt;=$G58,Z$5+6&gt;=$F58),IF($H58="Complétée","F",IF(OR($H58="En cours",$H58="En revue"),"E",IF($H58="Bloquée","B","P"))),""))</f>
        <v/>
      </c>
      <c r="AA58" s="53">
        <f>IF(OR($F58="",$G58=""),"",IF(AND(AA$5&lt;=$G58,AA$5+6&gt;=$F58),IF($H58="Complétée","F",IF(OR($H58="En cours",$H58="En revue"),"E",IF($H58="Bloquée","B","P"))),""))</f>
        <v/>
      </c>
      <c r="AB58" s="53">
        <f>IF(OR($F58="",$G58=""),"",IF(AND(AB$5&lt;=$G58,AB$5+6&gt;=$F58),IF($H58="Complétée","F",IF(OR($H58="En cours",$H58="En revue"),"E",IF($H58="Bloquée","B","P"))),""))</f>
        <v/>
      </c>
      <c r="AC58" s="53">
        <f>IF(OR($F58="",$G58=""),"",IF(AND(AC$5&lt;=$G58,AC$5+6&gt;=$F58),IF($H58="Complétée","F",IF(OR($H58="En cours",$H58="En revue"),"E",IF($H58="Bloquée","B","P"))),""))</f>
        <v/>
      </c>
      <c r="AD58" s="53">
        <f>IF(OR($F58="",$G58=""),"",IF(AND(AD$5&lt;=$G58,AD$5+6&gt;=$F58),IF($H58="Complétée","F",IF(OR($H58="En cours",$H58="En revue"),"E",IF($H58="Bloquée","B","P"))),""))</f>
        <v/>
      </c>
      <c r="AE58" s="53">
        <f>IF(OR($F58="",$G58=""),"",IF(AND(AE$5&lt;=$G58,AE$5+6&gt;=$F58),IF($H58="Complétée","F",IF(OR($H58="En cours",$H58="En revue"),"E",IF($H58="Bloquée","B","P"))),""))</f>
        <v/>
      </c>
      <c r="AF58" s="53">
        <f>IF(OR($F58="",$G58=""),"",IF(AND(AF$5&lt;=$G58,AF$5+6&gt;=$F58),IF($H58="Complétée","F",IF(OR($H58="En cours",$H58="En revue"),"E",IF($H58="Bloquée","B","P"))),""))</f>
        <v/>
      </c>
      <c r="AG58" s="53">
        <f>IF(OR($F58="",$G58=""),"",IF(AND(AG$5&lt;=$G58,AG$5+6&gt;=$F58),IF($H58="Complétée","F",IF(OR($H58="En cours",$H58="En revue"),"E",IF($H58="Bloquée","B","P"))),""))</f>
        <v/>
      </c>
      <c r="AH58" s="53">
        <f>IF(OR($F58="",$G58=""),"",IF(AND(AH$5&lt;=$G58,AH$5+6&gt;=$F58),IF($H58="Complétée","F",IF(OR($H58="En cours",$H58="En revue"),"E",IF($H58="Bloquée","B","P"))),""))</f>
        <v/>
      </c>
      <c r="AI58" s="53">
        <f>IF(OR($F58="",$G58=""),"",IF(AND(AI$5&lt;=$G58,AI$5+6&gt;=$F58),IF($H58="Complétée","F",IF(OR($H58="En cours",$H58="En revue"),"E",IF($H58="Bloquée","B","P"))),""))</f>
        <v/>
      </c>
      <c r="AJ58" s="53">
        <f>IF(OR($F58="",$G58=""),"",IF(AND(AJ$5&lt;=$G58,AJ$5+6&gt;=$F58),IF($H58="Complétée","F",IF(OR($H58="En cours",$H58="En revue"),"E",IF($H58="Bloquée","B","P"))),""))</f>
        <v/>
      </c>
      <c r="AK58" s="53">
        <f>IF(OR($F58="",$G58=""),"",IF(AND(AK$5&lt;=$G58,AK$5+6&gt;=$F58),IF($H58="Complétée","F",IF(OR($H58="En cours",$H58="En revue"),"E",IF($H58="Bloquée","B","P"))),""))</f>
        <v/>
      </c>
      <c r="AL58" s="53">
        <f>IF(OR($F58="",$G58=""),"",IF(AND(AL$5&lt;=$G58,AL$5+6&gt;=$F58),IF($H58="Complétée","F",IF(OR($H58="En cours",$H58="En revue"),"E",IF($H58="Bloquée","B","P"))),""))</f>
        <v/>
      </c>
      <c r="AM58" s="53">
        <f>IF(OR($F58="",$G58=""),"",IF(AND(AM$5&lt;=$G58,AM$5+6&gt;=$F58),IF($H58="Complétée","F",IF(OR($H58="En cours",$H58="En revue"),"E",IF($H58="Bloquée","B","P"))),""))</f>
        <v/>
      </c>
      <c r="AN58" s="53">
        <f>IF(OR($F58="",$G58=""),"",IF(AND(AN$5&lt;=$G58,AN$5+6&gt;=$F58),IF($H58="Complétée","F",IF(OR($H58="En cours",$H58="En revue"),"E",IF($H58="Bloquée","B","P"))),""))</f>
        <v/>
      </c>
      <c r="AO58" s="53">
        <f>IF(OR($F58="",$G58=""),"",IF(AND(AO$5&lt;=$G58,AO$5+6&gt;=$F58),IF($H58="Complétée","F",IF(OR($H58="En cours",$H58="En revue"),"E",IF($H58="Bloquée","B","P"))),""))</f>
        <v/>
      </c>
      <c r="AP58" s="53">
        <f>IF(OR($F58="",$G58=""),"",IF(AND(AP$5&lt;=$G58,AP$5+6&gt;=$F58),IF($H58="Complétée","F",IF(OR($H58="En cours",$H58="En revue"),"E",IF($H58="Bloquée","B","P"))),""))</f>
        <v/>
      </c>
      <c r="AQ58" s="53">
        <f>IF(OR($F58="",$G58=""),"",IF(AND(AQ$5&lt;=$G58,AQ$5+6&gt;=$F58),IF($H58="Complétée","F",IF(OR($H58="En cours",$H58="En revue"),"E",IF($H58="Bloquée","B","P"))),""))</f>
        <v/>
      </c>
      <c r="AR58" s="53">
        <f>IF(OR($F58="",$G58=""),"",IF(AND(AR$5&lt;=$G58,AR$5+6&gt;=$F58),IF($H58="Complétée","F",IF(OR($H58="En cours",$H58="En revue"),"E",IF($H58="Bloquée","B","P"))),""))</f>
        <v/>
      </c>
      <c r="AS58" s="53">
        <f>IF(OR($F58="",$G58=""),"",IF(AND(AS$5&lt;=$G58,AS$5+6&gt;=$F58),IF($H58="Complétée","F",IF(OR($H58="En cours",$H58="En revue"),"E",IF($H58="Bloquée","B","P"))),""))</f>
        <v/>
      </c>
      <c r="AT58" s="53">
        <f>IF(OR($F58="",$G58=""),"",IF(AND(AT$5&lt;=$G58,AT$5+6&gt;=$F58),IF($H58="Complétée","F",IF(OR($H58="En cours",$H58="En revue"),"E",IF($H58="Bloquée","B","P"))),""))</f>
        <v/>
      </c>
      <c r="AU58" s="53">
        <f>IF(OR($F58="",$G58=""),"",IF(AND(AU$5&lt;=$G58,AU$5+6&gt;=$F58),IF($H58="Complétée","F",IF(OR($H58="En cours",$H58="En revue"),"E",IF($H58="Bloquée","B","P"))),""))</f>
        <v/>
      </c>
      <c r="AV58" s="53">
        <f>IF(OR($F58="",$G58=""),"",IF(AND(AV$5&lt;=$G58,AV$5+6&gt;=$F58),IF($H58="Complétée","F",IF(OR($H58="En cours",$H58="En revue"),"E",IF($H58="Bloquée","B","P"))),""))</f>
        <v/>
      </c>
      <c r="AW58" s="53">
        <f>IF(OR($F58="",$G58=""),"",IF(AND(AW$5&lt;=$G58,AW$5+6&gt;=$F58),IF($H58="Complétée","F",IF(OR($H58="En cours",$H58="En revue"),"E",IF($H58="Bloquée","B","P"))),""))</f>
        <v/>
      </c>
    </row>
    <row r="59">
      <c r="B59" s="50">
        <f>IF(Taches!B59="","",Taches!B59)</f>
        <v/>
      </c>
      <c r="C59" s="51">
        <f>IF(Taches!B59="","",Taches!F59)</f>
        <v/>
      </c>
      <c r="D59" s="50">
        <f>IF(Taches!B59="","",Taches!C59)</f>
        <v/>
      </c>
      <c r="E59" s="50">
        <f>IF(Taches!B59="","",Taches!D59)</f>
        <v/>
      </c>
      <c r="F59" s="52">
        <f>IF(Taches!P59="","",Taches!P59)</f>
        <v/>
      </c>
      <c r="G59" s="52">
        <f>IF(Taches!Q59="","",Taches!Q59)</f>
        <v/>
      </c>
      <c r="H59" s="50">
        <f>IF(Taches!B59="","",Taches!J59)</f>
        <v/>
      </c>
      <c r="I59" s="53">
        <f>IF(OR($F59="",$G59=""),"",IF(AND(I$5&lt;=$G59,I$5+6&gt;=$F59),IF($H59="Complétée","F",IF(OR($H59="En cours",$H59="En revue"),"E",IF($H59="Bloquée","B","P"))),""))</f>
        <v/>
      </c>
      <c r="J59" s="53">
        <f>IF(OR($F59="",$G59=""),"",IF(AND(J$5&lt;=$G59,J$5+6&gt;=$F59),IF($H59="Complétée","F",IF(OR($H59="En cours",$H59="En revue"),"E",IF($H59="Bloquée","B","P"))),""))</f>
        <v/>
      </c>
      <c r="K59" s="53">
        <f>IF(OR($F59="",$G59=""),"",IF(AND(K$5&lt;=$G59,K$5+6&gt;=$F59),IF($H59="Complétée","F",IF(OR($H59="En cours",$H59="En revue"),"E",IF($H59="Bloquée","B","P"))),""))</f>
        <v/>
      </c>
      <c r="L59" s="53">
        <f>IF(OR($F59="",$G59=""),"",IF(AND(L$5&lt;=$G59,L$5+6&gt;=$F59),IF($H59="Complétée","F",IF(OR($H59="En cours",$H59="En revue"),"E",IF($H59="Bloquée","B","P"))),""))</f>
        <v/>
      </c>
      <c r="M59" s="53">
        <f>IF(OR($F59="",$G59=""),"",IF(AND(M$5&lt;=$G59,M$5+6&gt;=$F59),IF($H59="Complétée","F",IF(OR($H59="En cours",$H59="En revue"),"E",IF($H59="Bloquée","B","P"))),""))</f>
        <v/>
      </c>
      <c r="N59" s="53">
        <f>IF(OR($F59="",$G59=""),"",IF(AND(N$5&lt;=$G59,N$5+6&gt;=$F59),IF($H59="Complétée","F",IF(OR($H59="En cours",$H59="En revue"),"E",IF($H59="Bloquée","B","P"))),""))</f>
        <v/>
      </c>
      <c r="O59" s="53">
        <f>IF(OR($F59="",$G59=""),"",IF(AND(O$5&lt;=$G59,O$5+6&gt;=$F59),IF($H59="Complétée","F",IF(OR($H59="En cours",$H59="En revue"),"E",IF($H59="Bloquée","B","P"))),""))</f>
        <v/>
      </c>
      <c r="P59" s="53">
        <f>IF(OR($F59="",$G59=""),"",IF(AND(P$5&lt;=$G59,P$5+6&gt;=$F59),IF($H59="Complétée","F",IF(OR($H59="En cours",$H59="En revue"),"E",IF($H59="Bloquée","B","P"))),""))</f>
        <v/>
      </c>
      <c r="Q59" s="53">
        <f>IF(OR($F59="",$G59=""),"",IF(AND(Q$5&lt;=$G59,Q$5+6&gt;=$F59),IF($H59="Complétée","F",IF(OR($H59="En cours",$H59="En revue"),"E",IF($H59="Bloquée","B","P"))),""))</f>
        <v/>
      </c>
      <c r="R59" s="53">
        <f>IF(OR($F59="",$G59=""),"",IF(AND(R$5&lt;=$G59,R$5+6&gt;=$F59),IF($H59="Complétée","F",IF(OR($H59="En cours",$H59="En revue"),"E",IF($H59="Bloquée","B","P"))),""))</f>
        <v/>
      </c>
      <c r="S59" s="53">
        <f>IF(OR($F59="",$G59=""),"",IF(AND(S$5&lt;=$G59,S$5+6&gt;=$F59),IF($H59="Complétée","F",IF(OR($H59="En cours",$H59="En revue"),"E",IF($H59="Bloquée","B","P"))),""))</f>
        <v/>
      </c>
      <c r="T59" s="53">
        <f>IF(OR($F59="",$G59=""),"",IF(AND(T$5&lt;=$G59,T$5+6&gt;=$F59),IF($H59="Complétée","F",IF(OR($H59="En cours",$H59="En revue"),"E",IF($H59="Bloquée","B","P"))),""))</f>
        <v/>
      </c>
      <c r="U59" s="53">
        <f>IF(OR($F59="",$G59=""),"",IF(AND(U$5&lt;=$G59,U$5+6&gt;=$F59),IF($H59="Complétée","F",IF(OR($H59="En cours",$H59="En revue"),"E",IF($H59="Bloquée","B","P"))),""))</f>
        <v/>
      </c>
      <c r="V59" s="53">
        <f>IF(OR($F59="",$G59=""),"",IF(AND(V$5&lt;=$G59,V$5+6&gt;=$F59),IF($H59="Complétée","F",IF(OR($H59="En cours",$H59="En revue"),"E",IF($H59="Bloquée","B","P"))),""))</f>
        <v/>
      </c>
      <c r="W59" s="53">
        <f>IF(OR($F59="",$G59=""),"",IF(AND(W$5&lt;=$G59,W$5+6&gt;=$F59),IF($H59="Complétée","F",IF(OR($H59="En cours",$H59="En revue"),"E",IF($H59="Bloquée","B","P"))),""))</f>
        <v/>
      </c>
      <c r="X59" s="53">
        <f>IF(OR($F59="",$G59=""),"",IF(AND(X$5&lt;=$G59,X$5+6&gt;=$F59),IF($H59="Complétée","F",IF(OR($H59="En cours",$H59="En revue"),"E",IF($H59="Bloquée","B","P"))),""))</f>
        <v/>
      </c>
      <c r="Y59" s="53">
        <f>IF(OR($F59="",$G59=""),"",IF(AND(Y$5&lt;=$G59,Y$5+6&gt;=$F59),IF($H59="Complétée","F",IF(OR($H59="En cours",$H59="En revue"),"E",IF($H59="Bloquée","B","P"))),""))</f>
        <v/>
      </c>
      <c r="Z59" s="53">
        <f>IF(OR($F59="",$G59=""),"",IF(AND(Z$5&lt;=$G59,Z$5+6&gt;=$F59),IF($H59="Complétée","F",IF(OR($H59="En cours",$H59="En revue"),"E",IF($H59="Bloquée","B","P"))),""))</f>
        <v/>
      </c>
      <c r="AA59" s="53">
        <f>IF(OR($F59="",$G59=""),"",IF(AND(AA$5&lt;=$G59,AA$5+6&gt;=$F59),IF($H59="Complétée","F",IF(OR($H59="En cours",$H59="En revue"),"E",IF($H59="Bloquée","B","P"))),""))</f>
        <v/>
      </c>
      <c r="AB59" s="53">
        <f>IF(OR($F59="",$G59=""),"",IF(AND(AB$5&lt;=$G59,AB$5+6&gt;=$F59),IF($H59="Complétée","F",IF(OR($H59="En cours",$H59="En revue"),"E",IF($H59="Bloquée","B","P"))),""))</f>
        <v/>
      </c>
      <c r="AC59" s="53">
        <f>IF(OR($F59="",$G59=""),"",IF(AND(AC$5&lt;=$G59,AC$5+6&gt;=$F59),IF($H59="Complétée","F",IF(OR($H59="En cours",$H59="En revue"),"E",IF($H59="Bloquée","B","P"))),""))</f>
        <v/>
      </c>
      <c r="AD59" s="53">
        <f>IF(OR($F59="",$G59=""),"",IF(AND(AD$5&lt;=$G59,AD$5+6&gt;=$F59),IF($H59="Complétée","F",IF(OR($H59="En cours",$H59="En revue"),"E",IF($H59="Bloquée","B","P"))),""))</f>
        <v/>
      </c>
      <c r="AE59" s="53">
        <f>IF(OR($F59="",$G59=""),"",IF(AND(AE$5&lt;=$G59,AE$5+6&gt;=$F59),IF($H59="Complétée","F",IF(OR($H59="En cours",$H59="En revue"),"E",IF($H59="Bloquée","B","P"))),""))</f>
        <v/>
      </c>
      <c r="AF59" s="53">
        <f>IF(OR($F59="",$G59=""),"",IF(AND(AF$5&lt;=$G59,AF$5+6&gt;=$F59),IF($H59="Complétée","F",IF(OR($H59="En cours",$H59="En revue"),"E",IF($H59="Bloquée","B","P"))),""))</f>
        <v/>
      </c>
      <c r="AG59" s="53">
        <f>IF(OR($F59="",$G59=""),"",IF(AND(AG$5&lt;=$G59,AG$5+6&gt;=$F59),IF($H59="Complétée","F",IF(OR($H59="En cours",$H59="En revue"),"E",IF($H59="Bloquée","B","P"))),""))</f>
        <v/>
      </c>
      <c r="AH59" s="53">
        <f>IF(OR($F59="",$G59=""),"",IF(AND(AH$5&lt;=$G59,AH$5+6&gt;=$F59),IF($H59="Complétée","F",IF(OR($H59="En cours",$H59="En revue"),"E",IF($H59="Bloquée","B","P"))),""))</f>
        <v/>
      </c>
      <c r="AI59" s="53">
        <f>IF(OR($F59="",$G59=""),"",IF(AND(AI$5&lt;=$G59,AI$5+6&gt;=$F59),IF($H59="Complétée","F",IF(OR($H59="En cours",$H59="En revue"),"E",IF($H59="Bloquée","B","P"))),""))</f>
        <v/>
      </c>
      <c r="AJ59" s="53">
        <f>IF(OR($F59="",$G59=""),"",IF(AND(AJ$5&lt;=$G59,AJ$5+6&gt;=$F59),IF($H59="Complétée","F",IF(OR($H59="En cours",$H59="En revue"),"E",IF($H59="Bloquée","B","P"))),""))</f>
        <v/>
      </c>
      <c r="AK59" s="53">
        <f>IF(OR($F59="",$G59=""),"",IF(AND(AK$5&lt;=$G59,AK$5+6&gt;=$F59),IF($H59="Complétée","F",IF(OR($H59="En cours",$H59="En revue"),"E",IF($H59="Bloquée","B","P"))),""))</f>
        <v/>
      </c>
      <c r="AL59" s="53">
        <f>IF(OR($F59="",$G59=""),"",IF(AND(AL$5&lt;=$G59,AL$5+6&gt;=$F59),IF($H59="Complétée","F",IF(OR($H59="En cours",$H59="En revue"),"E",IF($H59="Bloquée","B","P"))),""))</f>
        <v/>
      </c>
      <c r="AM59" s="53">
        <f>IF(OR($F59="",$G59=""),"",IF(AND(AM$5&lt;=$G59,AM$5+6&gt;=$F59),IF($H59="Complétée","F",IF(OR($H59="En cours",$H59="En revue"),"E",IF($H59="Bloquée","B","P"))),""))</f>
        <v/>
      </c>
      <c r="AN59" s="53">
        <f>IF(OR($F59="",$G59=""),"",IF(AND(AN$5&lt;=$G59,AN$5+6&gt;=$F59),IF($H59="Complétée","F",IF(OR($H59="En cours",$H59="En revue"),"E",IF($H59="Bloquée","B","P"))),""))</f>
        <v/>
      </c>
      <c r="AO59" s="53">
        <f>IF(OR($F59="",$G59=""),"",IF(AND(AO$5&lt;=$G59,AO$5+6&gt;=$F59),IF($H59="Complétée","F",IF(OR($H59="En cours",$H59="En revue"),"E",IF($H59="Bloquée","B","P"))),""))</f>
        <v/>
      </c>
      <c r="AP59" s="53">
        <f>IF(OR($F59="",$G59=""),"",IF(AND(AP$5&lt;=$G59,AP$5+6&gt;=$F59),IF($H59="Complétée","F",IF(OR($H59="En cours",$H59="En revue"),"E",IF($H59="Bloquée","B","P"))),""))</f>
        <v/>
      </c>
      <c r="AQ59" s="53">
        <f>IF(OR($F59="",$G59=""),"",IF(AND(AQ$5&lt;=$G59,AQ$5+6&gt;=$F59),IF($H59="Complétée","F",IF(OR($H59="En cours",$H59="En revue"),"E",IF($H59="Bloquée","B","P"))),""))</f>
        <v/>
      </c>
      <c r="AR59" s="53">
        <f>IF(OR($F59="",$G59=""),"",IF(AND(AR$5&lt;=$G59,AR$5+6&gt;=$F59),IF($H59="Complétée","F",IF(OR($H59="En cours",$H59="En revue"),"E",IF($H59="Bloquée","B","P"))),""))</f>
        <v/>
      </c>
      <c r="AS59" s="53">
        <f>IF(OR($F59="",$G59=""),"",IF(AND(AS$5&lt;=$G59,AS$5+6&gt;=$F59),IF($H59="Complétée","F",IF(OR($H59="En cours",$H59="En revue"),"E",IF($H59="Bloquée","B","P"))),""))</f>
        <v/>
      </c>
      <c r="AT59" s="53">
        <f>IF(OR($F59="",$G59=""),"",IF(AND(AT$5&lt;=$G59,AT$5+6&gt;=$F59),IF($H59="Complétée","F",IF(OR($H59="En cours",$H59="En revue"),"E",IF($H59="Bloquée","B","P"))),""))</f>
        <v/>
      </c>
      <c r="AU59" s="53">
        <f>IF(OR($F59="",$G59=""),"",IF(AND(AU$5&lt;=$G59,AU$5+6&gt;=$F59),IF($H59="Complétée","F",IF(OR($H59="En cours",$H59="En revue"),"E",IF($H59="Bloquée","B","P"))),""))</f>
        <v/>
      </c>
      <c r="AV59" s="53">
        <f>IF(OR($F59="",$G59=""),"",IF(AND(AV$5&lt;=$G59,AV$5+6&gt;=$F59),IF($H59="Complétée","F",IF(OR($H59="En cours",$H59="En revue"),"E",IF($H59="Bloquée","B","P"))),""))</f>
        <v/>
      </c>
      <c r="AW59" s="53">
        <f>IF(OR($F59="",$G59=""),"",IF(AND(AW$5&lt;=$G59,AW$5+6&gt;=$F59),IF($H59="Complétée","F",IF(OR($H59="En cours",$H59="En revue"),"E",IF($H59="Bloquée","B","P"))),""))</f>
        <v/>
      </c>
    </row>
    <row r="60">
      <c r="B60" s="50">
        <f>IF(Taches!B60="","",Taches!B60)</f>
        <v/>
      </c>
      <c r="C60" s="51">
        <f>IF(Taches!B60="","",Taches!F60)</f>
        <v/>
      </c>
      <c r="D60" s="50">
        <f>IF(Taches!B60="","",Taches!C60)</f>
        <v/>
      </c>
      <c r="E60" s="50">
        <f>IF(Taches!B60="","",Taches!D60)</f>
        <v/>
      </c>
      <c r="F60" s="52">
        <f>IF(Taches!P60="","",Taches!P60)</f>
        <v/>
      </c>
      <c r="G60" s="52">
        <f>IF(Taches!Q60="","",Taches!Q60)</f>
        <v/>
      </c>
      <c r="H60" s="50">
        <f>IF(Taches!B60="","",Taches!J60)</f>
        <v/>
      </c>
      <c r="I60" s="53">
        <f>IF(OR($F60="",$G60=""),"",IF(AND(I$5&lt;=$G60,I$5+6&gt;=$F60),IF($H60="Complétée","F",IF(OR($H60="En cours",$H60="En revue"),"E",IF($H60="Bloquée","B","P"))),""))</f>
        <v/>
      </c>
      <c r="J60" s="53">
        <f>IF(OR($F60="",$G60=""),"",IF(AND(J$5&lt;=$G60,J$5+6&gt;=$F60),IF($H60="Complétée","F",IF(OR($H60="En cours",$H60="En revue"),"E",IF($H60="Bloquée","B","P"))),""))</f>
        <v/>
      </c>
      <c r="K60" s="53">
        <f>IF(OR($F60="",$G60=""),"",IF(AND(K$5&lt;=$G60,K$5+6&gt;=$F60),IF($H60="Complétée","F",IF(OR($H60="En cours",$H60="En revue"),"E",IF($H60="Bloquée","B","P"))),""))</f>
        <v/>
      </c>
      <c r="L60" s="53">
        <f>IF(OR($F60="",$G60=""),"",IF(AND(L$5&lt;=$G60,L$5+6&gt;=$F60),IF($H60="Complétée","F",IF(OR($H60="En cours",$H60="En revue"),"E",IF($H60="Bloquée","B","P"))),""))</f>
        <v/>
      </c>
      <c r="M60" s="53">
        <f>IF(OR($F60="",$G60=""),"",IF(AND(M$5&lt;=$G60,M$5+6&gt;=$F60),IF($H60="Complétée","F",IF(OR($H60="En cours",$H60="En revue"),"E",IF($H60="Bloquée","B","P"))),""))</f>
        <v/>
      </c>
      <c r="N60" s="53">
        <f>IF(OR($F60="",$G60=""),"",IF(AND(N$5&lt;=$G60,N$5+6&gt;=$F60),IF($H60="Complétée","F",IF(OR($H60="En cours",$H60="En revue"),"E",IF($H60="Bloquée","B","P"))),""))</f>
        <v/>
      </c>
      <c r="O60" s="53">
        <f>IF(OR($F60="",$G60=""),"",IF(AND(O$5&lt;=$G60,O$5+6&gt;=$F60),IF($H60="Complétée","F",IF(OR($H60="En cours",$H60="En revue"),"E",IF($H60="Bloquée","B","P"))),""))</f>
        <v/>
      </c>
      <c r="P60" s="53">
        <f>IF(OR($F60="",$G60=""),"",IF(AND(P$5&lt;=$G60,P$5+6&gt;=$F60),IF($H60="Complétée","F",IF(OR($H60="En cours",$H60="En revue"),"E",IF($H60="Bloquée","B","P"))),""))</f>
        <v/>
      </c>
      <c r="Q60" s="53">
        <f>IF(OR($F60="",$G60=""),"",IF(AND(Q$5&lt;=$G60,Q$5+6&gt;=$F60),IF($H60="Complétée","F",IF(OR($H60="En cours",$H60="En revue"),"E",IF($H60="Bloquée","B","P"))),""))</f>
        <v/>
      </c>
      <c r="R60" s="53">
        <f>IF(OR($F60="",$G60=""),"",IF(AND(R$5&lt;=$G60,R$5+6&gt;=$F60),IF($H60="Complétée","F",IF(OR($H60="En cours",$H60="En revue"),"E",IF($H60="Bloquée","B","P"))),""))</f>
        <v/>
      </c>
      <c r="S60" s="53">
        <f>IF(OR($F60="",$G60=""),"",IF(AND(S$5&lt;=$G60,S$5+6&gt;=$F60),IF($H60="Complétée","F",IF(OR($H60="En cours",$H60="En revue"),"E",IF($H60="Bloquée","B","P"))),""))</f>
        <v/>
      </c>
      <c r="T60" s="53">
        <f>IF(OR($F60="",$G60=""),"",IF(AND(T$5&lt;=$G60,T$5+6&gt;=$F60),IF($H60="Complétée","F",IF(OR($H60="En cours",$H60="En revue"),"E",IF($H60="Bloquée","B","P"))),""))</f>
        <v/>
      </c>
      <c r="U60" s="53">
        <f>IF(OR($F60="",$G60=""),"",IF(AND(U$5&lt;=$G60,U$5+6&gt;=$F60),IF($H60="Complétée","F",IF(OR($H60="En cours",$H60="En revue"),"E",IF($H60="Bloquée","B","P"))),""))</f>
        <v/>
      </c>
      <c r="V60" s="53">
        <f>IF(OR($F60="",$G60=""),"",IF(AND(V$5&lt;=$G60,V$5+6&gt;=$F60),IF($H60="Complétée","F",IF(OR($H60="En cours",$H60="En revue"),"E",IF($H60="Bloquée","B","P"))),""))</f>
        <v/>
      </c>
      <c r="W60" s="53">
        <f>IF(OR($F60="",$G60=""),"",IF(AND(W$5&lt;=$G60,W$5+6&gt;=$F60),IF($H60="Complétée","F",IF(OR($H60="En cours",$H60="En revue"),"E",IF($H60="Bloquée","B","P"))),""))</f>
        <v/>
      </c>
      <c r="X60" s="53">
        <f>IF(OR($F60="",$G60=""),"",IF(AND(X$5&lt;=$G60,X$5+6&gt;=$F60),IF($H60="Complétée","F",IF(OR($H60="En cours",$H60="En revue"),"E",IF($H60="Bloquée","B","P"))),""))</f>
        <v/>
      </c>
      <c r="Y60" s="53">
        <f>IF(OR($F60="",$G60=""),"",IF(AND(Y$5&lt;=$G60,Y$5+6&gt;=$F60),IF($H60="Complétée","F",IF(OR($H60="En cours",$H60="En revue"),"E",IF($H60="Bloquée","B","P"))),""))</f>
        <v/>
      </c>
      <c r="Z60" s="53">
        <f>IF(OR($F60="",$G60=""),"",IF(AND(Z$5&lt;=$G60,Z$5+6&gt;=$F60),IF($H60="Complétée","F",IF(OR($H60="En cours",$H60="En revue"),"E",IF($H60="Bloquée","B","P"))),""))</f>
        <v/>
      </c>
      <c r="AA60" s="53">
        <f>IF(OR($F60="",$G60=""),"",IF(AND(AA$5&lt;=$G60,AA$5+6&gt;=$F60),IF($H60="Complétée","F",IF(OR($H60="En cours",$H60="En revue"),"E",IF($H60="Bloquée","B","P"))),""))</f>
        <v/>
      </c>
      <c r="AB60" s="53">
        <f>IF(OR($F60="",$G60=""),"",IF(AND(AB$5&lt;=$G60,AB$5+6&gt;=$F60),IF($H60="Complétée","F",IF(OR($H60="En cours",$H60="En revue"),"E",IF($H60="Bloquée","B","P"))),""))</f>
        <v/>
      </c>
      <c r="AC60" s="53">
        <f>IF(OR($F60="",$G60=""),"",IF(AND(AC$5&lt;=$G60,AC$5+6&gt;=$F60),IF($H60="Complétée","F",IF(OR($H60="En cours",$H60="En revue"),"E",IF($H60="Bloquée","B","P"))),""))</f>
        <v/>
      </c>
      <c r="AD60" s="53">
        <f>IF(OR($F60="",$G60=""),"",IF(AND(AD$5&lt;=$G60,AD$5+6&gt;=$F60),IF($H60="Complétée","F",IF(OR($H60="En cours",$H60="En revue"),"E",IF($H60="Bloquée","B","P"))),""))</f>
        <v/>
      </c>
      <c r="AE60" s="53">
        <f>IF(OR($F60="",$G60=""),"",IF(AND(AE$5&lt;=$G60,AE$5+6&gt;=$F60),IF($H60="Complétée","F",IF(OR($H60="En cours",$H60="En revue"),"E",IF($H60="Bloquée","B","P"))),""))</f>
        <v/>
      </c>
      <c r="AF60" s="53">
        <f>IF(OR($F60="",$G60=""),"",IF(AND(AF$5&lt;=$G60,AF$5+6&gt;=$F60),IF($H60="Complétée","F",IF(OR($H60="En cours",$H60="En revue"),"E",IF($H60="Bloquée","B","P"))),""))</f>
        <v/>
      </c>
      <c r="AG60" s="53">
        <f>IF(OR($F60="",$G60=""),"",IF(AND(AG$5&lt;=$G60,AG$5+6&gt;=$F60),IF($H60="Complétée","F",IF(OR($H60="En cours",$H60="En revue"),"E",IF($H60="Bloquée","B","P"))),""))</f>
        <v/>
      </c>
      <c r="AH60" s="53">
        <f>IF(OR($F60="",$G60=""),"",IF(AND(AH$5&lt;=$G60,AH$5+6&gt;=$F60),IF($H60="Complétée","F",IF(OR($H60="En cours",$H60="En revue"),"E",IF($H60="Bloquée","B","P"))),""))</f>
        <v/>
      </c>
      <c r="AI60" s="53">
        <f>IF(OR($F60="",$G60=""),"",IF(AND(AI$5&lt;=$G60,AI$5+6&gt;=$F60),IF($H60="Complétée","F",IF(OR($H60="En cours",$H60="En revue"),"E",IF($H60="Bloquée","B","P"))),""))</f>
        <v/>
      </c>
      <c r="AJ60" s="53">
        <f>IF(OR($F60="",$G60=""),"",IF(AND(AJ$5&lt;=$G60,AJ$5+6&gt;=$F60),IF($H60="Complétée","F",IF(OR($H60="En cours",$H60="En revue"),"E",IF($H60="Bloquée","B","P"))),""))</f>
        <v/>
      </c>
      <c r="AK60" s="53">
        <f>IF(OR($F60="",$G60=""),"",IF(AND(AK$5&lt;=$G60,AK$5+6&gt;=$F60),IF($H60="Complétée","F",IF(OR($H60="En cours",$H60="En revue"),"E",IF($H60="Bloquée","B","P"))),""))</f>
        <v/>
      </c>
      <c r="AL60" s="53">
        <f>IF(OR($F60="",$G60=""),"",IF(AND(AL$5&lt;=$G60,AL$5+6&gt;=$F60),IF($H60="Complétée","F",IF(OR($H60="En cours",$H60="En revue"),"E",IF($H60="Bloquée","B","P"))),""))</f>
        <v/>
      </c>
      <c r="AM60" s="53">
        <f>IF(OR($F60="",$G60=""),"",IF(AND(AM$5&lt;=$G60,AM$5+6&gt;=$F60),IF($H60="Complétée","F",IF(OR($H60="En cours",$H60="En revue"),"E",IF($H60="Bloquée","B","P"))),""))</f>
        <v/>
      </c>
      <c r="AN60" s="53">
        <f>IF(OR($F60="",$G60=""),"",IF(AND(AN$5&lt;=$G60,AN$5+6&gt;=$F60),IF($H60="Complétée","F",IF(OR($H60="En cours",$H60="En revue"),"E",IF($H60="Bloquée","B","P"))),""))</f>
        <v/>
      </c>
      <c r="AO60" s="53">
        <f>IF(OR($F60="",$G60=""),"",IF(AND(AO$5&lt;=$G60,AO$5+6&gt;=$F60),IF($H60="Complétée","F",IF(OR($H60="En cours",$H60="En revue"),"E",IF($H60="Bloquée","B","P"))),""))</f>
        <v/>
      </c>
      <c r="AP60" s="53">
        <f>IF(OR($F60="",$G60=""),"",IF(AND(AP$5&lt;=$G60,AP$5+6&gt;=$F60),IF($H60="Complétée","F",IF(OR($H60="En cours",$H60="En revue"),"E",IF($H60="Bloquée","B","P"))),""))</f>
        <v/>
      </c>
      <c r="AQ60" s="53">
        <f>IF(OR($F60="",$G60=""),"",IF(AND(AQ$5&lt;=$G60,AQ$5+6&gt;=$F60),IF($H60="Complétée","F",IF(OR($H60="En cours",$H60="En revue"),"E",IF($H60="Bloquée","B","P"))),""))</f>
        <v/>
      </c>
      <c r="AR60" s="53">
        <f>IF(OR($F60="",$G60=""),"",IF(AND(AR$5&lt;=$G60,AR$5+6&gt;=$F60),IF($H60="Complétée","F",IF(OR($H60="En cours",$H60="En revue"),"E",IF($H60="Bloquée","B","P"))),""))</f>
        <v/>
      </c>
      <c r="AS60" s="53">
        <f>IF(OR($F60="",$G60=""),"",IF(AND(AS$5&lt;=$G60,AS$5+6&gt;=$F60),IF($H60="Complétée","F",IF(OR($H60="En cours",$H60="En revue"),"E",IF($H60="Bloquée","B","P"))),""))</f>
        <v/>
      </c>
      <c r="AT60" s="53">
        <f>IF(OR($F60="",$G60=""),"",IF(AND(AT$5&lt;=$G60,AT$5+6&gt;=$F60),IF($H60="Complétée","F",IF(OR($H60="En cours",$H60="En revue"),"E",IF($H60="Bloquée","B","P"))),""))</f>
        <v/>
      </c>
      <c r="AU60" s="53">
        <f>IF(OR($F60="",$G60=""),"",IF(AND(AU$5&lt;=$G60,AU$5+6&gt;=$F60),IF($H60="Complétée","F",IF(OR($H60="En cours",$H60="En revue"),"E",IF($H60="Bloquée","B","P"))),""))</f>
        <v/>
      </c>
      <c r="AV60" s="53">
        <f>IF(OR($F60="",$G60=""),"",IF(AND(AV$5&lt;=$G60,AV$5+6&gt;=$F60),IF($H60="Complétée","F",IF(OR($H60="En cours",$H60="En revue"),"E",IF($H60="Bloquée","B","P"))),""))</f>
        <v/>
      </c>
      <c r="AW60" s="53">
        <f>IF(OR($F60="",$G60=""),"",IF(AND(AW$5&lt;=$G60,AW$5+6&gt;=$F60),IF($H60="Complétée","F",IF(OR($H60="En cours",$H60="En revue"),"E",IF($H60="Bloquée","B","P"))),""))</f>
        <v/>
      </c>
    </row>
    <row r="61">
      <c r="B61" s="50">
        <f>IF(Taches!B61="","",Taches!B61)</f>
        <v/>
      </c>
      <c r="C61" s="51">
        <f>IF(Taches!B61="","",Taches!F61)</f>
        <v/>
      </c>
      <c r="D61" s="50">
        <f>IF(Taches!B61="","",Taches!C61)</f>
        <v/>
      </c>
      <c r="E61" s="50">
        <f>IF(Taches!B61="","",Taches!D61)</f>
        <v/>
      </c>
      <c r="F61" s="52">
        <f>IF(Taches!P61="","",Taches!P61)</f>
        <v/>
      </c>
      <c r="G61" s="52">
        <f>IF(Taches!Q61="","",Taches!Q61)</f>
        <v/>
      </c>
      <c r="H61" s="50">
        <f>IF(Taches!B61="","",Taches!J61)</f>
        <v/>
      </c>
      <c r="I61" s="53">
        <f>IF(OR($F61="",$G61=""),"",IF(AND(I$5&lt;=$G61,I$5+6&gt;=$F61),IF($H61="Complétée","F",IF(OR($H61="En cours",$H61="En revue"),"E",IF($H61="Bloquée","B","P"))),""))</f>
        <v/>
      </c>
      <c r="J61" s="53">
        <f>IF(OR($F61="",$G61=""),"",IF(AND(J$5&lt;=$G61,J$5+6&gt;=$F61),IF($H61="Complétée","F",IF(OR($H61="En cours",$H61="En revue"),"E",IF($H61="Bloquée","B","P"))),""))</f>
        <v/>
      </c>
      <c r="K61" s="53">
        <f>IF(OR($F61="",$G61=""),"",IF(AND(K$5&lt;=$G61,K$5+6&gt;=$F61),IF($H61="Complétée","F",IF(OR($H61="En cours",$H61="En revue"),"E",IF($H61="Bloquée","B","P"))),""))</f>
        <v/>
      </c>
      <c r="L61" s="53">
        <f>IF(OR($F61="",$G61=""),"",IF(AND(L$5&lt;=$G61,L$5+6&gt;=$F61),IF($H61="Complétée","F",IF(OR($H61="En cours",$H61="En revue"),"E",IF($H61="Bloquée","B","P"))),""))</f>
        <v/>
      </c>
      <c r="M61" s="53">
        <f>IF(OR($F61="",$G61=""),"",IF(AND(M$5&lt;=$G61,M$5+6&gt;=$F61),IF($H61="Complétée","F",IF(OR($H61="En cours",$H61="En revue"),"E",IF($H61="Bloquée","B","P"))),""))</f>
        <v/>
      </c>
      <c r="N61" s="53">
        <f>IF(OR($F61="",$G61=""),"",IF(AND(N$5&lt;=$G61,N$5+6&gt;=$F61),IF($H61="Complétée","F",IF(OR($H61="En cours",$H61="En revue"),"E",IF($H61="Bloquée","B","P"))),""))</f>
        <v/>
      </c>
      <c r="O61" s="53">
        <f>IF(OR($F61="",$G61=""),"",IF(AND(O$5&lt;=$G61,O$5+6&gt;=$F61),IF($H61="Complétée","F",IF(OR($H61="En cours",$H61="En revue"),"E",IF($H61="Bloquée","B","P"))),""))</f>
        <v/>
      </c>
      <c r="P61" s="53">
        <f>IF(OR($F61="",$G61=""),"",IF(AND(P$5&lt;=$G61,P$5+6&gt;=$F61),IF($H61="Complétée","F",IF(OR($H61="En cours",$H61="En revue"),"E",IF($H61="Bloquée","B","P"))),""))</f>
        <v/>
      </c>
      <c r="Q61" s="53">
        <f>IF(OR($F61="",$G61=""),"",IF(AND(Q$5&lt;=$G61,Q$5+6&gt;=$F61),IF($H61="Complétée","F",IF(OR($H61="En cours",$H61="En revue"),"E",IF($H61="Bloquée","B","P"))),""))</f>
        <v/>
      </c>
      <c r="R61" s="53">
        <f>IF(OR($F61="",$G61=""),"",IF(AND(R$5&lt;=$G61,R$5+6&gt;=$F61),IF($H61="Complétée","F",IF(OR($H61="En cours",$H61="En revue"),"E",IF($H61="Bloquée","B","P"))),""))</f>
        <v/>
      </c>
      <c r="S61" s="53">
        <f>IF(OR($F61="",$G61=""),"",IF(AND(S$5&lt;=$G61,S$5+6&gt;=$F61),IF($H61="Complétée","F",IF(OR($H61="En cours",$H61="En revue"),"E",IF($H61="Bloquée","B","P"))),""))</f>
        <v/>
      </c>
      <c r="T61" s="53">
        <f>IF(OR($F61="",$G61=""),"",IF(AND(T$5&lt;=$G61,T$5+6&gt;=$F61),IF($H61="Complétée","F",IF(OR($H61="En cours",$H61="En revue"),"E",IF($H61="Bloquée","B","P"))),""))</f>
        <v/>
      </c>
      <c r="U61" s="53">
        <f>IF(OR($F61="",$G61=""),"",IF(AND(U$5&lt;=$G61,U$5+6&gt;=$F61),IF($H61="Complétée","F",IF(OR($H61="En cours",$H61="En revue"),"E",IF($H61="Bloquée","B","P"))),""))</f>
        <v/>
      </c>
      <c r="V61" s="53">
        <f>IF(OR($F61="",$G61=""),"",IF(AND(V$5&lt;=$G61,V$5+6&gt;=$F61),IF($H61="Complétée","F",IF(OR($H61="En cours",$H61="En revue"),"E",IF($H61="Bloquée","B","P"))),""))</f>
        <v/>
      </c>
      <c r="W61" s="53">
        <f>IF(OR($F61="",$G61=""),"",IF(AND(W$5&lt;=$G61,W$5+6&gt;=$F61),IF($H61="Complétée","F",IF(OR($H61="En cours",$H61="En revue"),"E",IF($H61="Bloquée","B","P"))),""))</f>
        <v/>
      </c>
      <c r="X61" s="53">
        <f>IF(OR($F61="",$G61=""),"",IF(AND(X$5&lt;=$G61,X$5+6&gt;=$F61),IF($H61="Complétée","F",IF(OR($H61="En cours",$H61="En revue"),"E",IF($H61="Bloquée","B","P"))),""))</f>
        <v/>
      </c>
      <c r="Y61" s="53">
        <f>IF(OR($F61="",$G61=""),"",IF(AND(Y$5&lt;=$G61,Y$5+6&gt;=$F61),IF($H61="Complétée","F",IF(OR($H61="En cours",$H61="En revue"),"E",IF($H61="Bloquée","B","P"))),""))</f>
        <v/>
      </c>
      <c r="Z61" s="53">
        <f>IF(OR($F61="",$G61=""),"",IF(AND(Z$5&lt;=$G61,Z$5+6&gt;=$F61),IF($H61="Complétée","F",IF(OR($H61="En cours",$H61="En revue"),"E",IF($H61="Bloquée","B","P"))),""))</f>
        <v/>
      </c>
      <c r="AA61" s="53">
        <f>IF(OR($F61="",$G61=""),"",IF(AND(AA$5&lt;=$G61,AA$5+6&gt;=$F61),IF($H61="Complétée","F",IF(OR($H61="En cours",$H61="En revue"),"E",IF($H61="Bloquée","B","P"))),""))</f>
        <v/>
      </c>
      <c r="AB61" s="53">
        <f>IF(OR($F61="",$G61=""),"",IF(AND(AB$5&lt;=$G61,AB$5+6&gt;=$F61),IF($H61="Complétée","F",IF(OR($H61="En cours",$H61="En revue"),"E",IF($H61="Bloquée","B","P"))),""))</f>
        <v/>
      </c>
      <c r="AC61" s="53">
        <f>IF(OR($F61="",$G61=""),"",IF(AND(AC$5&lt;=$G61,AC$5+6&gt;=$F61),IF($H61="Complétée","F",IF(OR($H61="En cours",$H61="En revue"),"E",IF($H61="Bloquée","B","P"))),""))</f>
        <v/>
      </c>
      <c r="AD61" s="53">
        <f>IF(OR($F61="",$G61=""),"",IF(AND(AD$5&lt;=$G61,AD$5+6&gt;=$F61),IF($H61="Complétée","F",IF(OR($H61="En cours",$H61="En revue"),"E",IF($H61="Bloquée","B","P"))),""))</f>
        <v/>
      </c>
      <c r="AE61" s="53">
        <f>IF(OR($F61="",$G61=""),"",IF(AND(AE$5&lt;=$G61,AE$5+6&gt;=$F61),IF($H61="Complétée","F",IF(OR($H61="En cours",$H61="En revue"),"E",IF($H61="Bloquée","B","P"))),""))</f>
        <v/>
      </c>
      <c r="AF61" s="53">
        <f>IF(OR($F61="",$G61=""),"",IF(AND(AF$5&lt;=$G61,AF$5+6&gt;=$F61),IF($H61="Complétée","F",IF(OR($H61="En cours",$H61="En revue"),"E",IF($H61="Bloquée","B","P"))),""))</f>
        <v/>
      </c>
      <c r="AG61" s="53">
        <f>IF(OR($F61="",$G61=""),"",IF(AND(AG$5&lt;=$G61,AG$5+6&gt;=$F61),IF($H61="Complétée","F",IF(OR($H61="En cours",$H61="En revue"),"E",IF($H61="Bloquée","B","P"))),""))</f>
        <v/>
      </c>
      <c r="AH61" s="53">
        <f>IF(OR($F61="",$G61=""),"",IF(AND(AH$5&lt;=$G61,AH$5+6&gt;=$F61),IF($H61="Complétée","F",IF(OR($H61="En cours",$H61="En revue"),"E",IF($H61="Bloquée","B","P"))),""))</f>
        <v/>
      </c>
      <c r="AI61" s="53">
        <f>IF(OR($F61="",$G61=""),"",IF(AND(AI$5&lt;=$G61,AI$5+6&gt;=$F61),IF($H61="Complétée","F",IF(OR($H61="En cours",$H61="En revue"),"E",IF($H61="Bloquée","B","P"))),""))</f>
        <v/>
      </c>
      <c r="AJ61" s="53">
        <f>IF(OR($F61="",$G61=""),"",IF(AND(AJ$5&lt;=$G61,AJ$5+6&gt;=$F61),IF($H61="Complétée","F",IF(OR($H61="En cours",$H61="En revue"),"E",IF($H61="Bloquée","B","P"))),""))</f>
        <v/>
      </c>
      <c r="AK61" s="53">
        <f>IF(OR($F61="",$G61=""),"",IF(AND(AK$5&lt;=$G61,AK$5+6&gt;=$F61),IF($H61="Complétée","F",IF(OR($H61="En cours",$H61="En revue"),"E",IF($H61="Bloquée","B","P"))),""))</f>
        <v/>
      </c>
      <c r="AL61" s="53">
        <f>IF(OR($F61="",$G61=""),"",IF(AND(AL$5&lt;=$G61,AL$5+6&gt;=$F61),IF($H61="Complétée","F",IF(OR($H61="En cours",$H61="En revue"),"E",IF($H61="Bloquée","B","P"))),""))</f>
        <v/>
      </c>
      <c r="AM61" s="53">
        <f>IF(OR($F61="",$G61=""),"",IF(AND(AM$5&lt;=$G61,AM$5+6&gt;=$F61),IF($H61="Complétée","F",IF(OR($H61="En cours",$H61="En revue"),"E",IF($H61="Bloquée","B","P"))),""))</f>
        <v/>
      </c>
      <c r="AN61" s="53">
        <f>IF(OR($F61="",$G61=""),"",IF(AND(AN$5&lt;=$G61,AN$5+6&gt;=$F61),IF($H61="Complétée","F",IF(OR($H61="En cours",$H61="En revue"),"E",IF($H61="Bloquée","B","P"))),""))</f>
        <v/>
      </c>
      <c r="AO61" s="53">
        <f>IF(OR($F61="",$G61=""),"",IF(AND(AO$5&lt;=$G61,AO$5+6&gt;=$F61),IF($H61="Complétée","F",IF(OR($H61="En cours",$H61="En revue"),"E",IF($H61="Bloquée","B","P"))),""))</f>
        <v/>
      </c>
      <c r="AP61" s="53">
        <f>IF(OR($F61="",$G61=""),"",IF(AND(AP$5&lt;=$G61,AP$5+6&gt;=$F61),IF($H61="Complétée","F",IF(OR($H61="En cours",$H61="En revue"),"E",IF($H61="Bloquée","B","P"))),""))</f>
        <v/>
      </c>
      <c r="AQ61" s="53">
        <f>IF(OR($F61="",$G61=""),"",IF(AND(AQ$5&lt;=$G61,AQ$5+6&gt;=$F61),IF($H61="Complétée","F",IF(OR($H61="En cours",$H61="En revue"),"E",IF($H61="Bloquée","B","P"))),""))</f>
        <v/>
      </c>
      <c r="AR61" s="53">
        <f>IF(OR($F61="",$G61=""),"",IF(AND(AR$5&lt;=$G61,AR$5+6&gt;=$F61),IF($H61="Complétée","F",IF(OR($H61="En cours",$H61="En revue"),"E",IF($H61="Bloquée","B","P"))),""))</f>
        <v/>
      </c>
      <c r="AS61" s="53">
        <f>IF(OR($F61="",$G61=""),"",IF(AND(AS$5&lt;=$G61,AS$5+6&gt;=$F61),IF($H61="Complétée","F",IF(OR($H61="En cours",$H61="En revue"),"E",IF($H61="Bloquée","B","P"))),""))</f>
        <v/>
      </c>
      <c r="AT61" s="53">
        <f>IF(OR($F61="",$G61=""),"",IF(AND(AT$5&lt;=$G61,AT$5+6&gt;=$F61),IF($H61="Complétée","F",IF(OR($H61="En cours",$H61="En revue"),"E",IF($H61="Bloquée","B","P"))),""))</f>
        <v/>
      </c>
      <c r="AU61" s="53">
        <f>IF(OR($F61="",$G61=""),"",IF(AND(AU$5&lt;=$G61,AU$5+6&gt;=$F61),IF($H61="Complétée","F",IF(OR($H61="En cours",$H61="En revue"),"E",IF($H61="Bloquée","B","P"))),""))</f>
        <v/>
      </c>
      <c r="AV61" s="53">
        <f>IF(OR($F61="",$G61=""),"",IF(AND(AV$5&lt;=$G61,AV$5+6&gt;=$F61),IF($H61="Complétée","F",IF(OR($H61="En cours",$H61="En revue"),"E",IF($H61="Bloquée","B","P"))),""))</f>
        <v/>
      </c>
      <c r="AW61" s="53">
        <f>IF(OR($F61="",$G61=""),"",IF(AND(AW$5&lt;=$G61,AW$5+6&gt;=$F61),IF($H61="Complétée","F",IF(OR($H61="En cours",$H61="En revue"),"E",IF($H61="Bloquée","B","P"))),""))</f>
        <v/>
      </c>
    </row>
    <row r="62">
      <c r="B62" s="50">
        <f>IF(Taches!B62="","",Taches!B62)</f>
        <v/>
      </c>
      <c r="C62" s="51">
        <f>IF(Taches!B62="","",Taches!F62)</f>
        <v/>
      </c>
      <c r="D62" s="50">
        <f>IF(Taches!B62="","",Taches!C62)</f>
        <v/>
      </c>
      <c r="E62" s="50">
        <f>IF(Taches!B62="","",Taches!D62)</f>
        <v/>
      </c>
      <c r="F62" s="52">
        <f>IF(Taches!P62="","",Taches!P62)</f>
        <v/>
      </c>
      <c r="G62" s="52">
        <f>IF(Taches!Q62="","",Taches!Q62)</f>
        <v/>
      </c>
      <c r="H62" s="50">
        <f>IF(Taches!B62="","",Taches!J62)</f>
        <v/>
      </c>
      <c r="I62" s="53">
        <f>IF(OR($F62="",$G62=""),"",IF(AND(I$5&lt;=$G62,I$5+6&gt;=$F62),IF($H62="Complétée","F",IF(OR($H62="En cours",$H62="En revue"),"E",IF($H62="Bloquée","B","P"))),""))</f>
        <v/>
      </c>
      <c r="J62" s="53">
        <f>IF(OR($F62="",$G62=""),"",IF(AND(J$5&lt;=$G62,J$5+6&gt;=$F62),IF($H62="Complétée","F",IF(OR($H62="En cours",$H62="En revue"),"E",IF($H62="Bloquée","B","P"))),""))</f>
        <v/>
      </c>
      <c r="K62" s="53">
        <f>IF(OR($F62="",$G62=""),"",IF(AND(K$5&lt;=$G62,K$5+6&gt;=$F62),IF($H62="Complétée","F",IF(OR($H62="En cours",$H62="En revue"),"E",IF($H62="Bloquée","B","P"))),""))</f>
        <v/>
      </c>
      <c r="L62" s="53">
        <f>IF(OR($F62="",$G62=""),"",IF(AND(L$5&lt;=$G62,L$5+6&gt;=$F62),IF($H62="Complétée","F",IF(OR($H62="En cours",$H62="En revue"),"E",IF($H62="Bloquée","B","P"))),""))</f>
        <v/>
      </c>
      <c r="M62" s="53">
        <f>IF(OR($F62="",$G62=""),"",IF(AND(M$5&lt;=$G62,M$5+6&gt;=$F62),IF($H62="Complétée","F",IF(OR($H62="En cours",$H62="En revue"),"E",IF($H62="Bloquée","B","P"))),""))</f>
        <v/>
      </c>
      <c r="N62" s="53">
        <f>IF(OR($F62="",$G62=""),"",IF(AND(N$5&lt;=$G62,N$5+6&gt;=$F62),IF($H62="Complétée","F",IF(OR($H62="En cours",$H62="En revue"),"E",IF($H62="Bloquée","B","P"))),""))</f>
        <v/>
      </c>
      <c r="O62" s="53">
        <f>IF(OR($F62="",$G62=""),"",IF(AND(O$5&lt;=$G62,O$5+6&gt;=$F62),IF($H62="Complétée","F",IF(OR($H62="En cours",$H62="En revue"),"E",IF($H62="Bloquée","B","P"))),""))</f>
        <v/>
      </c>
      <c r="P62" s="53">
        <f>IF(OR($F62="",$G62=""),"",IF(AND(P$5&lt;=$G62,P$5+6&gt;=$F62),IF($H62="Complétée","F",IF(OR($H62="En cours",$H62="En revue"),"E",IF($H62="Bloquée","B","P"))),""))</f>
        <v/>
      </c>
      <c r="Q62" s="53">
        <f>IF(OR($F62="",$G62=""),"",IF(AND(Q$5&lt;=$G62,Q$5+6&gt;=$F62),IF($H62="Complétée","F",IF(OR($H62="En cours",$H62="En revue"),"E",IF($H62="Bloquée","B","P"))),""))</f>
        <v/>
      </c>
      <c r="R62" s="53">
        <f>IF(OR($F62="",$G62=""),"",IF(AND(R$5&lt;=$G62,R$5+6&gt;=$F62),IF($H62="Complétée","F",IF(OR($H62="En cours",$H62="En revue"),"E",IF($H62="Bloquée","B","P"))),""))</f>
        <v/>
      </c>
      <c r="S62" s="53">
        <f>IF(OR($F62="",$G62=""),"",IF(AND(S$5&lt;=$G62,S$5+6&gt;=$F62),IF($H62="Complétée","F",IF(OR($H62="En cours",$H62="En revue"),"E",IF($H62="Bloquée","B","P"))),""))</f>
        <v/>
      </c>
      <c r="T62" s="53">
        <f>IF(OR($F62="",$G62=""),"",IF(AND(T$5&lt;=$G62,T$5+6&gt;=$F62),IF($H62="Complétée","F",IF(OR($H62="En cours",$H62="En revue"),"E",IF($H62="Bloquée","B","P"))),""))</f>
        <v/>
      </c>
      <c r="U62" s="53">
        <f>IF(OR($F62="",$G62=""),"",IF(AND(U$5&lt;=$G62,U$5+6&gt;=$F62),IF($H62="Complétée","F",IF(OR($H62="En cours",$H62="En revue"),"E",IF($H62="Bloquée","B","P"))),""))</f>
        <v/>
      </c>
      <c r="V62" s="53">
        <f>IF(OR($F62="",$G62=""),"",IF(AND(V$5&lt;=$G62,V$5+6&gt;=$F62),IF($H62="Complétée","F",IF(OR($H62="En cours",$H62="En revue"),"E",IF($H62="Bloquée","B","P"))),""))</f>
        <v/>
      </c>
      <c r="W62" s="53">
        <f>IF(OR($F62="",$G62=""),"",IF(AND(W$5&lt;=$G62,W$5+6&gt;=$F62),IF($H62="Complétée","F",IF(OR($H62="En cours",$H62="En revue"),"E",IF($H62="Bloquée","B","P"))),""))</f>
        <v/>
      </c>
      <c r="X62" s="53">
        <f>IF(OR($F62="",$G62=""),"",IF(AND(X$5&lt;=$G62,X$5+6&gt;=$F62),IF($H62="Complétée","F",IF(OR($H62="En cours",$H62="En revue"),"E",IF($H62="Bloquée","B","P"))),""))</f>
        <v/>
      </c>
      <c r="Y62" s="53">
        <f>IF(OR($F62="",$G62=""),"",IF(AND(Y$5&lt;=$G62,Y$5+6&gt;=$F62),IF($H62="Complétée","F",IF(OR($H62="En cours",$H62="En revue"),"E",IF($H62="Bloquée","B","P"))),""))</f>
        <v/>
      </c>
      <c r="Z62" s="53">
        <f>IF(OR($F62="",$G62=""),"",IF(AND(Z$5&lt;=$G62,Z$5+6&gt;=$F62),IF($H62="Complétée","F",IF(OR($H62="En cours",$H62="En revue"),"E",IF($H62="Bloquée","B","P"))),""))</f>
        <v/>
      </c>
      <c r="AA62" s="53">
        <f>IF(OR($F62="",$G62=""),"",IF(AND(AA$5&lt;=$G62,AA$5+6&gt;=$F62),IF($H62="Complétée","F",IF(OR($H62="En cours",$H62="En revue"),"E",IF($H62="Bloquée","B","P"))),""))</f>
        <v/>
      </c>
      <c r="AB62" s="53">
        <f>IF(OR($F62="",$G62=""),"",IF(AND(AB$5&lt;=$G62,AB$5+6&gt;=$F62),IF($H62="Complétée","F",IF(OR($H62="En cours",$H62="En revue"),"E",IF($H62="Bloquée","B","P"))),""))</f>
        <v/>
      </c>
      <c r="AC62" s="53">
        <f>IF(OR($F62="",$G62=""),"",IF(AND(AC$5&lt;=$G62,AC$5+6&gt;=$F62),IF($H62="Complétée","F",IF(OR($H62="En cours",$H62="En revue"),"E",IF($H62="Bloquée","B","P"))),""))</f>
        <v/>
      </c>
      <c r="AD62" s="53">
        <f>IF(OR($F62="",$G62=""),"",IF(AND(AD$5&lt;=$G62,AD$5+6&gt;=$F62),IF($H62="Complétée","F",IF(OR($H62="En cours",$H62="En revue"),"E",IF($H62="Bloquée","B","P"))),""))</f>
        <v/>
      </c>
      <c r="AE62" s="53">
        <f>IF(OR($F62="",$G62=""),"",IF(AND(AE$5&lt;=$G62,AE$5+6&gt;=$F62),IF($H62="Complétée","F",IF(OR($H62="En cours",$H62="En revue"),"E",IF($H62="Bloquée","B","P"))),""))</f>
        <v/>
      </c>
      <c r="AF62" s="53">
        <f>IF(OR($F62="",$G62=""),"",IF(AND(AF$5&lt;=$G62,AF$5+6&gt;=$F62),IF($H62="Complétée","F",IF(OR($H62="En cours",$H62="En revue"),"E",IF($H62="Bloquée","B","P"))),""))</f>
        <v/>
      </c>
      <c r="AG62" s="53">
        <f>IF(OR($F62="",$G62=""),"",IF(AND(AG$5&lt;=$G62,AG$5+6&gt;=$F62),IF($H62="Complétée","F",IF(OR($H62="En cours",$H62="En revue"),"E",IF($H62="Bloquée","B","P"))),""))</f>
        <v/>
      </c>
      <c r="AH62" s="53">
        <f>IF(OR($F62="",$G62=""),"",IF(AND(AH$5&lt;=$G62,AH$5+6&gt;=$F62),IF($H62="Complétée","F",IF(OR($H62="En cours",$H62="En revue"),"E",IF($H62="Bloquée","B","P"))),""))</f>
        <v/>
      </c>
      <c r="AI62" s="53">
        <f>IF(OR($F62="",$G62=""),"",IF(AND(AI$5&lt;=$G62,AI$5+6&gt;=$F62),IF($H62="Complétée","F",IF(OR($H62="En cours",$H62="En revue"),"E",IF($H62="Bloquée","B","P"))),""))</f>
        <v/>
      </c>
      <c r="AJ62" s="53">
        <f>IF(OR($F62="",$G62=""),"",IF(AND(AJ$5&lt;=$G62,AJ$5+6&gt;=$F62),IF($H62="Complétée","F",IF(OR($H62="En cours",$H62="En revue"),"E",IF($H62="Bloquée","B","P"))),""))</f>
        <v/>
      </c>
      <c r="AK62" s="53">
        <f>IF(OR($F62="",$G62=""),"",IF(AND(AK$5&lt;=$G62,AK$5+6&gt;=$F62),IF($H62="Complétée","F",IF(OR($H62="En cours",$H62="En revue"),"E",IF($H62="Bloquée","B","P"))),""))</f>
        <v/>
      </c>
      <c r="AL62" s="53">
        <f>IF(OR($F62="",$G62=""),"",IF(AND(AL$5&lt;=$G62,AL$5+6&gt;=$F62),IF($H62="Complétée","F",IF(OR($H62="En cours",$H62="En revue"),"E",IF($H62="Bloquée","B","P"))),""))</f>
        <v/>
      </c>
      <c r="AM62" s="53">
        <f>IF(OR($F62="",$G62=""),"",IF(AND(AM$5&lt;=$G62,AM$5+6&gt;=$F62),IF($H62="Complétée","F",IF(OR($H62="En cours",$H62="En revue"),"E",IF($H62="Bloquée","B","P"))),""))</f>
        <v/>
      </c>
      <c r="AN62" s="53">
        <f>IF(OR($F62="",$G62=""),"",IF(AND(AN$5&lt;=$G62,AN$5+6&gt;=$F62),IF($H62="Complétée","F",IF(OR($H62="En cours",$H62="En revue"),"E",IF($H62="Bloquée","B","P"))),""))</f>
        <v/>
      </c>
      <c r="AO62" s="53">
        <f>IF(OR($F62="",$G62=""),"",IF(AND(AO$5&lt;=$G62,AO$5+6&gt;=$F62),IF($H62="Complétée","F",IF(OR($H62="En cours",$H62="En revue"),"E",IF($H62="Bloquée","B","P"))),""))</f>
        <v/>
      </c>
      <c r="AP62" s="53">
        <f>IF(OR($F62="",$G62=""),"",IF(AND(AP$5&lt;=$G62,AP$5+6&gt;=$F62),IF($H62="Complétée","F",IF(OR($H62="En cours",$H62="En revue"),"E",IF($H62="Bloquée","B","P"))),""))</f>
        <v/>
      </c>
      <c r="AQ62" s="53">
        <f>IF(OR($F62="",$G62=""),"",IF(AND(AQ$5&lt;=$G62,AQ$5+6&gt;=$F62),IF($H62="Complétée","F",IF(OR($H62="En cours",$H62="En revue"),"E",IF($H62="Bloquée","B","P"))),""))</f>
        <v/>
      </c>
      <c r="AR62" s="53">
        <f>IF(OR($F62="",$G62=""),"",IF(AND(AR$5&lt;=$G62,AR$5+6&gt;=$F62),IF($H62="Complétée","F",IF(OR($H62="En cours",$H62="En revue"),"E",IF($H62="Bloquée","B","P"))),""))</f>
        <v/>
      </c>
      <c r="AS62" s="53">
        <f>IF(OR($F62="",$G62=""),"",IF(AND(AS$5&lt;=$G62,AS$5+6&gt;=$F62),IF($H62="Complétée","F",IF(OR($H62="En cours",$H62="En revue"),"E",IF($H62="Bloquée","B","P"))),""))</f>
        <v/>
      </c>
      <c r="AT62" s="53">
        <f>IF(OR($F62="",$G62=""),"",IF(AND(AT$5&lt;=$G62,AT$5+6&gt;=$F62),IF($H62="Complétée","F",IF(OR($H62="En cours",$H62="En revue"),"E",IF($H62="Bloquée","B","P"))),""))</f>
        <v/>
      </c>
      <c r="AU62" s="53">
        <f>IF(OR($F62="",$G62=""),"",IF(AND(AU$5&lt;=$G62,AU$5+6&gt;=$F62),IF($H62="Complétée","F",IF(OR($H62="En cours",$H62="En revue"),"E",IF($H62="Bloquée","B","P"))),""))</f>
        <v/>
      </c>
      <c r="AV62" s="53">
        <f>IF(OR($F62="",$G62=""),"",IF(AND(AV$5&lt;=$G62,AV$5+6&gt;=$F62),IF($H62="Complétée","F",IF(OR($H62="En cours",$H62="En revue"),"E",IF($H62="Bloquée","B","P"))),""))</f>
        <v/>
      </c>
      <c r="AW62" s="53">
        <f>IF(OR($F62="",$G62=""),"",IF(AND(AW$5&lt;=$G62,AW$5+6&gt;=$F62),IF($H62="Complétée","F",IF(OR($H62="En cours",$H62="En revue"),"E",IF($H62="Bloquée","B","P"))),""))</f>
        <v/>
      </c>
    </row>
    <row r="63">
      <c r="B63" s="50">
        <f>IF(Taches!B63="","",Taches!B63)</f>
        <v/>
      </c>
      <c r="C63" s="51">
        <f>IF(Taches!B63="","",Taches!F63)</f>
        <v/>
      </c>
      <c r="D63" s="50">
        <f>IF(Taches!B63="","",Taches!C63)</f>
        <v/>
      </c>
      <c r="E63" s="50">
        <f>IF(Taches!B63="","",Taches!D63)</f>
        <v/>
      </c>
      <c r="F63" s="52">
        <f>IF(Taches!P63="","",Taches!P63)</f>
        <v/>
      </c>
      <c r="G63" s="52">
        <f>IF(Taches!Q63="","",Taches!Q63)</f>
        <v/>
      </c>
      <c r="H63" s="50">
        <f>IF(Taches!B63="","",Taches!J63)</f>
        <v/>
      </c>
      <c r="I63" s="53">
        <f>IF(OR($F63="",$G63=""),"",IF(AND(I$5&lt;=$G63,I$5+6&gt;=$F63),IF($H63="Complétée","F",IF(OR($H63="En cours",$H63="En revue"),"E",IF($H63="Bloquée","B","P"))),""))</f>
        <v/>
      </c>
      <c r="J63" s="53">
        <f>IF(OR($F63="",$G63=""),"",IF(AND(J$5&lt;=$G63,J$5+6&gt;=$F63),IF($H63="Complétée","F",IF(OR($H63="En cours",$H63="En revue"),"E",IF($H63="Bloquée","B","P"))),""))</f>
        <v/>
      </c>
      <c r="K63" s="53">
        <f>IF(OR($F63="",$G63=""),"",IF(AND(K$5&lt;=$G63,K$5+6&gt;=$F63),IF($H63="Complétée","F",IF(OR($H63="En cours",$H63="En revue"),"E",IF($H63="Bloquée","B","P"))),""))</f>
        <v/>
      </c>
      <c r="L63" s="53">
        <f>IF(OR($F63="",$G63=""),"",IF(AND(L$5&lt;=$G63,L$5+6&gt;=$F63),IF($H63="Complétée","F",IF(OR($H63="En cours",$H63="En revue"),"E",IF($H63="Bloquée","B","P"))),""))</f>
        <v/>
      </c>
      <c r="M63" s="53">
        <f>IF(OR($F63="",$G63=""),"",IF(AND(M$5&lt;=$G63,M$5+6&gt;=$F63),IF($H63="Complétée","F",IF(OR($H63="En cours",$H63="En revue"),"E",IF($H63="Bloquée","B","P"))),""))</f>
        <v/>
      </c>
      <c r="N63" s="53">
        <f>IF(OR($F63="",$G63=""),"",IF(AND(N$5&lt;=$G63,N$5+6&gt;=$F63),IF($H63="Complétée","F",IF(OR($H63="En cours",$H63="En revue"),"E",IF($H63="Bloquée","B","P"))),""))</f>
        <v/>
      </c>
      <c r="O63" s="53">
        <f>IF(OR($F63="",$G63=""),"",IF(AND(O$5&lt;=$G63,O$5+6&gt;=$F63),IF($H63="Complétée","F",IF(OR($H63="En cours",$H63="En revue"),"E",IF($H63="Bloquée","B","P"))),""))</f>
        <v/>
      </c>
      <c r="P63" s="53">
        <f>IF(OR($F63="",$G63=""),"",IF(AND(P$5&lt;=$G63,P$5+6&gt;=$F63),IF($H63="Complétée","F",IF(OR($H63="En cours",$H63="En revue"),"E",IF($H63="Bloquée","B","P"))),""))</f>
        <v/>
      </c>
      <c r="Q63" s="53">
        <f>IF(OR($F63="",$G63=""),"",IF(AND(Q$5&lt;=$G63,Q$5+6&gt;=$F63),IF($H63="Complétée","F",IF(OR($H63="En cours",$H63="En revue"),"E",IF($H63="Bloquée","B","P"))),""))</f>
        <v/>
      </c>
      <c r="R63" s="53">
        <f>IF(OR($F63="",$G63=""),"",IF(AND(R$5&lt;=$G63,R$5+6&gt;=$F63),IF($H63="Complétée","F",IF(OR($H63="En cours",$H63="En revue"),"E",IF($H63="Bloquée","B","P"))),""))</f>
        <v/>
      </c>
      <c r="S63" s="53">
        <f>IF(OR($F63="",$G63=""),"",IF(AND(S$5&lt;=$G63,S$5+6&gt;=$F63),IF($H63="Complétée","F",IF(OR($H63="En cours",$H63="En revue"),"E",IF($H63="Bloquée","B","P"))),""))</f>
        <v/>
      </c>
      <c r="T63" s="53">
        <f>IF(OR($F63="",$G63=""),"",IF(AND(T$5&lt;=$G63,T$5+6&gt;=$F63),IF($H63="Complétée","F",IF(OR($H63="En cours",$H63="En revue"),"E",IF($H63="Bloquée","B","P"))),""))</f>
        <v/>
      </c>
      <c r="U63" s="53">
        <f>IF(OR($F63="",$G63=""),"",IF(AND(U$5&lt;=$G63,U$5+6&gt;=$F63),IF($H63="Complétée","F",IF(OR($H63="En cours",$H63="En revue"),"E",IF($H63="Bloquée","B","P"))),""))</f>
        <v/>
      </c>
      <c r="V63" s="53">
        <f>IF(OR($F63="",$G63=""),"",IF(AND(V$5&lt;=$G63,V$5+6&gt;=$F63),IF($H63="Complétée","F",IF(OR($H63="En cours",$H63="En revue"),"E",IF($H63="Bloquée","B","P"))),""))</f>
        <v/>
      </c>
      <c r="W63" s="53">
        <f>IF(OR($F63="",$G63=""),"",IF(AND(W$5&lt;=$G63,W$5+6&gt;=$F63),IF($H63="Complétée","F",IF(OR($H63="En cours",$H63="En revue"),"E",IF($H63="Bloquée","B","P"))),""))</f>
        <v/>
      </c>
      <c r="X63" s="53">
        <f>IF(OR($F63="",$G63=""),"",IF(AND(X$5&lt;=$G63,X$5+6&gt;=$F63),IF($H63="Complétée","F",IF(OR($H63="En cours",$H63="En revue"),"E",IF($H63="Bloquée","B","P"))),""))</f>
        <v/>
      </c>
      <c r="Y63" s="53">
        <f>IF(OR($F63="",$G63=""),"",IF(AND(Y$5&lt;=$G63,Y$5+6&gt;=$F63),IF($H63="Complétée","F",IF(OR($H63="En cours",$H63="En revue"),"E",IF($H63="Bloquée","B","P"))),""))</f>
        <v/>
      </c>
      <c r="Z63" s="53">
        <f>IF(OR($F63="",$G63=""),"",IF(AND(Z$5&lt;=$G63,Z$5+6&gt;=$F63),IF($H63="Complétée","F",IF(OR($H63="En cours",$H63="En revue"),"E",IF($H63="Bloquée","B","P"))),""))</f>
        <v/>
      </c>
      <c r="AA63" s="53">
        <f>IF(OR($F63="",$G63=""),"",IF(AND(AA$5&lt;=$G63,AA$5+6&gt;=$F63),IF($H63="Complétée","F",IF(OR($H63="En cours",$H63="En revue"),"E",IF($H63="Bloquée","B","P"))),""))</f>
        <v/>
      </c>
      <c r="AB63" s="53">
        <f>IF(OR($F63="",$G63=""),"",IF(AND(AB$5&lt;=$G63,AB$5+6&gt;=$F63),IF($H63="Complétée","F",IF(OR($H63="En cours",$H63="En revue"),"E",IF($H63="Bloquée","B","P"))),""))</f>
        <v/>
      </c>
      <c r="AC63" s="53">
        <f>IF(OR($F63="",$G63=""),"",IF(AND(AC$5&lt;=$G63,AC$5+6&gt;=$F63),IF($H63="Complétée","F",IF(OR($H63="En cours",$H63="En revue"),"E",IF($H63="Bloquée","B","P"))),""))</f>
        <v/>
      </c>
      <c r="AD63" s="53">
        <f>IF(OR($F63="",$G63=""),"",IF(AND(AD$5&lt;=$G63,AD$5+6&gt;=$F63),IF($H63="Complétée","F",IF(OR($H63="En cours",$H63="En revue"),"E",IF($H63="Bloquée","B","P"))),""))</f>
        <v/>
      </c>
      <c r="AE63" s="53">
        <f>IF(OR($F63="",$G63=""),"",IF(AND(AE$5&lt;=$G63,AE$5+6&gt;=$F63),IF($H63="Complétée","F",IF(OR($H63="En cours",$H63="En revue"),"E",IF($H63="Bloquée","B","P"))),""))</f>
        <v/>
      </c>
      <c r="AF63" s="53">
        <f>IF(OR($F63="",$G63=""),"",IF(AND(AF$5&lt;=$G63,AF$5+6&gt;=$F63),IF($H63="Complétée","F",IF(OR($H63="En cours",$H63="En revue"),"E",IF($H63="Bloquée","B","P"))),""))</f>
        <v/>
      </c>
      <c r="AG63" s="53">
        <f>IF(OR($F63="",$G63=""),"",IF(AND(AG$5&lt;=$G63,AG$5+6&gt;=$F63),IF($H63="Complétée","F",IF(OR($H63="En cours",$H63="En revue"),"E",IF($H63="Bloquée","B","P"))),""))</f>
        <v/>
      </c>
      <c r="AH63" s="53">
        <f>IF(OR($F63="",$G63=""),"",IF(AND(AH$5&lt;=$G63,AH$5+6&gt;=$F63),IF($H63="Complétée","F",IF(OR($H63="En cours",$H63="En revue"),"E",IF($H63="Bloquée","B","P"))),""))</f>
        <v/>
      </c>
      <c r="AI63" s="53">
        <f>IF(OR($F63="",$G63=""),"",IF(AND(AI$5&lt;=$G63,AI$5+6&gt;=$F63),IF($H63="Complétée","F",IF(OR($H63="En cours",$H63="En revue"),"E",IF($H63="Bloquée","B","P"))),""))</f>
        <v/>
      </c>
      <c r="AJ63" s="53">
        <f>IF(OR($F63="",$G63=""),"",IF(AND(AJ$5&lt;=$G63,AJ$5+6&gt;=$F63),IF($H63="Complétée","F",IF(OR($H63="En cours",$H63="En revue"),"E",IF($H63="Bloquée","B","P"))),""))</f>
        <v/>
      </c>
      <c r="AK63" s="53">
        <f>IF(OR($F63="",$G63=""),"",IF(AND(AK$5&lt;=$G63,AK$5+6&gt;=$F63),IF($H63="Complétée","F",IF(OR($H63="En cours",$H63="En revue"),"E",IF($H63="Bloquée","B","P"))),""))</f>
        <v/>
      </c>
      <c r="AL63" s="53">
        <f>IF(OR($F63="",$G63=""),"",IF(AND(AL$5&lt;=$G63,AL$5+6&gt;=$F63),IF($H63="Complétée","F",IF(OR($H63="En cours",$H63="En revue"),"E",IF($H63="Bloquée","B","P"))),""))</f>
        <v/>
      </c>
      <c r="AM63" s="53">
        <f>IF(OR($F63="",$G63=""),"",IF(AND(AM$5&lt;=$G63,AM$5+6&gt;=$F63),IF($H63="Complétée","F",IF(OR($H63="En cours",$H63="En revue"),"E",IF($H63="Bloquée","B","P"))),""))</f>
        <v/>
      </c>
      <c r="AN63" s="53">
        <f>IF(OR($F63="",$G63=""),"",IF(AND(AN$5&lt;=$G63,AN$5+6&gt;=$F63),IF($H63="Complétée","F",IF(OR($H63="En cours",$H63="En revue"),"E",IF($H63="Bloquée","B","P"))),""))</f>
        <v/>
      </c>
      <c r="AO63" s="53">
        <f>IF(OR($F63="",$G63=""),"",IF(AND(AO$5&lt;=$G63,AO$5+6&gt;=$F63),IF($H63="Complétée","F",IF(OR($H63="En cours",$H63="En revue"),"E",IF($H63="Bloquée","B","P"))),""))</f>
        <v/>
      </c>
      <c r="AP63" s="53">
        <f>IF(OR($F63="",$G63=""),"",IF(AND(AP$5&lt;=$G63,AP$5+6&gt;=$F63),IF($H63="Complétée","F",IF(OR($H63="En cours",$H63="En revue"),"E",IF($H63="Bloquée","B","P"))),""))</f>
        <v/>
      </c>
      <c r="AQ63" s="53">
        <f>IF(OR($F63="",$G63=""),"",IF(AND(AQ$5&lt;=$G63,AQ$5+6&gt;=$F63),IF($H63="Complétée","F",IF(OR($H63="En cours",$H63="En revue"),"E",IF($H63="Bloquée","B","P"))),""))</f>
        <v/>
      </c>
      <c r="AR63" s="53">
        <f>IF(OR($F63="",$G63=""),"",IF(AND(AR$5&lt;=$G63,AR$5+6&gt;=$F63),IF($H63="Complétée","F",IF(OR($H63="En cours",$H63="En revue"),"E",IF($H63="Bloquée","B","P"))),""))</f>
        <v/>
      </c>
      <c r="AS63" s="53">
        <f>IF(OR($F63="",$G63=""),"",IF(AND(AS$5&lt;=$G63,AS$5+6&gt;=$F63),IF($H63="Complétée","F",IF(OR($H63="En cours",$H63="En revue"),"E",IF($H63="Bloquée","B","P"))),""))</f>
        <v/>
      </c>
      <c r="AT63" s="53">
        <f>IF(OR($F63="",$G63=""),"",IF(AND(AT$5&lt;=$G63,AT$5+6&gt;=$F63),IF($H63="Complétée","F",IF(OR($H63="En cours",$H63="En revue"),"E",IF($H63="Bloquée","B","P"))),""))</f>
        <v/>
      </c>
      <c r="AU63" s="53">
        <f>IF(OR($F63="",$G63=""),"",IF(AND(AU$5&lt;=$G63,AU$5+6&gt;=$F63),IF($H63="Complétée","F",IF(OR($H63="En cours",$H63="En revue"),"E",IF($H63="Bloquée","B","P"))),""))</f>
        <v/>
      </c>
      <c r="AV63" s="53">
        <f>IF(OR($F63="",$G63=""),"",IF(AND(AV$5&lt;=$G63,AV$5+6&gt;=$F63),IF($H63="Complétée","F",IF(OR($H63="En cours",$H63="En revue"),"E",IF($H63="Bloquée","B","P"))),""))</f>
        <v/>
      </c>
      <c r="AW63" s="53">
        <f>IF(OR($F63="",$G63=""),"",IF(AND(AW$5&lt;=$G63,AW$5+6&gt;=$F63),IF($H63="Complétée","F",IF(OR($H63="En cours",$H63="En revue"),"E",IF($H63="Bloquée","B","P"))),""))</f>
        <v/>
      </c>
    </row>
    <row r="64">
      <c r="B64" s="50">
        <f>IF(Taches!B64="","",Taches!B64)</f>
        <v/>
      </c>
      <c r="C64" s="51">
        <f>IF(Taches!B64="","",Taches!F64)</f>
        <v/>
      </c>
      <c r="D64" s="50">
        <f>IF(Taches!B64="","",Taches!C64)</f>
        <v/>
      </c>
      <c r="E64" s="50">
        <f>IF(Taches!B64="","",Taches!D64)</f>
        <v/>
      </c>
      <c r="F64" s="52">
        <f>IF(Taches!P64="","",Taches!P64)</f>
        <v/>
      </c>
      <c r="G64" s="52">
        <f>IF(Taches!Q64="","",Taches!Q64)</f>
        <v/>
      </c>
      <c r="H64" s="50">
        <f>IF(Taches!B64="","",Taches!J64)</f>
        <v/>
      </c>
      <c r="I64" s="53">
        <f>IF(OR($F64="",$G64=""),"",IF(AND(I$5&lt;=$G64,I$5+6&gt;=$F64),IF($H64="Complétée","F",IF(OR($H64="En cours",$H64="En revue"),"E",IF($H64="Bloquée","B","P"))),""))</f>
        <v/>
      </c>
      <c r="J64" s="53">
        <f>IF(OR($F64="",$G64=""),"",IF(AND(J$5&lt;=$G64,J$5+6&gt;=$F64),IF($H64="Complétée","F",IF(OR($H64="En cours",$H64="En revue"),"E",IF($H64="Bloquée","B","P"))),""))</f>
        <v/>
      </c>
      <c r="K64" s="53">
        <f>IF(OR($F64="",$G64=""),"",IF(AND(K$5&lt;=$G64,K$5+6&gt;=$F64),IF($H64="Complétée","F",IF(OR($H64="En cours",$H64="En revue"),"E",IF($H64="Bloquée","B","P"))),""))</f>
        <v/>
      </c>
      <c r="L64" s="53">
        <f>IF(OR($F64="",$G64=""),"",IF(AND(L$5&lt;=$G64,L$5+6&gt;=$F64),IF($H64="Complétée","F",IF(OR($H64="En cours",$H64="En revue"),"E",IF($H64="Bloquée","B","P"))),""))</f>
        <v/>
      </c>
      <c r="M64" s="53">
        <f>IF(OR($F64="",$G64=""),"",IF(AND(M$5&lt;=$G64,M$5+6&gt;=$F64),IF($H64="Complétée","F",IF(OR($H64="En cours",$H64="En revue"),"E",IF($H64="Bloquée","B","P"))),""))</f>
        <v/>
      </c>
      <c r="N64" s="53">
        <f>IF(OR($F64="",$G64=""),"",IF(AND(N$5&lt;=$G64,N$5+6&gt;=$F64),IF($H64="Complétée","F",IF(OR($H64="En cours",$H64="En revue"),"E",IF($H64="Bloquée","B","P"))),""))</f>
        <v/>
      </c>
      <c r="O64" s="53">
        <f>IF(OR($F64="",$G64=""),"",IF(AND(O$5&lt;=$G64,O$5+6&gt;=$F64),IF($H64="Complétée","F",IF(OR($H64="En cours",$H64="En revue"),"E",IF($H64="Bloquée","B","P"))),""))</f>
        <v/>
      </c>
      <c r="P64" s="53">
        <f>IF(OR($F64="",$G64=""),"",IF(AND(P$5&lt;=$G64,P$5+6&gt;=$F64),IF($H64="Complétée","F",IF(OR($H64="En cours",$H64="En revue"),"E",IF($H64="Bloquée","B","P"))),""))</f>
        <v/>
      </c>
      <c r="Q64" s="53">
        <f>IF(OR($F64="",$G64=""),"",IF(AND(Q$5&lt;=$G64,Q$5+6&gt;=$F64),IF($H64="Complétée","F",IF(OR($H64="En cours",$H64="En revue"),"E",IF($H64="Bloquée","B","P"))),""))</f>
        <v/>
      </c>
      <c r="R64" s="53">
        <f>IF(OR($F64="",$G64=""),"",IF(AND(R$5&lt;=$G64,R$5+6&gt;=$F64),IF($H64="Complétée","F",IF(OR($H64="En cours",$H64="En revue"),"E",IF($H64="Bloquée","B","P"))),""))</f>
        <v/>
      </c>
      <c r="S64" s="53">
        <f>IF(OR($F64="",$G64=""),"",IF(AND(S$5&lt;=$G64,S$5+6&gt;=$F64),IF($H64="Complétée","F",IF(OR($H64="En cours",$H64="En revue"),"E",IF($H64="Bloquée","B","P"))),""))</f>
        <v/>
      </c>
      <c r="T64" s="53">
        <f>IF(OR($F64="",$G64=""),"",IF(AND(T$5&lt;=$G64,T$5+6&gt;=$F64),IF($H64="Complétée","F",IF(OR($H64="En cours",$H64="En revue"),"E",IF($H64="Bloquée","B","P"))),""))</f>
        <v/>
      </c>
      <c r="U64" s="53">
        <f>IF(OR($F64="",$G64=""),"",IF(AND(U$5&lt;=$G64,U$5+6&gt;=$F64),IF($H64="Complétée","F",IF(OR($H64="En cours",$H64="En revue"),"E",IF($H64="Bloquée","B","P"))),""))</f>
        <v/>
      </c>
      <c r="V64" s="53">
        <f>IF(OR($F64="",$G64=""),"",IF(AND(V$5&lt;=$G64,V$5+6&gt;=$F64),IF($H64="Complétée","F",IF(OR($H64="En cours",$H64="En revue"),"E",IF($H64="Bloquée","B","P"))),""))</f>
        <v/>
      </c>
      <c r="W64" s="53">
        <f>IF(OR($F64="",$G64=""),"",IF(AND(W$5&lt;=$G64,W$5+6&gt;=$F64),IF($H64="Complétée","F",IF(OR($H64="En cours",$H64="En revue"),"E",IF($H64="Bloquée","B","P"))),""))</f>
        <v/>
      </c>
      <c r="X64" s="53">
        <f>IF(OR($F64="",$G64=""),"",IF(AND(X$5&lt;=$G64,X$5+6&gt;=$F64),IF($H64="Complétée","F",IF(OR($H64="En cours",$H64="En revue"),"E",IF($H64="Bloquée","B","P"))),""))</f>
        <v/>
      </c>
      <c r="Y64" s="53">
        <f>IF(OR($F64="",$G64=""),"",IF(AND(Y$5&lt;=$G64,Y$5+6&gt;=$F64),IF($H64="Complétée","F",IF(OR($H64="En cours",$H64="En revue"),"E",IF($H64="Bloquée","B","P"))),""))</f>
        <v/>
      </c>
      <c r="Z64" s="53">
        <f>IF(OR($F64="",$G64=""),"",IF(AND(Z$5&lt;=$G64,Z$5+6&gt;=$F64),IF($H64="Complétée","F",IF(OR($H64="En cours",$H64="En revue"),"E",IF($H64="Bloquée","B","P"))),""))</f>
        <v/>
      </c>
      <c r="AA64" s="53">
        <f>IF(OR($F64="",$G64=""),"",IF(AND(AA$5&lt;=$G64,AA$5+6&gt;=$F64),IF($H64="Complétée","F",IF(OR($H64="En cours",$H64="En revue"),"E",IF($H64="Bloquée","B","P"))),""))</f>
        <v/>
      </c>
      <c r="AB64" s="53">
        <f>IF(OR($F64="",$G64=""),"",IF(AND(AB$5&lt;=$G64,AB$5+6&gt;=$F64),IF($H64="Complétée","F",IF(OR($H64="En cours",$H64="En revue"),"E",IF($H64="Bloquée","B","P"))),""))</f>
        <v/>
      </c>
      <c r="AC64" s="53">
        <f>IF(OR($F64="",$G64=""),"",IF(AND(AC$5&lt;=$G64,AC$5+6&gt;=$F64),IF($H64="Complétée","F",IF(OR($H64="En cours",$H64="En revue"),"E",IF($H64="Bloquée","B","P"))),""))</f>
        <v/>
      </c>
      <c r="AD64" s="53">
        <f>IF(OR($F64="",$G64=""),"",IF(AND(AD$5&lt;=$G64,AD$5+6&gt;=$F64),IF($H64="Complétée","F",IF(OR($H64="En cours",$H64="En revue"),"E",IF($H64="Bloquée","B","P"))),""))</f>
        <v/>
      </c>
      <c r="AE64" s="53">
        <f>IF(OR($F64="",$G64=""),"",IF(AND(AE$5&lt;=$G64,AE$5+6&gt;=$F64),IF($H64="Complétée","F",IF(OR($H64="En cours",$H64="En revue"),"E",IF($H64="Bloquée","B","P"))),""))</f>
        <v/>
      </c>
      <c r="AF64" s="53">
        <f>IF(OR($F64="",$G64=""),"",IF(AND(AF$5&lt;=$G64,AF$5+6&gt;=$F64),IF($H64="Complétée","F",IF(OR($H64="En cours",$H64="En revue"),"E",IF($H64="Bloquée","B","P"))),""))</f>
        <v/>
      </c>
      <c r="AG64" s="53">
        <f>IF(OR($F64="",$G64=""),"",IF(AND(AG$5&lt;=$G64,AG$5+6&gt;=$F64),IF($H64="Complétée","F",IF(OR($H64="En cours",$H64="En revue"),"E",IF($H64="Bloquée","B","P"))),""))</f>
        <v/>
      </c>
      <c r="AH64" s="53">
        <f>IF(OR($F64="",$G64=""),"",IF(AND(AH$5&lt;=$G64,AH$5+6&gt;=$F64),IF($H64="Complétée","F",IF(OR($H64="En cours",$H64="En revue"),"E",IF($H64="Bloquée","B","P"))),""))</f>
        <v/>
      </c>
      <c r="AI64" s="53">
        <f>IF(OR($F64="",$G64=""),"",IF(AND(AI$5&lt;=$G64,AI$5+6&gt;=$F64),IF($H64="Complétée","F",IF(OR($H64="En cours",$H64="En revue"),"E",IF($H64="Bloquée","B","P"))),""))</f>
        <v/>
      </c>
      <c r="AJ64" s="53">
        <f>IF(OR($F64="",$G64=""),"",IF(AND(AJ$5&lt;=$G64,AJ$5+6&gt;=$F64),IF($H64="Complétée","F",IF(OR($H64="En cours",$H64="En revue"),"E",IF($H64="Bloquée","B","P"))),""))</f>
        <v/>
      </c>
      <c r="AK64" s="53">
        <f>IF(OR($F64="",$G64=""),"",IF(AND(AK$5&lt;=$G64,AK$5+6&gt;=$F64),IF($H64="Complétée","F",IF(OR($H64="En cours",$H64="En revue"),"E",IF($H64="Bloquée","B","P"))),""))</f>
        <v/>
      </c>
      <c r="AL64" s="53">
        <f>IF(OR($F64="",$G64=""),"",IF(AND(AL$5&lt;=$G64,AL$5+6&gt;=$F64),IF($H64="Complétée","F",IF(OR($H64="En cours",$H64="En revue"),"E",IF($H64="Bloquée","B","P"))),""))</f>
        <v/>
      </c>
      <c r="AM64" s="53">
        <f>IF(OR($F64="",$G64=""),"",IF(AND(AM$5&lt;=$G64,AM$5+6&gt;=$F64),IF($H64="Complétée","F",IF(OR($H64="En cours",$H64="En revue"),"E",IF($H64="Bloquée","B","P"))),""))</f>
        <v/>
      </c>
      <c r="AN64" s="53">
        <f>IF(OR($F64="",$G64=""),"",IF(AND(AN$5&lt;=$G64,AN$5+6&gt;=$F64),IF($H64="Complétée","F",IF(OR($H64="En cours",$H64="En revue"),"E",IF($H64="Bloquée","B","P"))),""))</f>
        <v/>
      </c>
      <c r="AO64" s="53">
        <f>IF(OR($F64="",$G64=""),"",IF(AND(AO$5&lt;=$G64,AO$5+6&gt;=$F64),IF($H64="Complétée","F",IF(OR($H64="En cours",$H64="En revue"),"E",IF($H64="Bloquée","B","P"))),""))</f>
        <v/>
      </c>
      <c r="AP64" s="53">
        <f>IF(OR($F64="",$G64=""),"",IF(AND(AP$5&lt;=$G64,AP$5+6&gt;=$F64),IF($H64="Complétée","F",IF(OR($H64="En cours",$H64="En revue"),"E",IF($H64="Bloquée","B","P"))),""))</f>
        <v/>
      </c>
      <c r="AQ64" s="53">
        <f>IF(OR($F64="",$G64=""),"",IF(AND(AQ$5&lt;=$G64,AQ$5+6&gt;=$F64),IF($H64="Complétée","F",IF(OR($H64="En cours",$H64="En revue"),"E",IF($H64="Bloquée","B","P"))),""))</f>
        <v/>
      </c>
      <c r="AR64" s="53">
        <f>IF(OR($F64="",$G64=""),"",IF(AND(AR$5&lt;=$G64,AR$5+6&gt;=$F64),IF($H64="Complétée","F",IF(OR($H64="En cours",$H64="En revue"),"E",IF($H64="Bloquée","B","P"))),""))</f>
        <v/>
      </c>
      <c r="AS64" s="53">
        <f>IF(OR($F64="",$G64=""),"",IF(AND(AS$5&lt;=$G64,AS$5+6&gt;=$F64),IF($H64="Complétée","F",IF(OR($H64="En cours",$H64="En revue"),"E",IF($H64="Bloquée","B","P"))),""))</f>
        <v/>
      </c>
      <c r="AT64" s="53">
        <f>IF(OR($F64="",$G64=""),"",IF(AND(AT$5&lt;=$G64,AT$5+6&gt;=$F64),IF($H64="Complétée","F",IF(OR($H64="En cours",$H64="En revue"),"E",IF($H64="Bloquée","B","P"))),""))</f>
        <v/>
      </c>
      <c r="AU64" s="53">
        <f>IF(OR($F64="",$G64=""),"",IF(AND(AU$5&lt;=$G64,AU$5+6&gt;=$F64),IF($H64="Complétée","F",IF(OR($H64="En cours",$H64="En revue"),"E",IF($H64="Bloquée","B","P"))),""))</f>
        <v/>
      </c>
      <c r="AV64" s="53">
        <f>IF(OR($F64="",$G64=""),"",IF(AND(AV$5&lt;=$G64,AV$5+6&gt;=$F64),IF($H64="Complétée","F",IF(OR($H64="En cours",$H64="En revue"),"E",IF($H64="Bloquée","B","P"))),""))</f>
        <v/>
      </c>
      <c r="AW64" s="53">
        <f>IF(OR($F64="",$G64=""),"",IF(AND(AW$5&lt;=$G64,AW$5+6&gt;=$F64),IF($H64="Complétée","F",IF(OR($H64="En cours",$H64="En revue"),"E",IF($H64="Bloquée","B","P"))),""))</f>
        <v/>
      </c>
    </row>
    <row r="65">
      <c r="B65" s="50">
        <f>IF(Taches!B65="","",Taches!B65)</f>
        <v/>
      </c>
      <c r="C65" s="51">
        <f>IF(Taches!B65="","",Taches!F65)</f>
        <v/>
      </c>
      <c r="D65" s="50">
        <f>IF(Taches!B65="","",Taches!C65)</f>
        <v/>
      </c>
      <c r="E65" s="50">
        <f>IF(Taches!B65="","",Taches!D65)</f>
        <v/>
      </c>
      <c r="F65" s="52">
        <f>IF(Taches!P65="","",Taches!P65)</f>
        <v/>
      </c>
      <c r="G65" s="52">
        <f>IF(Taches!Q65="","",Taches!Q65)</f>
        <v/>
      </c>
      <c r="H65" s="50">
        <f>IF(Taches!B65="","",Taches!J65)</f>
        <v/>
      </c>
      <c r="I65" s="53">
        <f>IF(OR($F65="",$G65=""),"",IF(AND(I$5&lt;=$G65,I$5+6&gt;=$F65),IF($H65="Complétée","F",IF(OR($H65="En cours",$H65="En revue"),"E",IF($H65="Bloquée","B","P"))),""))</f>
        <v/>
      </c>
      <c r="J65" s="53">
        <f>IF(OR($F65="",$G65=""),"",IF(AND(J$5&lt;=$G65,J$5+6&gt;=$F65),IF($H65="Complétée","F",IF(OR($H65="En cours",$H65="En revue"),"E",IF($H65="Bloquée","B","P"))),""))</f>
        <v/>
      </c>
      <c r="K65" s="53">
        <f>IF(OR($F65="",$G65=""),"",IF(AND(K$5&lt;=$G65,K$5+6&gt;=$F65),IF($H65="Complétée","F",IF(OR($H65="En cours",$H65="En revue"),"E",IF($H65="Bloquée","B","P"))),""))</f>
        <v/>
      </c>
      <c r="L65" s="53">
        <f>IF(OR($F65="",$G65=""),"",IF(AND(L$5&lt;=$G65,L$5+6&gt;=$F65),IF($H65="Complétée","F",IF(OR($H65="En cours",$H65="En revue"),"E",IF($H65="Bloquée","B","P"))),""))</f>
        <v/>
      </c>
      <c r="M65" s="53">
        <f>IF(OR($F65="",$G65=""),"",IF(AND(M$5&lt;=$G65,M$5+6&gt;=$F65),IF($H65="Complétée","F",IF(OR($H65="En cours",$H65="En revue"),"E",IF($H65="Bloquée","B","P"))),""))</f>
        <v/>
      </c>
      <c r="N65" s="53">
        <f>IF(OR($F65="",$G65=""),"",IF(AND(N$5&lt;=$G65,N$5+6&gt;=$F65),IF($H65="Complétée","F",IF(OR($H65="En cours",$H65="En revue"),"E",IF($H65="Bloquée","B","P"))),""))</f>
        <v/>
      </c>
      <c r="O65" s="53">
        <f>IF(OR($F65="",$G65=""),"",IF(AND(O$5&lt;=$G65,O$5+6&gt;=$F65),IF($H65="Complétée","F",IF(OR($H65="En cours",$H65="En revue"),"E",IF($H65="Bloquée","B","P"))),""))</f>
        <v/>
      </c>
      <c r="P65" s="53">
        <f>IF(OR($F65="",$G65=""),"",IF(AND(P$5&lt;=$G65,P$5+6&gt;=$F65),IF($H65="Complétée","F",IF(OR($H65="En cours",$H65="En revue"),"E",IF($H65="Bloquée","B","P"))),""))</f>
        <v/>
      </c>
      <c r="Q65" s="53">
        <f>IF(OR($F65="",$G65=""),"",IF(AND(Q$5&lt;=$G65,Q$5+6&gt;=$F65),IF($H65="Complétée","F",IF(OR($H65="En cours",$H65="En revue"),"E",IF($H65="Bloquée","B","P"))),""))</f>
        <v/>
      </c>
      <c r="R65" s="53">
        <f>IF(OR($F65="",$G65=""),"",IF(AND(R$5&lt;=$G65,R$5+6&gt;=$F65),IF($H65="Complétée","F",IF(OR($H65="En cours",$H65="En revue"),"E",IF($H65="Bloquée","B","P"))),""))</f>
        <v/>
      </c>
      <c r="S65" s="53">
        <f>IF(OR($F65="",$G65=""),"",IF(AND(S$5&lt;=$G65,S$5+6&gt;=$F65),IF($H65="Complétée","F",IF(OR($H65="En cours",$H65="En revue"),"E",IF($H65="Bloquée","B","P"))),""))</f>
        <v/>
      </c>
      <c r="T65" s="53">
        <f>IF(OR($F65="",$G65=""),"",IF(AND(T$5&lt;=$G65,T$5+6&gt;=$F65),IF($H65="Complétée","F",IF(OR($H65="En cours",$H65="En revue"),"E",IF($H65="Bloquée","B","P"))),""))</f>
        <v/>
      </c>
      <c r="U65" s="53">
        <f>IF(OR($F65="",$G65=""),"",IF(AND(U$5&lt;=$G65,U$5+6&gt;=$F65),IF($H65="Complétée","F",IF(OR($H65="En cours",$H65="En revue"),"E",IF($H65="Bloquée","B","P"))),""))</f>
        <v/>
      </c>
      <c r="V65" s="53">
        <f>IF(OR($F65="",$G65=""),"",IF(AND(V$5&lt;=$G65,V$5+6&gt;=$F65),IF($H65="Complétée","F",IF(OR($H65="En cours",$H65="En revue"),"E",IF($H65="Bloquée","B","P"))),""))</f>
        <v/>
      </c>
      <c r="W65" s="53">
        <f>IF(OR($F65="",$G65=""),"",IF(AND(W$5&lt;=$G65,W$5+6&gt;=$F65),IF($H65="Complétée","F",IF(OR($H65="En cours",$H65="En revue"),"E",IF($H65="Bloquée","B","P"))),""))</f>
        <v/>
      </c>
      <c r="X65" s="53">
        <f>IF(OR($F65="",$G65=""),"",IF(AND(X$5&lt;=$G65,X$5+6&gt;=$F65),IF($H65="Complétée","F",IF(OR($H65="En cours",$H65="En revue"),"E",IF($H65="Bloquée","B","P"))),""))</f>
        <v/>
      </c>
      <c r="Y65" s="53">
        <f>IF(OR($F65="",$G65=""),"",IF(AND(Y$5&lt;=$G65,Y$5+6&gt;=$F65),IF($H65="Complétée","F",IF(OR($H65="En cours",$H65="En revue"),"E",IF($H65="Bloquée","B","P"))),""))</f>
        <v/>
      </c>
      <c r="Z65" s="53">
        <f>IF(OR($F65="",$G65=""),"",IF(AND(Z$5&lt;=$G65,Z$5+6&gt;=$F65),IF($H65="Complétée","F",IF(OR($H65="En cours",$H65="En revue"),"E",IF($H65="Bloquée","B","P"))),""))</f>
        <v/>
      </c>
      <c r="AA65" s="53">
        <f>IF(OR($F65="",$G65=""),"",IF(AND(AA$5&lt;=$G65,AA$5+6&gt;=$F65),IF($H65="Complétée","F",IF(OR($H65="En cours",$H65="En revue"),"E",IF($H65="Bloquée","B","P"))),""))</f>
        <v/>
      </c>
      <c r="AB65" s="53">
        <f>IF(OR($F65="",$G65=""),"",IF(AND(AB$5&lt;=$G65,AB$5+6&gt;=$F65),IF($H65="Complétée","F",IF(OR($H65="En cours",$H65="En revue"),"E",IF($H65="Bloquée","B","P"))),""))</f>
        <v/>
      </c>
      <c r="AC65" s="53">
        <f>IF(OR($F65="",$G65=""),"",IF(AND(AC$5&lt;=$G65,AC$5+6&gt;=$F65),IF($H65="Complétée","F",IF(OR($H65="En cours",$H65="En revue"),"E",IF($H65="Bloquée","B","P"))),""))</f>
        <v/>
      </c>
      <c r="AD65" s="53">
        <f>IF(OR($F65="",$G65=""),"",IF(AND(AD$5&lt;=$G65,AD$5+6&gt;=$F65),IF($H65="Complétée","F",IF(OR($H65="En cours",$H65="En revue"),"E",IF($H65="Bloquée","B","P"))),""))</f>
        <v/>
      </c>
      <c r="AE65" s="53">
        <f>IF(OR($F65="",$G65=""),"",IF(AND(AE$5&lt;=$G65,AE$5+6&gt;=$F65),IF($H65="Complétée","F",IF(OR($H65="En cours",$H65="En revue"),"E",IF($H65="Bloquée","B","P"))),""))</f>
        <v/>
      </c>
      <c r="AF65" s="53">
        <f>IF(OR($F65="",$G65=""),"",IF(AND(AF$5&lt;=$G65,AF$5+6&gt;=$F65),IF($H65="Complétée","F",IF(OR($H65="En cours",$H65="En revue"),"E",IF($H65="Bloquée","B","P"))),""))</f>
        <v/>
      </c>
      <c r="AG65" s="53">
        <f>IF(OR($F65="",$G65=""),"",IF(AND(AG$5&lt;=$G65,AG$5+6&gt;=$F65),IF($H65="Complétée","F",IF(OR($H65="En cours",$H65="En revue"),"E",IF($H65="Bloquée","B","P"))),""))</f>
        <v/>
      </c>
      <c r="AH65" s="53">
        <f>IF(OR($F65="",$G65=""),"",IF(AND(AH$5&lt;=$G65,AH$5+6&gt;=$F65),IF($H65="Complétée","F",IF(OR($H65="En cours",$H65="En revue"),"E",IF($H65="Bloquée","B","P"))),""))</f>
        <v/>
      </c>
      <c r="AI65" s="53">
        <f>IF(OR($F65="",$G65=""),"",IF(AND(AI$5&lt;=$G65,AI$5+6&gt;=$F65),IF($H65="Complétée","F",IF(OR($H65="En cours",$H65="En revue"),"E",IF($H65="Bloquée","B","P"))),""))</f>
        <v/>
      </c>
      <c r="AJ65" s="53">
        <f>IF(OR($F65="",$G65=""),"",IF(AND(AJ$5&lt;=$G65,AJ$5+6&gt;=$F65),IF($H65="Complétée","F",IF(OR($H65="En cours",$H65="En revue"),"E",IF($H65="Bloquée","B","P"))),""))</f>
        <v/>
      </c>
      <c r="AK65" s="53">
        <f>IF(OR($F65="",$G65=""),"",IF(AND(AK$5&lt;=$G65,AK$5+6&gt;=$F65),IF($H65="Complétée","F",IF(OR($H65="En cours",$H65="En revue"),"E",IF($H65="Bloquée","B","P"))),""))</f>
        <v/>
      </c>
      <c r="AL65" s="53">
        <f>IF(OR($F65="",$G65=""),"",IF(AND(AL$5&lt;=$G65,AL$5+6&gt;=$F65),IF($H65="Complétée","F",IF(OR($H65="En cours",$H65="En revue"),"E",IF($H65="Bloquée","B","P"))),""))</f>
        <v/>
      </c>
      <c r="AM65" s="53">
        <f>IF(OR($F65="",$G65=""),"",IF(AND(AM$5&lt;=$G65,AM$5+6&gt;=$F65),IF($H65="Complétée","F",IF(OR($H65="En cours",$H65="En revue"),"E",IF($H65="Bloquée","B","P"))),""))</f>
        <v/>
      </c>
      <c r="AN65" s="53">
        <f>IF(OR($F65="",$G65=""),"",IF(AND(AN$5&lt;=$G65,AN$5+6&gt;=$F65),IF($H65="Complétée","F",IF(OR($H65="En cours",$H65="En revue"),"E",IF($H65="Bloquée","B","P"))),""))</f>
        <v/>
      </c>
      <c r="AO65" s="53">
        <f>IF(OR($F65="",$G65=""),"",IF(AND(AO$5&lt;=$G65,AO$5+6&gt;=$F65),IF($H65="Complétée","F",IF(OR($H65="En cours",$H65="En revue"),"E",IF($H65="Bloquée","B","P"))),""))</f>
        <v/>
      </c>
      <c r="AP65" s="53">
        <f>IF(OR($F65="",$G65=""),"",IF(AND(AP$5&lt;=$G65,AP$5+6&gt;=$F65),IF($H65="Complétée","F",IF(OR($H65="En cours",$H65="En revue"),"E",IF($H65="Bloquée","B","P"))),""))</f>
        <v/>
      </c>
      <c r="AQ65" s="53">
        <f>IF(OR($F65="",$G65=""),"",IF(AND(AQ$5&lt;=$G65,AQ$5+6&gt;=$F65),IF($H65="Complétée","F",IF(OR($H65="En cours",$H65="En revue"),"E",IF($H65="Bloquée","B","P"))),""))</f>
        <v/>
      </c>
      <c r="AR65" s="53">
        <f>IF(OR($F65="",$G65=""),"",IF(AND(AR$5&lt;=$G65,AR$5+6&gt;=$F65),IF($H65="Complétée","F",IF(OR($H65="En cours",$H65="En revue"),"E",IF($H65="Bloquée","B","P"))),""))</f>
        <v/>
      </c>
      <c r="AS65" s="53">
        <f>IF(OR($F65="",$G65=""),"",IF(AND(AS$5&lt;=$G65,AS$5+6&gt;=$F65),IF($H65="Complétée","F",IF(OR($H65="En cours",$H65="En revue"),"E",IF($H65="Bloquée","B","P"))),""))</f>
        <v/>
      </c>
      <c r="AT65" s="53">
        <f>IF(OR($F65="",$G65=""),"",IF(AND(AT$5&lt;=$G65,AT$5+6&gt;=$F65),IF($H65="Complétée","F",IF(OR($H65="En cours",$H65="En revue"),"E",IF($H65="Bloquée","B","P"))),""))</f>
        <v/>
      </c>
      <c r="AU65" s="53">
        <f>IF(OR($F65="",$G65=""),"",IF(AND(AU$5&lt;=$G65,AU$5+6&gt;=$F65),IF($H65="Complétée","F",IF(OR($H65="En cours",$H65="En revue"),"E",IF($H65="Bloquée","B","P"))),""))</f>
        <v/>
      </c>
      <c r="AV65" s="53">
        <f>IF(OR($F65="",$G65=""),"",IF(AND(AV$5&lt;=$G65,AV$5+6&gt;=$F65),IF($H65="Complétée","F",IF(OR($H65="En cours",$H65="En revue"),"E",IF($H65="Bloquée","B","P"))),""))</f>
        <v/>
      </c>
      <c r="AW65" s="53">
        <f>IF(OR($F65="",$G65=""),"",IF(AND(AW$5&lt;=$G65,AW$5+6&gt;=$F65),IF($H65="Complétée","F",IF(OR($H65="En cours",$H65="En revue"),"E",IF($H65="Bloquée","B","P"))),""))</f>
        <v/>
      </c>
    </row>
    <row r="66">
      <c r="B66" s="50">
        <f>IF(Taches!B66="","",Taches!B66)</f>
        <v/>
      </c>
      <c r="C66" s="51">
        <f>IF(Taches!B66="","",Taches!F66)</f>
        <v/>
      </c>
      <c r="D66" s="50">
        <f>IF(Taches!B66="","",Taches!C66)</f>
        <v/>
      </c>
      <c r="E66" s="50">
        <f>IF(Taches!B66="","",Taches!D66)</f>
        <v/>
      </c>
      <c r="F66" s="52">
        <f>IF(Taches!P66="","",Taches!P66)</f>
        <v/>
      </c>
      <c r="G66" s="52">
        <f>IF(Taches!Q66="","",Taches!Q66)</f>
        <v/>
      </c>
      <c r="H66" s="50">
        <f>IF(Taches!B66="","",Taches!J66)</f>
        <v/>
      </c>
      <c r="I66" s="53">
        <f>IF(OR($F66="",$G66=""),"",IF(AND(I$5&lt;=$G66,I$5+6&gt;=$F66),IF($H66="Complétée","F",IF(OR($H66="En cours",$H66="En revue"),"E",IF($H66="Bloquée","B","P"))),""))</f>
        <v/>
      </c>
      <c r="J66" s="53">
        <f>IF(OR($F66="",$G66=""),"",IF(AND(J$5&lt;=$G66,J$5+6&gt;=$F66),IF($H66="Complétée","F",IF(OR($H66="En cours",$H66="En revue"),"E",IF($H66="Bloquée","B","P"))),""))</f>
        <v/>
      </c>
      <c r="K66" s="53">
        <f>IF(OR($F66="",$G66=""),"",IF(AND(K$5&lt;=$G66,K$5+6&gt;=$F66),IF($H66="Complétée","F",IF(OR($H66="En cours",$H66="En revue"),"E",IF($H66="Bloquée","B","P"))),""))</f>
        <v/>
      </c>
      <c r="L66" s="53">
        <f>IF(OR($F66="",$G66=""),"",IF(AND(L$5&lt;=$G66,L$5+6&gt;=$F66),IF($H66="Complétée","F",IF(OR($H66="En cours",$H66="En revue"),"E",IF($H66="Bloquée","B","P"))),""))</f>
        <v/>
      </c>
      <c r="M66" s="53">
        <f>IF(OR($F66="",$G66=""),"",IF(AND(M$5&lt;=$G66,M$5+6&gt;=$F66),IF($H66="Complétée","F",IF(OR($H66="En cours",$H66="En revue"),"E",IF($H66="Bloquée","B","P"))),""))</f>
        <v/>
      </c>
      <c r="N66" s="53">
        <f>IF(OR($F66="",$G66=""),"",IF(AND(N$5&lt;=$G66,N$5+6&gt;=$F66),IF($H66="Complétée","F",IF(OR($H66="En cours",$H66="En revue"),"E",IF($H66="Bloquée","B","P"))),""))</f>
        <v/>
      </c>
      <c r="O66" s="53">
        <f>IF(OR($F66="",$G66=""),"",IF(AND(O$5&lt;=$G66,O$5+6&gt;=$F66),IF($H66="Complétée","F",IF(OR($H66="En cours",$H66="En revue"),"E",IF($H66="Bloquée","B","P"))),""))</f>
        <v/>
      </c>
      <c r="P66" s="53">
        <f>IF(OR($F66="",$G66=""),"",IF(AND(P$5&lt;=$G66,P$5+6&gt;=$F66),IF($H66="Complétée","F",IF(OR($H66="En cours",$H66="En revue"),"E",IF($H66="Bloquée","B","P"))),""))</f>
        <v/>
      </c>
      <c r="Q66" s="53">
        <f>IF(OR($F66="",$G66=""),"",IF(AND(Q$5&lt;=$G66,Q$5+6&gt;=$F66),IF($H66="Complétée","F",IF(OR($H66="En cours",$H66="En revue"),"E",IF($H66="Bloquée","B","P"))),""))</f>
        <v/>
      </c>
      <c r="R66" s="53">
        <f>IF(OR($F66="",$G66=""),"",IF(AND(R$5&lt;=$G66,R$5+6&gt;=$F66),IF($H66="Complétée","F",IF(OR($H66="En cours",$H66="En revue"),"E",IF($H66="Bloquée","B","P"))),""))</f>
        <v/>
      </c>
      <c r="S66" s="53">
        <f>IF(OR($F66="",$G66=""),"",IF(AND(S$5&lt;=$G66,S$5+6&gt;=$F66),IF($H66="Complétée","F",IF(OR($H66="En cours",$H66="En revue"),"E",IF($H66="Bloquée","B","P"))),""))</f>
        <v/>
      </c>
      <c r="T66" s="53">
        <f>IF(OR($F66="",$G66=""),"",IF(AND(T$5&lt;=$G66,T$5+6&gt;=$F66),IF($H66="Complétée","F",IF(OR($H66="En cours",$H66="En revue"),"E",IF($H66="Bloquée","B","P"))),""))</f>
        <v/>
      </c>
      <c r="U66" s="53">
        <f>IF(OR($F66="",$G66=""),"",IF(AND(U$5&lt;=$G66,U$5+6&gt;=$F66),IF($H66="Complétée","F",IF(OR($H66="En cours",$H66="En revue"),"E",IF($H66="Bloquée","B","P"))),""))</f>
        <v/>
      </c>
      <c r="V66" s="53">
        <f>IF(OR($F66="",$G66=""),"",IF(AND(V$5&lt;=$G66,V$5+6&gt;=$F66),IF($H66="Complétée","F",IF(OR($H66="En cours",$H66="En revue"),"E",IF($H66="Bloquée","B","P"))),""))</f>
        <v/>
      </c>
      <c r="W66" s="53">
        <f>IF(OR($F66="",$G66=""),"",IF(AND(W$5&lt;=$G66,W$5+6&gt;=$F66),IF($H66="Complétée","F",IF(OR($H66="En cours",$H66="En revue"),"E",IF($H66="Bloquée","B","P"))),""))</f>
        <v/>
      </c>
      <c r="X66" s="53">
        <f>IF(OR($F66="",$G66=""),"",IF(AND(X$5&lt;=$G66,X$5+6&gt;=$F66),IF($H66="Complétée","F",IF(OR($H66="En cours",$H66="En revue"),"E",IF($H66="Bloquée","B","P"))),""))</f>
        <v/>
      </c>
      <c r="Y66" s="53">
        <f>IF(OR($F66="",$G66=""),"",IF(AND(Y$5&lt;=$G66,Y$5+6&gt;=$F66),IF($H66="Complétée","F",IF(OR($H66="En cours",$H66="En revue"),"E",IF($H66="Bloquée","B","P"))),""))</f>
        <v/>
      </c>
      <c r="Z66" s="53">
        <f>IF(OR($F66="",$G66=""),"",IF(AND(Z$5&lt;=$G66,Z$5+6&gt;=$F66),IF($H66="Complétée","F",IF(OR($H66="En cours",$H66="En revue"),"E",IF($H66="Bloquée","B","P"))),""))</f>
        <v/>
      </c>
      <c r="AA66" s="53">
        <f>IF(OR($F66="",$G66=""),"",IF(AND(AA$5&lt;=$G66,AA$5+6&gt;=$F66),IF($H66="Complétée","F",IF(OR($H66="En cours",$H66="En revue"),"E",IF($H66="Bloquée","B","P"))),""))</f>
        <v/>
      </c>
      <c r="AB66" s="53">
        <f>IF(OR($F66="",$G66=""),"",IF(AND(AB$5&lt;=$G66,AB$5+6&gt;=$F66),IF($H66="Complétée","F",IF(OR($H66="En cours",$H66="En revue"),"E",IF($H66="Bloquée","B","P"))),""))</f>
        <v/>
      </c>
      <c r="AC66" s="53">
        <f>IF(OR($F66="",$G66=""),"",IF(AND(AC$5&lt;=$G66,AC$5+6&gt;=$F66),IF($H66="Complétée","F",IF(OR($H66="En cours",$H66="En revue"),"E",IF($H66="Bloquée","B","P"))),""))</f>
        <v/>
      </c>
      <c r="AD66" s="53">
        <f>IF(OR($F66="",$G66=""),"",IF(AND(AD$5&lt;=$G66,AD$5+6&gt;=$F66),IF($H66="Complétée","F",IF(OR($H66="En cours",$H66="En revue"),"E",IF($H66="Bloquée","B","P"))),""))</f>
        <v/>
      </c>
      <c r="AE66" s="53">
        <f>IF(OR($F66="",$G66=""),"",IF(AND(AE$5&lt;=$G66,AE$5+6&gt;=$F66),IF($H66="Complétée","F",IF(OR($H66="En cours",$H66="En revue"),"E",IF($H66="Bloquée","B","P"))),""))</f>
        <v/>
      </c>
      <c r="AF66" s="53">
        <f>IF(OR($F66="",$G66=""),"",IF(AND(AF$5&lt;=$G66,AF$5+6&gt;=$F66),IF($H66="Complétée","F",IF(OR($H66="En cours",$H66="En revue"),"E",IF($H66="Bloquée","B","P"))),""))</f>
        <v/>
      </c>
      <c r="AG66" s="53">
        <f>IF(OR($F66="",$G66=""),"",IF(AND(AG$5&lt;=$G66,AG$5+6&gt;=$F66),IF($H66="Complétée","F",IF(OR($H66="En cours",$H66="En revue"),"E",IF($H66="Bloquée","B","P"))),""))</f>
        <v/>
      </c>
      <c r="AH66" s="53">
        <f>IF(OR($F66="",$G66=""),"",IF(AND(AH$5&lt;=$G66,AH$5+6&gt;=$F66),IF($H66="Complétée","F",IF(OR($H66="En cours",$H66="En revue"),"E",IF($H66="Bloquée","B","P"))),""))</f>
        <v/>
      </c>
      <c r="AI66" s="53">
        <f>IF(OR($F66="",$G66=""),"",IF(AND(AI$5&lt;=$G66,AI$5+6&gt;=$F66),IF($H66="Complétée","F",IF(OR($H66="En cours",$H66="En revue"),"E",IF($H66="Bloquée","B","P"))),""))</f>
        <v/>
      </c>
      <c r="AJ66" s="53">
        <f>IF(OR($F66="",$G66=""),"",IF(AND(AJ$5&lt;=$G66,AJ$5+6&gt;=$F66),IF($H66="Complétée","F",IF(OR($H66="En cours",$H66="En revue"),"E",IF($H66="Bloquée","B","P"))),""))</f>
        <v/>
      </c>
      <c r="AK66" s="53">
        <f>IF(OR($F66="",$G66=""),"",IF(AND(AK$5&lt;=$G66,AK$5+6&gt;=$F66),IF($H66="Complétée","F",IF(OR($H66="En cours",$H66="En revue"),"E",IF($H66="Bloquée","B","P"))),""))</f>
        <v/>
      </c>
      <c r="AL66" s="53">
        <f>IF(OR($F66="",$G66=""),"",IF(AND(AL$5&lt;=$G66,AL$5+6&gt;=$F66),IF($H66="Complétée","F",IF(OR($H66="En cours",$H66="En revue"),"E",IF($H66="Bloquée","B","P"))),""))</f>
        <v/>
      </c>
      <c r="AM66" s="53">
        <f>IF(OR($F66="",$G66=""),"",IF(AND(AM$5&lt;=$G66,AM$5+6&gt;=$F66),IF($H66="Complétée","F",IF(OR($H66="En cours",$H66="En revue"),"E",IF($H66="Bloquée","B","P"))),""))</f>
        <v/>
      </c>
      <c r="AN66" s="53">
        <f>IF(OR($F66="",$G66=""),"",IF(AND(AN$5&lt;=$G66,AN$5+6&gt;=$F66),IF($H66="Complétée","F",IF(OR($H66="En cours",$H66="En revue"),"E",IF($H66="Bloquée","B","P"))),""))</f>
        <v/>
      </c>
      <c r="AO66" s="53">
        <f>IF(OR($F66="",$G66=""),"",IF(AND(AO$5&lt;=$G66,AO$5+6&gt;=$F66),IF($H66="Complétée","F",IF(OR($H66="En cours",$H66="En revue"),"E",IF($H66="Bloquée","B","P"))),""))</f>
        <v/>
      </c>
      <c r="AP66" s="53">
        <f>IF(OR($F66="",$G66=""),"",IF(AND(AP$5&lt;=$G66,AP$5+6&gt;=$F66),IF($H66="Complétée","F",IF(OR($H66="En cours",$H66="En revue"),"E",IF($H66="Bloquée","B","P"))),""))</f>
        <v/>
      </c>
      <c r="AQ66" s="53">
        <f>IF(OR($F66="",$G66=""),"",IF(AND(AQ$5&lt;=$G66,AQ$5+6&gt;=$F66),IF($H66="Complétée","F",IF(OR($H66="En cours",$H66="En revue"),"E",IF($H66="Bloquée","B","P"))),""))</f>
        <v/>
      </c>
      <c r="AR66" s="53">
        <f>IF(OR($F66="",$G66=""),"",IF(AND(AR$5&lt;=$G66,AR$5+6&gt;=$F66),IF($H66="Complétée","F",IF(OR($H66="En cours",$H66="En revue"),"E",IF($H66="Bloquée","B","P"))),""))</f>
        <v/>
      </c>
      <c r="AS66" s="53">
        <f>IF(OR($F66="",$G66=""),"",IF(AND(AS$5&lt;=$G66,AS$5+6&gt;=$F66),IF($H66="Complétée","F",IF(OR($H66="En cours",$H66="En revue"),"E",IF($H66="Bloquée","B","P"))),""))</f>
        <v/>
      </c>
      <c r="AT66" s="53">
        <f>IF(OR($F66="",$G66=""),"",IF(AND(AT$5&lt;=$G66,AT$5+6&gt;=$F66),IF($H66="Complétée","F",IF(OR($H66="En cours",$H66="En revue"),"E",IF($H66="Bloquée","B","P"))),""))</f>
        <v/>
      </c>
      <c r="AU66" s="53">
        <f>IF(OR($F66="",$G66=""),"",IF(AND(AU$5&lt;=$G66,AU$5+6&gt;=$F66),IF($H66="Complétée","F",IF(OR($H66="En cours",$H66="En revue"),"E",IF($H66="Bloquée","B","P"))),""))</f>
        <v/>
      </c>
      <c r="AV66" s="53">
        <f>IF(OR($F66="",$G66=""),"",IF(AND(AV$5&lt;=$G66,AV$5+6&gt;=$F66),IF($H66="Complétée","F",IF(OR($H66="En cours",$H66="En revue"),"E",IF($H66="Bloquée","B","P"))),""))</f>
        <v/>
      </c>
      <c r="AW66" s="53">
        <f>IF(OR($F66="",$G66=""),"",IF(AND(AW$5&lt;=$G66,AW$5+6&gt;=$F66),IF($H66="Complétée","F",IF(OR($H66="En cours",$H66="En revue"),"E",IF($H66="Bloquée","B","P"))),""))</f>
        <v/>
      </c>
    </row>
    <row r="67">
      <c r="B67" s="50">
        <f>IF(Taches!B67="","",Taches!B67)</f>
        <v/>
      </c>
      <c r="C67" s="51">
        <f>IF(Taches!B67="","",Taches!F67)</f>
        <v/>
      </c>
      <c r="D67" s="50">
        <f>IF(Taches!B67="","",Taches!C67)</f>
        <v/>
      </c>
      <c r="E67" s="50">
        <f>IF(Taches!B67="","",Taches!D67)</f>
        <v/>
      </c>
      <c r="F67" s="52">
        <f>IF(Taches!P67="","",Taches!P67)</f>
        <v/>
      </c>
      <c r="G67" s="52">
        <f>IF(Taches!Q67="","",Taches!Q67)</f>
        <v/>
      </c>
      <c r="H67" s="50">
        <f>IF(Taches!B67="","",Taches!J67)</f>
        <v/>
      </c>
      <c r="I67" s="53">
        <f>IF(OR($F67="",$G67=""),"",IF(AND(I$5&lt;=$G67,I$5+6&gt;=$F67),IF($H67="Complétée","F",IF(OR($H67="En cours",$H67="En revue"),"E",IF($H67="Bloquée","B","P"))),""))</f>
        <v/>
      </c>
      <c r="J67" s="53">
        <f>IF(OR($F67="",$G67=""),"",IF(AND(J$5&lt;=$G67,J$5+6&gt;=$F67),IF($H67="Complétée","F",IF(OR($H67="En cours",$H67="En revue"),"E",IF($H67="Bloquée","B","P"))),""))</f>
        <v/>
      </c>
      <c r="K67" s="53">
        <f>IF(OR($F67="",$G67=""),"",IF(AND(K$5&lt;=$G67,K$5+6&gt;=$F67),IF($H67="Complétée","F",IF(OR($H67="En cours",$H67="En revue"),"E",IF($H67="Bloquée","B","P"))),""))</f>
        <v/>
      </c>
      <c r="L67" s="53">
        <f>IF(OR($F67="",$G67=""),"",IF(AND(L$5&lt;=$G67,L$5+6&gt;=$F67),IF($H67="Complétée","F",IF(OR($H67="En cours",$H67="En revue"),"E",IF($H67="Bloquée","B","P"))),""))</f>
        <v/>
      </c>
      <c r="M67" s="53">
        <f>IF(OR($F67="",$G67=""),"",IF(AND(M$5&lt;=$G67,M$5+6&gt;=$F67),IF($H67="Complétée","F",IF(OR($H67="En cours",$H67="En revue"),"E",IF($H67="Bloquée","B","P"))),""))</f>
        <v/>
      </c>
      <c r="N67" s="53">
        <f>IF(OR($F67="",$G67=""),"",IF(AND(N$5&lt;=$G67,N$5+6&gt;=$F67),IF($H67="Complétée","F",IF(OR($H67="En cours",$H67="En revue"),"E",IF($H67="Bloquée","B","P"))),""))</f>
        <v/>
      </c>
      <c r="O67" s="53">
        <f>IF(OR($F67="",$G67=""),"",IF(AND(O$5&lt;=$G67,O$5+6&gt;=$F67),IF($H67="Complétée","F",IF(OR($H67="En cours",$H67="En revue"),"E",IF($H67="Bloquée","B","P"))),""))</f>
        <v/>
      </c>
      <c r="P67" s="53">
        <f>IF(OR($F67="",$G67=""),"",IF(AND(P$5&lt;=$G67,P$5+6&gt;=$F67),IF($H67="Complétée","F",IF(OR($H67="En cours",$H67="En revue"),"E",IF($H67="Bloquée","B","P"))),""))</f>
        <v/>
      </c>
      <c r="Q67" s="53">
        <f>IF(OR($F67="",$G67=""),"",IF(AND(Q$5&lt;=$G67,Q$5+6&gt;=$F67),IF($H67="Complétée","F",IF(OR($H67="En cours",$H67="En revue"),"E",IF($H67="Bloquée","B","P"))),""))</f>
        <v/>
      </c>
      <c r="R67" s="53">
        <f>IF(OR($F67="",$G67=""),"",IF(AND(R$5&lt;=$G67,R$5+6&gt;=$F67),IF($H67="Complétée","F",IF(OR($H67="En cours",$H67="En revue"),"E",IF($H67="Bloquée","B","P"))),""))</f>
        <v/>
      </c>
      <c r="S67" s="53">
        <f>IF(OR($F67="",$G67=""),"",IF(AND(S$5&lt;=$G67,S$5+6&gt;=$F67),IF($H67="Complétée","F",IF(OR($H67="En cours",$H67="En revue"),"E",IF($H67="Bloquée","B","P"))),""))</f>
        <v/>
      </c>
      <c r="T67" s="53">
        <f>IF(OR($F67="",$G67=""),"",IF(AND(T$5&lt;=$G67,T$5+6&gt;=$F67),IF($H67="Complétée","F",IF(OR($H67="En cours",$H67="En revue"),"E",IF($H67="Bloquée","B","P"))),""))</f>
        <v/>
      </c>
      <c r="U67" s="53">
        <f>IF(OR($F67="",$G67=""),"",IF(AND(U$5&lt;=$G67,U$5+6&gt;=$F67),IF($H67="Complétée","F",IF(OR($H67="En cours",$H67="En revue"),"E",IF($H67="Bloquée","B","P"))),""))</f>
        <v/>
      </c>
      <c r="V67" s="53">
        <f>IF(OR($F67="",$G67=""),"",IF(AND(V$5&lt;=$G67,V$5+6&gt;=$F67),IF($H67="Complétée","F",IF(OR($H67="En cours",$H67="En revue"),"E",IF($H67="Bloquée","B","P"))),""))</f>
        <v/>
      </c>
      <c r="W67" s="53">
        <f>IF(OR($F67="",$G67=""),"",IF(AND(W$5&lt;=$G67,W$5+6&gt;=$F67),IF($H67="Complétée","F",IF(OR($H67="En cours",$H67="En revue"),"E",IF($H67="Bloquée","B","P"))),""))</f>
        <v/>
      </c>
      <c r="X67" s="53">
        <f>IF(OR($F67="",$G67=""),"",IF(AND(X$5&lt;=$G67,X$5+6&gt;=$F67),IF($H67="Complétée","F",IF(OR($H67="En cours",$H67="En revue"),"E",IF($H67="Bloquée","B","P"))),""))</f>
        <v/>
      </c>
      <c r="Y67" s="53">
        <f>IF(OR($F67="",$G67=""),"",IF(AND(Y$5&lt;=$G67,Y$5+6&gt;=$F67),IF($H67="Complétée","F",IF(OR($H67="En cours",$H67="En revue"),"E",IF($H67="Bloquée","B","P"))),""))</f>
        <v/>
      </c>
      <c r="Z67" s="53">
        <f>IF(OR($F67="",$G67=""),"",IF(AND(Z$5&lt;=$G67,Z$5+6&gt;=$F67),IF($H67="Complétée","F",IF(OR($H67="En cours",$H67="En revue"),"E",IF($H67="Bloquée","B","P"))),""))</f>
        <v/>
      </c>
      <c r="AA67" s="53">
        <f>IF(OR($F67="",$G67=""),"",IF(AND(AA$5&lt;=$G67,AA$5+6&gt;=$F67),IF($H67="Complétée","F",IF(OR($H67="En cours",$H67="En revue"),"E",IF($H67="Bloquée","B","P"))),""))</f>
        <v/>
      </c>
      <c r="AB67" s="53">
        <f>IF(OR($F67="",$G67=""),"",IF(AND(AB$5&lt;=$G67,AB$5+6&gt;=$F67),IF($H67="Complétée","F",IF(OR($H67="En cours",$H67="En revue"),"E",IF($H67="Bloquée","B","P"))),""))</f>
        <v/>
      </c>
      <c r="AC67" s="53">
        <f>IF(OR($F67="",$G67=""),"",IF(AND(AC$5&lt;=$G67,AC$5+6&gt;=$F67),IF($H67="Complétée","F",IF(OR($H67="En cours",$H67="En revue"),"E",IF($H67="Bloquée","B","P"))),""))</f>
        <v/>
      </c>
      <c r="AD67" s="53">
        <f>IF(OR($F67="",$G67=""),"",IF(AND(AD$5&lt;=$G67,AD$5+6&gt;=$F67),IF($H67="Complétée","F",IF(OR($H67="En cours",$H67="En revue"),"E",IF($H67="Bloquée","B","P"))),""))</f>
        <v/>
      </c>
      <c r="AE67" s="53">
        <f>IF(OR($F67="",$G67=""),"",IF(AND(AE$5&lt;=$G67,AE$5+6&gt;=$F67),IF($H67="Complétée","F",IF(OR($H67="En cours",$H67="En revue"),"E",IF($H67="Bloquée","B","P"))),""))</f>
        <v/>
      </c>
      <c r="AF67" s="53">
        <f>IF(OR($F67="",$G67=""),"",IF(AND(AF$5&lt;=$G67,AF$5+6&gt;=$F67),IF($H67="Complétée","F",IF(OR($H67="En cours",$H67="En revue"),"E",IF($H67="Bloquée","B","P"))),""))</f>
        <v/>
      </c>
      <c r="AG67" s="53">
        <f>IF(OR($F67="",$G67=""),"",IF(AND(AG$5&lt;=$G67,AG$5+6&gt;=$F67),IF($H67="Complétée","F",IF(OR($H67="En cours",$H67="En revue"),"E",IF($H67="Bloquée","B","P"))),""))</f>
        <v/>
      </c>
      <c r="AH67" s="53">
        <f>IF(OR($F67="",$G67=""),"",IF(AND(AH$5&lt;=$G67,AH$5+6&gt;=$F67),IF($H67="Complétée","F",IF(OR($H67="En cours",$H67="En revue"),"E",IF($H67="Bloquée","B","P"))),""))</f>
        <v/>
      </c>
      <c r="AI67" s="53">
        <f>IF(OR($F67="",$G67=""),"",IF(AND(AI$5&lt;=$G67,AI$5+6&gt;=$F67),IF($H67="Complétée","F",IF(OR($H67="En cours",$H67="En revue"),"E",IF($H67="Bloquée","B","P"))),""))</f>
        <v/>
      </c>
      <c r="AJ67" s="53">
        <f>IF(OR($F67="",$G67=""),"",IF(AND(AJ$5&lt;=$G67,AJ$5+6&gt;=$F67),IF($H67="Complétée","F",IF(OR($H67="En cours",$H67="En revue"),"E",IF($H67="Bloquée","B","P"))),""))</f>
        <v/>
      </c>
      <c r="AK67" s="53">
        <f>IF(OR($F67="",$G67=""),"",IF(AND(AK$5&lt;=$G67,AK$5+6&gt;=$F67),IF($H67="Complétée","F",IF(OR($H67="En cours",$H67="En revue"),"E",IF($H67="Bloquée","B","P"))),""))</f>
        <v/>
      </c>
      <c r="AL67" s="53">
        <f>IF(OR($F67="",$G67=""),"",IF(AND(AL$5&lt;=$G67,AL$5+6&gt;=$F67),IF($H67="Complétée","F",IF(OR($H67="En cours",$H67="En revue"),"E",IF($H67="Bloquée","B","P"))),""))</f>
        <v/>
      </c>
      <c r="AM67" s="53">
        <f>IF(OR($F67="",$G67=""),"",IF(AND(AM$5&lt;=$G67,AM$5+6&gt;=$F67),IF($H67="Complétée","F",IF(OR($H67="En cours",$H67="En revue"),"E",IF($H67="Bloquée","B","P"))),""))</f>
        <v/>
      </c>
      <c r="AN67" s="53">
        <f>IF(OR($F67="",$G67=""),"",IF(AND(AN$5&lt;=$G67,AN$5+6&gt;=$F67),IF($H67="Complétée","F",IF(OR($H67="En cours",$H67="En revue"),"E",IF($H67="Bloquée","B","P"))),""))</f>
        <v/>
      </c>
      <c r="AO67" s="53">
        <f>IF(OR($F67="",$G67=""),"",IF(AND(AO$5&lt;=$G67,AO$5+6&gt;=$F67),IF($H67="Complétée","F",IF(OR($H67="En cours",$H67="En revue"),"E",IF($H67="Bloquée","B","P"))),""))</f>
        <v/>
      </c>
      <c r="AP67" s="53">
        <f>IF(OR($F67="",$G67=""),"",IF(AND(AP$5&lt;=$G67,AP$5+6&gt;=$F67),IF($H67="Complétée","F",IF(OR($H67="En cours",$H67="En revue"),"E",IF($H67="Bloquée","B","P"))),""))</f>
        <v/>
      </c>
      <c r="AQ67" s="53">
        <f>IF(OR($F67="",$G67=""),"",IF(AND(AQ$5&lt;=$G67,AQ$5+6&gt;=$F67),IF($H67="Complétée","F",IF(OR($H67="En cours",$H67="En revue"),"E",IF($H67="Bloquée","B","P"))),""))</f>
        <v/>
      </c>
      <c r="AR67" s="53">
        <f>IF(OR($F67="",$G67=""),"",IF(AND(AR$5&lt;=$G67,AR$5+6&gt;=$F67),IF($H67="Complétée","F",IF(OR($H67="En cours",$H67="En revue"),"E",IF($H67="Bloquée","B","P"))),""))</f>
        <v/>
      </c>
      <c r="AS67" s="53">
        <f>IF(OR($F67="",$G67=""),"",IF(AND(AS$5&lt;=$G67,AS$5+6&gt;=$F67),IF($H67="Complétée","F",IF(OR($H67="En cours",$H67="En revue"),"E",IF($H67="Bloquée","B","P"))),""))</f>
        <v/>
      </c>
      <c r="AT67" s="53">
        <f>IF(OR($F67="",$G67=""),"",IF(AND(AT$5&lt;=$G67,AT$5+6&gt;=$F67),IF($H67="Complétée","F",IF(OR($H67="En cours",$H67="En revue"),"E",IF($H67="Bloquée","B","P"))),""))</f>
        <v/>
      </c>
      <c r="AU67" s="53">
        <f>IF(OR($F67="",$G67=""),"",IF(AND(AU$5&lt;=$G67,AU$5+6&gt;=$F67),IF($H67="Complétée","F",IF(OR($H67="En cours",$H67="En revue"),"E",IF($H67="Bloquée","B","P"))),""))</f>
        <v/>
      </c>
      <c r="AV67" s="53">
        <f>IF(OR($F67="",$G67=""),"",IF(AND(AV$5&lt;=$G67,AV$5+6&gt;=$F67),IF($H67="Complétée","F",IF(OR($H67="En cours",$H67="En revue"),"E",IF($H67="Bloquée","B","P"))),""))</f>
        <v/>
      </c>
      <c r="AW67" s="53">
        <f>IF(OR($F67="",$G67=""),"",IF(AND(AW$5&lt;=$G67,AW$5+6&gt;=$F67),IF($H67="Complétée","F",IF(OR($H67="En cours",$H67="En revue"),"E",IF($H67="Bloquée","B","P"))),""))</f>
        <v/>
      </c>
    </row>
    <row r="68">
      <c r="B68" s="50">
        <f>IF(Taches!B68="","",Taches!B68)</f>
        <v/>
      </c>
      <c r="C68" s="51">
        <f>IF(Taches!B68="","",Taches!F68)</f>
        <v/>
      </c>
      <c r="D68" s="50">
        <f>IF(Taches!B68="","",Taches!C68)</f>
        <v/>
      </c>
      <c r="E68" s="50">
        <f>IF(Taches!B68="","",Taches!D68)</f>
        <v/>
      </c>
      <c r="F68" s="52">
        <f>IF(Taches!P68="","",Taches!P68)</f>
        <v/>
      </c>
      <c r="G68" s="52">
        <f>IF(Taches!Q68="","",Taches!Q68)</f>
        <v/>
      </c>
      <c r="H68" s="50">
        <f>IF(Taches!B68="","",Taches!J68)</f>
        <v/>
      </c>
      <c r="I68" s="53">
        <f>IF(OR($F68="",$G68=""),"",IF(AND(I$5&lt;=$G68,I$5+6&gt;=$F68),IF($H68="Complétée","F",IF(OR($H68="En cours",$H68="En revue"),"E",IF($H68="Bloquée","B","P"))),""))</f>
        <v/>
      </c>
      <c r="J68" s="53">
        <f>IF(OR($F68="",$G68=""),"",IF(AND(J$5&lt;=$G68,J$5+6&gt;=$F68),IF($H68="Complétée","F",IF(OR($H68="En cours",$H68="En revue"),"E",IF($H68="Bloquée","B","P"))),""))</f>
        <v/>
      </c>
      <c r="K68" s="53">
        <f>IF(OR($F68="",$G68=""),"",IF(AND(K$5&lt;=$G68,K$5+6&gt;=$F68),IF($H68="Complétée","F",IF(OR($H68="En cours",$H68="En revue"),"E",IF($H68="Bloquée","B","P"))),""))</f>
        <v/>
      </c>
      <c r="L68" s="53">
        <f>IF(OR($F68="",$G68=""),"",IF(AND(L$5&lt;=$G68,L$5+6&gt;=$F68),IF($H68="Complétée","F",IF(OR($H68="En cours",$H68="En revue"),"E",IF($H68="Bloquée","B","P"))),""))</f>
        <v/>
      </c>
      <c r="M68" s="53">
        <f>IF(OR($F68="",$G68=""),"",IF(AND(M$5&lt;=$G68,M$5+6&gt;=$F68),IF($H68="Complétée","F",IF(OR($H68="En cours",$H68="En revue"),"E",IF($H68="Bloquée","B","P"))),""))</f>
        <v/>
      </c>
      <c r="N68" s="53">
        <f>IF(OR($F68="",$G68=""),"",IF(AND(N$5&lt;=$G68,N$5+6&gt;=$F68),IF($H68="Complétée","F",IF(OR($H68="En cours",$H68="En revue"),"E",IF($H68="Bloquée","B","P"))),""))</f>
        <v/>
      </c>
      <c r="O68" s="53">
        <f>IF(OR($F68="",$G68=""),"",IF(AND(O$5&lt;=$G68,O$5+6&gt;=$F68),IF($H68="Complétée","F",IF(OR($H68="En cours",$H68="En revue"),"E",IF($H68="Bloquée","B","P"))),""))</f>
        <v/>
      </c>
      <c r="P68" s="53">
        <f>IF(OR($F68="",$G68=""),"",IF(AND(P$5&lt;=$G68,P$5+6&gt;=$F68),IF($H68="Complétée","F",IF(OR($H68="En cours",$H68="En revue"),"E",IF($H68="Bloquée","B","P"))),""))</f>
        <v/>
      </c>
      <c r="Q68" s="53">
        <f>IF(OR($F68="",$G68=""),"",IF(AND(Q$5&lt;=$G68,Q$5+6&gt;=$F68),IF($H68="Complétée","F",IF(OR($H68="En cours",$H68="En revue"),"E",IF($H68="Bloquée","B","P"))),""))</f>
        <v/>
      </c>
      <c r="R68" s="53">
        <f>IF(OR($F68="",$G68=""),"",IF(AND(R$5&lt;=$G68,R$5+6&gt;=$F68),IF($H68="Complétée","F",IF(OR($H68="En cours",$H68="En revue"),"E",IF($H68="Bloquée","B","P"))),""))</f>
        <v/>
      </c>
      <c r="S68" s="53">
        <f>IF(OR($F68="",$G68=""),"",IF(AND(S$5&lt;=$G68,S$5+6&gt;=$F68),IF($H68="Complétée","F",IF(OR($H68="En cours",$H68="En revue"),"E",IF($H68="Bloquée","B","P"))),""))</f>
        <v/>
      </c>
      <c r="T68" s="53">
        <f>IF(OR($F68="",$G68=""),"",IF(AND(T$5&lt;=$G68,T$5+6&gt;=$F68),IF($H68="Complétée","F",IF(OR($H68="En cours",$H68="En revue"),"E",IF($H68="Bloquée","B","P"))),""))</f>
        <v/>
      </c>
      <c r="U68" s="53">
        <f>IF(OR($F68="",$G68=""),"",IF(AND(U$5&lt;=$G68,U$5+6&gt;=$F68),IF($H68="Complétée","F",IF(OR($H68="En cours",$H68="En revue"),"E",IF($H68="Bloquée","B","P"))),""))</f>
        <v/>
      </c>
      <c r="V68" s="53">
        <f>IF(OR($F68="",$G68=""),"",IF(AND(V$5&lt;=$G68,V$5+6&gt;=$F68),IF($H68="Complétée","F",IF(OR($H68="En cours",$H68="En revue"),"E",IF($H68="Bloquée","B","P"))),""))</f>
        <v/>
      </c>
      <c r="W68" s="53">
        <f>IF(OR($F68="",$G68=""),"",IF(AND(W$5&lt;=$G68,W$5+6&gt;=$F68),IF($H68="Complétée","F",IF(OR($H68="En cours",$H68="En revue"),"E",IF($H68="Bloquée","B","P"))),""))</f>
        <v/>
      </c>
      <c r="X68" s="53">
        <f>IF(OR($F68="",$G68=""),"",IF(AND(X$5&lt;=$G68,X$5+6&gt;=$F68),IF($H68="Complétée","F",IF(OR($H68="En cours",$H68="En revue"),"E",IF($H68="Bloquée","B","P"))),""))</f>
        <v/>
      </c>
      <c r="Y68" s="53">
        <f>IF(OR($F68="",$G68=""),"",IF(AND(Y$5&lt;=$G68,Y$5+6&gt;=$F68),IF($H68="Complétée","F",IF(OR($H68="En cours",$H68="En revue"),"E",IF($H68="Bloquée","B","P"))),""))</f>
        <v/>
      </c>
      <c r="Z68" s="53">
        <f>IF(OR($F68="",$G68=""),"",IF(AND(Z$5&lt;=$G68,Z$5+6&gt;=$F68),IF($H68="Complétée","F",IF(OR($H68="En cours",$H68="En revue"),"E",IF($H68="Bloquée","B","P"))),""))</f>
        <v/>
      </c>
      <c r="AA68" s="53">
        <f>IF(OR($F68="",$G68=""),"",IF(AND(AA$5&lt;=$G68,AA$5+6&gt;=$F68),IF($H68="Complétée","F",IF(OR($H68="En cours",$H68="En revue"),"E",IF($H68="Bloquée","B","P"))),""))</f>
        <v/>
      </c>
      <c r="AB68" s="53">
        <f>IF(OR($F68="",$G68=""),"",IF(AND(AB$5&lt;=$G68,AB$5+6&gt;=$F68),IF($H68="Complétée","F",IF(OR($H68="En cours",$H68="En revue"),"E",IF($H68="Bloquée","B","P"))),""))</f>
        <v/>
      </c>
      <c r="AC68" s="53">
        <f>IF(OR($F68="",$G68=""),"",IF(AND(AC$5&lt;=$G68,AC$5+6&gt;=$F68),IF($H68="Complétée","F",IF(OR($H68="En cours",$H68="En revue"),"E",IF($H68="Bloquée","B","P"))),""))</f>
        <v/>
      </c>
      <c r="AD68" s="53">
        <f>IF(OR($F68="",$G68=""),"",IF(AND(AD$5&lt;=$G68,AD$5+6&gt;=$F68),IF($H68="Complétée","F",IF(OR($H68="En cours",$H68="En revue"),"E",IF($H68="Bloquée","B","P"))),""))</f>
        <v/>
      </c>
      <c r="AE68" s="53">
        <f>IF(OR($F68="",$G68=""),"",IF(AND(AE$5&lt;=$G68,AE$5+6&gt;=$F68),IF($H68="Complétée","F",IF(OR($H68="En cours",$H68="En revue"),"E",IF($H68="Bloquée","B","P"))),""))</f>
        <v/>
      </c>
      <c r="AF68" s="53">
        <f>IF(OR($F68="",$G68=""),"",IF(AND(AF$5&lt;=$G68,AF$5+6&gt;=$F68),IF($H68="Complétée","F",IF(OR($H68="En cours",$H68="En revue"),"E",IF($H68="Bloquée","B","P"))),""))</f>
        <v/>
      </c>
      <c r="AG68" s="53">
        <f>IF(OR($F68="",$G68=""),"",IF(AND(AG$5&lt;=$G68,AG$5+6&gt;=$F68),IF($H68="Complétée","F",IF(OR($H68="En cours",$H68="En revue"),"E",IF($H68="Bloquée","B","P"))),""))</f>
        <v/>
      </c>
      <c r="AH68" s="53">
        <f>IF(OR($F68="",$G68=""),"",IF(AND(AH$5&lt;=$G68,AH$5+6&gt;=$F68),IF($H68="Complétée","F",IF(OR($H68="En cours",$H68="En revue"),"E",IF($H68="Bloquée","B","P"))),""))</f>
        <v/>
      </c>
      <c r="AI68" s="53">
        <f>IF(OR($F68="",$G68=""),"",IF(AND(AI$5&lt;=$G68,AI$5+6&gt;=$F68),IF($H68="Complétée","F",IF(OR($H68="En cours",$H68="En revue"),"E",IF($H68="Bloquée","B","P"))),""))</f>
        <v/>
      </c>
      <c r="AJ68" s="53">
        <f>IF(OR($F68="",$G68=""),"",IF(AND(AJ$5&lt;=$G68,AJ$5+6&gt;=$F68),IF($H68="Complétée","F",IF(OR($H68="En cours",$H68="En revue"),"E",IF($H68="Bloquée","B","P"))),""))</f>
        <v/>
      </c>
      <c r="AK68" s="53">
        <f>IF(OR($F68="",$G68=""),"",IF(AND(AK$5&lt;=$G68,AK$5+6&gt;=$F68),IF($H68="Complétée","F",IF(OR($H68="En cours",$H68="En revue"),"E",IF($H68="Bloquée","B","P"))),""))</f>
        <v/>
      </c>
      <c r="AL68" s="53">
        <f>IF(OR($F68="",$G68=""),"",IF(AND(AL$5&lt;=$G68,AL$5+6&gt;=$F68),IF($H68="Complétée","F",IF(OR($H68="En cours",$H68="En revue"),"E",IF($H68="Bloquée","B","P"))),""))</f>
        <v/>
      </c>
      <c r="AM68" s="53">
        <f>IF(OR($F68="",$G68=""),"",IF(AND(AM$5&lt;=$G68,AM$5+6&gt;=$F68),IF($H68="Complétée","F",IF(OR($H68="En cours",$H68="En revue"),"E",IF($H68="Bloquée","B","P"))),""))</f>
        <v/>
      </c>
      <c r="AN68" s="53">
        <f>IF(OR($F68="",$G68=""),"",IF(AND(AN$5&lt;=$G68,AN$5+6&gt;=$F68),IF($H68="Complétée","F",IF(OR($H68="En cours",$H68="En revue"),"E",IF($H68="Bloquée","B","P"))),""))</f>
        <v/>
      </c>
      <c r="AO68" s="53">
        <f>IF(OR($F68="",$G68=""),"",IF(AND(AO$5&lt;=$G68,AO$5+6&gt;=$F68),IF($H68="Complétée","F",IF(OR($H68="En cours",$H68="En revue"),"E",IF($H68="Bloquée","B","P"))),""))</f>
        <v/>
      </c>
      <c r="AP68" s="53">
        <f>IF(OR($F68="",$G68=""),"",IF(AND(AP$5&lt;=$G68,AP$5+6&gt;=$F68),IF($H68="Complétée","F",IF(OR($H68="En cours",$H68="En revue"),"E",IF($H68="Bloquée","B","P"))),""))</f>
        <v/>
      </c>
      <c r="AQ68" s="53">
        <f>IF(OR($F68="",$G68=""),"",IF(AND(AQ$5&lt;=$G68,AQ$5+6&gt;=$F68),IF($H68="Complétée","F",IF(OR($H68="En cours",$H68="En revue"),"E",IF($H68="Bloquée","B","P"))),""))</f>
        <v/>
      </c>
      <c r="AR68" s="53">
        <f>IF(OR($F68="",$G68=""),"",IF(AND(AR$5&lt;=$G68,AR$5+6&gt;=$F68),IF($H68="Complétée","F",IF(OR($H68="En cours",$H68="En revue"),"E",IF($H68="Bloquée","B","P"))),""))</f>
        <v/>
      </c>
      <c r="AS68" s="53">
        <f>IF(OR($F68="",$G68=""),"",IF(AND(AS$5&lt;=$G68,AS$5+6&gt;=$F68),IF($H68="Complétée","F",IF(OR($H68="En cours",$H68="En revue"),"E",IF($H68="Bloquée","B","P"))),""))</f>
        <v/>
      </c>
      <c r="AT68" s="53">
        <f>IF(OR($F68="",$G68=""),"",IF(AND(AT$5&lt;=$G68,AT$5+6&gt;=$F68),IF($H68="Complétée","F",IF(OR($H68="En cours",$H68="En revue"),"E",IF($H68="Bloquée","B","P"))),""))</f>
        <v/>
      </c>
      <c r="AU68" s="53">
        <f>IF(OR($F68="",$G68=""),"",IF(AND(AU$5&lt;=$G68,AU$5+6&gt;=$F68),IF($H68="Complétée","F",IF(OR($H68="En cours",$H68="En revue"),"E",IF($H68="Bloquée","B","P"))),""))</f>
        <v/>
      </c>
      <c r="AV68" s="53">
        <f>IF(OR($F68="",$G68=""),"",IF(AND(AV$5&lt;=$G68,AV$5+6&gt;=$F68),IF($H68="Complétée","F",IF(OR($H68="En cours",$H68="En revue"),"E",IF($H68="Bloquée","B","P"))),""))</f>
        <v/>
      </c>
      <c r="AW68" s="53">
        <f>IF(OR($F68="",$G68=""),"",IF(AND(AW$5&lt;=$G68,AW$5+6&gt;=$F68),IF($H68="Complétée","F",IF(OR($H68="En cours",$H68="En revue"),"E",IF($H68="Bloquée","B","P"))),""))</f>
        <v/>
      </c>
    </row>
    <row r="69">
      <c r="B69" s="50">
        <f>IF(Taches!B69="","",Taches!B69)</f>
        <v/>
      </c>
      <c r="C69" s="51">
        <f>IF(Taches!B69="","",Taches!F69)</f>
        <v/>
      </c>
      <c r="D69" s="50">
        <f>IF(Taches!B69="","",Taches!C69)</f>
        <v/>
      </c>
      <c r="E69" s="50">
        <f>IF(Taches!B69="","",Taches!D69)</f>
        <v/>
      </c>
      <c r="F69" s="52">
        <f>IF(Taches!P69="","",Taches!P69)</f>
        <v/>
      </c>
      <c r="G69" s="52">
        <f>IF(Taches!Q69="","",Taches!Q69)</f>
        <v/>
      </c>
      <c r="H69" s="50">
        <f>IF(Taches!B69="","",Taches!J69)</f>
        <v/>
      </c>
      <c r="I69" s="53">
        <f>IF(OR($F69="",$G69=""),"",IF(AND(I$5&lt;=$G69,I$5+6&gt;=$F69),IF($H69="Complétée","F",IF(OR($H69="En cours",$H69="En revue"),"E",IF($H69="Bloquée","B","P"))),""))</f>
        <v/>
      </c>
      <c r="J69" s="53">
        <f>IF(OR($F69="",$G69=""),"",IF(AND(J$5&lt;=$G69,J$5+6&gt;=$F69),IF($H69="Complétée","F",IF(OR($H69="En cours",$H69="En revue"),"E",IF($H69="Bloquée","B","P"))),""))</f>
        <v/>
      </c>
      <c r="K69" s="53">
        <f>IF(OR($F69="",$G69=""),"",IF(AND(K$5&lt;=$G69,K$5+6&gt;=$F69),IF($H69="Complétée","F",IF(OR($H69="En cours",$H69="En revue"),"E",IF($H69="Bloquée","B","P"))),""))</f>
        <v/>
      </c>
      <c r="L69" s="53">
        <f>IF(OR($F69="",$G69=""),"",IF(AND(L$5&lt;=$G69,L$5+6&gt;=$F69),IF($H69="Complétée","F",IF(OR($H69="En cours",$H69="En revue"),"E",IF($H69="Bloquée","B","P"))),""))</f>
        <v/>
      </c>
      <c r="M69" s="53">
        <f>IF(OR($F69="",$G69=""),"",IF(AND(M$5&lt;=$G69,M$5+6&gt;=$F69),IF($H69="Complétée","F",IF(OR($H69="En cours",$H69="En revue"),"E",IF($H69="Bloquée","B","P"))),""))</f>
        <v/>
      </c>
      <c r="N69" s="53">
        <f>IF(OR($F69="",$G69=""),"",IF(AND(N$5&lt;=$G69,N$5+6&gt;=$F69),IF($H69="Complétée","F",IF(OR($H69="En cours",$H69="En revue"),"E",IF($H69="Bloquée","B","P"))),""))</f>
        <v/>
      </c>
      <c r="O69" s="53">
        <f>IF(OR($F69="",$G69=""),"",IF(AND(O$5&lt;=$G69,O$5+6&gt;=$F69),IF($H69="Complétée","F",IF(OR($H69="En cours",$H69="En revue"),"E",IF($H69="Bloquée","B","P"))),""))</f>
        <v/>
      </c>
      <c r="P69" s="53">
        <f>IF(OR($F69="",$G69=""),"",IF(AND(P$5&lt;=$G69,P$5+6&gt;=$F69),IF($H69="Complétée","F",IF(OR($H69="En cours",$H69="En revue"),"E",IF($H69="Bloquée","B","P"))),""))</f>
        <v/>
      </c>
      <c r="Q69" s="53">
        <f>IF(OR($F69="",$G69=""),"",IF(AND(Q$5&lt;=$G69,Q$5+6&gt;=$F69),IF($H69="Complétée","F",IF(OR($H69="En cours",$H69="En revue"),"E",IF($H69="Bloquée","B","P"))),""))</f>
        <v/>
      </c>
      <c r="R69" s="53">
        <f>IF(OR($F69="",$G69=""),"",IF(AND(R$5&lt;=$G69,R$5+6&gt;=$F69),IF($H69="Complétée","F",IF(OR($H69="En cours",$H69="En revue"),"E",IF($H69="Bloquée","B","P"))),""))</f>
        <v/>
      </c>
      <c r="S69" s="53">
        <f>IF(OR($F69="",$G69=""),"",IF(AND(S$5&lt;=$G69,S$5+6&gt;=$F69),IF($H69="Complétée","F",IF(OR($H69="En cours",$H69="En revue"),"E",IF($H69="Bloquée","B","P"))),""))</f>
        <v/>
      </c>
      <c r="T69" s="53">
        <f>IF(OR($F69="",$G69=""),"",IF(AND(T$5&lt;=$G69,T$5+6&gt;=$F69),IF($H69="Complétée","F",IF(OR($H69="En cours",$H69="En revue"),"E",IF($H69="Bloquée","B","P"))),""))</f>
        <v/>
      </c>
      <c r="U69" s="53">
        <f>IF(OR($F69="",$G69=""),"",IF(AND(U$5&lt;=$G69,U$5+6&gt;=$F69),IF($H69="Complétée","F",IF(OR($H69="En cours",$H69="En revue"),"E",IF($H69="Bloquée","B","P"))),""))</f>
        <v/>
      </c>
      <c r="V69" s="53">
        <f>IF(OR($F69="",$G69=""),"",IF(AND(V$5&lt;=$G69,V$5+6&gt;=$F69),IF($H69="Complétée","F",IF(OR($H69="En cours",$H69="En revue"),"E",IF($H69="Bloquée","B","P"))),""))</f>
        <v/>
      </c>
      <c r="W69" s="53">
        <f>IF(OR($F69="",$G69=""),"",IF(AND(W$5&lt;=$G69,W$5+6&gt;=$F69),IF($H69="Complétée","F",IF(OR($H69="En cours",$H69="En revue"),"E",IF($H69="Bloquée","B","P"))),""))</f>
        <v/>
      </c>
      <c r="X69" s="53">
        <f>IF(OR($F69="",$G69=""),"",IF(AND(X$5&lt;=$G69,X$5+6&gt;=$F69),IF($H69="Complétée","F",IF(OR($H69="En cours",$H69="En revue"),"E",IF($H69="Bloquée","B","P"))),""))</f>
        <v/>
      </c>
      <c r="Y69" s="53">
        <f>IF(OR($F69="",$G69=""),"",IF(AND(Y$5&lt;=$G69,Y$5+6&gt;=$F69),IF($H69="Complétée","F",IF(OR($H69="En cours",$H69="En revue"),"E",IF($H69="Bloquée","B","P"))),""))</f>
        <v/>
      </c>
      <c r="Z69" s="53">
        <f>IF(OR($F69="",$G69=""),"",IF(AND(Z$5&lt;=$G69,Z$5+6&gt;=$F69),IF($H69="Complétée","F",IF(OR($H69="En cours",$H69="En revue"),"E",IF($H69="Bloquée","B","P"))),""))</f>
        <v/>
      </c>
      <c r="AA69" s="53">
        <f>IF(OR($F69="",$G69=""),"",IF(AND(AA$5&lt;=$G69,AA$5+6&gt;=$F69),IF($H69="Complétée","F",IF(OR($H69="En cours",$H69="En revue"),"E",IF($H69="Bloquée","B","P"))),""))</f>
        <v/>
      </c>
      <c r="AB69" s="53">
        <f>IF(OR($F69="",$G69=""),"",IF(AND(AB$5&lt;=$G69,AB$5+6&gt;=$F69),IF($H69="Complétée","F",IF(OR($H69="En cours",$H69="En revue"),"E",IF($H69="Bloquée","B","P"))),""))</f>
        <v/>
      </c>
      <c r="AC69" s="53">
        <f>IF(OR($F69="",$G69=""),"",IF(AND(AC$5&lt;=$G69,AC$5+6&gt;=$F69),IF($H69="Complétée","F",IF(OR($H69="En cours",$H69="En revue"),"E",IF($H69="Bloquée","B","P"))),""))</f>
        <v/>
      </c>
      <c r="AD69" s="53">
        <f>IF(OR($F69="",$G69=""),"",IF(AND(AD$5&lt;=$G69,AD$5+6&gt;=$F69),IF($H69="Complétée","F",IF(OR($H69="En cours",$H69="En revue"),"E",IF($H69="Bloquée","B","P"))),""))</f>
        <v/>
      </c>
      <c r="AE69" s="53">
        <f>IF(OR($F69="",$G69=""),"",IF(AND(AE$5&lt;=$G69,AE$5+6&gt;=$F69),IF($H69="Complétée","F",IF(OR($H69="En cours",$H69="En revue"),"E",IF($H69="Bloquée","B","P"))),""))</f>
        <v/>
      </c>
      <c r="AF69" s="53">
        <f>IF(OR($F69="",$G69=""),"",IF(AND(AF$5&lt;=$G69,AF$5+6&gt;=$F69),IF($H69="Complétée","F",IF(OR($H69="En cours",$H69="En revue"),"E",IF($H69="Bloquée","B","P"))),""))</f>
        <v/>
      </c>
      <c r="AG69" s="53">
        <f>IF(OR($F69="",$G69=""),"",IF(AND(AG$5&lt;=$G69,AG$5+6&gt;=$F69),IF($H69="Complétée","F",IF(OR($H69="En cours",$H69="En revue"),"E",IF($H69="Bloquée","B","P"))),""))</f>
        <v/>
      </c>
      <c r="AH69" s="53">
        <f>IF(OR($F69="",$G69=""),"",IF(AND(AH$5&lt;=$G69,AH$5+6&gt;=$F69),IF($H69="Complétée","F",IF(OR($H69="En cours",$H69="En revue"),"E",IF($H69="Bloquée","B","P"))),""))</f>
        <v/>
      </c>
      <c r="AI69" s="53">
        <f>IF(OR($F69="",$G69=""),"",IF(AND(AI$5&lt;=$G69,AI$5+6&gt;=$F69),IF($H69="Complétée","F",IF(OR($H69="En cours",$H69="En revue"),"E",IF($H69="Bloquée","B","P"))),""))</f>
        <v/>
      </c>
      <c r="AJ69" s="53">
        <f>IF(OR($F69="",$G69=""),"",IF(AND(AJ$5&lt;=$G69,AJ$5+6&gt;=$F69),IF($H69="Complétée","F",IF(OR($H69="En cours",$H69="En revue"),"E",IF($H69="Bloquée","B","P"))),""))</f>
        <v/>
      </c>
      <c r="AK69" s="53">
        <f>IF(OR($F69="",$G69=""),"",IF(AND(AK$5&lt;=$G69,AK$5+6&gt;=$F69),IF($H69="Complétée","F",IF(OR($H69="En cours",$H69="En revue"),"E",IF($H69="Bloquée","B","P"))),""))</f>
        <v/>
      </c>
      <c r="AL69" s="53">
        <f>IF(OR($F69="",$G69=""),"",IF(AND(AL$5&lt;=$G69,AL$5+6&gt;=$F69),IF($H69="Complétée","F",IF(OR($H69="En cours",$H69="En revue"),"E",IF($H69="Bloquée","B","P"))),""))</f>
        <v/>
      </c>
      <c r="AM69" s="53">
        <f>IF(OR($F69="",$G69=""),"",IF(AND(AM$5&lt;=$G69,AM$5+6&gt;=$F69),IF($H69="Complétée","F",IF(OR($H69="En cours",$H69="En revue"),"E",IF($H69="Bloquée","B","P"))),""))</f>
        <v/>
      </c>
      <c r="AN69" s="53">
        <f>IF(OR($F69="",$G69=""),"",IF(AND(AN$5&lt;=$G69,AN$5+6&gt;=$F69),IF($H69="Complétée","F",IF(OR($H69="En cours",$H69="En revue"),"E",IF($H69="Bloquée","B","P"))),""))</f>
        <v/>
      </c>
      <c r="AO69" s="53">
        <f>IF(OR($F69="",$G69=""),"",IF(AND(AO$5&lt;=$G69,AO$5+6&gt;=$F69),IF($H69="Complétée","F",IF(OR($H69="En cours",$H69="En revue"),"E",IF($H69="Bloquée","B","P"))),""))</f>
        <v/>
      </c>
      <c r="AP69" s="53">
        <f>IF(OR($F69="",$G69=""),"",IF(AND(AP$5&lt;=$G69,AP$5+6&gt;=$F69),IF($H69="Complétée","F",IF(OR($H69="En cours",$H69="En revue"),"E",IF($H69="Bloquée","B","P"))),""))</f>
        <v/>
      </c>
      <c r="AQ69" s="53">
        <f>IF(OR($F69="",$G69=""),"",IF(AND(AQ$5&lt;=$G69,AQ$5+6&gt;=$F69),IF($H69="Complétée","F",IF(OR($H69="En cours",$H69="En revue"),"E",IF($H69="Bloquée","B","P"))),""))</f>
        <v/>
      </c>
      <c r="AR69" s="53">
        <f>IF(OR($F69="",$G69=""),"",IF(AND(AR$5&lt;=$G69,AR$5+6&gt;=$F69),IF($H69="Complétée","F",IF(OR($H69="En cours",$H69="En revue"),"E",IF($H69="Bloquée","B","P"))),""))</f>
        <v/>
      </c>
      <c r="AS69" s="53">
        <f>IF(OR($F69="",$G69=""),"",IF(AND(AS$5&lt;=$G69,AS$5+6&gt;=$F69),IF($H69="Complétée","F",IF(OR($H69="En cours",$H69="En revue"),"E",IF($H69="Bloquée","B","P"))),""))</f>
        <v/>
      </c>
      <c r="AT69" s="53">
        <f>IF(OR($F69="",$G69=""),"",IF(AND(AT$5&lt;=$G69,AT$5+6&gt;=$F69),IF($H69="Complétée","F",IF(OR($H69="En cours",$H69="En revue"),"E",IF($H69="Bloquée","B","P"))),""))</f>
        <v/>
      </c>
      <c r="AU69" s="53">
        <f>IF(OR($F69="",$G69=""),"",IF(AND(AU$5&lt;=$G69,AU$5+6&gt;=$F69),IF($H69="Complétée","F",IF(OR($H69="En cours",$H69="En revue"),"E",IF($H69="Bloquée","B","P"))),""))</f>
        <v/>
      </c>
      <c r="AV69" s="53">
        <f>IF(OR($F69="",$G69=""),"",IF(AND(AV$5&lt;=$G69,AV$5+6&gt;=$F69),IF($H69="Complétée","F",IF(OR($H69="En cours",$H69="En revue"),"E",IF($H69="Bloquée","B","P"))),""))</f>
        <v/>
      </c>
      <c r="AW69" s="53">
        <f>IF(OR($F69="",$G69=""),"",IF(AND(AW$5&lt;=$G69,AW$5+6&gt;=$F69),IF($H69="Complétée","F",IF(OR($H69="En cours",$H69="En revue"),"E",IF($H69="Bloquée","B","P"))),""))</f>
        <v/>
      </c>
    </row>
    <row r="70">
      <c r="B70" s="50">
        <f>IF(Taches!B70="","",Taches!B70)</f>
        <v/>
      </c>
      <c r="C70" s="51">
        <f>IF(Taches!B70="","",Taches!F70)</f>
        <v/>
      </c>
      <c r="D70" s="50">
        <f>IF(Taches!B70="","",Taches!C70)</f>
        <v/>
      </c>
      <c r="E70" s="50">
        <f>IF(Taches!B70="","",Taches!D70)</f>
        <v/>
      </c>
      <c r="F70" s="52">
        <f>IF(Taches!P70="","",Taches!P70)</f>
        <v/>
      </c>
      <c r="G70" s="52">
        <f>IF(Taches!Q70="","",Taches!Q70)</f>
        <v/>
      </c>
      <c r="H70" s="50">
        <f>IF(Taches!B70="","",Taches!J70)</f>
        <v/>
      </c>
      <c r="I70" s="53">
        <f>IF(OR($F70="",$G70=""),"",IF(AND(I$5&lt;=$G70,I$5+6&gt;=$F70),IF($H70="Complétée","F",IF(OR($H70="En cours",$H70="En revue"),"E",IF($H70="Bloquée","B","P"))),""))</f>
        <v/>
      </c>
      <c r="J70" s="53">
        <f>IF(OR($F70="",$G70=""),"",IF(AND(J$5&lt;=$G70,J$5+6&gt;=$F70),IF($H70="Complétée","F",IF(OR($H70="En cours",$H70="En revue"),"E",IF($H70="Bloquée","B","P"))),""))</f>
        <v/>
      </c>
      <c r="K70" s="53">
        <f>IF(OR($F70="",$G70=""),"",IF(AND(K$5&lt;=$G70,K$5+6&gt;=$F70),IF($H70="Complétée","F",IF(OR($H70="En cours",$H70="En revue"),"E",IF($H70="Bloquée","B","P"))),""))</f>
        <v/>
      </c>
      <c r="L70" s="53">
        <f>IF(OR($F70="",$G70=""),"",IF(AND(L$5&lt;=$G70,L$5+6&gt;=$F70),IF($H70="Complétée","F",IF(OR($H70="En cours",$H70="En revue"),"E",IF($H70="Bloquée","B","P"))),""))</f>
        <v/>
      </c>
      <c r="M70" s="53">
        <f>IF(OR($F70="",$G70=""),"",IF(AND(M$5&lt;=$G70,M$5+6&gt;=$F70),IF($H70="Complétée","F",IF(OR($H70="En cours",$H70="En revue"),"E",IF($H70="Bloquée","B","P"))),""))</f>
        <v/>
      </c>
      <c r="N70" s="53">
        <f>IF(OR($F70="",$G70=""),"",IF(AND(N$5&lt;=$G70,N$5+6&gt;=$F70),IF($H70="Complétée","F",IF(OR($H70="En cours",$H70="En revue"),"E",IF($H70="Bloquée","B","P"))),""))</f>
        <v/>
      </c>
      <c r="O70" s="53">
        <f>IF(OR($F70="",$G70=""),"",IF(AND(O$5&lt;=$G70,O$5+6&gt;=$F70),IF($H70="Complétée","F",IF(OR($H70="En cours",$H70="En revue"),"E",IF($H70="Bloquée","B","P"))),""))</f>
        <v/>
      </c>
      <c r="P70" s="53">
        <f>IF(OR($F70="",$G70=""),"",IF(AND(P$5&lt;=$G70,P$5+6&gt;=$F70),IF($H70="Complétée","F",IF(OR($H70="En cours",$H70="En revue"),"E",IF($H70="Bloquée","B","P"))),""))</f>
        <v/>
      </c>
      <c r="Q70" s="53">
        <f>IF(OR($F70="",$G70=""),"",IF(AND(Q$5&lt;=$G70,Q$5+6&gt;=$F70),IF($H70="Complétée","F",IF(OR($H70="En cours",$H70="En revue"),"E",IF($H70="Bloquée","B","P"))),""))</f>
        <v/>
      </c>
      <c r="R70" s="53">
        <f>IF(OR($F70="",$G70=""),"",IF(AND(R$5&lt;=$G70,R$5+6&gt;=$F70),IF($H70="Complétée","F",IF(OR($H70="En cours",$H70="En revue"),"E",IF($H70="Bloquée","B","P"))),""))</f>
        <v/>
      </c>
      <c r="S70" s="53">
        <f>IF(OR($F70="",$G70=""),"",IF(AND(S$5&lt;=$G70,S$5+6&gt;=$F70),IF($H70="Complétée","F",IF(OR($H70="En cours",$H70="En revue"),"E",IF($H70="Bloquée","B","P"))),""))</f>
        <v/>
      </c>
      <c r="T70" s="53">
        <f>IF(OR($F70="",$G70=""),"",IF(AND(T$5&lt;=$G70,T$5+6&gt;=$F70),IF($H70="Complétée","F",IF(OR($H70="En cours",$H70="En revue"),"E",IF($H70="Bloquée","B","P"))),""))</f>
        <v/>
      </c>
      <c r="U70" s="53">
        <f>IF(OR($F70="",$G70=""),"",IF(AND(U$5&lt;=$G70,U$5+6&gt;=$F70),IF($H70="Complétée","F",IF(OR($H70="En cours",$H70="En revue"),"E",IF($H70="Bloquée","B","P"))),""))</f>
        <v/>
      </c>
      <c r="V70" s="53">
        <f>IF(OR($F70="",$G70=""),"",IF(AND(V$5&lt;=$G70,V$5+6&gt;=$F70),IF($H70="Complétée","F",IF(OR($H70="En cours",$H70="En revue"),"E",IF($H70="Bloquée","B","P"))),""))</f>
        <v/>
      </c>
      <c r="W70" s="53">
        <f>IF(OR($F70="",$G70=""),"",IF(AND(W$5&lt;=$G70,W$5+6&gt;=$F70),IF($H70="Complétée","F",IF(OR($H70="En cours",$H70="En revue"),"E",IF($H70="Bloquée","B","P"))),""))</f>
        <v/>
      </c>
      <c r="X70" s="53">
        <f>IF(OR($F70="",$G70=""),"",IF(AND(X$5&lt;=$G70,X$5+6&gt;=$F70),IF($H70="Complétée","F",IF(OR($H70="En cours",$H70="En revue"),"E",IF($H70="Bloquée","B","P"))),""))</f>
        <v/>
      </c>
      <c r="Y70" s="53">
        <f>IF(OR($F70="",$G70=""),"",IF(AND(Y$5&lt;=$G70,Y$5+6&gt;=$F70),IF($H70="Complétée","F",IF(OR($H70="En cours",$H70="En revue"),"E",IF($H70="Bloquée","B","P"))),""))</f>
        <v/>
      </c>
      <c r="Z70" s="53">
        <f>IF(OR($F70="",$G70=""),"",IF(AND(Z$5&lt;=$G70,Z$5+6&gt;=$F70),IF($H70="Complétée","F",IF(OR($H70="En cours",$H70="En revue"),"E",IF($H70="Bloquée","B","P"))),""))</f>
        <v/>
      </c>
      <c r="AA70" s="53">
        <f>IF(OR($F70="",$G70=""),"",IF(AND(AA$5&lt;=$G70,AA$5+6&gt;=$F70),IF($H70="Complétée","F",IF(OR($H70="En cours",$H70="En revue"),"E",IF($H70="Bloquée","B","P"))),""))</f>
        <v/>
      </c>
      <c r="AB70" s="53">
        <f>IF(OR($F70="",$G70=""),"",IF(AND(AB$5&lt;=$G70,AB$5+6&gt;=$F70),IF($H70="Complétée","F",IF(OR($H70="En cours",$H70="En revue"),"E",IF($H70="Bloquée","B","P"))),""))</f>
        <v/>
      </c>
      <c r="AC70" s="53">
        <f>IF(OR($F70="",$G70=""),"",IF(AND(AC$5&lt;=$G70,AC$5+6&gt;=$F70),IF($H70="Complétée","F",IF(OR($H70="En cours",$H70="En revue"),"E",IF($H70="Bloquée","B","P"))),""))</f>
        <v/>
      </c>
      <c r="AD70" s="53">
        <f>IF(OR($F70="",$G70=""),"",IF(AND(AD$5&lt;=$G70,AD$5+6&gt;=$F70),IF($H70="Complétée","F",IF(OR($H70="En cours",$H70="En revue"),"E",IF($H70="Bloquée","B","P"))),""))</f>
        <v/>
      </c>
      <c r="AE70" s="53">
        <f>IF(OR($F70="",$G70=""),"",IF(AND(AE$5&lt;=$G70,AE$5+6&gt;=$F70),IF($H70="Complétée","F",IF(OR($H70="En cours",$H70="En revue"),"E",IF($H70="Bloquée","B","P"))),""))</f>
        <v/>
      </c>
      <c r="AF70" s="53">
        <f>IF(OR($F70="",$G70=""),"",IF(AND(AF$5&lt;=$G70,AF$5+6&gt;=$F70),IF($H70="Complétée","F",IF(OR($H70="En cours",$H70="En revue"),"E",IF($H70="Bloquée","B","P"))),""))</f>
        <v/>
      </c>
      <c r="AG70" s="53">
        <f>IF(OR($F70="",$G70=""),"",IF(AND(AG$5&lt;=$G70,AG$5+6&gt;=$F70),IF($H70="Complétée","F",IF(OR($H70="En cours",$H70="En revue"),"E",IF($H70="Bloquée","B","P"))),""))</f>
        <v/>
      </c>
      <c r="AH70" s="53">
        <f>IF(OR($F70="",$G70=""),"",IF(AND(AH$5&lt;=$G70,AH$5+6&gt;=$F70),IF($H70="Complétée","F",IF(OR($H70="En cours",$H70="En revue"),"E",IF($H70="Bloquée","B","P"))),""))</f>
        <v/>
      </c>
      <c r="AI70" s="53">
        <f>IF(OR($F70="",$G70=""),"",IF(AND(AI$5&lt;=$G70,AI$5+6&gt;=$F70),IF($H70="Complétée","F",IF(OR($H70="En cours",$H70="En revue"),"E",IF($H70="Bloquée","B","P"))),""))</f>
        <v/>
      </c>
      <c r="AJ70" s="53">
        <f>IF(OR($F70="",$G70=""),"",IF(AND(AJ$5&lt;=$G70,AJ$5+6&gt;=$F70),IF($H70="Complétée","F",IF(OR($H70="En cours",$H70="En revue"),"E",IF($H70="Bloquée","B","P"))),""))</f>
        <v/>
      </c>
      <c r="AK70" s="53">
        <f>IF(OR($F70="",$G70=""),"",IF(AND(AK$5&lt;=$G70,AK$5+6&gt;=$F70),IF($H70="Complétée","F",IF(OR($H70="En cours",$H70="En revue"),"E",IF($H70="Bloquée","B","P"))),""))</f>
        <v/>
      </c>
      <c r="AL70" s="53">
        <f>IF(OR($F70="",$G70=""),"",IF(AND(AL$5&lt;=$G70,AL$5+6&gt;=$F70),IF($H70="Complétée","F",IF(OR($H70="En cours",$H70="En revue"),"E",IF($H70="Bloquée","B","P"))),""))</f>
        <v/>
      </c>
      <c r="AM70" s="53">
        <f>IF(OR($F70="",$G70=""),"",IF(AND(AM$5&lt;=$G70,AM$5+6&gt;=$F70),IF($H70="Complétée","F",IF(OR($H70="En cours",$H70="En revue"),"E",IF($H70="Bloquée","B","P"))),""))</f>
        <v/>
      </c>
      <c r="AN70" s="53">
        <f>IF(OR($F70="",$G70=""),"",IF(AND(AN$5&lt;=$G70,AN$5+6&gt;=$F70),IF($H70="Complétée","F",IF(OR($H70="En cours",$H70="En revue"),"E",IF($H70="Bloquée","B","P"))),""))</f>
        <v/>
      </c>
      <c r="AO70" s="53">
        <f>IF(OR($F70="",$G70=""),"",IF(AND(AO$5&lt;=$G70,AO$5+6&gt;=$F70),IF($H70="Complétée","F",IF(OR($H70="En cours",$H70="En revue"),"E",IF($H70="Bloquée","B","P"))),""))</f>
        <v/>
      </c>
      <c r="AP70" s="53">
        <f>IF(OR($F70="",$G70=""),"",IF(AND(AP$5&lt;=$G70,AP$5+6&gt;=$F70),IF($H70="Complétée","F",IF(OR($H70="En cours",$H70="En revue"),"E",IF($H70="Bloquée","B","P"))),""))</f>
        <v/>
      </c>
      <c r="AQ70" s="53">
        <f>IF(OR($F70="",$G70=""),"",IF(AND(AQ$5&lt;=$G70,AQ$5+6&gt;=$F70),IF($H70="Complétée","F",IF(OR($H70="En cours",$H70="En revue"),"E",IF($H70="Bloquée","B","P"))),""))</f>
        <v/>
      </c>
      <c r="AR70" s="53">
        <f>IF(OR($F70="",$G70=""),"",IF(AND(AR$5&lt;=$G70,AR$5+6&gt;=$F70),IF($H70="Complétée","F",IF(OR($H70="En cours",$H70="En revue"),"E",IF($H70="Bloquée","B","P"))),""))</f>
        <v/>
      </c>
      <c r="AS70" s="53">
        <f>IF(OR($F70="",$G70=""),"",IF(AND(AS$5&lt;=$G70,AS$5+6&gt;=$F70),IF($H70="Complétée","F",IF(OR($H70="En cours",$H70="En revue"),"E",IF($H70="Bloquée","B","P"))),""))</f>
        <v/>
      </c>
      <c r="AT70" s="53">
        <f>IF(OR($F70="",$G70=""),"",IF(AND(AT$5&lt;=$G70,AT$5+6&gt;=$F70),IF($H70="Complétée","F",IF(OR($H70="En cours",$H70="En revue"),"E",IF($H70="Bloquée","B","P"))),""))</f>
        <v/>
      </c>
      <c r="AU70" s="53">
        <f>IF(OR($F70="",$G70=""),"",IF(AND(AU$5&lt;=$G70,AU$5+6&gt;=$F70),IF($H70="Complétée","F",IF(OR($H70="En cours",$H70="En revue"),"E",IF($H70="Bloquée","B","P"))),""))</f>
        <v/>
      </c>
      <c r="AV70" s="53">
        <f>IF(OR($F70="",$G70=""),"",IF(AND(AV$5&lt;=$G70,AV$5+6&gt;=$F70),IF($H70="Complétée","F",IF(OR($H70="En cours",$H70="En revue"),"E",IF($H70="Bloquée","B","P"))),""))</f>
        <v/>
      </c>
      <c r="AW70" s="53">
        <f>IF(OR($F70="",$G70=""),"",IF(AND(AW$5&lt;=$G70,AW$5+6&gt;=$F70),IF($H70="Complétée","F",IF(OR($H70="En cours",$H70="En revue"),"E",IF($H70="Bloquée","B","P"))),""))</f>
        <v/>
      </c>
    </row>
    <row r="71">
      <c r="B71" s="50">
        <f>IF(Taches!B71="","",Taches!B71)</f>
        <v/>
      </c>
      <c r="C71" s="51">
        <f>IF(Taches!B71="","",Taches!F71)</f>
        <v/>
      </c>
      <c r="D71" s="50">
        <f>IF(Taches!B71="","",Taches!C71)</f>
        <v/>
      </c>
      <c r="E71" s="50">
        <f>IF(Taches!B71="","",Taches!D71)</f>
        <v/>
      </c>
      <c r="F71" s="52">
        <f>IF(Taches!P71="","",Taches!P71)</f>
        <v/>
      </c>
      <c r="G71" s="52">
        <f>IF(Taches!Q71="","",Taches!Q71)</f>
        <v/>
      </c>
      <c r="H71" s="50">
        <f>IF(Taches!B71="","",Taches!J71)</f>
        <v/>
      </c>
      <c r="I71" s="53">
        <f>IF(OR($F71="",$G71=""),"",IF(AND(I$5&lt;=$G71,I$5+6&gt;=$F71),IF($H71="Complétée","F",IF(OR($H71="En cours",$H71="En revue"),"E",IF($H71="Bloquée","B","P"))),""))</f>
        <v/>
      </c>
      <c r="J71" s="53">
        <f>IF(OR($F71="",$G71=""),"",IF(AND(J$5&lt;=$G71,J$5+6&gt;=$F71),IF($H71="Complétée","F",IF(OR($H71="En cours",$H71="En revue"),"E",IF($H71="Bloquée","B","P"))),""))</f>
        <v/>
      </c>
      <c r="K71" s="53">
        <f>IF(OR($F71="",$G71=""),"",IF(AND(K$5&lt;=$G71,K$5+6&gt;=$F71),IF($H71="Complétée","F",IF(OR($H71="En cours",$H71="En revue"),"E",IF($H71="Bloquée","B","P"))),""))</f>
        <v/>
      </c>
      <c r="L71" s="53">
        <f>IF(OR($F71="",$G71=""),"",IF(AND(L$5&lt;=$G71,L$5+6&gt;=$F71),IF($H71="Complétée","F",IF(OR($H71="En cours",$H71="En revue"),"E",IF($H71="Bloquée","B","P"))),""))</f>
        <v/>
      </c>
      <c r="M71" s="53">
        <f>IF(OR($F71="",$G71=""),"",IF(AND(M$5&lt;=$G71,M$5+6&gt;=$F71),IF($H71="Complétée","F",IF(OR($H71="En cours",$H71="En revue"),"E",IF($H71="Bloquée","B","P"))),""))</f>
        <v/>
      </c>
      <c r="N71" s="53">
        <f>IF(OR($F71="",$G71=""),"",IF(AND(N$5&lt;=$G71,N$5+6&gt;=$F71),IF($H71="Complétée","F",IF(OR($H71="En cours",$H71="En revue"),"E",IF($H71="Bloquée","B","P"))),""))</f>
        <v/>
      </c>
      <c r="O71" s="53">
        <f>IF(OR($F71="",$G71=""),"",IF(AND(O$5&lt;=$G71,O$5+6&gt;=$F71),IF($H71="Complétée","F",IF(OR($H71="En cours",$H71="En revue"),"E",IF($H71="Bloquée","B","P"))),""))</f>
        <v/>
      </c>
      <c r="P71" s="53">
        <f>IF(OR($F71="",$G71=""),"",IF(AND(P$5&lt;=$G71,P$5+6&gt;=$F71),IF($H71="Complétée","F",IF(OR($H71="En cours",$H71="En revue"),"E",IF($H71="Bloquée","B","P"))),""))</f>
        <v/>
      </c>
      <c r="Q71" s="53">
        <f>IF(OR($F71="",$G71=""),"",IF(AND(Q$5&lt;=$G71,Q$5+6&gt;=$F71),IF($H71="Complétée","F",IF(OR($H71="En cours",$H71="En revue"),"E",IF($H71="Bloquée","B","P"))),""))</f>
        <v/>
      </c>
      <c r="R71" s="53">
        <f>IF(OR($F71="",$G71=""),"",IF(AND(R$5&lt;=$G71,R$5+6&gt;=$F71),IF($H71="Complétée","F",IF(OR($H71="En cours",$H71="En revue"),"E",IF($H71="Bloquée","B","P"))),""))</f>
        <v/>
      </c>
      <c r="S71" s="53">
        <f>IF(OR($F71="",$G71=""),"",IF(AND(S$5&lt;=$G71,S$5+6&gt;=$F71),IF($H71="Complétée","F",IF(OR($H71="En cours",$H71="En revue"),"E",IF($H71="Bloquée","B","P"))),""))</f>
        <v/>
      </c>
      <c r="T71" s="53">
        <f>IF(OR($F71="",$G71=""),"",IF(AND(T$5&lt;=$G71,T$5+6&gt;=$F71),IF($H71="Complétée","F",IF(OR($H71="En cours",$H71="En revue"),"E",IF($H71="Bloquée","B","P"))),""))</f>
        <v/>
      </c>
      <c r="U71" s="53">
        <f>IF(OR($F71="",$G71=""),"",IF(AND(U$5&lt;=$G71,U$5+6&gt;=$F71),IF($H71="Complétée","F",IF(OR($H71="En cours",$H71="En revue"),"E",IF($H71="Bloquée","B","P"))),""))</f>
        <v/>
      </c>
      <c r="V71" s="53">
        <f>IF(OR($F71="",$G71=""),"",IF(AND(V$5&lt;=$G71,V$5+6&gt;=$F71),IF($H71="Complétée","F",IF(OR($H71="En cours",$H71="En revue"),"E",IF($H71="Bloquée","B","P"))),""))</f>
        <v/>
      </c>
      <c r="W71" s="53">
        <f>IF(OR($F71="",$G71=""),"",IF(AND(W$5&lt;=$G71,W$5+6&gt;=$F71),IF($H71="Complétée","F",IF(OR($H71="En cours",$H71="En revue"),"E",IF($H71="Bloquée","B","P"))),""))</f>
        <v/>
      </c>
      <c r="X71" s="53">
        <f>IF(OR($F71="",$G71=""),"",IF(AND(X$5&lt;=$G71,X$5+6&gt;=$F71),IF($H71="Complétée","F",IF(OR($H71="En cours",$H71="En revue"),"E",IF($H71="Bloquée","B","P"))),""))</f>
        <v/>
      </c>
      <c r="Y71" s="53">
        <f>IF(OR($F71="",$G71=""),"",IF(AND(Y$5&lt;=$G71,Y$5+6&gt;=$F71),IF($H71="Complétée","F",IF(OR($H71="En cours",$H71="En revue"),"E",IF($H71="Bloquée","B","P"))),""))</f>
        <v/>
      </c>
      <c r="Z71" s="53">
        <f>IF(OR($F71="",$G71=""),"",IF(AND(Z$5&lt;=$G71,Z$5+6&gt;=$F71),IF($H71="Complétée","F",IF(OR($H71="En cours",$H71="En revue"),"E",IF($H71="Bloquée","B","P"))),""))</f>
        <v/>
      </c>
      <c r="AA71" s="53">
        <f>IF(OR($F71="",$G71=""),"",IF(AND(AA$5&lt;=$G71,AA$5+6&gt;=$F71),IF($H71="Complétée","F",IF(OR($H71="En cours",$H71="En revue"),"E",IF($H71="Bloquée","B","P"))),""))</f>
        <v/>
      </c>
      <c r="AB71" s="53">
        <f>IF(OR($F71="",$G71=""),"",IF(AND(AB$5&lt;=$G71,AB$5+6&gt;=$F71),IF($H71="Complétée","F",IF(OR($H71="En cours",$H71="En revue"),"E",IF($H71="Bloquée","B","P"))),""))</f>
        <v/>
      </c>
      <c r="AC71" s="53">
        <f>IF(OR($F71="",$G71=""),"",IF(AND(AC$5&lt;=$G71,AC$5+6&gt;=$F71),IF($H71="Complétée","F",IF(OR($H71="En cours",$H71="En revue"),"E",IF($H71="Bloquée","B","P"))),""))</f>
        <v/>
      </c>
      <c r="AD71" s="53">
        <f>IF(OR($F71="",$G71=""),"",IF(AND(AD$5&lt;=$G71,AD$5+6&gt;=$F71),IF($H71="Complétée","F",IF(OR($H71="En cours",$H71="En revue"),"E",IF($H71="Bloquée","B","P"))),""))</f>
        <v/>
      </c>
      <c r="AE71" s="53">
        <f>IF(OR($F71="",$G71=""),"",IF(AND(AE$5&lt;=$G71,AE$5+6&gt;=$F71),IF($H71="Complétée","F",IF(OR($H71="En cours",$H71="En revue"),"E",IF($H71="Bloquée","B","P"))),""))</f>
        <v/>
      </c>
      <c r="AF71" s="53">
        <f>IF(OR($F71="",$G71=""),"",IF(AND(AF$5&lt;=$G71,AF$5+6&gt;=$F71),IF($H71="Complétée","F",IF(OR($H71="En cours",$H71="En revue"),"E",IF($H71="Bloquée","B","P"))),""))</f>
        <v/>
      </c>
      <c r="AG71" s="53">
        <f>IF(OR($F71="",$G71=""),"",IF(AND(AG$5&lt;=$G71,AG$5+6&gt;=$F71),IF($H71="Complétée","F",IF(OR($H71="En cours",$H71="En revue"),"E",IF($H71="Bloquée","B","P"))),""))</f>
        <v/>
      </c>
      <c r="AH71" s="53">
        <f>IF(OR($F71="",$G71=""),"",IF(AND(AH$5&lt;=$G71,AH$5+6&gt;=$F71),IF($H71="Complétée","F",IF(OR($H71="En cours",$H71="En revue"),"E",IF($H71="Bloquée","B","P"))),""))</f>
        <v/>
      </c>
      <c r="AI71" s="53">
        <f>IF(OR($F71="",$G71=""),"",IF(AND(AI$5&lt;=$G71,AI$5+6&gt;=$F71),IF($H71="Complétée","F",IF(OR($H71="En cours",$H71="En revue"),"E",IF($H71="Bloquée","B","P"))),""))</f>
        <v/>
      </c>
      <c r="AJ71" s="53">
        <f>IF(OR($F71="",$G71=""),"",IF(AND(AJ$5&lt;=$G71,AJ$5+6&gt;=$F71),IF($H71="Complétée","F",IF(OR($H71="En cours",$H71="En revue"),"E",IF($H71="Bloquée","B","P"))),""))</f>
        <v/>
      </c>
      <c r="AK71" s="53">
        <f>IF(OR($F71="",$G71=""),"",IF(AND(AK$5&lt;=$G71,AK$5+6&gt;=$F71),IF($H71="Complétée","F",IF(OR($H71="En cours",$H71="En revue"),"E",IF($H71="Bloquée","B","P"))),""))</f>
        <v/>
      </c>
      <c r="AL71" s="53">
        <f>IF(OR($F71="",$G71=""),"",IF(AND(AL$5&lt;=$G71,AL$5+6&gt;=$F71),IF($H71="Complétée","F",IF(OR($H71="En cours",$H71="En revue"),"E",IF($H71="Bloquée","B","P"))),""))</f>
        <v/>
      </c>
      <c r="AM71" s="53">
        <f>IF(OR($F71="",$G71=""),"",IF(AND(AM$5&lt;=$G71,AM$5+6&gt;=$F71),IF($H71="Complétée","F",IF(OR($H71="En cours",$H71="En revue"),"E",IF($H71="Bloquée","B","P"))),""))</f>
        <v/>
      </c>
      <c r="AN71" s="53">
        <f>IF(OR($F71="",$G71=""),"",IF(AND(AN$5&lt;=$G71,AN$5+6&gt;=$F71),IF($H71="Complétée","F",IF(OR($H71="En cours",$H71="En revue"),"E",IF($H71="Bloquée","B","P"))),""))</f>
        <v/>
      </c>
      <c r="AO71" s="53">
        <f>IF(OR($F71="",$G71=""),"",IF(AND(AO$5&lt;=$G71,AO$5+6&gt;=$F71),IF($H71="Complétée","F",IF(OR($H71="En cours",$H71="En revue"),"E",IF($H71="Bloquée","B","P"))),""))</f>
        <v/>
      </c>
      <c r="AP71" s="53">
        <f>IF(OR($F71="",$G71=""),"",IF(AND(AP$5&lt;=$G71,AP$5+6&gt;=$F71),IF($H71="Complétée","F",IF(OR($H71="En cours",$H71="En revue"),"E",IF($H71="Bloquée","B","P"))),""))</f>
        <v/>
      </c>
      <c r="AQ71" s="53">
        <f>IF(OR($F71="",$G71=""),"",IF(AND(AQ$5&lt;=$G71,AQ$5+6&gt;=$F71),IF($H71="Complétée","F",IF(OR($H71="En cours",$H71="En revue"),"E",IF($H71="Bloquée","B","P"))),""))</f>
        <v/>
      </c>
      <c r="AR71" s="53">
        <f>IF(OR($F71="",$G71=""),"",IF(AND(AR$5&lt;=$G71,AR$5+6&gt;=$F71),IF($H71="Complétée","F",IF(OR($H71="En cours",$H71="En revue"),"E",IF($H71="Bloquée","B","P"))),""))</f>
        <v/>
      </c>
      <c r="AS71" s="53">
        <f>IF(OR($F71="",$G71=""),"",IF(AND(AS$5&lt;=$G71,AS$5+6&gt;=$F71),IF($H71="Complétée","F",IF(OR($H71="En cours",$H71="En revue"),"E",IF($H71="Bloquée","B","P"))),""))</f>
        <v/>
      </c>
      <c r="AT71" s="53">
        <f>IF(OR($F71="",$G71=""),"",IF(AND(AT$5&lt;=$G71,AT$5+6&gt;=$F71),IF($H71="Complétée","F",IF(OR($H71="En cours",$H71="En revue"),"E",IF($H71="Bloquée","B","P"))),""))</f>
        <v/>
      </c>
      <c r="AU71" s="53">
        <f>IF(OR($F71="",$G71=""),"",IF(AND(AU$5&lt;=$G71,AU$5+6&gt;=$F71),IF($H71="Complétée","F",IF(OR($H71="En cours",$H71="En revue"),"E",IF($H71="Bloquée","B","P"))),""))</f>
        <v/>
      </c>
      <c r="AV71" s="53">
        <f>IF(OR($F71="",$G71=""),"",IF(AND(AV$5&lt;=$G71,AV$5+6&gt;=$F71),IF($H71="Complétée","F",IF(OR($H71="En cours",$H71="En revue"),"E",IF($H71="Bloquée","B","P"))),""))</f>
        <v/>
      </c>
      <c r="AW71" s="53">
        <f>IF(OR($F71="",$G71=""),"",IF(AND(AW$5&lt;=$G71,AW$5+6&gt;=$F71),IF($H71="Complétée","F",IF(OR($H71="En cours",$H71="En revue"),"E",IF($H71="Bloquée","B","P"))),""))</f>
        <v/>
      </c>
    </row>
    <row r="72">
      <c r="B72" s="50">
        <f>IF(Taches!B72="","",Taches!B72)</f>
        <v/>
      </c>
      <c r="C72" s="51">
        <f>IF(Taches!B72="","",Taches!F72)</f>
        <v/>
      </c>
      <c r="D72" s="50">
        <f>IF(Taches!B72="","",Taches!C72)</f>
        <v/>
      </c>
      <c r="E72" s="50">
        <f>IF(Taches!B72="","",Taches!D72)</f>
        <v/>
      </c>
      <c r="F72" s="52">
        <f>IF(Taches!P72="","",Taches!P72)</f>
        <v/>
      </c>
      <c r="G72" s="52">
        <f>IF(Taches!Q72="","",Taches!Q72)</f>
        <v/>
      </c>
      <c r="H72" s="50">
        <f>IF(Taches!B72="","",Taches!J72)</f>
        <v/>
      </c>
      <c r="I72" s="53">
        <f>IF(OR($F72="",$G72=""),"",IF(AND(I$5&lt;=$G72,I$5+6&gt;=$F72),IF($H72="Complétée","F",IF(OR($H72="En cours",$H72="En revue"),"E",IF($H72="Bloquée","B","P"))),""))</f>
        <v/>
      </c>
      <c r="J72" s="53">
        <f>IF(OR($F72="",$G72=""),"",IF(AND(J$5&lt;=$G72,J$5+6&gt;=$F72),IF($H72="Complétée","F",IF(OR($H72="En cours",$H72="En revue"),"E",IF($H72="Bloquée","B","P"))),""))</f>
        <v/>
      </c>
      <c r="K72" s="53">
        <f>IF(OR($F72="",$G72=""),"",IF(AND(K$5&lt;=$G72,K$5+6&gt;=$F72),IF($H72="Complétée","F",IF(OR($H72="En cours",$H72="En revue"),"E",IF($H72="Bloquée","B","P"))),""))</f>
        <v/>
      </c>
      <c r="L72" s="53">
        <f>IF(OR($F72="",$G72=""),"",IF(AND(L$5&lt;=$G72,L$5+6&gt;=$F72),IF($H72="Complétée","F",IF(OR($H72="En cours",$H72="En revue"),"E",IF($H72="Bloquée","B","P"))),""))</f>
        <v/>
      </c>
      <c r="M72" s="53">
        <f>IF(OR($F72="",$G72=""),"",IF(AND(M$5&lt;=$G72,M$5+6&gt;=$F72),IF($H72="Complétée","F",IF(OR($H72="En cours",$H72="En revue"),"E",IF($H72="Bloquée","B","P"))),""))</f>
        <v/>
      </c>
      <c r="N72" s="53">
        <f>IF(OR($F72="",$G72=""),"",IF(AND(N$5&lt;=$G72,N$5+6&gt;=$F72),IF($H72="Complétée","F",IF(OR($H72="En cours",$H72="En revue"),"E",IF($H72="Bloquée","B","P"))),""))</f>
        <v/>
      </c>
      <c r="O72" s="53">
        <f>IF(OR($F72="",$G72=""),"",IF(AND(O$5&lt;=$G72,O$5+6&gt;=$F72),IF($H72="Complétée","F",IF(OR($H72="En cours",$H72="En revue"),"E",IF($H72="Bloquée","B","P"))),""))</f>
        <v/>
      </c>
      <c r="P72" s="53">
        <f>IF(OR($F72="",$G72=""),"",IF(AND(P$5&lt;=$G72,P$5+6&gt;=$F72),IF($H72="Complétée","F",IF(OR($H72="En cours",$H72="En revue"),"E",IF($H72="Bloquée","B","P"))),""))</f>
        <v/>
      </c>
      <c r="Q72" s="53">
        <f>IF(OR($F72="",$G72=""),"",IF(AND(Q$5&lt;=$G72,Q$5+6&gt;=$F72),IF($H72="Complétée","F",IF(OR($H72="En cours",$H72="En revue"),"E",IF($H72="Bloquée","B","P"))),""))</f>
        <v/>
      </c>
      <c r="R72" s="53">
        <f>IF(OR($F72="",$G72=""),"",IF(AND(R$5&lt;=$G72,R$5+6&gt;=$F72),IF($H72="Complétée","F",IF(OR($H72="En cours",$H72="En revue"),"E",IF($H72="Bloquée","B","P"))),""))</f>
        <v/>
      </c>
      <c r="S72" s="53">
        <f>IF(OR($F72="",$G72=""),"",IF(AND(S$5&lt;=$G72,S$5+6&gt;=$F72),IF($H72="Complétée","F",IF(OR($H72="En cours",$H72="En revue"),"E",IF($H72="Bloquée","B","P"))),""))</f>
        <v/>
      </c>
      <c r="T72" s="53">
        <f>IF(OR($F72="",$G72=""),"",IF(AND(T$5&lt;=$G72,T$5+6&gt;=$F72),IF($H72="Complétée","F",IF(OR($H72="En cours",$H72="En revue"),"E",IF($H72="Bloquée","B","P"))),""))</f>
        <v/>
      </c>
      <c r="U72" s="53">
        <f>IF(OR($F72="",$G72=""),"",IF(AND(U$5&lt;=$G72,U$5+6&gt;=$F72),IF($H72="Complétée","F",IF(OR($H72="En cours",$H72="En revue"),"E",IF($H72="Bloquée","B","P"))),""))</f>
        <v/>
      </c>
      <c r="V72" s="53">
        <f>IF(OR($F72="",$G72=""),"",IF(AND(V$5&lt;=$G72,V$5+6&gt;=$F72),IF($H72="Complétée","F",IF(OR($H72="En cours",$H72="En revue"),"E",IF($H72="Bloquée","B","P"))),""))</f>
        <v/>
      </c>
      <c r="W72" s="53">
        <f>IF(OR($F72="",$G72=""),"",IF(AND(W$5&lt;=$G72,W$5+6&gt;=$F72),IF($H72="Complétée","F",IF(OR($H72="En cours",$H72="En revue"),"E",IF($H72="Bloquée","B","P"))),""))</f>
        <v/>
      </c>
      <c r="X72" s="53">
        <f>IF(OR($F72="",$G72=""),"",IF(AND(X$5&lt;=$G72,X$5+6&gt;=$F72),IF($H72="Complétée","F",IF(OR($H72="En cours",$H72="En revue"),"E",IF($H72="Bloquée","B","P"))),""))</f>
        <v/>
      </c>
      <c r="Y72" s="53">
        <f>IF(OR($F72="",$G72=""),"",IF(AND(Y$5&lt;=$G72,Y$5+6&gt;=$F72),IF($H72="Complétée","F",IF(OR($H72="En cours",$H72="En revue"),"E",IF($H72="Bloquée","B","P"))),""))</f>
        <v/>
      </c>
      <c r="Z72" s="53">
        <f>IF(OR($F72="",$G72=""),"",IF(AND(Z$5&lt;=$G72,Z$5+6&gt;=$F72),IF($H72="Complétée","F",IF(OR($H72="En cours",$H72="En revue"),"E",IF($H72="Bloquée","B","P"))),""))</f>
        <v/>
      </c>
      <c r="AA72" s="53">
        <f>IF(OR($F72="",$G72=""),"",IF(AND(AA$5&lt;=$G72,AA$5+6&gt;=$F72),IF($H72="Complétée","F",IF(OR($H72="En cours",$H72="En revue"),"E",IF($H72="Bloquée","B","P"))),""))</f>
        <v/>
      </c>
      <c r="AB72" s="53">
        <f>IF(OR($F72="",$G72=""),"",IF(AND(AB$5&lt;=$G72,AB$5+6&gt;=$F72),IF($H72="Complétée","F",IF(OR($H72="En cours",$H72="En revue"),"E",IF($H72="Bloquée","B","P"))),""))</f>
        <v/>
      </c>
      <c r="AC72" s="53">
        <f>IF(OR($F72="",$G72=""),"",IF(AND(AC$5&lt;=$G72,AC$5+6&gt;=$F72),IF($H72="Complétée","F",IF(OR($H72="En cours",$H72="En revue"),"E",IF($H72="Bloquée","B","P"))),""))</f>
        <v/>
      </c>
      <c r="AD72" s="53">
        <f>IF(OR($F72="",$G72=""),"",IF(AND(AD$5&lt;=$G72,AD$5+6&gt;=$F72),IF($H72="Complétée","F",IF(OR($H72="En cours",$H72="En revue"),"E",IF($H72="Bloquée","B","P"))),""))</f>
        <v/>
      </c>
      <c r="AE72" s="53">
        <f>IF(OR($F72="",$G72=""),"",IF(AND(AE$5&lt;=$G72,AE$5+6&gt;=$F72),IF($H72="Complétée","F",IF(OR($H72="En cours",$H72="En revue"),"E",IF($H72="Bloquée","B","P"))),""))</f>
        <v/>
      </c>
      <c r="AF72" s="53">
        <f>IF(OR($F72="",$G72=""),"",IF(AND(AF$5&lt;=$G72,AF$5+6&gt;=$F72),IF($H72="Complétée","F",IF(OR($H72="En cours",$H72="En revue"),"E",IF($H72="Bloquée","B","P"))),""))</f>
        <v/>
      </c>
      <c r="AG72" s="53">
        <f>IF(OR($F72="",$G72=""),"",IF(AND(AG$5&lt;=$G72,AG$5+6&gt;=$F72),IF($H72="Complétée","F",IF(OR($H72="En cours",$H72="En revue"),"E",IF($H72="Bloquée","B","P"))),""))</f>
        <v/>
      </c>
      <c r="AH72" s="53">
        <f>IF(OR($F72="",$G72=""),"",IF(AND(AH$5&lt;=$G72,AH$5+6&gt;=$F72),IF($H72="Complétée","F",IF(OR($H72="En cours",$H72="En revue"),"E",IF($H72="Bloquée","B","P"))),""))</f>
        <v/>
      </c>
      <c r="AI72" s="53">
        <f>IF(OR($F72="",$G72=""),"",IF(AND(AI$5&lt;=$G72,AI$5+6&gt;=$F72),IF($H72="Complétée","F",IF(OR($H72="En cours",$H72="En revue"),"E",IF($H72="Bloquée","B","P"))),""))</f>
        <v/>
      </c>
      <c r="AJ72" s="53">
        <f>IF(OR($F72="",$G72=""),"",IF(AND(AJ$5&lt;=$G72,AJ$5+6&gt;=$F72),IF($H72="Complétée","F",IF(OR($H72="En cours",$H72="En revue"),"E",IF($H72="Bloquée","B","P"))),""))</f>
        <v/>
      </c>
      <c r="AK72" s="53">
        <f>IF(OR($F72="",$G72=""),"",IF(AND(AK$5&lt;=$G72,AK$5+6&gt;=$F72),IF($H72="Complétée","F",IF(OR($H72="En cours",$H72="En revue"),"E",IF($H72="Bloquée","B","P"))),""))</f>
        <v/>
      </c>
      <c r="AL72" s="53">
        <f>IF(OR($F72="",$G72=""),"",IF(AND(AL$5&lt;=$G72,AL$5+6&gt;=$F72),IF($H72="Complétée","F",IF(OR($H72="En cours",$H72="En revue"),"E",IF($H72="Bloquée","B","P"))),""))</f>
        <v/>
      </c>
      <c r="AM72" s="53">
        <f>IF(OR($F72="",$G72=""),"",IF(AND(AM$5&lt;=$G72,AM$5+6&gt;=$F72),IF($H72="Complétée","F",IF(OR($H72="En cours",$H72="En revue"),"E",IF($H72="Bloquée","B","P"))),""))</f>
        <v/>
      </c>
      <c r="AN72" s="53">
        <f>IF(OR($F72="",$G72=""),"",IF(AND(AN$5&lt;=$G72,AN$5+6&gt;=$F72),IF($H72="Complétée","F",IF(OR($H72="En cours",$H72="En revue"),"E",IF($H72="Bloquée","B","P"))),""))</f>
        <v/>
      </c>
      <c r="AO72" s="53">
        <f>IF(OR($F72="",$G72=""),"",IF(AND(AO$5&lt;=$G72,AO$5+6&gt;=$F72),IF($H72="Complétée","F",IF(OR($H72="En cours",$H72="En revue"),"E",IF($H72="Bloquée","B","P"))),""))</f>
        <v/>
      </c>
      <c r="AP72" s="53">
        <f>IF(OR($F72="",$G72=""),"",IF(AND(AP$5&lt;=$G72,AP$5+6&gt;=$F72),IF($H72="Complétée","F",IF(OR($H72="En cours",$H72="En revue"),"E",IF($H72="Bloquée","B","P"))),""))</f>
        <v/>
      </c>
      <c r="AQ72" s="53">
        <f>IF(OR($F72="",$G72=""),"",IF(AND(AQ$5&lt;=$G72,AQ$5+6&gt;=$F72),IF($H72="Complétée","F",IF(OR($H72="En cours",$H72="En revue"),"E",IF($H72="Bloquée","B","P"))),""))</f>
        <v/>
      </c>
      <c r="AR72" s="53">
        <f>IF(OR($F72="",$G72=""),"",IF(AND(AR$5&lt;=$G72,AR$5+6&gt;=$F72),IF($H72="Complétée","F",IF(OR($H72="En cours",$H72="En revue"),"E",IF($H72="Bloquée","B","P"))),""))</f>
        <v/>
      </c>
      <c r="AS72" s="53">
        <f>IF(OR($F72="",$G72=""),"",IF(AND(AS$5&lt;=$G72,AS$5+6&gt;=$F72),IF($H72="Complétée","F",IF(OR($H72="En cours",$H72="En revue"),"E",IF($H72="Bloquée","B","P"))),""))</f>
        <v/>
      </c>
      <c r="AT72" s="53">
        <f>IF(OR($F72="",$G72=""),"",IF(AND(AT$5&lt;=$G72,AT$5+6&gt;=$F72),IF($H72="Complétée","F",IF(OR($H72="En cours",$H72="En revue"),"E",IF($H72="Bloquée","B","P"))),""))</f>
        <v/>
      </c>
      <c r="AU72" s="53">
        <f>IF(OR($F72="",$G72=""),"",IF(AND(AU$5&lt;=$G72,AU$5+6&gt;=$F72),IF($H72="Complétée","F",IF(OR($H72="En cours",$H72="En revue"),"E",IF($H72="Bloquée","B","P"))),""))</f>
        <v/>
      </c>
      <c r="AV72" s="53">
        <f>IF(OR($F72="",$G72=""),"",IF(AND(AV$5&lt;=$G72,AV$5+6&gt;=$F72),IF($H72="Complétée","F",IF(OR($H72="En cours",$H72="En revue"),"E",IF($H72="Bloquée","B","P"))),""))</f>
        <v/>
      </c>
      <c r="AW72" s="53">
        <f>IF(OR($F72="",$G72=""),"",IF(AND(AW$5&lt;=$G72,AW$5+6&gt;=$F72),IF($H72="Complétée","F",IF(OR($H72="En cours",$H72="En revue"),"E",IF($H72="Bloquée","B","P"))),""))</f>
        <v/>
      </c>
    </row>
    <row r="73">
      <c r="B73" s="50">
        <f>IF(Taches!B73="","",Taches!B73)</f>
        <v/>
      </c>
      <c r="C73" s="51">
        <f>IF(Taches!B73="","",Taches!F73)</f>
        <v/>
      </c>
      <c r="D73" s="50">
        <f>IF(Taches!B73="","",Taches!C73)</f>
        <v/>
      </c>
      <c r="E73" s="50">
        <f>IF(Taches!B73="","",Taches!D73)</f>
        <v/>
      </c>
      <c r="F73" s="52">
        <f>IF(Taches!P73="","",Taches!P73)</f>
        <v/>
      </c>
      <c r="G73" s="52">
        <f>IF(Taches!Q73="","",Taches!Q73)</f>
        <v/>
      </c>
      <c r="H73" s="50">
        <f>IF(Taches!B73="","",Taches!J73)</f>
        <v/>
      </c>
      <c r="I73" s="53">
        <f>IF(OR($F73="",$G73=""),"",IF(AND(I$5&lt;=$G73,I$5+6&gt;=$F73),IF($H73="Complétée","F",IF(OR($H73="En cours",$H73="En revue"),"E",IF($H73="Bloquée","B","P"))),""))</f>
        <v/>
      </c>
      <c r="J73" s="53">
        <f>IF(OR($F73="",$G73=""),"",IF(AND(J$5&lt;=$G73,J$5+6&gt;=$F73),IF($H73="Complétée","F",IF(OR($H73="En cours",$H73="En revue"),"E",IF($H73="Bloquée","B","P"))),""))</f>
        <v/>
      </c>
      <c r="K73" s="53">
        <f>IF(OR($F73="",$G73=""),"",IF(AND(K$5&lt;=$G73,K$5+6&gt;=$F73),IF($H73="Complétée","F",IF(OR($H73="En cours",$H73="En revue"),"E",IF($H73="Bloquée","B","P"))),""))</f>
        <v/>
      </c>
      <c r="L73" s="53">
        <f>IF(OR($F73="",$G73=""),"",IF(AND(L$5&lt;=$G73,L$5+6&gt;=$F73),IF($H73="Complétée","F",IF(OR($H73="En cours",$H73="En revue"),"E",IF($H73="Bloquée","B","P"))),""))</f>
        <v/>
      </c>
      <c r="M73" s="53">
        <f>IF(OR($F73="",$G73=""),"",IF(AND(M$5&lt;=$G73,M$5+6&gt;=$F73),IF($H73="Complétée","F",IF(OR($H73="En cours",$H73="En revue"),"E",IF($H73="Bloquée","B","P"))),""))</f>
        <v/>
      </c>
      <c r="N73" s="53">
        <f>IF(OR($F73="",$G73=""),"",IF(AND(N$5&lt;=$G73,N$5+6&gt;=$F73),IF($H73="Complétée","F",IF(OR($H73="En cours",$H73="En revue"),"E",IF($H73="Bloquée","B","P"))),""))</f>
        <v/>
      </c>
      <c r="O73" s="53">
        <f>IF(OR($F73="",$G73=""),"",IF(AND(O$5&lt;=$G73,O$5+6&gt;=$F73),IF($H73="Complétée","F",IF(OR($H73="En cours",$H73="En revue"),"E",IF($H73="Bloquée","B","P"))),""))</f>
        <v/>
      </c>
      <c r="P73" s="53">
        <f>IF(OR($F73="",$G73=""),"",IF(AND(P$5&lt;=$G73,P$5+6&gt;=$F73),IF($H73="Complétée","F",IF(OR($H73="En cours",$H73="En revue"),"E",IF($H73="Bloquée","B","P"))),""))</f>
        <v/>
      </c>
      <c r="Q73" s="53">
        <f>IF(OR($F73="",$G73=""),"",IF(AND(Q$5&lt;=$G73,Q$5+6&gt;=$F73),IF($H73="Complétée","F",IF(OR($H73="En cours",$H73="En revue"),"E",IF($H73="Bloquée","B","P"))),""))</f>
        <v/>
      </c>
      <c r="R73" s="53">
        <f>IF(OR($F73="",$G73=""),"",IF(AND(R$5&lt;=$G73,R$5+6&gt;=$F73),IF($H73="Complétée","F",IF(OR($H73="En cours",$H73="En revue"),"E",IF($H73="Bloquée","B","P"))),""))</f>
        <v/>
      </c>
      <c r="S73" s="53">
        <f>IF(OR($F73="",$G73=""),"",IF(AND(S$5&lt;=$G73,S$5+6&gt;=$F73),IF($H73="Complétée","F",IF(OR($H73="En cours",$H73="En revue"),"E",IF($H73="Bloquée","B","P"))),""))</f>
        <v/>
      </c>
      <c r="T73" s="53">
        <f>IF(OR($F73="",$G73=""),"",IF(AND(T$5&lt;=$G73,T$5+6&gt;=$F73),IF($H73="Complétée","F",IF(OR($H73="En cours",$H73="En revue"),"E",IF($H73="Bloquée","B","P"))),""))</f>
        <v/>
      </c>
      <c r="U73" s="53">
        <f>IF(OR($F73="",$G73=""),"",IF(AND(U$5&lt;=$G73,U$5+6&gt;=$F73),IF($H73="Complétée","F",IF(OR($H73="En cours",$H73="En revue"),"E",IF($H73="Bloquée","B","P"))),""))</f>
        <v/>
      </c>
      <c r="V73" s="53">
        <f>IF(OR($F73="",$G73=""),"",IF(AND(V$5&lt;=$G73,V$5+6&gt;=$F73),IF($H73="Complétée","F",IF(OR($H73="En cours",$H73="En revue"),"E",IF($H73="Bloquée","B","P"))),""))</f>
        <v/>
      </c>
      <c r="W73" s="53">
        <f>IF(OR($F73="",$G73=""),"",IF(AND(W$5&lt;=$G73,W$5+6&gt;=$F73),IF($H73="Complétée","F",IF(OR($H73="En cours",$H73="En revue"),"E",IF($H73="Bloquée","B","P"))),""))</f>
        <v/>
      </c>
      <c r="X73" s="53">
        <f>IF(OR($F73="",$G73=""),"",IF(AND(X$5&lt;=$G73,X$5+6&gt;=$F73),IF($H73="Complétée","F",IF(OR($H73="En cours",$H73="En revue"),"E",IF($H73="Bloquée","B","P"))),""))</f>
        <v/>
      </c>
      <c r="Y73" s="53">
        <f>IF(OR($F73="",$G73=""),"",IF(AND(Y$5&lt;=$G73,Y$5+6&gt;=$F73),IF($H73="Complétée","F",IF(OR($H73="En cours",$H73="En revue"),"E",IF($H73="Bloquée","B","P"))),""))</f>
        <v/>
      </c>
      <c r="Z73" s="53">
        <f>IF(OR($F73="",$G73=""),"",IF(AND(Z$5&lt;=$G73,Z$5+6&gt;=$F73),IF($H73="Complétée","F",IF(OR($H73="En cours",$H73="En revue"),"E",IF($H73="Bloquée","B","P"))),""))</f>
        <v/>
      </c>
      <c r="AA73" s="53">
        <f>IF(OR($F73="",$G73=""),"",IF(AND(AA$5&lt;=$G73,AA$5+6&gt;=$F73),IF($H73="Complétée","F",IF(OR($H73="En cours",$H73="En revue"),"E",IF($H73="Bloquée","B","P"))),""))</f>
        <v/>
      </c>
      <c r="AB73" s="53">
        <f>IF(OR($F73="",$G73=""),"",IF(AND(AB$5&lt;=$G73,AB$5+6&gt;=$F73),IF($H73="Complétée","F",IF(OR($H73="En cours",$H73="En revue"),"E",IF($H73="Bloquée","B","P"))),""))</f>
        <v/>
      </c>
      <c r="AC73" s="53">
        <f>IF(OR($F73="",$G73=""),"",IF(AND(AC$5&lt;=$G73,AC$5+6&gt;=$F73),IF($H73="Complétée","F",IF(OR($H73="En cours",$H73="En revue"),"E",IF($H73="Bloquée","B","P"))),""))</f>
        <v/>
      </c>
      <c r="AD73" s="53">
        <f>IF(OR($F73="",$G73=""),"",IF(AND(AD$5&lt;=$G73,AD$5+6&gt;=$F73),IF($H73="Complétée","F",IF(OR($H73="En cours",$H73="En revue"),"E",IF($H73="Bloquée","B","P"))),""))</f>
        <v/>
      </c>
      <c r="AE73" s="53">
        <f>IF(OR($F73="",$G73=""),"",IF(AND(AE$5&lt;=$G73,AE$5+6&gt;=$F73),IF($H73="Complétée","F",IF(OR($H73="En cours",$H73="En revue"),"E",IF($H73="Bloquée","B","P"))),""))</f>
        <v/>
      </c>
      <c r="AF73" s="53">
        <f>IF(OR($F73="",$G73=""),"",IF(AND(AF$5&lt;=$G73,AF$5+6&gt;=$F73),IF($H73="Complétée","F",IF(OR($H73="En cours",$H73="En revue"),"E",IF($H73="Bloquée","B","P"))),""))</f>
        <v/>
      </c>
      <c r="AG73" s="53">
        <f>IF(OR($F73="",$G73=""),"",IF(AND(AG$5&lt;=$G73,AG$5+6&gt;=$F73),IF($H73="Complétée","F",IF(OR($H73="En cours",$H73="En revue"),"E",IF($H73="Bloquée","B","P"))),""))</f>
        <v/>
      </c>
      <c r="AH73" s="53">
        <f>IF(OR($F73="",$G73=""),"",IF(AND(AH$5&lt;=$G73,AH$5+6&gt;=$F73),IF($H73="Complétée","F",IF(OR($H73="En cours",$H73="En revue"),"E",IF($H73="Bloquée","B","P"))),""))</f>
        <v/>
      </c>
      <c r="AI73" s="53">
        <f>IF(OR($F73="",$G73=""),"",IF(AND(AI$5&lt;=$G73,AI$5+6&gt;=$F73),IF($H73="Complétée","F",IF(OR($H73="En cours",$H73="En revue"),"E",IF($H73="Bloquée","B","P"))),""))</f>
        <v/>
      </c>
      <c r="AJ73" s="53">
        <f>IF(OR($F73="",$G73=""),"",IF(AND(AJ$5&lt;=$G73,AJ$5+6&gt;=$F73),IF($H73="Complétée","F",IF(OR($H73="En cours",$H73="En revue"),"E",IF($H73="Bloquée","B","P"))),""))</f>
        <v/>
      </c>
      <c r="AK73" s="53">
        <f>IF(OR($F73="",$G73=""),"",IF(AND(AK$5&lt;=$G73,AK$5+6&gt;=$F73),IF($H73="Complétée","F",IF(OR($H73="En cours",$H73="En revue"),"E",IF($H73="Bloquée","B","P"))),""))</f>
        <v/>
      </c>
      <c r="AL73" s="53">
        <f>IF(OR($F73="",$G73=""),"",IF(AND(AL$5&lt;=$G73,AL$5+6&gt;=$F73),IF($H73="Complétée","F",IF(OR($H73="En cours",$H73="En revue"),"E",IF($H73="Bloquée","B","P"))),""))</f>
        <v/>
      </c>
      <c r="AM73" s="53">
        <f>IF(OR($F73="",$G73=""),"",IF(AND(AM$5&lt;=$G73,AM$5+6&gt;=$F73),IF($H73="Complétée","F",IF(OR($H73="En cours",$H73="En revue"),"E",IF($H73="Bloquée","B","P"))),""))</f>
        <v/>
      </c>
      <c r="AN73" s="53">
        <f>IF(OR($F73="",$G73=""),"",IF(AND(AN$5&lt;=$G73,AN$5+6&gt;=$F73),IF($H73="Complétée","F",IF(OR($H73="En cours",$H73="En revue"),"E",IF($H73="Bloquée","B","P"))),""))</f>
        <v/>
      </c>
      <c r="AO73" s="53">
        <f>IF(OR($F73="",$G73=""),"",IF(AND(AO$5&lt;=$G73,AO$5+6&gt;=$F73),IF($H73="Complétée","F",IF(OR($H73="En cours",$H73="En revue"),"E",IF($H73="Bloquée","B","P"))),""))</f>
        <v/>
      </c>
      <c r="AP73" s="53">
        <f>IF(OR($F73="",$G73=""),"",IF(AND(AP$5&lt;=$G73,AP$5+6&gt;=$F73),IF($H73="Complétée","F",IF(OR($H73="En cours",$H73="En revue"),"E",IF($H73="Bloquée","B","P"))),""))</f>
        <v/>
      </c>
      <c r="AQ73" s="53">
        <f>IF(OR($F73="",$G73=""),"",IF(AND(AQ$5&lt;=$G73,AQ$5+6&gt;=$F73),IF($H73="Complétée","F",IF(OR($H73="En cours",$H73="En revue"),"E",IF($H73="Bloquée","B","P"))),""))</f>
        <v/>
      </c>
      <c r="AR73" s="53">
        <f>IF(OR($F73="",$G73=""),"",IF(AND(AR$5&lt;=$G73,AR$5+6&gt;=$F73),IF($H73="Complétée","F",IF(OR($H73="En cours",$H73="En revue"),"E",IF($H73="Bloquée","B","P"))),""))</f>
        <v/>
      </c>
      <c r="AS73" s="53">
        <f>IF(OR($F73="",$G73=""),"",IF(AND(AS$5&lt;=$G73,AS$5+6&gt;=$F73),IF($H73="Complétée","F",IF(OR($H73="En cours",$H73="En revue"),"E",IF($H73="Bloquée","B","P"))),""))</f>
        <v/>
      </c>
      <c r="AT73" s="53">
        <f>IF(OR($F73="",$G73=""),"",IF(AND(AT$5&lt;=$G73,AT$5+6&gt;=$F73),IF($H73="Complétée","F",IF(OR($H73="En cours",$H73="En revue"),"E",IF($H73="Bloquée","B","P"))),""))</f>
        <v/>
      </c>
      <c r="AU73" s="53">
        <f>IF(OR($F73="",$G73=""),"",IF(AND(AU$5&lt;=$G73,AU$5+6&gt;=$F73),IF($H73="Complétée","F",IF(OR($H73="En cours",$H73="En revue"),"E",IF($H73="Bloquée","B","P"))),""))</f>
        <v/>
      </c>
      <c r="AV73" s="53">
        <f>IF(OR($F73="",$G73=""),"",IF(AND(AV$5&lt;=$G73,AV$5+6&gt;=$F73),IF($H73="Complétée","F",IF(OR($H73="En cours",$H73="En revue"),"E",IF($H73="Bloquée","B","P"))),""))</f>
        <v/>
      </c>
      <c r="AW73" s="53">
        <f>IF(OR($F73="",$G73=""),"",IF(AND(AW$5&lt;=$G73,AW$5+6&gt;=$F73),IF($H73="Complétée","F",IF(OR($H73="En cours",$H73="En revue"),"E",IF($H73="Bloquée","B","P"))),""))</f>
        <v/>
      </c>
    </row>
    <row r="74">
      <c r="B74" s="50">
        <f>IF(Taches!B74="","",Taches!B74)</f>
        <v/>
      </c>
      <c r="C74" s="51">
        <f>IF(Taches!B74="","",Taches!F74)</f>
        <v/>
      </c>
      <c r="D74" s="50">
        <f>IF(Taches!B74="","",Taches!C74)</f>
        <v/>
      </c>
      <c r="E74" s="50">
        <f>IF(Taches!B74="","",Taches!D74)</f>
        <v/>
      </c>
      <c r="F74" s="52">
        <f>IF(Taches!P74="","",Taches!P74)</f>
        <v/>
      </c>
      <c r="G74" s="52">
        <f>IF(Taches!Q74="","",Taches!Q74)</f>
        <v/>
      </c>
      <c r="H74" s="50">
        <f>IF(Taches!B74="","",Taches!J74)</f>
        <v/>
      </c>
      <c r="I74" s="53">
        <f>IF(OR($F74="",$G74=""),"",IF(AND(I$5&lt;=$G74,I$5+6&gt;=$F74),IF($H74="Complétée","F",IF(OR($H74="En cours",$H74="En revue"),"E",IF($H74="Bloquée","B","P"))),""))</f>
        <v/>
      </c>
      <c r="J74" s="53">
        <f>IF(OR($F74="",$G74=""),"",IF(AND(J$5&lt;=$G74,J$5+6&gt;=$F74),IF($H74="Complétée","F",IF(OR($H74="En cours",$H74="En revue"),"E",IF($H74="Bloquée","B","P"))),""))</f>
        <v/>
      </c>
      <c r="K74" s="53">
        <f>IF(OR($F74="",$G74=""),"",IF(AND(K$5&lt;=$G74,K$5+6&gt;=$F74),IF($H74="Complétée","F",IF(OR($H74="En cours",$H74="En revue"),"E",IF($H74="Bloquée","B","P"))),""))</f>
        <v/>
      </c>
      <c r="L74" s="53">
        <f>IF(OR($F74="",$G74=""),"",IF(AND(L$5&lt;=$G74,L$5+6&gt;=$F74),IF($H74="Complétée","F",IF(OR($H74="En cours",$H74="En revue"),"E",IF($H74="Bloquée","B","P"))),""))</f>
        <v/>
      </c>
      <c r="M74" s="53">
        <f>IF(OR($F74="",$G74=""),"",IF(AND(M$5&lt;=$G74,M$5+6&gt;=$F74),IF($H74="Complétée","F",IF(OR($H74="En cours",$H74="En revue"),"E",IF($H74="Bloquée","B","P"))),""))</f>
        <v/>
      </c>
      <c r="N74" s="53">
        <f>IF(OR($F74="",$G74=""),"",IF(AND(N$5&lt;=$G74,N$5+6&gt;=$F74),IF($H74="Complétée","F",IF(OR($H74="En cours",$H74="En revue"),"E",IF($H74="Bloquée","B","P"))),""))</f>
        <v/>
      </c>
      <c r="O74" s="53">
        <f>IF(OR($F74="",$G74=""),"",IF(AND(O$5&lt;=$G74,O$5+6&gt;=$F74),IF($H74="Complétée","F",IF(OR($H74="En cours",$H74="En revue"),"E",IF($H74="Bloquée","B","P"))),""))</f>
        <v/>
      </c>
      <c r="P74" s="53">
        <f>IF(OR($F74="",$G74=""),"",IF(AND(P$5&lt;=$G74,P$5+6&gt;=$F74),IF($H74="Complétée","F",IF(OR($H74="En cours",$H74="En revue"),"E",IF($H74="Bloquée","B","P"))),""))</f>
        <v/>
      </c>
      <c r="Q74" s="53">
        <f>IF(OR($F74="",$G74=""),"",IF(AND(Q$5&lt;=$G74,Q$5+6&gt;=$F74),IF($H74="Complétée","F",IF(OR($H74="En cours",$H74="En revue"),"E",IF($H74="Bloquée","B","P"))),""))</f>
        <v/>
      </c>
      <c r="R74" s="53">
        <f>IF(OR($F74="",$G74=""),"",IF(AND(R$5&lt;=$G74,R$5+6&gt;=$F74),IF($H74="Complétée","F",IF(OR($H74="En cours",$H74="En revue"),"E",IF($H74="Bloquée","B","P"))),""))</f>
        <v/>
      </c>
      <c r="S74" s="53">
        <f>IF(OR($F74="",$G74=""),"",IF(AND(S$5&lt;=$G74,S$5+6&gt;=$F74),IF($H74="Complétée","F",IF(OR($H74="En cours",$H74="En revue"),"E",IF($H74="Bloquée","B","P"))),""))</f>
        <v/>
      </c>
      <c r="T74" s="53">
        <f>IF(OR($F74="",$G74=""),"",IF(AND(T$5&lt;=$G74,T$5+6&gt;=$F74),IF($H74="Complétée","F",IF(OR($H74="En cours",$H74="En revue"),"E",IF($H74="Bloquée","B","P"))),""))</f>
        <v/>
      </c>
      <c r="U74" s="53">
        <f>IF(OR($F74="",$G74=""),"",IF(AND(U$5&lt;=$G74,U$5+6&gt;=$F74),IF($H74="Complétée","F",IF(OR($H74="En cours",$H74="En revue"),"E",IF($H74="Bloquée","B","P"))),""))</f>
        <v/>
      </c>
      <c r="V74" s="53">
        <f>IF(OR($F74="",$G74=""),"",IF(AND(V$5&lt;=$G74,V$5+6&gt;=$F74),IF($H74="Complétée","F",IF(OR($H74="En cours",$H74="En revue"),"E",IF($H74="Bloquée","B","P"))),""))</f>
        <v/>
      </c>
      <c r="W74" s="53">
        <f>IF(OR($F74="",$G74=""),"",IF(AND(W$5&lt;=$G74,W$5+6&gt;=$F74),IF($H74="Complétée","F",IF(OR($H74="En cours",$H74="En revue"),"E",IF($H74="Bloquée","B","P"))),""))</f>
        <v/>
      </c>
      <c r="X74" s="53">
        <f>IF(OR($F74="",$G74=""),"",IF(AND(X$5&lt;=$G74,X$5+6&gt;=$F74),IF($H74="Complétée","F",IF(OR($H74="En cours",$H74="En revue"),"E",IF($H74="Bloquée","B","P"))),""))</f>
        <v/>
      </c>
      <c r="Y74" s="53">
        <f>IF(OR($F74="",$G74=""),"",IF(AND(Y$5&lt;=$G74,Y$5+6&gt;=$F74),IF($H74="Complétée","F",IF(OR($H74="En cours",$H74="En revue"),"E",IF($H74="Bloquée","B","P"))),""))</f>
        <v/>
      </c>
      <c r="Z74" s="53">
        <f>IF(OR($F74="",$G74=""),"",IF(AND(Z$5&lt;=$G74,Z$5+6&gt;=$F74),IF($H74="Complétée","F",IF(OR($H74="En cours",$H74="En revue"),"E",IF($H74="Bloquée","B","P"))),""))</f>
        <v/>
      </c>
      <c r="AA74" s="53">
        <f>IF(OR($F74="",$G74=""),"",IF(AND(AA$5&lt;=$G74,AA$5+6&gt;=$F74),IF($H74="Complétée","F",IF(OR($H74="En cours",$H74="En revue"),"E",IF($H74="Bloquée","B","P"))),""))</f>
        <v/>
      </c>
      <c r="AB74" s="53">
        <f>IF(OR($F74="",$G74=""),"",IF(AND(AB$5&lt;=$G74,AB$5+6&gt;=$F74),IF($H74="Complétée","F",IF(OR($H74="En cours",$H74="En revue"),"E",IF($H74="Bloquée","B","P"))),""))</f>
        <v/>
      </c>
      <c r="AC74" s="53">
        <f>IF(OR($F74="",$G74=""),"",IF(AND(AC$5&lt;=$G74,AC$5+6&gt;=$F74),IF($H74="Complétée","F",IF(OR($H74="En cours",$H74="En revue"),"E",IF($H74="Bloquée","B","P"))),""))</f>
        <v/>
      </c>
      <c r="AD74" s="53">
        <f>IF(OR($F74="",$G74=""),"",IF(AND(AD$5&lt;=$G74,AD$5+6&gt;=$F74),IF($H74="Complétée","F",IF(OR($H74="En cours",$H74="En revue"),"E",IF($H74="Bloquée","B","P"))),""))</f>
        <v/>
      </c>
      <c r="AE74" s="53">
        <f>IF(OR($F74="",$G74=""),"",IF(AND(AE$5&lt;=$G74,AE$5+6&gt;=$F74),IF($H74="Complétée","F",IF(OR($H74="En cours",$H74="En revue"),"E",IF($H74="Bloquée","B","P"))),""))</f>
        <v/>
      </c>
      <c r="AF74" s="53">
        <f>IF(OR($F74="",$G74=""),"",IF(AND(AF$5&lt;=$G74,AF$5+6&gt;=$F74),IF($H74="Complétée","F",IF(OR($H74="En cours",$H74="En revue"),"E",IF($H74="Bloquée","B","P"))),""))</f>
        <v/>
      </c>
      <c r="AG74" s="53">
        <f>IF(OR($F74="",$G74=""),"",IF(AND(AG$5&lt;=$G74,AG$5+6&gt;=$F74),IF($H74="Complétée","F",IF(OR($H74="En cours",$H74="En revue"),"E",IF($H74="Bloquée","B","P"))),""))</f>
        <v/>
      </c>
      <c r="AH74" s="53">
        <f>IF(OR($F74="",$G74=""),"",IF(AND(AH$5&lt;=$G74,AH$5+6&gt;=$F74),IF($H74="Complétée","F",IF(OR($H74="En cours",$H74="En revue"),"E",IF($H74="Bloquée","B","P"))),""))</f>
        <v/>
      </c>
      <c r="AI74" s="53">
        <f>IF(OR($F74="",$G74=""),"",IF(AND(AI$5&lt;=$G74,AI$5+6&gt;=$F74),IF($H74="Complétée","F",IF(OR($H74="En cours",$H74="En revue"),"E",IF($H74="Bloquée","B","P"))),""))</f>
        <v/>
      </c>
      <c r="AJ74" s="53">
        <f>IF(OR($F74="",$G74=""),"",IF(AND(AJ$5&lt;=$G74,AJ$5+6&gt;=$F74),IF($H74="Complétée","F",IF(OR($H74="En cours",$H74="En revue"),"E",IF($H74="Bloquée","B","P"))),""))</f>
        <v/>
      </c>
      <c r="AK74" s="53">
        <f>IF(OR($F74="",$G74=""),"",IF(AND(AK$5&lt;=$G74,AK$5+6&gt;=$F74),IF($H74="Complétée","F",IF(OR($H74="En cours",$H74="En revue"),"E",IF($H74="Bloquée","B","P"))),""))</f>
        <v/>
      </c>
      <c r="AL74" s="53">
        <f>IF(OR($F74="",$G74=""),"",IF(AND(AL$5&lt;=$G74,AL$5+6&gt;=$F74),IF($H74="Complétée","F",IF(OR($H74="En cours",$H74="En revue"),"E",IF($H74="Bloquée","B","P"))),""))</f>
        <v/>
      </c>
      <c r="AM74" s="53">
        <f>IF(OR($F74="",$G74=""),"",IF(AND(AM$5&lt;=$G74,AM$5+6&gt;=$F74),IF($H74="Complétée","F",IF(OR($H74="En cours",$H74="En revue"),"E",IF($H74="Bloquée","B","P"))),""))</f>
        <v/>
      </c>
      <c r="AN74" s="53">
        <f>IF(OR($F74="",$G74=""),"",IF(AND(AN$5&lt;=$G74,AN$5+6&gt;=$F74),IF($H74="Complétée","F",IF(OR($H74="En cours",$H74="En revue"),"E",IF($H74="Bloquée","B","P"))),""))</f>
        <v/>
      </c>
      <c r="AO74" s="53">
        <f>IF(OR($F74="",$G74=""),"",IF(AND(AO$5&lt;=$G74,AO$5+6&gt;=$F74),IF($H74="Complétée","F",IF(OR($H74="En cours",$H74="En revue"),"E",IF($H74="Bloquée","B","P"))),""))</f>
        <v/>
      </c>
      <c r="AP74" s="53">
        <f>IF(OR($F74="",$G74=""),"",IF(AND(AP$5&lt;=$G74,AP$5+6&gt;=$F74),IF($H74="Complétée","F",IF(OR($H74="En cours",$H74="En revue"),"E",IF($H74="Bloquée","B","P"))),""))</f>
        <v/>
      </c>
      <c r="AQ74" s="53">
        <f>IF(OR($F74="",$G74=""),"",IF(AND(AQ$5&lt;=$G74,AQ$5+6&gt;=$F74),IF($H74="Complétée","F",IF(OR($H74="En cours",$H74="En revue"),"E",IF($H74="Bloquée","B","P"))),""))</f>
        <v/>
      </c>
      <c r="AR74" s="53">
        <f>IF(OR($F74="",$G74=""),"",IF(AND(AR$5&lt;=$G74,AR$5+6&gt;=$F74),IF($H74="Complétée","F",IF(OR($H74="En cours",$H74="En revue"),"E",IF($H74="Bloquée","B","P"))),""))</f>
        <v/>
      </c>
      <c r="AS74" s="53">
        <f>IF(OR($F74="",$G74=""),"",IF(AND(AS$5&lt;=$G74,AS$5+6&gt;=$F74),IF($H74="Complétée","F",IF(OR($H74="En cours",$H74="En revue"),"E",IF($H74="Bloquée","B","P"))),""))</f>
        <v/>
      </c>
      <c r="AT74" s="53">
        <f>IF(OR($F74="",$G74=""),"",IF(AND(AT$5&lt;=$G74,AT$5+6&gt;=$F74),IF($H74="Complétée","F",IF(OR($H74="En cours",$H74="En revue"),"E",IF($H74="Bloquée","B","P"))),""))</f>
        <v/>
      </c>
      <c r="AU74" s="53">
        <f>IF(OR($F74="",$G74=""),"",IF(AND(AU$5&lt;=$G74,AU$5+6&gt;=$F74),IF($H74="Complétée","F",IF(OR($H74="En cours",$H74="En revue"),"E",IF($H74="Bloquée","B","P"))),""))</f>
        <v/>
      </c>
      <c r="AV74" s="53">
        <f>IF(OR($F74="",$G74=""),"",IF(AND(AV$5&lt;=$G74,AV$5+6&gt;=$F74),IF($H74="Complétée","F",IF(OR($H74="En cours",$H74="En revue"),"E",IF($H74="Bloquée","B","P"))),""))</f>
        <v/>
      </c>
      <c r="AW74" s="53">
        <f>IF(OR($F74="",$G74=""),"",IF(AND(AW$5&lt;=$G74,AW$5+6&gt;=$F74),IF($H74="Complétée","F",IF(OR($H74="En cours",$H74="En revue"),"E",IF($H74="Bloquée","B","P"))),""))</f>
        <v/>
      </c>
    </row>
    <row r="75">
      <c r="B75" s="50">
        <f>IF(Taches!B75="","",Taches!B75)</f>
        <v/>
      </c>
      <c r="C75" s="51">
        <f>IF(Taches!B75="","",Taches!F75)</f>
        <v/>
      </c>
      <c r="D75" s="50">
        <f>IF(Taches!B75="","",Taches!C75)</f>
        <v/>
      </c>
      <c r="E75" s="50">
        <f>IF(Taches!B75="","",Taches!D75)</f>
        <v/>
      </c>
      <c r="F75" s="52">
        <f>IF(Taches!P75="","",Taches!P75)</f>
        <v/>
      </c>
      <c r="G75" s="52">
        <f>IF(Taches!Q75="","",Taches!Q75)</f>
        <v/>
      </c>
      <c r="H75" s="50">
        <f>IF(Taches!B75="","",Taches!J75)</f>
        <v/>
      </c>
      <c r="I75" s="53">
        <f>IF(OR($F75="",$G75=""),"",IF(AND(I$5&lt;=$G75,I$5+6&gt;=$F75),IF($H75="Complétée","F",IF(OR($H75="En cours",$H75="En revue"),"E",IF($H75="Bloquée","B","P"))),""))</f>
        <v/>
      </c>
      <c r="J75" s="53">
        <f>IF(OR($F75="",$G75=""),"",IF(AND(J$5&lt;=$G75,J$5+6&gt;=$F75),IF($H75="Complétée","F",IF(OR($H75="En cours",$H75="En revue"),"E",IF($H75="Bloquée","B","P"))),""))</f>
        <v/>
      </c>
      <c r="K75" s="53">
        <f>IF(OR($F75="",$G75=""),"",IF(AND(K$5&lt;=$G75,K$5+6&gt;=$F75),IF($H75="Complétée","F",IF(OR($H75="En cours",$H75="En revue"),"E",IF($H75="Bloquée","B","P"))),""))</f>
        <v/>
      </c>
      <c r="L75" s="53">
        <f>IF(OR($F75="",$G75=""),"",IF(AND(L$5&lt;=$G75,L$5+6&gt;=$F75),IF($H75="Complétée","F",IF(OR($H75="En cours",$H75="En revue"),"E",IF($H75="Bloquée","B","P"))),""))</f>
        <v/>
      </c>
      <c r="M75" s="53">
        <f>IF(OR($F75="",$G75=""),"",IF(AND(M$5&lt;=$G75,M$5+6&gt;=$F75),IF($H75="Complétée","F",IF(OR($H75="En cours",$H75="En revue"),"E",IF($H75="Bloquée","B","P"))),""))</f>
        <v/>
      </c>
      <c r="N75" s="53">
        <f>IF(OR($F75="",$G75=""),"",IF(AND(N$5&lt;=$G75,N$5+6&gt;=$F75),IF($H75="Complétée","F",IF(OR($H75="En cours",$H75="En revue"),"E",IF($H75="Bloquée","B","P"))),""))</f>
        <v/>
      </c>
      <c r="O75" s="53">
        <f>IF(OR($F75="",$G75=""),"",IF(AND(O$5&lt;=$G75,O$5+6&gt;=$F75),IF($H75="Complétée","F",IF(OR($H75="En cours",$H75="En revue"),"E",IF($H75="Bloquée","B","P"))),""))</f>
        <v/>
      </c>
      <c r="P75" s="53">
        <f>IF(OR($F75="",$G75=""),"",IF(AND(P$5&lt;=$G75,P$5+6&gt;=$F75),IF($H75="Complétée","F",IF(OR($H75="En cours",$H75="En revue"),"E",IF($H75="Bloquée","B","P"))),""))</f>
        <v/>
      </c>
      <c r="Q75" s="53">
        <f>IF(OR($F75="",$G75=""),"",IF(AND(Q$5&lt;=$G75,Q$5+6&gt;=$F75),IF($H75="Complétée","F",IF(OR($H75="En cours",$H75="En revue"),"E",IF($H75="Bloquée","B","P"))),""))</f>
        <v/>
      </c>
      <c r="R75" s="53">
        <f>IF(OR($F75="",$G75=""),"",IF(AND(R$5&lt;=$G75,R$5+6&gt;=$F75),IF($H75="Complétée","F",IF(OR($H75="En cours",$H75="En revue"),"E",IF($H75="Bloquée","B","P"))),""))</f>
        <v/>
      </c>
      <c r="S75" s="53">
        <f>IF(OR($F75="",$G75=""),"",IF(AND(S$5&lt;=$G75,S$5+6&gt;=$F75),IF($H75="Complétée","F",IF(OR($H75="En cours",$H75="En revue"),"E",IF($H75="Bloquée","B","P"))),""))</f>
        <v/>
      </c>
      <c r="T75" s="53">
        <f>IF(OR($F75="",$G75=""),"",IF(AND(T$5&lt;=$G75,T$5+6&gt;=$F75),IF($H75="Complétée","F",IF(OR($H75="En cours",$H75="En revue"),"E",IF($H75="Bloquée","B","P"))),""))</f>
        <v/>
      </c>
      <c r="U75" s="53">
        <f>IF(OR($F75="",$G75=""),"",IF(AND(U$5&lt;=$G75,U$5+6&gt;=$F75),IF($H75="Complétée","F",IF(OR($H75="En cours",$H75="En revue"),"E",IF($H75="Bloquée","B","P"))),""))</f>
        <v/>
      </c>
      <c r="V75" s="53">
        <f>IF(OR($F75="",$G75=""),"",IF(AND(V$5&lt;=$G75,V$5+6&gt;=$F75),IF($H75="Complétée","F",IF(OR($H75="En cours",$H75="En revue"),"E",IF($H75="Bloquée","B","P"))),""))</f>
        <v/>
      </c>
      <c r="W75" s="53">
        <f>IF(OR($F75="",$G75=""),"",IF(AND(W$5&lt;=$G75,W$5+6&gt;=$F75),IF($H75="Complétée","F",IF(OR($H75="En cours",$H75="En revue"),"E",IF($H75="Bloquée","B","P"))),""))</f>
        <v/>
      </c>
      <c r="X75" s="53">
        <f>IF(OR($F75="",$G75=""),"",IF(AND(X$5&lt;=$G75,X$5+6&gt;=$F75),IF($H75="Complétée","F",IF(OR($H75="En cours",$H75="En revue"),"E",IF($H75="Bloquée","B","P"))),""))</f>
        <v/>
      </c>
      <c r="Y75" s="53">
        <f>IF(OR($F75="",$G75=""),"",IF(AND(Y$5&lt;=$G75,Y$5+6&gt;=$F75),IF($H75="Complétée","F",IF(OR($H75="En cours",$H75="En revue"),"E",IF($H75="Bloquée","B","P"))),""))</f>
        <v/>
      </c>
      <c r="Z75" s="53">
        <f>IF(OR($F75="",$G75=""),"",IF(AND(Z$5&lt;=$G75,Z$5+6&gt;=$F75),IF($H75="Complétée","F",IF(OR($H75="En cours",$H75="En revue"),"E",IF($H75="Bloquée","B","P"))),""))</f>
        <v/>
      </c>
      <c r="AA75" s="53">
        <f>IF(OR($F75="",$G75=""),"",IF(AND(AA$5&lt;=$G75,AA$5+6&gt;=$F75),IF($H75="Complétée","F",IF(OR($H75="En cours",$H75="En revue"),"E",IF($H75="Bloquée","B","P"))),""))</f>
        <v/>
      </c>
      <c r="AB75" s="53">
        <f>IF(OR($F75="",$G75=""),"",IF(AND(AB$5&lt;=$G75,AB$5+6&gt;=$F75),IF($H75="Complétée","F",IF(OR($H75="En cours",$H75="En revue"),"E",IF($H75="Bloquée","B","P"))),""))</f>
        <v/>
      </c>
      <c r="AC75" s="53">
        <f>IF(OR($F75="",$G75=""),"",IF(AND(AC$5&lt;=$G75,AC$5+6&gt;=$F75),IF($H75="Complétée","F",IF(OR($H75="En cours",$H75="En revue"),"E",IF($H75="Bloquée","B","P"))),""))</f>
        <v/>
      </c>
      <c r="AD75" s="53">
        <f>IF(OR($F75="",$G75=""),"",IF(AND(AD$5&lt;=$G75,AD$5+6&gt;=$F75),IF($H75="Complétée","F",IF(OR($H75="En cours",$H75="En revue"),"E",IF($H75="Bloquée","B","P"))),""))</f>
        <v/>
      </c>
      <c r="AE75" s="53">
        <f>IF(OR($F75="",$G75=""),"",IF(AND(AE$5&lt;=$G75,AE$5+6&gt;=$F75),IF($H75="Complétée","F",IF(OR($H75="En cours",$H75="En revue"),"E",IF($H75="Bloquée","B","P"))),""))</f>
        <v/>
      </c>
      <c r="AF75" s="53">
        <f>IF(OR($F75="",$G75=""),"",IF(AND(AF$5&lt;=$G75,AF$5+6&gt;=$F75),IF($H75="Complétée","F",IF(OR($H75="En cours",$H75="En revue"),"E",IF($H75="Bloquée","B","P"))),""))</f>
        <v/>
      </c>
      <c r="AG75" s="53">
        <f>IF(OR($F75="",$G75=""),"",IF(AND(AG$5&lt;=$G75,AG$5+6&gt;=$F75),IF($H75="Complétée","F",IF(OR($H75="En cours",$H75="En revue"),"E",IF($H75="Bloquée","B","P"))),""))</f>
        <v/>
      </c>
      <c r="AH75" s="53">
        <f>IF(OR($F75="",$G75=""),"",IF(AND(AH$5&lt;=$G75,AH$5+6&gt;=$F75),IF($H75="Complétée","F",IF(OR($H75="En cours",$H75="En revue"),"E",IF($H75="Bloquée","B","P"))),""))</f>
        <v/>
      </c>
      <c r="AI75" s="53">
        <f>IF(OR($F75="",$G75=""),"",IF(AND(AI$5&lt;=$G75,AI$5+6&gt;=$F75),IF($H75="Complétée","F",IF(OR($H75="En cours",$H75="En revue"),"E",IF($H75="Bloquée","B","P"))),""))</f>
        <v/>
      </c>
      <c r="AJ75" s="53">
        <f>IF(OR($F75="",$G75=""),"",IF(AND(AJ$5&lt;=$G75,AJ$5+6&gt;=$F75),IF($H75="Complétée","F",IF(OR($H75="En cours",$H75="En revue"),"E",IF($H75="Bloquée","B","P"))),""))</f>
        <v/>
      </c>
      <c r="AK75" s="53">
        <f>IF(OR($F75="",$G75=""),"",IF(AND(AK$5&lt;=$G75,AK$5+6&gt;=$F75),IF($H75="Complétée","F",IF(OR($H75="En cours",$H75="En revue"),"E",IF($H75="Bloquée","B","P"))),""))</f>
        <v/>
      </c>
      <c r="AL75" s="53">
        <f>IF(OR($F75="",$G75=""),"",IF(AND(AL$5&lt;=$G75,AL$5+6&gt;=$F75),IF($H75="Complétée","F",IF(OR($H75="En cours",$H75="En revue"),"E",IF($H75="Bloquée","B","P"))),""))</f>
        <v/>
      </c>
      <c r="AM75" s="53">
        <f>IF(OR($F75="",$G75=""),"",IF(AND(AM$5&lt;=$G75,AM$5+6&gt;=$F75),IF($H75="Complétée","F",IF(OR($H75="En cours",$H75="En revue"),"E",IF($H75="Bloquée","B","P"))),""))</f>
        <v/>
      </c>
      <c r="AN75" s="53">
        <f>IF(OR($F75="",$G75=""),"",IF(AND(AN$5&lt;=$G75,AN$5+6&gt;=$F75),IF($H75="Complétée","F",IF(OR($H75="En cours",$H75="En revue"),"E",IF($H75="Bloquée","B","P"))),""))</f>
        <v/>
      </c>
      <c r="AO75" s="53">
        <f>IF(OR($F75="",$G75=""),"",IF(AND(AO$5&lt;=$G75,AO$5+6&gt;=$F75),IF($H75="Complétée","F",IF(OR($H75="En cours",$H75="En revue"),"E",IF($H75="Bloquée","B","P"))),""))</f>
        <v/>
      </c>
      <c r="AP75" s="53">
        <f>IF(OR($F75="",$G75=""),"",IF(AND(AP$5&lt;=$G75,AP$5+6&gt;=$F75),IF($H75="Complétée","F",IF(OR($H75="En cours",$H75="En revue"),"E",IF($H75="Bloquée","B","P"))),""))</f>
        <v/>
      </c>
      <c r="AQ75" s="53">
        <f>IF(OR($F75="",$G75=""),"",IF(AND(AQ$5&lt;=$G75,AQ$5+6&gt;=$F75),IF($H75="Complétée","F",IF(OR($H75="En cours",$H75="En revue"),"E",IF($H75="Bloquée","B","P"))),""))</f>
        <v/>
      </c>
      <c r="AR75" s="53">
        <f>IF(OR($F75="",$G75=""),"",IF(AND(AR$5&lt;=$G75,AR$5+6&gt;=$F75),IF($H75="Complétée","F",IF(OR($H75="En cours",$H75="En revue"),"E",IF($H75="Bloquée","B","P"))),""))</f>
        <v/>
      </c>
      <c r="AS75" s="53">
        <f>IF(OR($F75="",$G75=""),"",IF(AND(AS$5&lt;=$G75,AS$5+6&gt;=$F75),IF($H75="Complétée","F",IF(OR($H75="En cours",$H75="En revue"),"E",IF($H75="Bloquée","B","P"))),""))</f>
        <v/>
      </c>
      <c r="AT75" s="53">
        <f>IF(OR($F75="",$G75=""),"",IF(AND(AT$5&lt;=$G75,AT$5+6&gt;=$F75),IF($H75="Complétée","F",IF(OR($H75="En cours",$H75="En revue"),"E",IF($H75="Bloquée","B","P"))),""))</f>
        <v/>
      </c>
      <c r="AU75" s="53">
        <f>IF(OR($F75="",$G75=""),"",IF(AND(AU$5&lt;=$G75,AU$5+6&gt;=$F75),IF($H75="Complétée","F",IF(OR($H75="En cours",$H75="En revue"),"E",IF($H75="Bloquée","B","P"))),""))</f>
        <v/>
      </c>
      <c r="AV75" s="53">
        <f>IF(OR($F75="",$G75=""),"",IF(AND(AV$5&lt;=$G75,AV$5+6&gt;=$F75),IF($H75="Complétée","F",IF(OR($H75="En cours",$H75="En revue"),"E",IF($H75="Bloquée","B","P"))),""))</f>
        <v/>
      </c>
      <c r="AW75" s="53">
        <f>IF(OR($F75="",$G75=""),"",IF(AND(AW$5&lt;=$G75,AW$5+6&gt;=$F75),IF($H75="Complétée","F",IF(OR($H75="En cours",$H75="En revue"),"E",IF($H75="Bloquée","B","P"))),""))</f>
        <v/>
      </c>
    </row>
    <row r="76">
      <c r="B76" s="50">
        <f>IF(Taches!B76="","",Taches!B76)</f>
        <v/>
      </c>
      <c r="C76" s="51">
        <f>IF(Taches!B76="","",Taches!F76)</f>
        <v/>
      </c>
      <c r="D76" s="50">
        <f>IF(Taches!B76="","",Taches!C76)</f>
        <v/>
      </c>
      <c r="E76" s="50">
        <f>IF(Taches!B76="","",Taches!D76)</f>
        <v/>
      </c>
      <c r="F76" s="52">
        <f>IF(Taches!P76="","",Taches!P76)</f>
        <v/>
      </c>
      <c r="G76" s="52">
        <f>IF(Taches!Q76="","",Taches!Q76)</f>
        <v/>
      </c>
      <c r="H76" s="50">
        <f>IF(Taches!B76="","",Taches!J76)</f>
        <v/>
      </c>
      <c r="I76" s="53">
        <f>IF(OR($F76="",$G76=""),"",IF(AND(I$5&lt;=$G76,I$5+6&gt;=$F76),IF($H76="Complétée","F",IF(OR($H76="En cours",$H76="En revue"),"E",IF($H76="Bloquée","B","P"))),""))</f>
        <v/>
      </c>
      <c r="J76" s="53">
        <f>IF(OR($F76="",$G76=""),"",IF(AND(J$5&lt;=$G76,J$5+6&gt;=$F76),IF($H76="Complétée","F",IF(OR($H76="En cours",$H76="En revue"),"E",IF($H76="Bloquée","B","P"))),""))</f>
        <v/>
      </c>
      <c r="K76" s="53">
        <f>IF(OR($F76="",$G76=""),"",IF(AND(K$5&lt;=$G76,K$5+6&gt;=$F76),IF($H76="Complétée","F",IF(OR($H76="En cours",$H76="En revue"),"E",IF($H76="Bloquée","B","P"))),""))</f>
        <v/>
      </c>
      <c r="L76" s="53">
        <f>IF(OR($F76="",$G76=""),"",IF(AND(L$5&lt;=$G76,L$5+6&gt;=$F76),IF($H76="Complétée","F",IF(OR($H76="En cours",$H76="En revue"),"E",IF($H76="Bloquée","B","P"))),""))</f>
        <v/>
      </c>
      <c r="M76" s="53">
        <f>IF(OR($F76="",$G76=""),"",IF(AND(M$5&lt;=$G76,M$5+6&gt;=$F76),IF($H76="Complétée","F",IF(OR($H76="En cours",$H76="En revue"),"E",IF($H76="Bloquée","B","P"))),""))</f>
        <v/>
      </c>
      <c r="N76" s="53">
        <f>IF(OR($F76="",$G76=""),"",IF(AND(N$5&lt;=$G76,N$5+6&gt;=$F76),IF($H76="Complétée","F",IF(OR($H76="En cours",$H76="En revue"),"E",IF($H76="Bloquée","B","P"))),""))</f>
        <v/>
      </c>
      <c r="O76" s="53">
        <f>IF(OR($F76="",$G76=""),"",IF(AND(O$5&lt;=$G76,O$5+6&gt;=$F76),IF($H76="Complétée","F",IF(OR($H76="En cours",$H76="En revue"),"E",IF($H76="Bloquée","B","P"))),""))</f>
        <v/>
      </c>
      <c r="P76" s="53">
        <f>IF(OR($F76="",$G76=""),"",IF(AND(P$5&lt;=$G76,P$5+6&gt;=$F76),IF($H76="Complétée","F",IF(OR($H76="En cours",$H76="En revue"),"E",IF($H76="Bloquée","B","P"))),""))</f>
        <v/>
      </c>
      <c r="Q76" s="53">
        <f>IF(OR($F76="",$G76=""),"",IF(AND(Q$5&lt;=$G76,Q$5+6&gt;=$F76),IF($H76="Complétée","F",IF(OR($H76="En cours",$H76="En revue"),"E",IF($H76="Bloquée","B","P"))),""))</f>
        <v/>
      </c>
      <c r="R76" s="53">
        <f>IF(OR($F76="",$G76=""),"",IF(AND(R$5&lt;=$G76,R$5+6&gt;=$F76),IF($H76="Complétée","F",IF(OR($H76="En cours",$H76="En revue"),"E",IF($H76="Bloquée","B","P"))),""))</f>
        <v/>
      </c>
      <c r="S76" s="53">
        <f>IF(OR($F76="",$G76=""),"",IF(AND(S$5&lt;=$G76,S$5+6&gt;=$F76),IF($H76="Complétée","F",IF(OR($H76="En cours",$H76="En revue"),"E",IF($H76="Bloquée","B","P"))),""))</f>
        <v/>
      </c>
      <c r="T76" s="53">
        <f>IF(OR($F76="",$G76=""),"",IF(AND(T$5&lt;=$G76,T$5+6&gt;=$F76),IF($H76="Complétée","F",IF(OR($H76="En cours",$H76="En revue"),"E",IF($H76="Bloquée","B","P"))),""))</f>
        <v/>
      </c>
      <c r="U76" s="53">
        <f>IF(OR($F76="",$G76=""),"",IF(AND(U$5&lt;=$G76,U$5+6&gt;=$F76),IF($H76="Complétée","F",IF(OR($H76="En cours",$H76="En revue"),"E",IF($H76="Bloquée","B","P"))),""))</f>
        <v/>
      </c>
      <c r="V76" s="53">
        <f>IF(OR($F76="",$G76=""),"",IF(AND(V$5&lt;=$G76,V$5+6&gt;=$F76),IF($H76="Complétée","F",IF(OR($H76="En cours",$H76="En revue"),"E",IF($H76="Bloquée","B","P"))),""))</f>
        <v/>
      </c>
      <c r="W76" s="53">
        <f>IF(OR($F76="",$G76=""),"",IF(AND(W$5&lt;=$G76,W$5+6&gt;=$F76),IF($H76="Complétée","F",IF(OR($H76="En cours",$H76="En revue"),"E",IF($H76="Bloquée","B","P"))),""))</f>
        <v/>
      </c>
      <c r="X76" s="53">
        <f>IF(OR($F76="",$G76=""),"",IF(AND(X$5&lt;=$G76,X$5+6&gt;=$F76),IF($H76="Complétée","F",IF(OR($H76="En cours",$H76="En revue"),"E",IF($H76="Bloquée","B","P"))),""))</f>
        <v/>
      </c>
      <c r="Y76" s="53">
        <f>IF(OR($F76="",$G76=""),"",IF(AND(Y$5&lt;=$G76,Y$5+6&gt;=$F76),IF($H76="Complétée","F",IF(OR($H76="En cours",$H76="En revue"),"E",IF($H76="Bloquée","B","P"))),""))</f>
        <v/>
      </c>
      <c r="Z76" s="53">
        <f>IF(OR($F76="",$G76=""),"",IF(AND(Z$5&lt;=$G76,Z$5+6&gt;=$F76),IF($H76="Complétée","F",IF(OR($H76="En cours",$H76="En revue"),"E",IF($H76="Bloquée","B","P"))),""))</f>
        <v/>
      </c>
      <c r="AA76" s="53">
        <f>IF(OR($F76="",$G76=""),"",IF(AND(AA$5&lt;=$G76,AA$5+6&gt;=$F76),IF($H76="Complétée","F",IF(OR($H76="En cours",$H76="En revue"),"E",IF($H76="Bloquée","B","P"))),""))</f>
        <v/>
      </c>
      <c r="AB76" s="53">
        <f>IF(OR($F76="",$G76=""),"",IF(AND(AB$5&lt;=$G76,AB$5+6&gt;=$F76),IF($H76="Complétée","F",IF(OR($H76="En cours",$H76="En revue"),"E",IF($H76="Bloquée","B","P"))),""))</f>
        <v/>
      </c>
      <c r="AC76" s="53">
        <f>IF(OR($F76="",$G76=""),"",IF(AND(AC$5&lt;=$G76,AC$5+6&gt;=$F76),IF($H76="Complétée","F",IF(OR($H76="En cours",$H76="En revue"),"E",IF($H76="Bloquée","B","P"))),""))</f>
        <v/>
      </c>
      <c r="AD76" s="53">
        <f>IF(OR($F76="",$G76=""),"",IF(AND(AD$5&lt;=$G76,AD$5+6&gt;=$F76),IF($H76="Complétée","F",IF(OR($H76="En cours",$H76="En revue"),"E",IF($H76="Bloquée","B","P"))),""))</f>
        <v/>
      </c>
      <c r="AE76" s="53">
        <f>IF(OR($F76="",$G76=""),"",IF(AND(AE$5&lt;=$G76,AE$5+6&gt;=$F76),IF($H76="Complétée","F",IF(OR($H76="En cours",$H76="En revue"),"E",IF($H76="Bloquée","B","P"))),""))</f>
        <v/>
      </c>
      <c r="AF76" s="53">
        <f>IF(OR($F76="",$G76=""),"",IF(AND(AF$5&lt;=$G76,AF$5+6&gt;=$F76),IF($H76="Complétée","F",IF(OR($H76="En cours",$H76="En revue"),"E",IF($H76="Bloquée","B","P"))),""))</f>
        <v/>
      </c>
      <c r="AG76" s="53">
        <f>IF(OR($F76="",$G76=""),"",IF(AND(AG$5&lt;=$G76,AG$5+6&gt;=$F76),IF($H76="Complétée","F",IF(OR($H76="En cours",$H76="En revue"),"E",IF($H76="Bloquée","B","P"))),""))</f>
        <v/>
      </c>
      <c r="AH76" s="53">
        <f>IF(OR($F76="",$G76=""),"",IF(AND(AH$5&lt;=$G76,AH$5+6&gt;=$F76),IF($H76="Complétée","F",IF(OR($H76="En cours",$H76="En revue"),"E",IF($H76="Bloquée","B","P"))),""))</f>
        <v/>
      </c>
      <c r="AI76" s="53">
        <f>IF(OR($F76="",$G76=""),"",IF(AND(AI$5&lt;=$G76,AI$5+6&gt;=$F76),IF($H76="Complétée","F",IF(OR($H76="En cours",$H76="En revue"),"E",IF($H76="Bloquée","B","P"))),""))</f>
        <v/>
      </c>
      <c r="AJ76" s="53">
        <f>IF(OR($F76="",$G76=""),"",IF(AND(AJ$5&lt;=$G76,AJ$5+6&gt;=$F76),IF($H76="Complétée","F",IF(OR($H76="En cours",$H76="En revue"),"E",IF($H76="Bloquée","B","P"))),""))</f>
        <v/>
      </c>
      <c r="AK76" s="53">
        <f>IF(OR($F76="",$G76=""),"",IF(AND(AK$5&lt;=$G76,AK$5+6&gt;=$F76),IF($H76="Complétée","F",IF(OR($H76="En cours",$H76="En revue"),"E",IF($H76="Bloquée","B","P"))),""))</f>
        <v/>
      </c>
      <c r="AL76" s="53">
        <f>IF(OR($F76="",$G76=""),"",IF(AND(AL$5&lt;=$G76,AL$5+6&gt;=$F76),IF($H76="Complétée","F",IF(OR($H76="En cours",$H76="En revue"),"E",IF($H76="Bloquée","B","P"))),""))</f>
        <v/>
      </c>
      <c r="AM76" s="53">
        <f>IF(OR($F76="",$G76=""),"",IF(AND(AM$5&lt;=$G76,AM$5+6&gt;=$F76),IF($H76="Complétée","F",IF(OR($H76="En cours",$H76="En revue"),"E",IF($H76="Bloquée","B","P"))),""))</f>
        <v/>
      </c>
      <c r="AN76" s="53">
        <f>IF(OR($F76="",$G76=""),"",IF(AND(AN$5&lt;=$G76,AN$5+6&gt;=$F76),IF($H76="Complétée","F",IF(OR($H76="En cours",$H76="En revue"),"E",IF($H76="Bloquée","B","P"))),""))</f>
        <v/>
      </c>
      <c r="AO76" s="53">
        <f>IF(OR($F76="",$G76=""),"",IF(AND(AO$5&lt;=$G76,AO$5+6&gt;=$F76),IF($H76="Complétée","F",IF(OR($H76="En cours",$H76="En revue"),"E",IF($H76="Bloquée","B","P"))),""))</f>
        <v/>
      </c>
      <c r="AP76" s="53">
        <f>IF(OR($F76="",$G76=""),"",IF(AND(AP$5&lt;=$G76,AP$5+6&gt;=$F76),IF($H76="Complétée","F",IF(OR($H76="En cours",$H76="En revue"),"E",IF($H76="Bloquée","B","P"))),""))</f>
        <v/>
      </c>
      <c r="AQ76" s="53">
        <f>IF(OR($F76="",$G76=""),"",IF(AND(AQ$5&lt;=$G76,AQ$5+6&gt;=$F76),IF($H76="Complétée","F",IF(OR($H76="En cours",$H76="En revue"),"E",IF($H76="Bloquée","B","P"))),""))</f>
        <v/>
      </c>
      <c r="AR76" s="53">
        <f>IF(OR($F76="",$G76=""),"",IF(AND(AR$5&lt;=$G76,AR$5+6&gt;=$F76),IF($H76="Complétée","F",IF(OR($H76="En cours",$H76="En revue"),"E",IF($H76="Bloquée","B","P"))),""))</f>
        <v/>
      </c>
      <c r="AS76" s="53">
        <f>IF(OR($F76="",$G76=""),"",IF(AND(AS$5&lt;=$G76,AS$5+6&gt;=$F76),IF($H76="Complétée","F",IF(OR($H76="En cours",$H76="En revue"),"E",IF($H76="Bloquée","B","P"))),""))</f>
        <v/>
      </c>
      <c r="AT76" s="53">
        <f>IF(OR($F76="",$G76=""),"",IF(AND(AT$5&lt;=$G76,AT$5+6&gt;=$F76),IF($H76="Complétée","F",IF(OR($H76="En cours",$H76="En revue"),"E",IF($H76="Bloquée","B","P"))),""))</f>
        <v/>
      </c>
      <c r="AU76" s="53">
        <f>IF(OR($F76="",$G76=""),"",IF(AND(AU$5&lt;=$G76,AU$5+6&gt;=$F76),IF($H76="Complétée","F",IF(OR($H76="En cours",$H76="En revue"),"E",IF($H76="Bloquée","B","P"))),""))</f>
        <v/>
      </c>
      <c r="AV76" s="53">
        <f>IF(OR($F76="",$G76=""),"",IF(AND(AV$5&lt;=$G76,AV$5+6&gt;=$F76),IF($H76="Complétée","F",IF(OR($H76="En cours",$H76="En revue"),"E",IF($H76="Bloquée","B","P"))),""))</f>
        <v/>
      </c>
      <c r="AW76" s="53">
        <f>IF(OR($F76="",$G76=""),"",IF(AND(AW$5&lt;=$G76,AW$5+6&gt;=$F76),IF($H76="Complétée","F",IF(OR($H76="En cours",$H76="En revue"),"E",IF($H76="Bloquée","B","P"))),""))</f>
        <v/>
      </c>
    </row>
    <row r="77">
      <c r="B77" s="50">
        <f>IF(Taches!B77="","",Taches!B77)</f>
        <v/>
      </c>
      <c r="C77" s="51">
        <f>IF(Taches!B77="","",Taches!F77)</f>
        <v/>
      </c>
      <c r="D77" s="50">
        <f>IF(Taches!B77="","",Taches!C77)</f>
        <v/>
      </c>
      <c r="E77" s="50">
        <f>IF(Taches!B77="","",Taches!D77)</f>
        <v/>
      </c>
      <c r="F77" s="52">
        <f>IF(Taches!P77="","",Taches!P77)</f>
        <v/>
      </c>
      <c r="G77" s="52">
        <f>IF(Taches!Q77="","",Taches!Q77)</f>
        <v/>
      </c>
      <c r="H77" s="50">
        <f>IF(Taches!B77="","",Taches!J77)</f>
        <v/>
      </c>
      <c r="I77" s="53">
        <f>IF(OR($F77="",$G77=""),"",IF(AND(I$5&lt;=$G77,I$5+6&gt;=$F77),IF($H77="Complétée","F",IF(OR($H77="En cours",$H77="En revue"),"E",IF($H77="Bloquée","B","P"))),""))</f>
        <v/>
      </c>
      <c r="J77" s="53">
        <f>IF(OR($F77="",$G77=""),"",IF(AND(J$5&lt;=$G77,J$5+6&gt;=$F77),IF($H77="Complétée","F",IF(OR($H77="En cours",$H77="En revue"),"E",IF($H77="Bloquée","B","P"))),""))</f>
        <v/>
      </c>
      <c r="K77" s="53">
        <f>IF(OR($F77="",$G77=""),"",IF(AND(K$5&lt;=$G77,K$5+6&gt;=$F77),IF($H77="Complétée","F",IF(OR($H77="En cours",$H77="En revue"),"E",IF($H77="Bloquée","B","P"))),""))</f>
        <v/>
      </c>
      <c r="L77" s="53">
        <f>IF(OR($F77="",$G77=""),"",IF(AND(L$5&lt;=$G77,L$5+6&gt;=$F77),IF($H77="Complétée","F",IF(OR($H77="En cours",$H77="En revue"),"E",IF($H77="Bloquée","B","P"))),""))</f>
        <v/>
      </c>
      <c r="M77" s="53">
        <f>IF(OR($F77="",$G77=""),"",IF(AND(M$5&lt;=$G77,M$5+6&gt;=$F77),IF($H77="Complétée","F",IF(OR($H77="En cours",$H77="En revue"),"E",IF($H77="Bloquée","B","P"))),""))</f>
        <v/>
      </c>
      <c r="N77" s="53">
        <f>IF(OR($F77="",$G77=""),"",IF(AND(N$5&lt;=$G77,N$5+6&gt;=$F77),IF($H77="Complétée","F",IF(OR($H77="En cours",$H77="En revue"),"E",IF($H77="Bloquée","B","P"))),""))</f>
        <v/>
      </c>
      <c r="O77" s="53">
        <f>IF(OR($F77="",$G77=""),"",IF(AND(O$5&lt;=$G77,O$5+6&gt;=$F77),IF($H77="Complétée","F",IF(OR($H77="En cours",$H77="En revue"),"E",IF($H77="Bloquée","B","P"))),""))</f>
        <v/>
      </c>
      <c r="P77" s="53">
        <f>IF(OR($F77="",$G77=""),"",IF(AND(P$5&lt;=$G77,P$5+6&gt;=$F77),IF($H77="Complétée","F",IF(OR($H77="En cours",$H77="En revue"),"E",IF($H77="Bloquée","B","P"))),""))</f>
        <v/>
      </c>
      <c r="Q77" s="53">
        <f>IF(OR($F77="",$G77=""),"",IF(AND(Q$5&lt;=$G77,Q$5+6&gt;=$F77),IF($H77="Complétée","F",IF(OR($H77="En cours",$H77="En revue"),"E",IF($H77="Bloquée","B","P"))),""))</f>
        <v/>
      </c>
      <c r="R77" s="53">
        <f>IF(OR($F77="",$G77=""),"",IF(AND(R$5&lt;=$G77,R$5+6&gt;=$F77),IF($H77="Complétée","F",IF(OR($H77="En cours",$H77="En revue"),"E",IF($H77="Bloquée","B","P"))),""))</f>
        <v/>
      </c>
      <c r="S77" s="53">
        <f>IF(OR($F77="",$G77=""),"",IF(AND(S$5&lt;=$G77,S$5+6&gt;=$F77),IF($H77="Complétée","F",IF(OR($H77="En cours",$H77="En revue"),"E",IF($H77="Bloquée","B","P"))),""))</f>
        <v/>
      </c>
      <c r="T77" s="53">
        <f>IF(OR($F77="",$G77=""),"",IF(AND(T$5&lt;=$G77,T$5+6&gt;=$F77),IF($H77="Complétée","F",IF(OR($H77="En cours",$H77="En revue"),"E",IF($H77="Bloquée","B","P"))),""))</f>
        <v/>
      </c>
      <c r="U77" s="53">
        <f>IF(OR($F77="",$G77=""),"",IF(AND(U$5&lt;=$G77,U$5+6&gt;=$F77),IF($H77="Complétée","F",IF(OR($H77="En cours",$H77="En revue"),"E",IF($H77="Bloquée","B","P"))),""))</f>
        <v/>
      </c>
      <c r="V77" s="53">
        <f>IF(OR($F77="",$G77=""),"",IF(AND(V$5&lt;=$G77,V$5+6&gt;=$F77),IF($H77="Complétée","F",IF(OR($H77="En cours",$H77="En revue"),"E",IF($H77="Bloquée","B","P"))),""))</f>
        <v/>
      </c>
      <c r="W77" s="53">
        <f>IF(OR($F77="",$G77=""),"",IF(AND(W$5&lt;=$G77,W$5+6&gt;=$F77),IF($H77="Complétée","F",IF(OR($H77="En cours",$H77="En revue"),"E",IF($H77="Bloquée","B","P"))),""))</f>
        <v/>
      </c>
      <c r="X77" s="53">
        <f>IF(OR($F77="",$G77=""),"",IF(AND(X$5&lt;=$G77,X$5+6&gt;=$F77),IF($H77="Complétée","F",IF(OR($H77="En cours",$H77="En revue"),"E",IF($H77="Bloquée","B","P"))),""))</f>
        <v/>
      </c>
      <c r="Y77" s="53">
        <f>IF(OR($F77="",$G77=""),"",IF(AND(Y$5&lt;=$G77,Y$5+6&gt;=$F77),IF($H77="Complétée","F",IF(OR($H77="En cours",$H77="En revue"),"E",IF($H77="Bloquée","B","P"))),""))</f>
        <v/>
      </c>
      <c r="Z77" s="53">
        <f>IF(OR($F77="",$G77=""),"",IF(AND(Z$5&lt;=$G77,Z$5+6&gt;=$F77),IF($H77="Complétée","F",IF(OR($H77="En cours",$H77="En revue"),"E",IF($H77="Bloquée","B","P"))),""))</f>
        <v/>
      </c>
      <c r="AA77" s="53">
        <f>IF(OR($F77="",$G77=""),"",IF(AND(AA$5&lt;=$G77,AA$5+6&gt;=$F77),IF($H77="Complétée","F",IF(OR($H77="En cours",$H77="En revue"),"E",IF($H77="Bloquée","B","P"))),""))</f>
        <v/>
      </c>
      <c r="AB77" s="53">
        <f>IF(OR($F77="",$G77=""),"",IF(AND(AB$5&lt;=$G77,AB$5+6&gt;=$F77),IF($H77="Complétée","F",IF(OR($H77="En cours",$H77="En revue"),"E",IF($H77="Bloquée","B","P"))),""))</f>
        <v/>
      </c>
      <c r="AC77" s="53">
        <f>IF(OR($F77="",$G77=""),"",IF(AND(AC$5&lt;=$G77,AC$5+6&gt;=$F77),IF($H77="Complétée","F",IF(OR($H77="En cours",$H77="En revue"),"E",IF($H77="Bloquée","B","P"))),""))</f>
        <v/>
      </c>
      <c r="AD77" s="53">
        <f>IF(OR($F77="",$G77=""),"",IF(AND(AD$5&lt;=$G77,AD$5+6&gt;=$F77),IF($H77="Complétée","F",IF(OR($H77="En cours",$H77="En revue"),"E",IF($H77="Bloquée","B","P"))),""))</f>
        <v/>
      </c>
      <c r="AE77" s="53">
        <f>IF(OR($F77="",$G77=""),"",IF(AND(AE$5&lt;=$G77,AE$5+6&gt;=$F77),IF($H77="Complétée","F",IF(OR($H77="En cours",$H77="En revue"),"E",IF($H77="Bloquée","B","P"))),""))</f>
        <v/>
      </c>
      <c r="AF77" s="53">
        <f>IF(OR($F77="",$G77=""),"",IF(AND(AF$5&lt;=$G77,AF$5+6&gt;=$F77),IF($H77="Complétée","F",IF(OR($H77="En cours",$H77="En revue"),"E",IF($H77="Bloquée","B","P"))),""))</f>
        <v/>
      </c>
      <c r="AG77" s="53">
        <f>IF(OR($F77="",$G77=""),"",IF(AND(AG$5&lt;=$G77,AG$5+6&gt;=$F77),IF($H77="Complétée","F",IF(OR($H77="En cours",$H77="En revue"),"E",IF($H77="Bloquée","B","P"))),""))</f>
        <v/>
      </c>
      <c r="AH77" s="53">
        <f>IF(OR($F77="",$G77=""),"",IF(AND(AH$5&lt;=$G77,AH$5+6&gt;=$F77),IF($H77="Complétée","F",IF(OR($H77="En cours",$H77="En revue"),"E",IF($H77="Bloquée","B","P"))),""))</f>
        <v/>
      </c>
      <c r="AI77" s="53">
        <f>IF(OR($F77="",$G77=""),"",IF(AND(AI$5&lt;=$G77,AI$5+6&gt;=$F77),IF($H77="Complétée","F",IF(OR($H77="En cours",$H77="En revue"),"E",IF($H77="Bloquée","B","P"))),""))</f>
        <v/>
      </c>
      <c r="AJ77" s="53">
        <f>IF(OR($F77="",$G77=""),"",IF(AND(AJ$5&lt;=$G77,AJ$5+6&gt;=$F77),IF($H77="Complétée","F",IF(OR($H77="En cours",$H77="En revue"),"E",IF($H77="Bloquée","B","P"))),""))</f>
        <v/>
      </c>
      <c r="AK77" s="53">
        <f>IF(OR($F77="",$G77=""),"",IF(AND(AK$5&lt;=$G77,AK$5+6&gt;=$F77),IF($H77="Complétée","F",IF(OR($H77="En cours",$H77="En revue"),"E",IF($H77="Bloquée","B","P"))),""))</f>
        <v/>
      </c>
      <c r="AL77" s="53">
        <f>IF(OR($F77="",$G77=""),"",IF(AND(AL$5&lt;=$G77,AL$5+6&gt;=$F77),IF($H77="Complétée","F",IF(OR($H77="En cours",$H77="En revue"),"E",IF($H77="Bloquée","B","P"))),""))</f>
        <v/>
      </c>
      <c r="AM77" s="53">
        <f>IF(OR($F77="",$G77=""),"",IF(AND(AM$5&lt;=$G77,AM$5+6&gt;=$F77),IF($H77="Complétée","F",IF(OR($H77="En cours",$H77="En revue"),"E",IF($H77="Bloquée","B","P"))),""))</f>
        <v/>
      </c>
      <c r="AN77" s="53">
        <f>IF(OR($F77="",$G77=""),"",IF(AND(AN$5&lt;=$G77,AN$5+6&gt;=$F77),IF($H77="Complétée","F",IF(OR($H77="En cours",$H77="En revue"),"E",IF($H77="Bloquée","B","P"))),""))</f>
        <v/>
      </c>
      <c r="AO77" s="53">
        <f>IF(OR($F77="",$G77=""),"",IF(AND(AO$5&lt;=$G77,AO$5+6&gt;=$F77),IF($H77="Complétée","F",IF(OR($H77="En cours",$H77="En revue"),"E",IF($H77="Bloquée","B","P"))),""))</f>
        <v/>
      </c>
      <c r="AP77" s="53">
        <f>IF(OR($F77="",$G77=""),"",IF(AND(AP$5&lt;=$G77,AP$5+6&gt;=$F77),IF($H77="Complétée","F",IF(OR($H77="En cours",$H77="En revue"),"E",IF($H77="Bloquée","B","P"))),""))</f>
        <v/>
      </c>
      <c r="AQ77" s="53">
        <f>IF(OR($F77="",$G77=""),"",IF(AND(AQ$5&lt;=$G77,AQ$5+6&gt;=$F77),IF($H77="Complétée","F",IF(OR($H77="En cours",$H77="En revue"),"E",IF($H77="Bloquée","B","P"))),""))</f>
        <v/>
      </c>
      <c r="AR77" s="53">
        <f>IF(OR($F77="",$G77=""),"",IF(AND(AR$5&lt;=$G77,AR$5+6&gt;=$F77),IF($H77="Complétée","F",IF(OR($H77="En cours",$H77="En revue"),"E",IF($H77="Bloquée","B","P"))),""))</f>
        <v/>
      </c>
      <c r="AS77" s="53">
        <f>IF(OR($F77="",$G77=""),"",IF(AND(AS$5&lt;=$G77,AS$5+6&gt;=$F77),IF($H77="Complétée","F",IF(OR($H77="En cours",$H77="En revue"),"E",IF($H77="Bloquée","B","P"))),""))</f>
        <v/>
      </c>
      <c r="AT77" s="53">
        <f>IF(OR($F77="",$G77=""),"",IF(AND(AT$5&lt;=$G77,AT$5+6&gt;=$F77),IF($H77="Complétée","F",IF(OR($H77="En cours",$H77="En revue"),"E",IF($H77="Bloquée","B","P"))),""))</f>
        <v/>
      </c>
      <c r="AU77" s="53">
        <f>IF(OR($F77="",$G77=""),"",IF(AND(AU$5&lt;=$G77,AU$5+6&gt;=$F77),IF($H77="Complétée","F",IF(OR($H77="En cours",$H77="En revue"),"E",IF($H77="Bloquée","B","P"))),""))</f>
        <v/>
      </c>
      <c r="AV77" s="53">
        <f>IF(OR($F77="",$G77=""),"",IF(AND(AV$5&lt;=$G77,AV$5+6&gt;=$F77),IF($H77="Complétée","F",IF(OR($H77="En cours",$H77="En revue"),"E",IF($H77="Bloquée","B","P"))),""))</f>
        <v/>
      </c>
      <c r="AW77" s="53">
        <f>IF(OR($F77="",$G77=""),"",IF(AND(AW$5&lt;=$G77,AW$5+6&gt;=$F77),IF($H77="Complétée","F",IF(OR($H77="En cours",$H77="En revue"),"E",IF($H77="Bloquée","B","P"))),""))</f>
        <v/>
      </c>
    </row>
    <row r="78">
      <c r="B78" s="50">
        <f>IF(Taches!B78="","",Taches!B78)</f>
        <v/>
      </c>
      <c r="C78" s="51">
        <f>IF(Taches!B78="","",Taches!F78)</f>
        <v/>
      </c>
      <c r="D78" s="50">
        <f>IF(Taches!B78="","",Taches!C78)</f>
        <v/>
      </c>
      <c r="E78" s="50">
        <f>IF(Taches!B78="","",Taches!D78)</f>
        <v/>
      </c>
      <c r="F78" s="52">
        <f>IF(Taches!P78="","",Taches!P78)</f>
        <v/>
      </c>
      <c r="G78" s="52">
        <f>IF(Taches!Q78="","",Taches!Q78)</f>
        <v/>
      </c>
      <c r="H78" s="50">
        <f>IF(Taches!B78="","",Taches!J78)</f>
        <v/>
      </c>
      <c r="I78" s="53">
        <f>IF(OR($F78="",$G78=""),"",IF(AND(I$5&lt;=$G78,I$5+6&gt;=$F78),IF($H78="Complétée","F",IF(OR($H78="En cours",$H78="En revue"),"E",IF($H78="Bloquée","B","P"))),""))</f>
        <v/>
      </c>
      <c r="J78" s="53">
        <f>IF(OR($F78="",$G78=""),"",IF(AND(J$5&lt;=$G78,J$5+6&gt;=$F78),IF($H78="Complétée","F",IF(OR($H78="En cours",$H78="En revue"),"E",IF($H78="Bloquée","B","P"))),""))</f>
        <v/>
      </c>
      <c r="K78" s="53">
        <f>IF(OR($F78="",$G78=""),"",IF(AND(K$5&lt;=$G78,K$5+6&gt;=$F78),IF($H78="Complétée","F",IF(OR($H78="En cours",$H78="En revue"),"E",IF($H78="Bloquée","B","P"))),""))</f>
        <v/>
      </c>
      <c r="L78" s="53">
        <f>IF(OR($F78="",$G78=""),"",IF(AND(L$5&lt;=$G78,L$5+6&gt;=$F78),IF($H78="Complétée","F",IF(OR($H78="En cours",$H78="En revue"),"E",IF($H78="Bloquée","B","P"))),""))</f>
        <v/>
      </c>
      <c r="M78" s="53">
        <f>IF(OR($F78="",$G78=""),"",IF(AND(M$5&lt;=$G78,M$5+6&gt;=$F78),IF($H78="Complétée","F",IF(OR($H78="En cours",$H78="En revue"),"E",IF($H78="Bloquée","B","P"))),""))</f>
        <v/>
      </c>
      <c r="N78" s="53">
        <f>IF(OR($F78="",$G78=""),"",IF(AND(N$5&lt;=$G78,N$5+6&gt;=$F78),IF($H78="Complétée","F",IF(OR($H78="En cours",$H78="En revue"),"E",IF($H78="Bloquée","B","P"))),""))</f>
        <v/>
      </c>
      <c r="O78" s="53">
        <f>IF(OR($F78="",$G78=""),"",IF(AND(O$5&lt;=$G78,O$5+6&gt;=$F78),IF($H78="Complétée","F",IF(OR($H78="En cours",$H78="En revue"),"E",IF($H78="Bloquée","B","P"))),""))</f>
        <v/>
      </c>
      <c r="P78" s="53">
        <f>IF(OR($F78="",$G78=""),"",IF(AND(P$5&lt;=$G78,P$5+6&gt;=$F78),IF($H78="Complétée","F",IF(OR($H78="En cours",$H78="En revue"),"E",IF($H78="Bloquée","B","P"))),""))</f>
        <v/>
      </c>
      <c r="Q78" s="53">
        <f>IF(OR($F78="",$G78=""),"",IF(AND(Q$5&lt;=$G78,Q$5+6&gt;=$F78),IF($H78="Complétée","F",IF(OR($H78="En cours",$H78="En revue"),"E",IF($H78="Bloquée","B","P"))),""))</f>
        <v/>
      </c>
      <c r="R78" s="53">
        <f>IF(OR($F78="",$G78=""),"",IF(AND(R$5&lt;=$G78,R$5+6&gt;=$F78),IF($H78="Complétée","F",IF(OR($H78="En cours",$H78="En revue"),"E",IF($H78="Bloquée","B","P"))),""))</f>
        <v/>
      </c>
      <c r="S78" s="53">
        <f>IF(OR($F78="",$G78=""),"",IF(AND(S$5&lt;=$G78,S$5+6&gt;=$F78),IF($H78="Complétée","F",IF(OR($H78="En cours",$H78="En revue"),"E",IF($H78="Bloquée","B","P"))),""))</f>
        <v/>
      </c>
      <c r="T78" s="53">
        <f>IF(OR($F78="",$G78=""),"",IF(AND(T$5&lt;=$G78,T$5+6&gt;=$F78),IF($H78="Complétée","F",IF(OR($H78="En cours",$H78="En revue"),"E",IF($H78="Bloquée","B","P"))),""))</f>
        <v/>
      </c>
      <c r="U78" s="53">
        <f>IF(OR($F78="",$G78=""),"",IF(AND(U$5&lt;=$G78,U$5+6&gt;=$F78),IF($H78="Complétée","F",IF(OR($H78="En cours",$H78="En revue"),"E",IF($H78="Bloquée","B","P"))),""))</f>
        <v/>
      </c>
      <c r="V78" s="53">
        <f>IF(OR($F78="",$G78=""),"",IF(AND(V$5&lt;=$G78,V$5+6&gt;=$F78),IF($H78="Complétée","F",IF(OR($H78="En cours",$H78="En revue"),"E",IF($H78="Bloquée","B","P"))),""))</f>
        <v/>
      </c>
      <c r="W78" s="53">
        <f>IF(OR($F78="",$G78=""),"",IF(AND(W$5&lt;=$G78,W$5+6&gt;=$F78),IF($H78="Complétée","F",IF(OR($H78="En cours",$H78="En revue"),"E",IF($H78="Bloquée","B","P"))),""))</f>
        <v/>
      </c>
      <c r="X78" s="53">
        <f>IF(OR($F78="",$G78=""),"",IF(AND(X$5&lt;=$G78,X$5+6&gt;=$F78),IF($H78="Complétée","F",IF(OR($H78="En cours",$H78="En revue"),"E",IF($H78="Bloquée","B","P"))),""))</f>
        <v/>
      </c>
      <c r="Y78" s="53">
        <f>IF(OR($F78="",$G78=""),"",IF(AND(Y$5&lt;=$G78,Y$5+6&gt;=$F78),IF($H78="Complétée","F",IF(OR($H78="En cours",$H78="En revue"),"E",IF($H78="Bloquée","B","P"))),""))</f>
        <v/>
      </c>
      <c r="Z78" s="53">
        <f>IF(OR($F78="",$G78=""),"",IF(AND(Z$5&lt;=$G78,Z$5+6&gt;=$F78),IF($H78="Complétée","F",IF(OR($H78="En cours",$H78="En revue"),"E",IF($H78="Bloquée","B","P"))),""))</f>
        <v/>
      </c>
      <c r="AA78" s="53">
        <f>IF(OR($F78="",$G78=""),"",IF(AND(AA$5&lt;=$G78,AA$5+6&gt;=$F78),IF($H78="Complétée","F",IF(OR($H78="En cours",$H78="En revue"),"E",IF($H78="Bloquée","B","P"))),""))</f>
        <v/>
      </c>
      <c r="AB78" s="53">
        <f>IF(OR($F78="",$G78=""),"",IF(AND(AB$5&lt;=$G78,AB$5+6&gt;=$F78),IF($H78="Complétée","F",IF(OR($H78="En cours",$H78="En revue"),"E",IF($H78="Bloquée","B","P"))),""))</f>
        <v/>
      </c>
      <c r="AC78" s="53">
        <f>IF(OR($F78="",$G78=""),"",IF(AND(AC$5&lt;=$G78,AC$5+6&gt;=$F78),IF($H78="Complétée","F",IF(OR($H78="En cours",$H78="En revue"),"E",IF($H78="Bloquée","B","P"))),""))</f>
        <v/>
      </c>
      <c r="AD78" s="53">
        <f>IF(OR($F78="",$G78=""),"",IF(AND(AD$5&lt;=$G78,AD$5+6&gt;=$F78),IF($H78="Complétée","F",IF(OR($H78="En cours",$H78="En revue"),"E",IF($H78="Bloquée","B","P"))),""))</f>
        <v/>
      </c>
      <c r="AE78" s="53">
        <f>IF(OR($F78="",$G78=""),"",IF(AND(AE$5&lt;=$G78,AE$5+6&gt;=$F78),IF($H78="Complétée","F",IF(OR($H78="En cours",$H78="En revue"),"E",IF($H78="Bloquée","B","P"))),""))</f>
        <v/>
      </c>
      <c r="AF78" s="53">
        <f>IF(OR($F78="",$G78=""),"",IF(AND(AF$5&lt;=$G78,AF$5+6&gt;=$F78),IF($H78="Complétée","F",IF(OR($H78="En cours",$H78="En revue"),"E",IF($H78="Bloquée","B","P"))),""))</f>
        <v/>
      </c>
      <c r="AG78" s="53">
        <f>IF(OR($F78="",$G78=""),"",IF(AND(AG$5&lt;=$G78,AG$5+6&gt;=$F78),IF($H78="Complétée","F",IF(OR($H78="En cours",$H78="En revue"),"E",IF($H78="Bloquée","B","P"))),""))</f>
        <v/>
      </c>
      <c r="AH78" s="53">
        <f>IF(OR($F78="",$G78=""),"",IF(AND(AH$5&lt;=$G78,AH$5+6&gt;=$F78),IF($H78="Complétée","F",IF(OR($H78="En cours",$H78="En revue"),"E",IF($H78="Bloquée","B","P"))),""))</f>
        <v/>
      </c>
      <c r="AI78" s="53">
        <f>IF(OR($F78="",$G78=""),"",IF(AND(AI$5&lt;=$G78,AI$5+6&gt;=$F78),IF($H78="Complétée","F",IF(OR($H78="En cours",$H78="En revue"),"E",IF($H78="Bloquée","B","P"))),""))</f>
        <v/>
      </c>
      <c r="AJ78" s="53">
        <f>IF(OR($F78="",$G78=""),"",IF(AND(AJ$5&lt;=$G78,AJ$5+6&gt;=$F78),IF($H78="Complétée","F",IF(OR($H78="En cours",$H78="En revue"),"E",IF($H78="Bloquée","B","P"))),""))</f>
        <v/>
      </c>
      <c r="AK78" s="53">
        <f>IF(OR($F78="",$G78=""),"",IF(AND(AK$5&lt;=$G78,AK$5+6&gt;=$F78),IF($H78="Complétée","F",IF(OR($H78="En cours",$H78="En revue"),"E",IF($H78="Bloquée","B","P"))),""))</f>
        <v/>
      </c>
      <c r="AL78" s="53">
        <f>IF(OR($F78="",$G78=""),"",IF(AND(AL$5&lt;=$G78,AL$5+6&gt;=$F78),IF($H78="Complétée","F",IF(OR($H78="En cours",$H78="En revue"),"E",IF($H78="Bloquée","B","P"))),""))</f>
        <v/>
      </c>
      <c r="AM78" s="53">
        <f>IF(OR($F78="",$G78=""),"",IF(AND(AM$5&lt;=$G78,AM$5+6&gt;=$F78),IF($H78="Complétée","F",IF(OR($H78="En cours",$H78="En revue"),"E",IF($H78="Bloquée","B","P"))),""))</f>
        <v/>
      </c>
      <c r="AN78" s="53">
        <f>IF(OR($F78="",$G78=""),"",IF(AND(AN$5&lt;=$G78,AN$5+6&gt;=$F78),IF($H78="Complétée","F",IF(OR($H78="En cours",$H78="En revue"),"E",IF($H78="Bloquée","B","P"))),""))</f>
        <v/>
      </c>
      <c r="AO78" s="53">
        <f>IF(OR($F78="",$G78=""),"",IF(AND(AO$5&lt;=$G78,AO$5+6&gt;=$F78),IF($H78="Complétée","F",IF(OR($H78="En cours",$H78="En revue"),"E",IF($H78="Bloquée","B","P"))),""))</f>
        <v/>
      </c>
      <c r="AP78" s="53">
        <f>IF(OR($F78="",$G78=""),"",IF(AND(AP$5&lt;=$G78,AP$5+6&gt;=$F78),IF($H78="Complétée","F",IF(OR($H78="En cours",$H78="En revue"),"E",IF($H78="Bloquée","B","P"))),""))</f>
        <v/>
      </c>
      <c r="AQ78" s="53">
        <f>IF(OR($F78="",$G78=""),"",IF(AND(AQ$5&lt;=$G78,AQ$5+6&gt;=$F78),IF($H78="Complétée","F",IF(OR($H78="En cours",$H78="En revue"),"E",IF($H78="Bloquée","B","P"))),""))</f>
        <v/>
      </c>
      <c r="AR78" s="53">
        <f>IF(OR($F78="",$G78=""),"",IF(AND(AR$5&lt;=$G78,AR$5+6&gt;=$F78),IF($H78="Complétée","F",IF(OR($H78="En cours",$H78="En revue"),"E",IF($H78="Bloquée","B","P"))),""))</f>
        <v/>
      </c>
      <c r="AS78" s="53">
        <f>IF(OR($F78="",$G78=""),"",IF(AND(AS$5&lt;=$G78,AS$5+6&gt;=$F78),IF($H78="Complétée","F",IF(OR($H78="En cours",$H78="En revue"),"E",IF($H78="Bloquée","B","P"))),""))</f>
        <v/>
      </c>
      <c r="AT78" s="53">
        <f>IF(OR($F78="",$G78=""),"",IF(AND(AT$5&lt;=$G78,AT$5+6&gt;=$F78),IF($H78="Complétée","F",IF(OR($H78="En cours",$H78="En revue"),"E",IF($H78="Bloquée","B","P"))),""))</f>
        <v/>
      </c>
      <c r="AU78" s="53">
        <f>IF(OR($F78="",$G78=""),"",IF(AND(AU$5&lt;=$G78,AU$5+6&gt;=$F78),IF($H78="Complétée","F",IF(OR($H78="En cours",$H78="En revue"),"E",IF($H78="Bloquée","B","P"))),""))</f>
        <v/>
      </c>
      <c r="AV78" s="53">
        <f>IF(OR($F78="",$G78=""),"",IF(AND(AV$5&lt;=$G78,AV$5+6&gt;=$F78),IF($H78="Complétée","F",IF(OR($H78="En cours",$H78="En revue"),"E",IF($H78="Bloquée","B","P"))),""))</f>
        <v/>
      </c>
      <c r="AW78" s="53">
        <f>IF(OR($F78="",$G78=""),"",IF(AND(AW$5&lt;=$G78,AW$5+6&gt;=$F78),IF($H78="Complétée","F",IF(OR($H78="En cours",$H78="En revue"),"E",IF($H78="Bloquée","B","P"))),""))</f>
        <v/>
      </c>
    </row>
    <row r="79">
      <c r="B79" s="50">
        <f>IF(Taches!B79="","",Taches!B79)</f>
        <v/>
      </c>
      <c r="C79" s="51">
        <f>IF(Taches!B79="","",Taches!F79)</f>
        <v/>
      </c>
      <c r="D79" s="50">
        <f>IF(Taches!B79="","",Taches!C79)</f>
        <v/>
      </c>
      <c r="E79" s="50">
        <f>IF(Taches!B79="","",Taches!D79)</f>
        <v/>
      </c>
      <c r="F79" s="52">
        <f>IF(Taches!P79="","",Taches!P79)</f>
        <v/>
      </c>
      <c r="G79" s="52">
        <f>IF(Taches!Q79="","",Taches!Q79)</f>
        <v/>
      </c>
      <c r="H79" s="50">
        <f>IF(Taches!B79="","",Taches!J79)</f>
        <v/>
      </c>
      <c r="I79" s="53">
        <f>IF(OR($F79="",$G79=""),"",IF(AND(I$5&lt;=$G79,I$5+6&gt;=$F79),IF($H79="Complétée","F",IF(OR($H79="En cours",$H79="En revue"),"E",IF($H79="Bloquée","B","P"))),""))</f>
        <v/>
      </c>
      <c r="J79" s="53">
        <f>IF(OR($F79="",$G79=""),"",IF(AND(J$5&lt;=$G79,J$5+6&gt;=$F79),IF($H79="Complétée","F",IF(OR($H79="En cours",$H79="En revue"),"E",IF($H79="Bloquée","B","P"))),""))</f>
        <v/>
      </c>
      <c r="K79" s="53">
        <f>IF(OR($F79="",$G79=""),"",IF(AND(K$5&lt;=$G79,K$5+6&gt;=$F79),IF($H79="Complétée","F",IF(OR($H79="En cours",$H79="En revue"),"E",IF($H79="Bloquée","B","P"))),""))</f>
        <v/>
      </c>
      <c r="L79" s="53">
        <f>IF(OR($F79="",$G79=""),"",IF(AND(L$5&lt;=$G79,L$5+6&gt;=$F79),IF($H79="Complétée","F",IF(OR($H79="En cours",$H79="En revue"),"E",IF($H79="Bloquée","B","P"))),""))</f>
        <v/>
      </c>
      <c r="M79" s="53">
        <f>IF(OR($F79="",$G79=""),"",IF(AND(M$5&lt;=$G79,M$5+6&gt;=$F79),IF($H79="Complétée","F",IF(OR($H79="En cours",$H79="En revue"),"E",IF($H79="Bloquée","B","P"))),""))</f>
        <v/>
      </c>
      <c r="N79" s="53">
        <f>IF(OR($F79="",$G79=""),"",IF(AND(N$5&lt;=$G79,N$5+6&gt;=$F79),IF($H79="Complétée","F",IF(OR($H79="En cours",$H79="En revue"),"E",IF($H79="Bloquée","B","P"))),""))</f>
        <v/>
      </c>
      <c r="O79" s="53">
        <f>IF(OR($F79="",$G79=""),"",IF(AND(O$5&lt;=$G79,O$5+6&gt;=$F79),IF($H79="Complétée","F",IF(OR($H79="En cours",$H79="En revue"),"E",IF($H79="Bloquée","B","P"))),""))</f>
        <v/>
      </c>
      <c r="P79" s="53">
        <f>IF(OR($F79="",$G79=""),"",IF(AND(P$5&lt;=$G79,P$5+6&gt;=$F79),IF($H79="Complétée","F",IF(OR($H79="En cours",$H79="En revue"),"E",IF($H79="Bloquée","B","P"))),""))</f>
        <v/>
      </c>
      <c r="Q79" s="53">
        <f>IF(OR($F79="",$G79=""),"",IF(AND(Q$5&lt;=$G79,Q$5+6&gt;=$F79),IF($H79="Complétée","F",IF(OR($H79="En cours",$H79="En revue"),"E",IF($H79="Bloquée","B","P"))),""))</f>
        <v/>
      </c>
      <c r="R79" s="53">
        <f>IF(OR($F79="",$G79=""),"",IF(AND(R$5&lt;=$G79,R$5+6&gt;=$F79),IF($H79="Complétée","F",IF(OR($H79="En cours",$H79="En revue"),"E",IF($H79="Bloquée","B","P"))),""))</f>
        <v/>
      </c>
      <c r="S79" s="53">
        <f>IF(OR($F79="",$G79=""),"",IF(AND(S$5&lt;=$G79,S$5+6&gt;=$F79),IF($H79="Complétée","F",IF(OR($H79="En cours",$H79="En revue"),"E",IF($H79="Bloquée","B","P"))),""))</f>
        <v/>
      </c>
      <c r="T79" s="53">
        <f>IF(OR($F79="",$G79=""),"",IF(AND(T$5&lt;=$G79,T$5+6&gt;=$F79),IF($H79="Complétée","F",IF(OR($H79="En cours",$H79="En revue"),"E",IF($H79="Bloquée","B","P"))),""))</f>
        <v/>
      </c>
      <c r="U79" s="53">
        <f>IF(OR($F79="",$G79=""),"",IF(AND(U$5&lt;=$G79,U$5+6&gt;=$F79),IF($H79="Complétée","F",IF(OR($H79="En cours",$H79="En revue"),"E",IF($H79="Bloquée","B","P"))),""))</f>
        <v/>
      </c>
      <c r="V79" s="53">
        <f>IF(OR($F79="",$G79=""),"",IF(AND(V$5&lt;=$G79,V$5+6&gt;=$F79),IF($H79="Complétée","F",IF(OR($H79="En cours",$H79="En revue"),"E",IF($H79="Bloquée","B","P"))),""))</f>
        <v/>
      </c>
      <c r="W79" s="53">
        <f>IF(OR($F79="",$G79=""),"",IF(AND(W$5&lt;=$G79,W$5+6&gt;=$F79),IF($H79="Complétée","F",IF(OR($H79="En cours",$H79="En revue"),"E",IF($H79="Bloquée","B","P"))),""))</f>
        <v/>
      </c>
      <c r="X79" s="53">
        <f>IF(OR($F79="",$G79=""),"",IF(AND(X$5&lt;=$G79,X$5+6&gt;=$F79),IF($H79="Complétée","F",IF(OR($H79="En cours",$H79="En revue"),"E",IF($H79="Bloquée","B","P"))),""))</f>
        <v/>
      </c>
      <c r="Y79" s="53">
        <f>IF(OR($F79="",$G79=""),"",IF(AND(Y$5&lt;=$G79,Y$5+6&gt;=$F79),IF($H79="Complétée","F",IF(OR($H79="En cours",$H79="En revue"),"E",IF($H79="Bloquée","B","P"))),""))</f>
        <v/>
      </c>
      <c r="Z79" s="53">
        <f>IF(OR($F79="",$G79=""),"",IF(AND(Z$5&lt;=$G79,Z$5+6&gt;=$F79),IF($H79="Complétée","F",IF(OR($H79="En cours",$H79="En revue"),"E",IF($H79="Bloquée","B","P"))),""))</f>
        <v/>
      </c>
      <c r="AA79" s="53">
        <f>IF(OR($F79="",$G79=""),"",IF(AND(AA$5&lt;=$G79,AA$5+6&gt;=$F79),IF($H79="Complétée","F",IF(OR($H79="En cours",$H79="En revue"),"E",IF($H79="Bloquée","B","P"))),""))</f>
        <v/>
      </c>
      <c r="AB79" s="53">
        <f>IF(OR($F79="",$G79=""),"",IF(AND(AB$5&lt;=$G79,AB$5+6&gt;=$F79),IF($H79="Complétée","F",IF(OR($H79="En cours",$H79="En revue"),"E",IF($H79="Bloquée","B","P"))),""))</f>
        <v/>
      </c>
      <c r="AC79" s="53">
        <f>IF(OR($F79="",$G79=""),"",IF(AND(AC$5&lt;=$G79,AC$5+6&gt;=$F79),IF($H79="Complétée","F",IF(OR($H79="En cours",$H79="En revue"),"E",IF($H79="Bloquée","B","P"))),""))</f>
        <v/>
      </c>
      <c r="AD79" s="53">
        <f>IF(OR($F79="",$G79=""),"",IF(AND(AD$5&lt;=$G79,AD$5+6&gt;=$F79),IF($H79="Complétée","F",IF(OR($H79="En cours",$H79="En revue"),"E",IF($H79="Bloquée","B","P"))),""))</f>
        <v/>
      </c>
      <c r="AE79" s="53">
        <f>IF(OR($F79="",$G79=""),"",IF(AND(AE$5&lt;=$G79,AE$5+6&gt;=$F79),IF($H79="Complétée","F",IF(OR($H79="En cours",$H79="En revue"),"E",IF($H79="Bloquée","B","P"))),""))</f>
        <v/>
      </c>
      <c r="AF79" s="53">
        <f>IF(OR($F79="",$G79=""),"",IF(AND(AF$5&lt;=$G79,AF$5+6&gt;=$F79),IF($H79="Complétée","F",IF(OR($H79="En cours",$H79="En revue"),"E",IF($H79="Bloquée","B","P"))),""))</f>
        <v/>
      </c>
      <c r="AG79" s="53">
        <f>IF(OR($F79="",$G79=""),"",IF(AND(AG$5&lt;=$G79,AG$5+6&gt;=$F79),IF($H79="Complétée","F",IF(OR($H79="En cours",$H79="En revue"),"E",IF($H79="Bloquée","B","P"))),""))</f>
        <v/>
      </c>
      <c r="AH79" s="53">
        <f>IF(OR($F79="",$G79=""),"",IF(AND(AH$5&lt;=$G79,AH$5+6&gt;=$F79),IF($H79="Complétée","F",IF(OR($H79="En cours",$H79="En revue"),"E",IF($H79="Bloquée","B","P"))),""))</f>
        <v/>
      </c>
      <c r="AI79" s="53">
        <f>IF(OR($F79="",$G79=""),"",IF(AND(AI$5&lt;=$G79,AI$5+6&gt;=$F79),IF($H79="Complétée","F",IF(OR($H79="En cours",$H79="En revue"),"E",IF($H79="Bloquée","B","P"))),""))</f>
        <v/>
      </c>
      <c r="AJ79" s="53">
        <f>IF(OR($F79="",$G79=""),"",IF(AND(AJ$5&lt;=$G79,AJ$5+6&gt;=$F79),IF($H79="Complétée","F",IF(OR($H79="En cours",$H79="En revue"),"E",IF($H79="Bloquée","B","P"))),""))</f>
        <v/>
      </c>
      <c r="AK79" s="53">
        <f>IF(OR($F79="",$G79=""),"",IF(AND(AK$5&lt;=$G79,AK$5+6&gt;=$F79),IF($H79="Complétée","F",IF(OR($H79="En cours",$H79="En revue"),"E",IF($H79="Bloquée","B","P"))),""))</f>
        <v/>
      </c>
      <c r="AL79" s="53">
        <f>IF(OR($F79="",$G79=""),"",IF(AND(AL$5&lt;=$G79,AL$5+6&gt;=$F79),IF($H79="Complétée","F",IF(OR($H79="En cours",$H79="En revue"),"E",IF($H79="Bloquée","B","P"))),""))</f>
        <v/>
      </c>
      <c r="AM79" s="53">
        <f>IF(OR($F79="",$G79=""),"",IF(AND(AM$5&lt;=$G79,AM$5+6&gt;=$F79),IF($H79="Complétée","F",IF(OR($H79="En cours",$H79="En revue"),"E",IF($H79="Bloquée","B","P"))),""))</f>
        <v/>
      </c>
      <c r="AN79" s="53">
        <f>IF(OR($F79="",$G79=""),"",IF(AND(AN$5&lt;=$G79,AN$5+6&gt;=$F79),IF($H79="Complétée","F",IF(OR($H79="En cours",$H79="En revue"),"E",IF($H79="Bloquée","B","P"))),""))</f>
        <v/>
      </c>
      <c r="AO79" s="53">
        <f>IF(OR($F79="",$G79=""),"",IF(AND(AO$5&lt;=$G79,AO$5+6&gt;=$F79),IF($H79="Complétée","F",IF(OR($H79="En cours",$H79="En revue"),"E",IF($H79="Bloquée","B","P"))),""))</f>
        <v/>
      </c>
      <c r="AP79" s="53">
        <f>IF(OR($F79="",$G79=""),"",IF(AND(AP$5&lt;=$G79,AP$5+6&gt;=$F79),IF($H79="Complétée","F",IF(OR($H79="En cours",$H79="En revue"),"E",IF($H79="Bloquée","B","P"))),""))</f>
        <v/>
      </c>
      <c r="AQ79" s="53">
        <f>IF(OR($F79="",$G79=""),"",IF(AND(AQ$5&lt;=$G79,AQ$5+6&gt;=$F79),IF($H79="Complétée","F",IF(OR($H79="En cours",$H79="En revue"),"E",IF($H79="Bloquée","B","P"))),""))</f>
        <v/>
      </c>
      <c r="AR79" s="53">
        <f>IF(OR($F79="",$G79=""),"",IF(AND(AR$5&lt;=$G79,AR$5+6&gt;=$F79),IF($H79="Complétée","F",IF(OR($H79="En cours",$H79="En revue"),"E",IF($H79="Bloquée","B","P"))),""))</f>
        <v/>
      </c>
      <c r="AS79" s="53">
        <f>IF(OR($F79="",$G79=""),"",IF(AND(AS$5&lt;=$G79,AS$5+6&gt;=$F79),IF($H79="Complétée","F",IF(OR($H79="En cours",$H79="En revue"),"E",IF($H79="Bloquée","B","P"))),""))</f>
        <v/>
      </c>
      <c r="AT79" s="53">
        <f>IF(OR($F79="",$G79=""),"",IF(AND(AT$5&lt;=$G79,AT$5+6&gt;=$F79),IF($H79="Complétée","F",IF(OR($H79="En cours",$H79="En revue"),"E",IF($H79="Bloquée","B","P"))),""))</f>
        <v/>
      </c>
      <c r="AU79" s="53">
        <f>IF(OR($F79="",$G79=""),"",IF(AND(AU$5&lt;=$G79,AU$5+6&gt;=$F79),IF($H79="Complétée","F",IF(OR($H79="En cours",$H79="En revue"),"E",IF($H79="Bloquée","B","P"))),""))</f>
        <v/>
      </c>
      <c r="AV79" s="53">
        <f>IF(OR($F79="",$G79=""),"",IF(AND(AV$5&lt;=$G79,AV$5+6&gt;=$F79),IF($H79="Complétée","F",IF(OR($H79="En cours",$H79="En revue"),"E",IF($H79="Bloquée","B","P"))),""))</f>
        <v/>
      </c>
      <c r="AW79" s="53">
        <f>IF(OR($F79="",$G79=""),"",IF(AND(AW$5&lt;=$G79,AW$5+6&gt;=$F79),IF($H79="Complétée","F",IF(OR($H79="En cours",$H79="En revue"),"E",IF($H79="Bloquée","B","P"))),""))</f>
        <v/>
      </c>
    </row>
    <row r="80">
      <c r="B80" s="50">
        <f>IF(Taches!B80="","",Taches!B80)</f>
        <v/>
      </c>
      <c r="C80" s="51">
        <f>IF(Taches!B80="","",Taches!F80)</f>
        <v/>
      </c>
      <c r="D80" s="50">
        <f>IF(Taches!B80="","",Taches!C80)</f>
        <v/>
      </c>
      <c r="E80" s="50">
        <f>IF(Taches!B80="","",Taches!D80)</f>
        <v/>
      </c>
      <c r="F80" s="52">
        <f>IF(Taches!P80="","",Taches!P80)</f>
        <v/>
      </c>
      <c r="G80" s="52">
        <f>IF(Taches!Q80="","",Taches!Q80)</f>
        <v/>
      </c>
      <c r="H80" s="50">
        <f>IF(Taches!B80="","",Taches!J80)</f>
        <v/>
      </c>
      <c r="I80" s="53">
        <f>IF(OR($F80="",$G80=""),"",IF(AND(I$5&lt;=$G80,I$5+6&gt;=$F80),IF($H80="Complétée","F",IF(OR($H80="En cours",$H80="En revue"),"E",IF($H80="Bloquée","B","P"))),""))</f>
        <v/>
      </c>
      <c r="J80" s="53">
        <f>IF(OR($F80="",$G80=""),"",IF(AND(J$5&lt;=$G80,J$5+6&gt;=$F80),IF($H80="Complétée","F",IF(OR($H80="En cours",$H80="En revue"),"E",IF($H80="Bloquée","B","P"))),""))</f>
        <v/>
      </c>
      <c r="K80" s="53">
        <f>IF(OR($F80="",$G80=""),"",IF(AND(K$5&lt;=$G80,K$5+6&gt;=$F80),IF($H80="Complétée","F",IF(OR($H80="En cours",$H80="En revue"),"E",IF($H80="Bloquée","B","P"))),""))</f>
        <v/>
      </c>
      <c r="L80" s="53">
        <f>IF(OR($F80="",$G80=""),"",IF(AND(L$5&lt;=$G80,L$5+6&gt;=$F80),IF($H80="Complétée","F",IF(OR($H80="En cours",$H80="En revue"),"E",IF($H80="Bloquée","B","P"))),""))</f>
        <v/>
      </c>
      <c r="M80" s="53">
        <f>IF(OR($F80="",$G80=""),"",IF(AND(M$5&lt;=$G80,M$5+6&gt;=$F80),IF($H80="Complétée","F",IF(OR($H80="En cours",$H80="En revue"),"E",IF($H80="Bloquée","B","P"))),""))</f>
        <v/>
      </c>
      <c r="N80" s="53">
        <f>IF(OR($F80="",$G80=""),"",IF(AND(N$5&lt;=$G80,N$5+6&gt;=$F80),IF($H80="Complétée","F",IF(OR($H80="En cours",$H80="En revue"),"E",IF($H80="Bloquée","B","P"))),""))</f>
        <v/>
      </c>
      <c r="O80" s="53">
        <f>IF(OR($F80="",$G80=""),"",IF(AND(O$5&lt;=$G80,O$5+6&gt;=$F80),IF($H80="Complétée","F",IF(OR($H80="En cours",$H80="En revue"),"E",IF($H80="Bloquée","B","P"))),""))</f>
        <v/>
      </c>
      <c r="P80" s="53">
        <f>IF(OR($F80="",$G80=""),"",IF(AND(P$5&lt;=$G80,P$5+6&gt;=$F80),IF($H80="Complétée","F",IF(OR($H80="En cours",$H80="En revue"),"E",IF($H80="Bloquée","B","P"))),""))</f>
        <v/>
      </c>
      <c r="Q80" s="53">
        <f>IF(OR($F80="",$G80=""),"",IF(AND(Q$5&lt;=$G80,Q$5+6&gt;=$F80),IF($H80="Complétée","F",IF(OR($H80="En cours",$H80="En revue"),"E",IF($H80="Bloquée","B","P"))),""))</f>
        <v/>
      </c>
      <c r="R80" s="53">
        <f>IF(OR($F80="",$G80=""),"",IF(AND(R$5&lt;=$G80,R$5+6&gt;=$F80),IF($H80="Complétée","F",IF(OR($H80="En cours",$H80="En revue"),"E",IF($H80="Bloquée","B","P"))),""))</f>
        <v/>
      </c>
      <c r="S80" s="53">
        <f>IF(OR($F80="",$G80=""),"",IF(AND(S$5&lt;=$G80,S$5+6&gt;=$F80),IF($H80="Complétée","F",IF(OR($H80="En cours",$H80="En revue"),"E",IF($H80="Bloquée","B","P"))),""))</f>
        <v/>
      </c>
      <c r="T80" s="53">
        <f>IF(OR($F80="",$G80=""),"",IF(AND(T$5&lt;=$G80,T$5+6&gt;=$F80),IF($H80="Complétée","F",IF(OR($H80="En cours",$H80="En revue"),"E",IF($H80="Bloquée","B","P"))),""))</f>
        <v/>
      </c>
      <c r="U80" s="53">
        <f>IF(OR($F80="",$G80=""),"",IF(AND(U$5&lt;=$G80,U$5+6&gt;=$F80),IF($H80="Complétée","F",IF(OR($H80="En cours",$H80="En revue"),"E",IF($H80="Bloquée","B","P"))),""))</f>
        <v/>
      </c>
      <c r="V80" s="53">
        <f>IF(OR($F80="",$G80=""),"",IF(AND(V$5&lt;=$G80,V$5+6&gt;=$F80),IF($H80="Complétée","F",IF(OR($H80="En cours",$H80="En revue"),"E",IF($H80="Bloquée","B","P"))),""))</f>
        <v/>
      </c>
      <c r="W80" s="53">
        <f>IF(OR($F80="",$G80=""),"",IF(AND(W$5&lt;=$G80,W$5+6&gt;=$F80),IF($H80="Complétée","F",IF(OR($H80="En cours",$H80="En revue"),"E",IF($H80="Bloquée","B","P"))),""))</f>
        <v/>
      </c>
      <c r="X80" s="53">
        <f>IF(OR($F80="",$G80=""),"",IF(AND(X$5&lt;=$G80,X$5+6&gt;=$F80),IF($H80="Complétée","F",IF(OR($H80="En cours",$H80="En revue"),"E",IF($H80="Bloquée","B","P"))),""))</f>
        <v/>
      </c>
      <c r="Y80" s="53">
        <f>IF(OR($F80="",$G80=""),"",IF(AND(Y$5&lt;=$G80,Y$5+6&gt;=$F80),IF($H80="Complétée","F",IF(OR($H80="En cours",$H80="En revue"),"E",IF($H80="Bloquée","B","P"))),""))</f>
        <v/>
      </c>
      <c r="Z80" s="53">
        <f>IF(OR($F80="",$G80=""),"",IF(AND(Z$5&lt;=$G80,Z$5+6&gt;=$F80),IF($H80="Complétée","F",IF(OR($H80="En cours",$H80="En revue"),"E",IF($H80="Bloquée","B","P"))),""))</f>
        <v/>
      </c>
      <c r="AA80" s="53">
        <f>IF(OR($F80="",$G80=""),"",IF(AND(AA$5&lt;=$G80,AA$5+6&gt;=$F80),IF($H80="Complétée","F",IF(OR($H80="En cours",$H80="En revue"),"E",IF($H80="Bloquée","B","P"))),""))</f>
        <v/>
      </c>
      <c r="AB80" s="53">
        <f>IF(OR($F80="",$G80=""),"",IF(AND(AB$5&lt;=$G80,AB$5+6&gt;=$F80),IF($H80="Complétée","F",IF(OR($H80="En cours",$H80="En revue"),"E",IF($H80="Bloquée","B","P"))),""))</f>
        <v/>
      </c>
      <c r="AC80" s="53">
        <f>IF(OR($F80="",$G80=""),"",IF(AND(AC$5&lt;=$G80,AC$5+6&gt;=$F80),IF($H80="Complétée","F",IF(OR($H80="En cours",$H80="En revue"),"E",IF($H80="Bloquée","B","P"))),""))</f>
        <v/>
      </c>
      <c r="AD80" s="53">
        <f>IF(OR($F80="",$G80=""),"",IF(AND(AD$5&lt;=$G80,AD$5+6&gt;=$F80),IF($H80="Complétée","F",IF(OR($H80="En cours",$H80="En revue"),"E",IF($H80="Bloquée","B","P"))),""))</f>
        <v/>
      </c>
      <c r="AE80" s="53">
        <f>IF(OR($F80="",$G80=""),"",IF(AND(AE$5&lt;=$G80,AE$5+6&gt;=$F80),IF($H80="Complétée","F",IF(OR($H80="En cours",$H80="En revue"),"E",IF($H80="Bloquée","B","P"))),""))</f>
        <v/>
      </c>
      <c r="AF80" s="53">
        <f>IF(OR($F80="",$G80=""),"",IF(AND(AF$5&lt;=$G80,AF$5+6&gt;=$F80),IF($H80="Complétée","F",IF(OR($H80="En cours",$H80="En revue"),"E",IF($H80="Bloquée","B","P"))),""))</f>
        <v/>
      </c>
      <c r="AG80" s="53">
        <f>IF(OR($F80="",$G80=""),"",IF(AND(AG$5&lt;=$G80,AG$5+6&gt;=$F80),IF($H80="Complétée","F",IF(OR($H80="En cours",$H80="En revue"),"E",IF($H80="Bloquée","B","P"))),""))</f>
        <v/>
      </c>
      <c r="AH80" s="53">
        <f>IF(OR($F80="",$G80=""),"",IF(AND(AH$5&lt;=$G80,AH$5+6&gt;=$F80),IF($H80="Complétée","F",IF(OR($H80="En cours",$H80="En revue"),"E",IF($H80="Bloquée","B","P"))),""))</f>
        <v/>
      </c>
      <c r="AI80" s="53">
        <f>IF(OR($F80="",$G80=""),"",IF(AND(AI$5&lt;=$G80,AI$5+6&gt;=$F80),IF($H80="Complétée","F",IF(OR($H80="En cours",$H80="En revue"),"E",IF($H80="Bloquée","B","P"))),""))</f>
        <v/>
      </c>
      <c r="AJ80" s="53">
        <f>IF(OR($F80="",$G80=""),"",IF(AND(AJ$5&lt;=$G80,AJ$5+6&gt;=$F80),IF($H80="Complétée","F",IF(OR($H80="En cours",$H80="En revue"),"E",IF($H80="Bloquée","B","P"))),""))</f>
        <v/>
      </c>
      <c r="AK80" s="53">
        <f>IF(OR($F80="",$G80=""),"",IF(AND(AK$5&lt;=$G80,AK$5+6&gt;=$F80),IF($H80="Complétée","F",IF(OR($H80="En cours",$H80="En revue"),"E",IF($H80="Bloquée","B","P"))),""))</f>
        <v/>
      </c>
      <c r="AL80" s="53">
        <f>IF(OR($F80="",$G80=""),"",IF(AND(AL$5&lt;=$G80,AL$5+6&gt;=$F80),IF($H80="Complétée","F",IF(OR($H80="En cours",$H80="En revue"),"E",IF($H80="Bloquée","B","P"))),""))</f>
        <v/>
      </c>
      <c r="AM80" s="53">
        <f>IF(OR($F80="",$G80=""),"",IF(AND(AM$5&lt;=$G80,AM$5+6&gt;=$F80),IF($H80="Complétée","F",IF(OR($H80="En cours",$H80="En revue"),"E",IF($H80="Bloquée","B","P"))),""))</f>
        <v/>
      </c>
      <c r="AN80" s="53">
        <f>IF(OR($F80="",$G80=""),"",IF(AND(AN$5&lt;=$G80,AN$5+6&gt;=$F80),IF($H80="Complétée","F",IF(OR($H80="En cours",$H80="En revue"),"E",IF($H80="Bloquée","B","P"))),""))</f>
        <v/>
      </c>
      <c r="AO80" s="53">
        <f>IF(OR($F80="",$G80=""),"",IF(AND(AO$5&lt;=$G80,AO$5+6&gt;=$F80),IF($H80="Complétée","F",IF(OR($H80="En cours",$H80="En revue"),"E",IF($H80="Bloquée","B","P"))),""))</f>
        <v/>
      </c>
      <c r="AP80" s="53">
        <f>IF(OR($F80="",$G80=""),"",IF(AND(AP$5&lt;=$G80,AP$5+6&gt;=$F80),IF($H80="Complétée","F",IF(OR($H80="En cours",$H80="En revue"),"E",IF($H80="Bloquée","B","P"))),""))</f>
        <v/>
      </c>
      <c r="AQ80" s="53">
        <f>IF(OR($F80="",$G80=""),"",IF(AND(AQ$5&lt;=$G80,AQ$5+6&gt;=$F80),IF($H80="Complétée","F",IF(OR($H80="En cours",$H80="En revue"),"E",IF($H80="Bloquée","B","P"))),""))</f>
        <v/>
      </c>
      <c r="AR80" s="53">
        <f>IF(OR($F80="",$G80=""),"",IF(AND(AR$5&lt;=$G80,AR$5+6&gt;=$F80),IF($H80="Complétée","F",IF(OR($H80="En cours",$H80="En revue"),"E",IF($H80="Bloquée","B","P"))),""))</f>
        <v/>
      </c>
      <c r="AS80" s="53">
        <f>IF(OR($F80="",$G80=""),"",IF(AND(AS$5&lt;=$G80,AS$5+6&gt;=$F80),IF($H80="Complétée","F",IF(OR($H80="En cours",$H80="En revue"),"E",IF($H80="Bloquée","B","P"))),""))</f>
        <v/>
      </c>
      <c r="AT80" s="53">
        <f>IF(OR($F80="",$G80=""),"",IF(AND(AT$5&lt;=$G80,AT$5+6&gt;=$F80),IF($H80="Complétée","F",IF(OR($H80="En cours",$H80="En revue"),"E",IF($H80="Bloquée","B","P"))),""))</f>
        <v/>
      </c>
      <c r="AU80" s="53">
        <f>IF(OR($F80="",$G80=""),"",IF(AND(AU$5&lt;=$G80,AU$5+6&gt;=$F80),IF($H80="Complétée","F",IF(OR($H80="En cours",$H80="En revue"),"E",IF($H80="Bloquée","B","P"))),""))</f>
        <v/>
      </c>
      <c r="AV80" s="53">
        <f>IF(OR($F80="",$G80=""),"",IF(AND(AV$5&lt;=$G80,AV$5+6&gt;=$F80),IF($H80="Complétée","F",IF(OR($H80="En cours",$H80="En revue"),"E",IF($H80="Bloquée","B","P"))),""))</f>
        <v/>
      </c>
      <c r="AW80" s="53">
        <f>IF(OR($F80="",$G80=""),"",IF(AND(AW$5&lt;=$G80,AW$5+6&gt;=$F80),IF($H80="Complétée","F",IF(OR($H80="En cours",$H80="En revue"),"E",IF($H80="Bloquée","B","P"))),""))</f>
        <v/>
      </c>
    </row>
    <row r="81">
      <c r="B81" s="50">
        <f>IF(Taches!B81="","",Taches!B81)</f>
        <v/>
      </c>
      <c r="C81" s="51">
        <f>IF(Taches!B81="","",Taches!F81)</f>
        <v/>
      </c>
      <c r="D81" s="50">
        <f>IF(Taches!B81="","",Taches!C81)</f>
        <v/>
      </c>
      <c r="E81" s="50">
        <f>IF(Taches!B81="","",Taches!D81)</f>
        <v/>
      </c>
      <c r="F81" s="52">
        <f>IF(Taches!P81="","",Taches!P81)</f>
        <v/>
      </c>
      <c r="G81" s="52">
        <f>IF(Taches!Q81="","",Taches!Q81)</f>
        <v/>
      </c>
      <c r="H81" s="50">
        <f>IF(Taches!B81="","",Taches!J81)</f>
        <v/>
      </c>
      <c r="I81" s="53">
        <f>IF(OR($F81="",$G81=""),"",IF(AND(I$5&lt;=$G81,I$5+6&gt;=$F81),IF($H81="Complétée","F",IF(OR($H81="En cours",$H81="En revue"),"E",IF($H81="Bloquée","B","P"))),""))</f>
        <v/>
      </c>
      <c r="J81" s="53">
        <f>IF(OR($F81="",$G81=""),"",IF(AND(J$5&lt;=$G81,J$5+6&gt;=$F81),IF($H81="Complétée","F",IF(OR($H81="En cours",$H81="En revue"),"E",IF($H81="Bloquée","B","P"))),""))</f>
        <v/>
      </c>
      <c r="K81" s="53">
        <f>IF(OR($F81="",$G81=""),"",IF(AND(K$5&lt;=$G81,K$5+6&gt;=$F81),IF($H81="Complétée","F",IF(OR($H81="En cours",$H81="En revue"),"E",IF($H81="Bloquée","B","P"))),""))</f>
        <v/>
      </c>
      <c r="L81" s="53">
        <f>IF(OR($F81="",$G81=""),"",IF(AND(L$5&lt;=$G81,L$5+6&gt;=$F81),IF($H81="Complétée","F",IF(OR($H81="En cours",$H81="En revue"),"E",IF($H81="Bloquée","B","P"))),""))</f>
        <v/>
      </c>
      <c r="M81" s="53">
        <f>IF(OR($F81="",$G81=""),"",IF(AND(M$5&lt;=$G81,M$5+6&gt;=$F81),IF($H81="Complétée","F",IF(OR($H81="En cours",$H81="En revue"),"E",IF($H81="Bloquée","B","P"))),""))</f>
        <v/>
      </c>
      <c r="N81" s="53">
        <f>IF(OR($F81="",$G81=""),"",IF(AND(N$5&lt;=$G81,N$5+6&gt;=$F81),IF($H81="Complétée","F",IF(OR($H81="En cours",$H81="En revue"),"E",IF($H81="Bloquée","B","P"))),""))</f>
        <v/>
      </c>
      <c r="O81" s="53">
        <f>IF(OR($F81="",$G81=""),"",IF(AND(O$5&lt;=$G81,O$5+6&gt;=$F81),IF($H81="Complétée","F",IF(OR($H81="En cours",$H81="En revue"),"E",IF($H81="Bloquée","B","P"))),""))</f>
        <v/>
      </c>
      <c r="P81" s="53">
        <f>IF(OR($F81="",$G81=""),"",IF(AND(P$5&lt;=$G81,P$5+6&gt;=$F81),IF($H81="Complétée","F",IF(OR($H81="En cours",$H81="En revue"),"E",IF($H81="Bloquée","B","P"))),""))</f>
        <v/>
      </c>
      <c r="Q81" s="53">
        <f>IF(OR($F81="",$G81=""),"",IF(AND(Q$5&lt;=$G81,Q$5+6&gt;=$F81),IF($H81="Complétée","F",IF(OR($H81="En cours",$H81="En revue"),"E",IF($H81="Bloquée","B","P"))),""))</f>
        <v/>
      </c>
      <c r="R81" s="53">
        <f>IF(OR($F81="",$G81=""),"",IF(AND(R$5&lt;=$G81,R$5+6&gt;=$F81),IF($H81="Complétée","F",IF(OR($H81="En cours",$H81="En revue"),"E",IF($H81="Bloquée","B","P"))),""))</f>
        <v/>
      </c>
      <c r="S81" s="53">
        <f>IF(OR($F81="",$G81=""),"",IF(AND(S$5&lt;=$G81,S$5+6&gt;=$F81),IF($H81="Complétée","F",IF(OR($H81="En cours",$H81="En revue"),"E",IF($H81="Bloquée","B","P"))),""))</f>
        <v/>
      </c>
      <c r="T81" s="53">
        <f>IF(OR($F81="",$G81=""),"",IF(AND(T$5&lt;=$G81,T$5+6&gt;=$F81),IF($H81="Complétée","F",IF(OR($H81="En cours",$H81="En revue"),"E",IF($H81="Bloquée","B","P"))),""))</f>
        <v/>
      </c>
      <c r="U81" s="53">
        <f>IF(OR($F81="",$G81=""),"",IF(AND(U$5&lt;=$G81,U$5+6&gt;=$F81),IF($H81="Complétée","F",IF(OR($H81="En cours",$H81="En revue"),"E",IF($H81="Bloquée","B","P"))),""))</f>
        <v/>
      </c>
      <c r="V81" s="53">
        <f>IF(OR($F81="",$G81=""),"",IF(AND(V$5&lt;=$G81,V$5+6&gt;=$F81),IF($H81="Complétée","F",IF(OR($H81="En cours",$H81="En revue"),"E",IF($H81="Bloquée","B","P"))),""))</f>
        <v/>
      </c>
      <c r="W81" s="53">
        <f>IF(OR($F81="",$G81=""),"",IF(AND(W$5&lt;=$G81,W$5+6&gt;=$F81),IF($H81="Complétée","F",IF(OR($H81="En cours",$H81="En revue"),"E",IF($H81="Bloquée","B","P"))),""))</f>
        <v/>
      </c>
      <c r="X81" s="53">
        <f>IF(OR($F81="",$G81=""),"",IF(AND(X$5&lt;=$G81,X$5+6&gt;=$F81),IF($H81="Complétée","F",IF(OR($H81="En cours",$H81="En revue"),"E",IF($H81="Bloquée","B","P"))),""))</f>
        <v/>
      </c>
      <c r="Y81" s="53">
        <f>IF(OR($F81="",$G81=""),"",IF(AND(Y$5&lt;=$G81,Y$5+6&gt;=$F81),IF($H81="Complétée","F",IF(OR($H81="En cours",$H81="En revue"),"E",IF($H81="Bloquée","B","P"))),""))</f>
        <v/>
      </c>
      <c r="Z81" s="53">
        <f>IF(OR($F81="",$G81=""),"",IF(AND(Z$5&lt;=$G81,Z$5+6&gt;=$F81),IF($H81="Complétée","F",IF(OR($H81="En cours",$H81="En revue"),"E",IF($H81="Bloquée","B","P"))),""))</f>
        <v/>
      </c>
      <c r="AA81" s="53">
        <f>IF(OR($F81="",$G81=""),"",IF(AND(AA$5&lt;=$G81,AA$5+6&gt;=$F81),IF($H81="Complétée","F",IF(OR($H81="En cours",$H81="En revue"),"E",IF($H81="Bloquée","B","P"))),""))</f>
        <v/>
      </c>
      <c r="AB81" s="53">
        <f>IF(OR($F81="",$G81=""),"",IF(AND(AB$5&lt;=$G81,AB$5+6&gt;=$F81),IF($H81="Complétée","F",IF(OR($H81="En cours",$H81="En revue"),"E",IF($H81="Bloquée","B","P"))),""))</f>
        <v/>
      </c>
      <c r="AC81" s="53">
        <f>IF(OR($F81="",$G81=""),"",IF(AND(AC$5&lt;=$G81,AC$5+6&gt;=$F81),IF($H81="Complétée","F",IF(OR($H81="En cours",$H81="En revue"),"E",IF($H81="Bloquée","B","P"))),""))</f>
        <v/>
      </c>
      <c r="AD81" s="53">
        <f>IF(OR($F81="",$G81=""),"",IF(AND(AD$5&lt;=$G81,AD$5+6&gt;=$F81),IF($H81="Complétée","F",IF(OR($H81="En cours",$H81="En revue"),"E",IF($H81="Bloquée","B","P"))),""))</f>
        <v/>
      </c>
      <c r="AE81" s="53">
        <f>IF(OR($F81="",$G81=""),"",IF(AND(AE$5&lt;=$G81,AE$5+6&gt;=$F81),IF($H81="Complétée","F",IF(OR($H81="En cours",$H81="En revue"),"E",IF($H81="Bloquée","B","P"))),""))</f>
        <v/>
      </c>
      <c r="AF81" s="53">
        <f>IF(OR($F81="",$G81=""),"",IF(AND(AF$5&lt;=$G81,AF$5+6&gt;=$F81),IF($H81="Complétée","F",IF(OR($H81="En cours",$H81="En revue"),"E",IF($H81="Bloquée","B","P"))),""))</f>
        <v/>
      </c>
      <c r="AG81" s="53">
        <f>IF(OR($F81="",$G81=""),"",IF(AND(AG$5&lt;=$G81,AG$5+6&gt;=$F81),IF($H81="Complétée","F",IF(OR($H81="En cours",$H81="En revue"),"E",IF($H81="Bloquée","B","P"))),""))</f>
        <v/>
      </c>
      <c r="AH81" s="53">
        <f>IF(OR($F81="",$G81=""),"",IF(AND(AH$5&lt;=$G81,AH$5+6&gt;=$F81),IF($H81="Complétée","F",IF(OR($H81="En cours",$H81="En revue"),"E",IF($H81="Bloquée","B","P"))),""))</f>
        <v/>
      </c>
      <c r="AI81" s="53">
        <f>IF(OR($F81="",$G81=""),"",IF(AND(AI$5&lt;=$G81,AI$5+6&gt;=$F81),IF($H81="Complétée","F",IF(OR($H81="En cours",$H81="En revue"),"E",IF($H81="Bloquée","B","P"))),""))</f>
        <v/>
      </c>
      <c r="AJ81" s="53">
        <f>IF(OR($F81="",$G81=""),"",IF(AND(AJ$5&lt;=$G81,AJ$5+6&gt;=$F81),IF($H81="Complétée","F",IF(OR($H81="En cours",$H81="En revue"),"E",IF($H81="Bloquée","B","P"))),""))</f>
        <v/>
      </c>
      <c r="AK81" s="53">
        <f>IF(OR($F81="",$G81=""),"",IF(AND(AK$5&lt;=$G81,AK$5+6&gt;=$F81),IF($H81="Complétée","F",IF(OR($H81="En cours",$H81="En revue"),"E",IF($H81="Bloquée","B","P"))),""))</f>
        <v/>
      </c>
      <c r="AL81" s="53">
        <f>IF(OR($F81="",$G81=""),"",IF(AND(AL$5&lt;=$G81,AL$5+6&gt;=$F81),IF($H81="Complétée","F",IF(OR($H81="En cours",$H81="En revue"),"E",IF($H81="Bloquée","B","P"))),""))</f>
        <v/>
      </c>
      <c r="AM81" s="53">
        <f>IF(OR($F81="",$G81=""),"",IF(AND(AM$5&lt;=$G81,AM$5+6&gt;=$F81),IF($H81="Complétée","F",IF(OR($H81="En cours",$H81="En revue"),"E",IF($H81="Bloquée","B","P"))),""))</f>
        <v/>
      </c>
      <c r="AN81" s="53">
        <f>IF(OR($F81="",$G81=""),"",IF(AND(AN$5&lt;=$G81,AN$5+6&gt;=$F81),IF($H81="Complétée","F",IF(OR($H81="En cours",$H81="En revue"),"E",IF($H81="Bloquée","B","P"))),""))</f>
        <v/>
      </c>
      <c r="AO81" s="53">
        <f>IF(OR($F81="",$G81=""),"",IF(AND(AO$5&lt;=$G81,AO$5+6&gt;=$F81),IF($H81="Complétée","F",IF(OR($H81="En cours",$H81="En revue"),"E",IF($H81="Bloquée","B","P"))),""))</f>
        <v/>
      </c>
      <c r="AP81" s="53">
        <f>IF(OR($F81="",$G81=""),"",IF(AND(AP$5&lt;=$G81,AP$5+6&gt;=$F81),IF($H81="Complétée","F",IF(OR($H81="En cours",$H81="En revue"),"E",IF($H81="Bloquée","B","P"))),""))</f>
        <v/>
      </c>
      <c r="AQ81" s="53">
        <f>IF(OR($F81="",$G81=""),"",IF(AND(AQ$5&lt;=$G81,AQ$5+6&gt;=$F81),IF($H81="Complétée","F",IF(OR($H81="En cours",$H81="En revue"),"E",IF($H81="Bloquée","B","P"))),""))</f>
        <v/>
      </c>
      <c r="AR81" s="53">
        <f>IF(OR($F81="",$G81=""),"",IF(AND(AR$5&lt;=$G81,AR$5+6&gt;=$F81),IF($H81="Complétée","F",IF(OR($H81="En cours",$H81="En revue"),"E",IF($H81="Bloquée","B","P"))),""))</f>
        <v/>
      </c>
      <c r="AS81" s="53">
        <f>IF(OR($F81="",$G81=""),"",IF(AND(AS$5&lt;=$G81,AS$5+6&gt;=$F81),IF($H81="Complétée","F",IF(OR($H81="En cours",$H81="En revue"),"E",IF($H81="Bloquée","B","P"))),""))</f>
        <v/>
      </c>
      <c r="AT81" s="53">
        <f>IF(OR($F81="",$G81=""),"",IF(AND(AT$5&lt;=$G81,AT$5+6&gt;=$F81),IF($H81="Complétée","F",IF(OR($H81="En cours",$H81="En revue"),"E",IF($H81="Bloquée","B","P"))),""))</f>
        <v/>
      </c>
      <c r="AU81" s="53">
        <f>IF(OR($F81="",$G81=""),"",IF(AND(AU$5&lt;=$G81,AU$5+6&gt;=$F81),IF($H81="Complétée","F",IF(OR($H81="En cours",$H81="En revue"),"E",IF($H81="Bloquée","B","P"))),""))</f>
        <v/>
      </c>
      <c r="AV81" s="53">
        <f>IF(OR($F81="",$G81=""),"",IF(AND(AV$5&lt;=$G81,AV$5+6&gt;=$F81),IF($H81="Complétée","F",IF(OR($H81="En cours",$H81="En revue"),"E",IF($H81="Bloquée","B","P"))),""))</f>
        <v/>
      </c>
      <c r="AW81" s="53">
        <f>IF(OR($F81="",$G81=""),"",IF(AND(AW$5&lt;=$G81,AW$5+6&gt;=$F81),IF($H81="Complétée","F",IF(OR($H81="En cours",$H81="En revue"),"E",IF($H81="Bloquée","B","P"))),""))</f>
        <v/>
      </c>
    </row>
    <row r="82">
      <c r="B82" s="50">
        <f>IF(Taches!B82="","",Taches!B82)</f>
        <v/>
      </c>
      <c r="C82" s="51">
        <f>IF(Taches!B82="","",Taches!F82)</f>
        <v/>
      </c>
      <c r="D82" s="50">
        <f>IF(Taches!B82="","",Taches!C82)</f>
        <v/>
      </c>
      <c r="E82" s="50">
        <f>IF(Taches!B82="","",Taches!D82)</f>
        <v/>
      </c>
      <c r="F82" s="52">
        <f>IF(Taches!P82="","",Taches!P82)</f>
        <v/>
      </c>
      <c r="G82" s="52">
        <f>IF(Taches!Q82="","",Taches!Q82)</f>
        <v/>
      </c>
      <c r="H82" s="50">
        <f>IF(Taches!B82="","",Taches!J82)</f>
        <v/>
      </c>
      <c r="I82" s="53">
        <f>IF(OR($F82="",$G82=""),"",IF(AND(I$5&lt;=$G82,I$5+6&gt;=$F82),IF($H82="Complétée","F",IF(OR($H82="En cours",$H82="En revue"),"E",IF($H82="Bloquée","B","P"))),""))</f>
        <v/>
      </c>
      <c r="J82" s="53">
        <f>IF(OR($F82="",$G82=""),"",IF(AND(J$5&lt;=$G82,J$5+6&gt;=$F82),IF($H82="Complétée","F",IF(OR($H82="En cours",$H82="En revue"),"E",IF($H82="Bloquée","B","P"))),""))</f>
        <v/>
      </c>
      <c r="K82" s="53">
        <f>IF(OR($F82="",$G82=""),"",IF(AND(K$5&lt;=$G82,K$5+6&gt;=$F82),IF($H82="Complétée","F",IF(OR($H82="En cours",$H82="En revue"),"E",IF($H82="Bloquée","B","P"))),""))</f>
        <v/>
      </c>
      <c r="L82" s="53">
        <f>IF(OR($F82="",$G82=""),"",IF(AND(L$5&lt;=$G82,L$5+6&gt;=$F82),IF($H82="Complétée","F",IF(OR($H82="En cours",$H82="En revue"),"E",IF($H82="Bloquée","B","P"))),""))</f>
        <v/>
      </c>
      <c r="M82" s="53">
        <f>IF(OR($F82="",$G82=""),"",IF(AND(M$5&lt;=$G82,M$5+6&gt;=$F82),IF($H82="Complétée","F",IF(OR($H82="En cours",$H82="En revue"),"E",IF($H82="Bloquée","B","P"))),""))</f>
        <v/>
      </c>
      <c r="N82" s="53">
        <f>IF(OR($F82="",$G82=""),"",IF(AND(N$5&lt;=$G82,N$5+6&gt;=$F82),IF($H82="Complétée","F",IF(OR($H82="En cours",$H82="En revue"),"E",IF($H82="Bloquée","B","P"))),""))</f>
        <v/>
      </c>
      <c r="O82" s="53">
        <f>IF(OR($F82="",$G82=""),"",IF(AND(O$5&lt;=$G82,O$5+6&gt;=$F82),IF($H82="Complétée","F",IF(OR($H82="En cours",$H82="En revue"),"E",IF($H82="Bloquée","B","P"))),""))</f>
        <v/>
      </c>
      <c r="P82" s="53">
        <f>IF(OR($F82="",$G82=""),"",IF(AND(P$5&lt;=$G82,P$5+6&gt;=$F82),IF($H82="Complétée","F",IF(OR($H82="En cours",$H82="En revue"),"E",IF($H82="Bloquée","B","P"))),""))</f>
        <v/>
      </c>
      <c r="Q82" s="53">
        <f>IF(OR($F82="",$G82=""),"",IF(AND(Q$5&lt;=$G82,Q$5+6&gt;=$F82),IF($H82="Complétée","F",IF(OR($H82="En cours",$H82="En revue"),"E",IF($H82="Bloquée","B","P"))),""))</f>
        <v/>
      </c>
      <c r="R82" s="53">
        <f>IF(OR($F82="",$G82=""),"",IF(AND(R$5&lt;=$G82,R$5+6&gt;=$F82),IF($H82="Complétée","F",IF(OR($H82="En cours",$H82="En revue"),"E",IF($H82="Bloquée","B","P"))),""))</f>
        <v/>
      </c>
      <c r="S82" s="53">
        <f>IF(OR($F82="",$G82=""),"",IF(AND(S$5&lt;=$G82,S$5+6&gt;=$F82),IF($H82="Complétée","F",IF(OR($H82="En cours",$H82="En revue"),"E",IF($H82="Bloquée","B","P"))),""))</f>
        <v/>
      </c>
      <c r="T82" s="53">
        <f>IF(OR($F82="",$G82=""),"",IF(AND(T$5&lt;=$G82,T$5+6&gt;=$F82),IF($H82="Complétée","F",IF(OR($H82="En cours",$H82="En revue"),"E",IF($H82="Bloquée","B","P"))),""))</f>
        <v/>
      </c>
      <c r="U82" s="53">
        <f>IF(OR($F82="",$G82=""),"",IF(AND(U$5&lt;=$G82,U$5+6&gt;=$F82),IF($H82="Complétée","F",IF(OR($H82="En cours",$H82="En revue"),"E",IF($H82="Bloquée","B","P"))),""))</f>
        <v/>
      </c>
      <c r="V82" s="53">
        <f>IF(OR($F82="",$G82=""),"",IF(AND(V$5&lt;=$G82,V$5+6&gt;=$F82),IF($H82="Complétée","F",IF(OR($H82="En cours",$H82="En revue"),"E",IF($H82="Bloquée","B","P"))),""))</f>
        <v/>
      </c>
      <c r="W82" s="53">
        <f>IF(OR($F82="",$G82=""),"",IF(AND(W$5&lt;=$G82,W$5+6&gt;=$F82),IF($H82="Complétée","F",IF(OR($H82="En cours",$H82="En revue"),"E",IF($H82="Bloquée","B","P"))),""))</f>
        <v/>
      </c>
      <c r="X82" s="53">
        <f>IF(OR($F82="",$G82=""),"",IF(AND(X$5&lt;=$G82,X$5+6&gt;=$F82),IF($H82="Complétée","F",IF(OR($H82="En cours",$H82="En revue"),"E",IF($H82="Bloquée","B","P"))),""))</f>
        <v/>
      </c>
      <c r="Y82" s="53">
        <f>IF(OR($F82="",$G82=""),"",IF(AND(Y$5&lt;=$G82,Y$5+6&gt;=$F82),IF($H82="Complétée","F",IF(OR($H82="En cours",$H82="En revue"),"E",IF($H82="Bloquée","B","P"))),""))</f>
        <v/>
      </c>
      <c r="Z82" s="53">
        <f>IF(OR($F82="",$G82=""),"",IF(AND(Z$5&lt;=$G82,Z$5+6&gt;=$F82),IF($H82="Complétée","F",IF(OR($H82="En cours",$H82="En revue"),"E",IF($H82="Bloquée","B","P"))),""))</f>
        <v/>
      </c>
      <c r="AA82" s="53">
        <f>IF(OR($F82="",$G82=""),"",IF(AND(AA$5&lt;=$G82,AA$5+6&gt;=$F82),IF($H82="Complétée","F",IF(OR($H82="En cours",$H82="En revue"),"E",IF($H82="Bloquée","B","P"))),""))</f>
        <v/>
      </c>
      <c r="AB82" s="53">
        <f>IF(OR($F82="",$G82=""),"",IF(AND(AB$5&lt;=$G82,AB$5+6&gt;=$F82),IF($H82="Complétée","F",IF(OR($H82="En cours",$H82="En revue"),"E",IF($H82="Bloquée","B","P"))),""))</f>
        <v/>
      </c>
      <c r="AC82" s="53">
        <f>IF(OR($F82="",$G82=""),"",IF(AND(AC$5&lt;=$G82,AC$5+6&gt;=$F82),IF($H82="Complétée","F",IF(OR($H82="En cours",$H82="En revue"),"E",IF($H82="Bloquée","B","P"))),""))</f>
        <v/>
      </c>
      <c r="AD82" s="53">
        <f>IF(OR($F82="",$G82=""),"",IF(AND(AD$5&lt;=$G82,AD$5+6&gt;=$F82),IF($H82="Complétée","F",IF(OR($H82="En cours",$H82="En revue"),"E",IF($H82="Bloquée","B","P"))),""))</f>
        <v/>
      </c>
      <c r="AE82" s="53">
        <f>IF(OR($F82="",$G82=""),"",IF(AND(AE$5&lt;=$G82,AE$5+6&gt;=$F82),IF($H82="Complétée","F",IF(OR($H82="En cours",$H82="En revue"),"E",IF($H82="Bloquée","B","P"))),""))</f>
        <v/>
      </c>
      <c r="AF82" s="53">
        <f>IF(OR($F82="",$G82=""),"",IF(AND(AF$5&lt;=$G82,AF$5+6&gt;=$F82),IF($H82="Complétée","F",IF(OR($H82="En cours",$H82="En revue"),"E",IF($H82="Bloquée","B","P"))),""))</f>
        <v/>
      </c>
      <c r="AG82" s="53">
        <f>IF(OR($F82="",$G82=""),"",IF(AND(AG$5&lt;=$G82,AG$5+6&gt;=$F82),IF($H82="Complétée","F",IF(OR($H82="En cours",$H82="En revue"),"E",IF($H82="Bloquée","B","P"))),""))</f>
        <v/>
      </c>
      <c r="AH82" s="53">
        <f>IF(OR($F82="",$G82=""),"",IF(AND(AH$5&lt;=$G82,AH$5+6&gt;=$F82),IF($H82="Complétée","F",IF(OR($H82="En cours",$H82="En revue"),"E",IF($H82="Bloquée","B","P"))),""))</f>
        <v/>
      </c>
      <c r="AI82" s="53">
        <f>IF(OR($F82="",$G82=""),"",IF(AND(AI$5&lt;=$G82,AI$5+6&gt;=$F82),IF($H82="Complétée","F",IF(OR($H82="En cours",$H82="En revue"),"E",IF($H82="Bloquée","B","P"))),""))</f>
        <v/>
      </c>
      <c r="AJ82" s="53">
        <f>IF(OR($F82="",$G82=""),"",IF(AND(AJ$5&lt;=$G82,AJ$5+6&gt;=$F82),IF($H82="Complétée","F",IF(OR($H82="En cours",$H82="En revue"),"E",IF($H82="Bloquée","B","P"))),""))</f>
        <v/>
      </c>
      <c r="AK82" s="53">
        <f>IF(OR($F82="",$G82=""),"",IF(AND(AK$5&lt;=$G82,AK$5+6&gt;=$F82),IF($H82="Complétée","F",IF(OR($H82="En cours",$H82="En revue"),"E",IF($H82="Bloquée","B","P"))),""))</f>
        <v/>
      </c>
      <c r="AL82" s="53">
        <f>IF(OR($F82="",$G82=""),"",IF(AND(AL$5&lt;=$G82,AL$5+6&gt;=$F82),IF($H82="Complétée","F",IF(OR($H82="En cours",$H82="En revue"),"E",IF($H82="Bloquée","B","P"))),""))</f>
        <v/>
      </c>
      <c r="AM82" s="53">
        <f>IF(OR($F82="",$G82=""),"",IF(AND(AM$5&lt;=$G82,AM$5+6&gt;=$F82),IF($H82="Complétée","F",IF(OR($H82="En cours",$H82="En revue"),"E",IF($H82="Bloquée","B","P"))),""))</f>
        <v/>
      </c>
      <c r="AN82" s="53">
        <f>IF(OR($F82="",$G82=""),"",IF(AND(AN$5&lt;=$G82,AN$5+6&gt;=$F82),IF($H82="Complétée","F",IF(OR($H82="En cours",$H82="En revue"),"E",IF($H82="Bloquée","B","P"))),""))</f>
        <v/>
      </c>
      <c r="AO82" s="53">
        <f>IF(OR($F82="",$G82=""),"",IF(AND(AO$5&lt;=$G82,AO$5+6&gt;=$F82),IF($H82="Complétée","F",IF(OR($H82="En cours",$H82="En revue"),"E",IF($H82="Bloquée","B","P"))),""))</f>
        <v/>
      </c>
      <c r="AP82" s="53">
        <f>IF(OR($F82="",$G82=""),"",IF(AND(AP$5&lt;=$G82,AP$5+6&gt;=$F82),IF($H82="Complétée","F",IF(OR($H82="En cours",$H82="En revue"),"E",IF($H82="Bloquée","B","P"))),""))</f>
        <v/>
      </c>
      <c r="AQ82" s="53">
        <f>IF(OR($F82="",$G82=""),"",IF(AND(AQ$5&lt;=$G82,AQ$5+6&gt;=$F82),IF($H82="Complétée","F",IF(OR($H82="En cours",$H82="En revue"),"E",IF($H82="Bloquée","B","P"))),""))</f>
        <v/>
      </c>
      <c r="AR82" s="53">
        <f>IF(OR($F82="",$G82=""),"",IF(AND(AR$5&lt;=$G82,AR$5+6&gt;=$F82),IF($H82="Complétée","F",IF(OR($H82="En cours",$H82="En revue"),"E",IF($H82="Bloquée","B","P"))),""))</f>
        <v/>
      </c>
      <c r="AS82" s="53">
        <f>IF(OR($F82="",$G82=""),"",IF(AND(AS$5&lt;=$G82,AS$5+6&gt;=$F82),IF($H82="Complétée","F",IF(OR($H82="En cours",$H82="En revue"),"E",IF($H82="Bloquée","B","P"))),""))</f>
        <v/>
      </c>
      <c r="AT82" s="53">
        <f>IF(OR($F82="",$G82=""),"",IF(AND(AT$5&lt;=$G82,AT$5+6&gt;=$F82),IF($H82="Complétée","F",IF(OR($H82="En cours",$H82="En revue"),"E",IF($H82="Bloquée","B","P"))),""))</f>
        <v/>
      </c>
      <c r="AU82" s="53">
        <f>IF(OR($F82="",$G82=""),"",IF(AND(AU$5&lt;=$G82,AU$5+6&gt;=$F82),IF($H82="Complétée","F",IF(OR($H82="En cours",$H82="En revue"),"E",IF($H82="Bloquée","B","P"))),""))</f>
        <v/>
      </c>
      <c r="AV82" s="53">
        <f>IF(OR($F82="",$G82=""),"",IF(AND(AV$5&lt;=$G82,AV$5+6&gt;=$F82),IF($H82="Complétée","F",IF(OR($H82="En cours",$H82="En revue"),"E",IF($H82="Bloquée","B","P"))),""))</f>
        <v/>
      </c>
      <c r="AW82" s="53">
        <f>IF(OR($F82="",$G82=""),"",IF(AND(AW$5&lt;=$G82,AW$5+6&gt;=$F82),IF($H82="Complétée","F",IF(OR($H82="En cours",$H82="En revue"),"E",IF($H82="Bloquée","B","P"))),""))</f>
        <v/>
      </c>
    </row>
    <row r="83">
      <c r="B83" s="50">
        <f>IF(Taches!B83="","",Taches!B83)</f>
        <v/>
      </c>
      <c r="C83" s="51">
        <f>IF(Taches!B83="","",Taches!F83)</f>
        <v/>
      </c>
      <c r="D83" s="50">
        <f>IF(Taches!B83="","",Taches!C83)</f>
        <v/>
      </c>
      <c r="E83" s="50">
        <f>IF(Taches!B83="","",Taches!D83)</f>
        <v/>
      </c>
      <c r="F83" s="52">
        <f>IF(Taches!P83="","",Taches!P83)</f>
        <v/>
      </c>
      <c r="G83" s="52">
        <f>IF(Taches!Q83="","",Taches!Q83)</f>
        <v/>
      </c>
      <c r="H83" s="50">
        <f>IF(Taches!B83="","",Taches!J83)</f>
        <v/>
      </c>
      <c r="I83" s="53">
        <f>IF(OR($F83="",$G83=""),"",IF(AND(I$5&lt;=$G83,I$5+6&gt;=$F83),IF($H83="Complétée","F",IF(OR($H83="En cours",$H83="En revue"),"E",IF($H83="Bloquée","B","P"))),""))</f>
        <v/>
      </c>
      <c r="J83" s="53">
        <f>IF(OR($F83="",$G83=""),"",IF(AND(J$5&lt;=$G83,J$5+6&gt;=$F83),IF($H83="Complétée","F",IF(OR($H83="En cours",$H83="En revue"),"E",IF($H83="Bloquée","B","P"))),""))</f>
        <v/>
      </c>
      <c r="K83" s="53">
        <f>IF(OR($F83="",$G83=""),"",IF(AND(K$5&lt;=$G83,K$5+6&gt;=$F83),IF($H83="Complétée","F",IF(OR($H83="En cours",$H83="En revue"),"E",IF($H83="Bloquée","B","P"))),""))</f>
        <v/>
      </c>
      <c r="L83" s="53">
        <f>IF(OR($F83="",$G83=""),"",IF(AND(L$5&lt;=$G83,L$5+6&gt;=$F83),IF($H83="Complétée","F",IF(OR($H83="En cours",$H83="En revue"),"E",IF($H83="Bloquée","B","P"))),""))</f>
        <v/>
      </c>
      <c r="M83" s="53">
        <f>IF(OR($F83="",$G83=""),"",IF(AND(M$5&lt;=$G83,M$5+6&gt;=$F83),IF($H83="Complétée","F",IF(OR($H83="En cours",$H83="En revue"),"E",IF($H83="Bloquée","B","P"))),""))</f>
        <v/>
      </c>
      <c r="N83" s="53">
        <f>IF(OR($F83="",$G83=""),"",IF(AND(N$5&lt;=$G83,N$5+6&gt;=$F83),IF($H83="Complétée","F",IF(OR($H83="En cours",$H83="En revue"),"E",IF($H83="Bloquée","B","P"))),""))</f>
        <v/>
      </c>
      <c r="O83" s="53">
        <f>IF(OR($F83="",$G83=""),"",IF(AND(O$5&lt;=$G83,O$5+6&gt;=$F83),IF($H83="Complétée","F",IF(OR($H83="En cours",$H83="En revue"),"E",IF($H83="Bloquée","B","P"))),""))</f>
        <v/>
      </c>
      <c r="P83" s="53">
        <f>IF(OR($F83="",$G83=""),"",IF(AND(P$5&lt;=$G83,P$5+6&gt;=$F83),IF($H83="Complétée","F",IF(OR($H83="En cours",$H83="En revue"),"E",IF($H83="Bloquée","B","P"))),""))</f>
        <v/>
      </c>
      <c r="Q83" s="53">
        <f>IF(OR($F83="",$G83=""),"",IF(AND(Q$5&lt;=$G83,Q$5+6&gt;=$F83),IF($H83="Complétée","F",IF(OR($H83="En cours",$H83="En revue"),"E",IF($H83="Bloquée","B","P"))),""))</f>
        <v/>
      </c>
      <c r="R83" s="53">
        <f>IF(OR($F83="",$G83=""),"",IF(AND(R$5&lt;=$G83,R$5+6&gt;=$F83),IF($H83="Complétée","F",IF(OR($H83="En cours",$H83="En revue"),"E",IF($H83="Bloquée","B","P"))),""))</f>
        <v/>
      </c>
      <c r="S83" s="53">
        <f>IF(OR($F83="",$G83=""),"",IF(AND(S$5&lt;=$G83,S$5+6&gt;=$F83),IF($H83="Complétée","F",IF(OR($H83="En cours",$H83="En revue"),"E",IF($H83="Bloquée","B","P"))),""))</f>
        <v/>
      </c>
      <c r="T83" s="53">
        <f>IF(OR($F83="",$G83=""),"",IF(AND(T$5&lt;=$G83,T$5+6&gt;=$F83),IF($H83="Complétée","F",IF(OR($H83="En cours",$H83="En revue"),"E",IF($H83="Bloquée","B","P"))),""))</f>
        <v/>
      </c>
      <c r="U83" s="53">
        <f>IF(OR($F83="",$G83=""),"",IF(AND(U$5&lt;=$G83,U$5+6&gt;=$F83),IF($H83="Complétée","F",IF(OR($H83="En cours",$H83="En revue"),"E",IF($H83="Bloquée","B","P"))),""))</f>
        <v/>
      </c>
      <c r="V83" s="53">
        <f>IF(OR($F83="",$G83=""),"",IF(AND(V$5&lt;=$G83,V$5+6&gt;=$F83),IF($H83="Complétée","F",IF(OR($H83="En cours",$H83="En revue"),"E",IF($H83="Bloquée","B","P"))),""))</f>
        <v/>
      </c>
      <c r="W83" s="53">
        <f>IF(OR($F83="",$G83=""),"",IF(AND(W$5&lt;=$G83,W$5+6&gt;=$F83),IF($H83="Complétée","F",IF(OR($H83="En cours",$H83="En revue"),"E",IF($H83="Bloquée","B","P"))),""))</f>
        <v/>
      </c>
      <c r="X83" s="53">
        <f>IF(OR($F83="",$G83=""),"",IF(AND(X$5&lt;=$G83,X$5+6&gt;=$F83),IF($H83="Complétée","F",IF(OR($H83="En cours",$H83="En revue"),"E",IF($H83="Bloquée","B","P"))),""))</f>
        <v/>
      </c>
      <c r="Y83" s="53">
        <f>IF(OR($F83="",$G83=""),"",IF(AND(Y$5&lt;=$G83,Y$5+6&gt;=$F83),IF($H83="Complétée","F",IF(OR($H83="En cours",$H83="En revue"),"E",IF($H83="Bloquée","B","P"))),""))</f>
        <v/>
      </c>
      <c r="Z83" s="53">
        <f>IF(OR($F83="",$G83=""),"",IF(AND(Z$5&lt;=$G83,Z$5+6&gt;=$F83),IF($H83="Complétée","F",IF(OR($H83="En cours",$H83="En revue"),"E",IF($H83="Bloquée","B","P"))),""))</f>
        <v/>
      </c>
      <c r="AA83" s="53">
        <f>IF(OR($F83="",$G83=""),"",IF(AND(AA$5&lt;=$G83,AA$5+6&gt;=$F83),IF($H83="Complétée","F",IF(OR($H83="En cours",$H83="En revue"),"E",IF($H83="Bloquée","B","P"))),""))</f>
        <v/>
      </c>
      <c r="AB83" s="53">
        <f>IF(OR($F83="",$G83=""),"",IF(AND(AB$5&lt;=$G83,AB$5+6&gt;=$F83),IF($H83="Complétée","F",IF(OR($H83="En cours",$H83="En revue"),"E",IF($H83="Bloquée","B","P"))),""))</f>
        <v/>
      </c>
      <c r="AC83" s="53">
        <f>IF(OR($F83="",$G83=""),"",IF(AND(AC$5&lt;=$G83,AC$5+6&gt;=$F83),IF($H83="Complétée","F",IF(OR($H83="En cours",$H83="En revue"),"E",IF($H83="Bloquée","B","P"))),""))</f>
        <v/>
      </c>
      <c r="AD83" s="53">
        <f>IF(OR($F83="",$G83=""),"",IF(AND(AD$5&lt;=$G83,AD$5+6&gt;=$F83),IF($H83="Complétée","F",IF(OR($H83="En cours",$H83="En revue"),"E",IF($H83="Bloquée","B","P"))),""))</f>
        <v/>
      </c>
      <c r="AE83" s="53">
        <f>IF(OR($F83="",$G83=""),"",IF(AND(AE$5&lt;=$G83,AE$5+6&gt;=$F83),IF($H83="Complétée","F",IF(OR($H83="En cours",$H83="En revue"),"E",IF($H83="Bloquée","B","P"))),""))</f>
        <v/>
      </c>
      <c r="AF83" s="53">
        <f>IF(OR($F83="",$G83=""),"",IF(AND(AF$5&lt;=$G83,AF$5+6&gt;=$F83),IF($H83="Complétée","F",IF(OR($H83="En cours",$H83="En revue"),"E",IF($H83="Bloquée","B","P"))),""))</f>
        <v/>
      </c>
      <c r="AG83" s="53">
        <f>IF(OR($F83="",$G83=""),"",IF(AND(AG$5&lt;=$G83,AG$5+6&gt;=$F83),IF($H83="Complétée","F",IF(OR($H83="En cours",$H83="En revue"),"E",IF($H83="Bloquée","B","P"))),""))</f>
        <v/>
      </c>
      <c r="AH83" s="53">
        <f>IF(OR($F83="",$G83=""),"",IF(AND(AH$5&lt;=$G83,AH$5+6&gt;=$F83),IF($H83="Complétée","F",IF(OR($H83="En cours",$H83="En revue"),"E",IF($H83="Bloquée","B","P"))),""))</f>
        <v/>
      </c>
      <c r="AI83" s="53">
        <f>IF(OR($F83="",$G83=""),"",IF(AND(AI$5&lt;=$G83,AI$5+6&gt;=$F83),IF($H83="Complétée","F",IF(OR($H83="En cours",$H83="En revue"),"E",IF($H83="Bloquée","B","P"))),""))</f>
        <v/>
      </c>
      <c r="AJ83" s="53">
        <f>IF(OR($F83="",$G83=""),"",IF(AND(AJ$5&lt;=$G83,AJ$5+6&gt;=$F83),IF($H83="Complétée","F",IF(OR($H83="En cours",$H83="En revue"),"E",IF($H83="Bloquée","B","P"))),""))</f>
        <v/>
      </c>
      <c r="AK83" s="53">
        <f>IF(OR($F83="",$G83=""),"",IF(AND(AK$5&lt;=$G83,AK$5+6&gt;=$F83),IF($H83="Complétée","F",IF(OR($H83="En cours",$H83="En revue"),"E",IF($H83="Bloquée","B","P"))),""))</f>
        <v/>
      </c>
      <c r="AL83" s="53">
        <f>IF(OR($F83="",$G83=""),"",IF(AND(AL$5&lt;=$G83,AL$5+6&gt;=$F83),IF($H83="Complétée","F",IF(OR($H83="En cours",$H83="En revue"),"E",IF($H83="Bloquée","B","P"))),""))</f>
        <v/>
      </c>
      <c r="AM83" s="53">
        <f>IF(OR($F83="",$G83=""),"",IF(AND(AM$5&lt;=$G83,AM$5+6&gt;=$F83),IF($H83="Complétée","F",IF(OR($H83="En cours",$H83="En revue"),"E",IF($H83="Bloquée","B","P"))),""))</f>
        <v/>
      </c>
      <c r="AN83" s="53">
        <f>IF(OR($F83="",$G83=""),"",IF(AND(AN$5&lt;=$G83,AN$5+6&gt;=$F83),IF($H83="Complétée","F",IF(OR($H83="En cours",$H83="En revue"),"E",IF($H83="Bloquée","B","P"))),""))</f>
        <v/>
      </c>
      <c r="AO83" s="53">
        <f>IF(OR($F83="",$G83=""),"",IF(AND(AO$5&lt;=$G83,AO$5+6&gt;=$F83),IF($H83="Complétée","F",IF(OR($H83="En cours",$H83="En revue"),"E",IF($H83="Bloquée","B","P"))),""))</f>
        <v/>
      </c>
      <c r="AP83" s="53">
        <f>IF(OR($F83="",$G83=""),"",IF(AND(AP$5&lt;=$G83,AP$5+6&gt;=$F83),IF($H83="Complétée","F",IF(OR($H83="En cours",$H83="En revue"),"E",IF($H83="Bloquée","B","P"))),""))</f>
        <v/>
      </c>
      <c r="AQ83" s="53">
        <f>IF(OR($F83="",$G83=""),"",IF(AND(AQ$5&lt;=$G83,AQ$5+6&gt;=$F83),IF($H83="Complétée","F",IF(OR($H83="En cours",$H83="En revue"),"E",IF($H83="Bloquée","B","P"))),""))</f>
        <v/>
      </c>
      <c r="AR83" s="53">
        <f>IF(OR($F83="",$G83=""),"",IF(AND(AR$5&lt;=$G83,AR$5+6&gt;=$F83),IF($H83="Complétée","F",IF(OR($H83="En cours",$H83="En revue"),"E",IF($H83="Bloquée","B","P"))),""))</f>
        <v/>
      </c>
      <c r="AS83" s="53">
        <f>IF(OR($F83="",$G83=""),"",IF(AND(AS$5&lt;=$G83,AS$5+6&gt;=$F83),IF($H83="Complétée","F",IF(OR($H83="En cours",$H83="En revue"),"E",IF($H83="Bloquée","B","P"))),""))</f>
        <v/>
      </c>
      <c r="AT83" s="53">
        <f>IF(OR($F83="",$G83=""),"",IF(AND(AT$5&lt;=$G83,AT$5+6&gt;=$F83),IF($H83="Complétée","F",IF(OR($H83="En cours",$H83="En revue"),"E",IF($H83="Bloquée","B","P"))),""))</f>
        <v/>
      </c>
      <c r="AU83" s="53">
        <f>IF(OR($F83="",$G83=""),"",IF(AND(AU$5&lt;=$G83,AU$5+6&gt;=$F83),IF($H83="Complétée","F",IF(OR($H83="En cours",$H83="En revue"),"E",IF($H83="Bloquée","B","P"))),""))</f>
        <v/>
      </c>
      <c r="AV83" s="53">
        <f>IF(OR($F83="",$G83=""),"",IF(AND(AV$5&lt;=$G83,AV$5+6&gt;=$F83),IF($H83="Complétée","F",IF(OR($H83="En cours",$H83="En revue"),"E",IF($H83="Bloquée","B","P"))),""))</f>
        <v/>
      </c>
      <c r="AW83" s="53">
        <f>IF(OR($F83="",$G83=""),"",IF(AND(AW$5&lt;=$G83,AW$5+6&gt;=$F83),IF($H83="Complétée","F",IF(OR($H83="En cours",$H83="En revue"),"E",IF($H83="Bloquée","B","P"))),""))</f>
        <v/>
      </c>
    </row>
    <row r="84">
      <c r="B84" s="50">
        <f>IF(Taches!B84="","",Taches!B84)</f>
        <v/>
      </c>
      <c r="C84" s="51">
        <f>IF(Taches!B84="","",Taches!F84)</f>
        <v/>
      </c>
      <c r="D84" s="50">
        <f>IF(Taches!B84="","",Taches!C84)</f>
        <v/>
      </c>
      <c r="E84" s="50">
        <f>IF(Taches!B84="","",Taches!D84)</f>
        <v/>
      </c>
      <c r="F84" s="52">
        <f>IF(Taches!P84="","",Taches!P84)</f>
        <v/>
      </c>
      <c r="G84" s="52">
        <f>IF(Taches!Q84="","",Taches!Q84)</f>
        <v/>
      </c>
      <c r="H84" s="50">
        <f>IF(Taches!B84="","",Taches!J84)</f>
        <v/>
      </c>
      <c r="I84" s="53">
        <f>IF(OR($F84="",$G84=""),"",IF(AND(I$5&lt;=$G84,I$5+6&gt;=$F84),IF($H84="Complétée","F",IF(OR($H84="En cours",$H84="En revue"),"E",IF($H84="Bloquée","B","P"))),""))</f>
        <v/>
      </c>
      <c r="J84" s="53">
        <f>IF(OR($F84="",$G84=""),"",IF(AND(J$5&lt;=$G84,J$5+6&gt;=$F84),IF($H84="Complétée","F",IF(OR($H84="En cours",$H84="En revue"),"E",IF($H84="Bloquée","B","P"))),""))</f>
        <v/>
      </c>
      <c r="K84" s="53">
        <f>IF(OR($F84="",$G84=""),"",IF(AND(K$5&lt;=$G84,K$5+6&gt;=$F84),IF($H84="Complétée","F",IF(OR($H84="En cours",$H84="En revue"),"E",IF($H84="Bloquée","B","P"))),""))</f>
        <v/>
      </c>
      <c r="L84" s="53">
        <f>IF(OR($F84="",$G84=""),"",IF(AND(L$5&lt;=$G84,L$5+6&gt;=$F84),IF($H84="Complétée","F",IF(OR($H84="En cours",$H84="En revue"),"E",IF($H84="Bloquée","B","P"))),""))</f>
        <v/>
      </c>
      <c r="M84" s="53">
        <f>IF(OR($F84="",$G84=""),"",IF(AND(M$5&lt;=$G84,M$5+6&gt;=$F84),IF($H84="Complétée","F",IF(OR($H84="En cours",$H84="En revue"),"E",IF($H84="Bloquée","B","P"))),""))</f>
        <v/>
      </c>
      <c r="N84" s="53">
        <f>IF(OR($F84="",$G84=""),"",IF(AND(N$5&lt;=$G84,N$5+6&gt;=$F84),IF($H84="Complétée","F",IF(OR($H84="En cours",$H84="En revue"),"E",IF($H84="Bloquée","B","P"))),""))</f>
        <v/>
      </c>
      <c r="O84" s="53">
        <f>IF(OR($F84="",$G84=""),"",IF(AND(O$5&lt;=$G84,O$5+6&gt;=$F84),IF($H84="Complétée","F",IF(OR($H84="En cours",$H84="En revue"),"E",IF($H84="Bloquée","B","P"))),""))</f>
        <v/>
      </c>
      <c r="P84" s="53">
        <f>IF(OR($F84="",$G84=""),"",IF(AND(P$5&lt;=$G84,P$5+6&gt;=$F84),IF($H84="Complétée","F",IF(OR($H84="En cours",$H84="En revue"),"E",IF($H84="Bloquée","B","P"))),""))</f>
        <v/>
      </c>
      <c r="Q84" s="53">
        <f>IF(OR($F84="",$G84=""),"",IF(AND(Q$5&lt;=$G84,Q$5+6&gt;=$F84),IF($H84="Complétée","F",IF(OR($H84="En cours",$H84="En revue"),"E",IF($H84="Bloquée","B","P"))),""))</f>
        <v/>
      </c>
      <c r="R84" s="53">
        <f>IF(OR($F84="",$G84=""),"",IF(AND(R$5&lt;=$G84,R$5+6&gt;=$F84),IF($H84="Complétée","F",IF(OR($H84="En cours",$H84="En revue"),"E",IF($H84="Bloquée","B","P"))),""))</f>
        <v/>
      </c>
      <c r="S84" s="53">
        <f>IF(OR($F84="",$G84=""),"",IF(AND(S$5&lt;=$G84,S$5+6&gt;=$F84),IF($H84="Complétée","F",IF(OR($H84="En cours",$H84="En revue"),"E",IF($H84="Bloquée","B","P"))),""))</f>
        <v/>
      </c>
      <c r="T84" s="53">
        <f>IF(OR($F84="",$G84=""),"",IF(AND(T$5&lt;=$G84,T$5+6&gt;=$F84),IF($H84="Complétée","F",IF(OR($H84="En cours",$H84="En revue"),"E",IF($H84="Bloquée","B","P"))),""))</f>
        <v/>
      </c>
      <c r="U84" s="53">
        <f>IF(OR($F84="",$G84=""),"",IF(AND(U$5&lt;=$G84,U$5+6&gt;=$F84),IF($H84="Complétée","F",IF(OR($H84="En cours",$H84="En revue"),"E",IF($H84="Bloquée","B","P"))),""))</f>
        <v/>
      </c>
      <c r="V84" s="53">
        <f>IF(OR($F84="",$G84=""),"",IF(AND(V$5&lt;=$G84,V$5+6&gt;=$F84),IF($H84="Complétée","F",IF(OR($H84="En cours",$H84="En revue"),"E",IF($H84="Bloquée","B","P"))),""))</f>
        <v/>
      </c>
      <c r="W84" s="53">
        <f>IF(OR($F84="",$G84=""),"",IF(AND(W$5&lt;=$G84,W$5+6&gt;=$F84),IF($H84="Complétée","F",IF(OR($H84="En cours",$H84="En revue"),"E",IF($H84="Bloquée","B","P"))),""))</f>
        <v/>
      </c>
      <c r="X84" s="53">
        <f>IF(OR($F84="",$G84=""),"",IF(AND(X$5&lt;=$G84,X$5+6&gt;=$F84),IF($H84="Complétée","F",IF(OR($H84="En cours",$H84="En revue"),"E",IF($H84="Bloquée","B","P"))),""))</f>
        <v/>
      </c>
      <c r="Y84" s="53">
        <f>IF(OR($F84="",$G84=""),"",IF(AND(Y$5&lt;=$G84,Y$5+6&gt;=$F84),IF($H84="Complétée","F",IF(OR($H84="En cours",$H84="En revue"),"E",IF($H84="Bloquée","B","P"))),""))</f>
        <v/>
      </c>
      <c r="Z84" s="53">
        <f>IF(OR($F84="",$G84=""),"",IF(AND(Z$5&lt;=$G84,Z$5+6&gt;=$F84),IF($H84="Complétée","F",IF(OR($H84="En cours",$H84="En revue"),"E",IF($H84="Bloquée","B","P"))),""))</f>
        <v/>
      </c>
      <c r="AA84" s="53">
        <f>IF(OR($F84="",$G84=""),"",IF(AND(AA$5&lt;=$G84,AA$5+6&gt;=$F84),IF($H84="Complétée","F",IF(OR($H84="En cours",$H84="En revue"),"E",IF($H84="Bloquée","B","P"))),""))</f>
        <v/>
      </c>
      <c r="AB84" s="53">
        <f>IF(OR($F84="",$G84=""),"",IF(AND(AB$5&lt;=$G84,AB$5+6&gt;=$F84),IF($H84="Complétée","F",IF(OR($H84="En cours",$H84="En revue"),"E",IF($H84="Bloquée","B","P"))),""))</f>
        <v/>
      </c>
      <c r="AC84" s="53">
        <f>IF(OR($F84="",$G84=""),"",IF(AND(AC$5&lt;=$G84,AC$5+6&gt;=$F84),IF($H84="Complétée","F",IF(OR($H84="En cours",$H84="En revue"),"E",IF($H84="Bloquée","B","P"))),""))</f>
        <v/>
      </c>
      <c r="AD84" s="53">
        <f>IF(OR($F84="",$G84=""),"",IF(AND(AD$5&lt;=$G84,AD$5+6&gt;=$F84),IF($H84="Complétée","F",IF(OR($H84="En cours",$H84="En revue"),"E",IF($H84="Bloquée","B","P"))),""))</f>
        <v/>
      </c>
      <c r="AE84" s="53">
        <f>IF(OR($F84="",$G84=""),"",IF(AND(AE$5&lt;=$G84,AE$5+6&gt;=$F84),IF($H84="Complétée","F",IF(OR($H84="En cours",$H84="En revue"),"E",IF($H84="Bloquée","B","P"))),""))</f>
        <v/>
      </c>
      <c r="AF84" s="53">
        <f>IF(OR($F84="",$G84=""),"",IF(AND(AF$5&lt;=$G84,AF$5+6&gt;=$F84),IF($H84="Complétée","F",IF(OR($H84="En cours",$H84="En revue"),"E",IF($H84="Bloquée","B","P"))),""))</f>
        <v/>
      </c>
      <c r="AG84" s="53">
        <f>IF(OR($F84="",$G84=""),"",IF(AND(AG$5&lt;=$G84,AG$5+6&gt;=$F84),IF($H84="Complétée","F",IF(OR($H84="En cours",$H84="En revue"),"E",IF($H84="Bloquée","B","P"))),""))</f>
        <v/>
      </c>
      <c r="AH84" s="53">
        <f>IF(OR($F84="",$G84=""),"",IF(AND(AH$5&lt;=$G84,AH$5+6&gt;=$F84),IF($H84="Complétée","F",IF(OR($H84="En cours",$H84="En revue"),"E",IF($H84="Bloquée","B","P"))),""))</f>
        <v/>
      </c>
      <c r="AI84" s="53">
        <f>IF(OR($F84="",$G84=""),"",IF(AND(AI$5&lt;=$G84,AI$5+6&gt;=$F84),IF($H84="Complétée","F",IF(OR($H84="En cours",$H84="En revue"),"E",IF($H84="Bloquée","B","P"))),""))</f>
        <v/>
      </c>
      <c r="AJ84" s="53">
        <f>IF(OR($F84="",$G84=""),"",IF(AND(AJ$5&lt;=$G84,AJ$5+6&gt;=$F84),IF($H84="Complétée","F",IF(OR($H84="En cours",$H84="En revue"),"E",IF($H84="Bloquée","B","P"))),""))</f>
        <v/>
      </c>
      <c r="AK84" s="53">
        <f>IF(OR($F84="",$G84=""),"",IF(AND(AK$5&lt;=$G84,AK$5+6&gt;=$F84),IF($H84="Complétée","F",IF(OR($H84="En cours",$H84="En revue"),"E",IF($H84="Bloquée","B","P"))),""))</f>
        <v/>
      </c>
      <c r="AL84" s="53">
        <f>IF(OR($F84="",$G84=""),"",IF(AND(AL$5&lt;=$G84,AL$5+6&gt;=$F84),IF($H84="Complétée","F",IF(OR($H84="En cours",$H84="En revue"),"E",IF($H84="Bloquée","B","P"))),""))</f>
        <v/>
      </c>
      <c r="AM84" s="53">
        <f>IF(OR($F84="",$G84=""),"",IF(AND(AM$5&lt;=$G84,AM$5+6&gt;=$F84),IF($H84="Complétée","F",IF(OR($H84="En cours",$H84="En revue"),"E",IF($H84="Bloquée","B","P"))),""))</f>
        <v/>
      </c>
      <c r="AN84" s="53">
        <f>IF(OR($F84="",$G84=""),"",IF(AND(AN$5&lt;=$G84,AN$5+6&gt;=$F84),IF($H84="Complétée","F",IF(OR($H84="En cours",$H84="En revue"),"E",IF($H84="Bloquée","B","P"))),""))</f>
        <v/>
      </c>
      <c r="AO84" s="53">
        <f>IF(OR($F84="",$G84=""),"",IF(AND(AO$5&lt;=$G84,AO$5+6&gt;=$F84),IF($H84="Complétée","F",IF(OR($H84="En cours",$H84="En revue"),"E",IF($H84="Bloquée","B","P"))),""))</f>
        <v/>
      </c>
      <c r="AP84" s="53">
        <f>IF(OR($F84="",$G84=""),"",IF(AND(AP$5&lt;=$G84,AP$5+6&gt;=$F84),IF($H84="Complétée","F",IF(OR($H84="En cours",$H84="En revue"),"E",IF($H84="Bloquée","B","P"))),""))</f>
        <v/>
      </c>
      <c r="AQ84" s="53">
        <f>IF(OR($F84="",$G84=""),"",IF(AND(AQ$5&lt;=$G84,AQ$5+6&gt;=$F84),IF($H84="Complétée","F",IF(OR($H84="En cours",$H84="En revue"),"E",IF($H84="Bloquée","B","P"))),""))</f>
        <v/>
      </c>
      <c r="AR84" s="53">
        <f>IF(OR($F84="",$G84=""),"",IF(AND(AR$5&lt;=$G84,AR$5+6&gt;=$F84),IF($H84="Complétée","F",IF(OR($H84="En cours",$H84="En revue"),"E",IF($H84="Bloquée","B","P"))),""))</f>
        <v/>
      </c>
      <c r="AS84" s="53">
        <f>IF(OR($F84="",$G84=""),"",IF(AND(AS$5&lt;=$G84,AS$5+6&gt;=$F84),IF($H84="Complétée","F",IF(OR($H84="En cours",$H84="En revue"),"E",IF($H84="Bloquée","B","P"))),""))</f>
        <v/>
      </c>
      <c r="AT84" s="53">
        <f>IF(OR($F84="",$G84=""),"",IF(AND(AT$5&lt;=$G84,AT$5+6&gt;=$F84),IF($H84="Complétée","F",IF(OR($H84="En cours",$H84="En revue"),"E",IF($H84="Bloquée","B","P"))),""))</f>
        <v/>
      </c>
      <c r="AU84" s="53">
        <f>IF(OR($F84="",$G84=""),"",IF(AND(AU$5&lt;=$G84,AU$5+6&gt;=$F84),IF($H84="Complétée","F",IF(OR($H84="En cours",$H84="En revue"),"E",IF($H84="Bloquée","B","P"))),""))</f>
        <v/>
      </c>
      <c r="AV84" s="53">
        <f>IF(OR($F84="",$G84=""),"",IF(AND(AV$5&lt;=$G84,AV$5+6&gt;=$F84),IF($H84="Complétée","F",IF(OR($H84="En cours",$H84="En revue"),"E",IF($H84="Bloquée","B","P"))),""))</f>
        <v/>
      </c>
      <c r="AW84" s="53">
        <f>IF(OR($F84="",$G84=""),"",IF(AND(AW$5&lt;=$G84,AW$5+6&gt;=$F84),IF($H84="Complétée","F",IF(OR($H84="En cours",$H84="En revue"),"E",IF($H84="Bloquée","B","P"))),""))</f>
        <v/>
      </c>
    </row>
    <row r="85">
      <c r="B85" s="50">
        <f>IF(Taches!B85="","",Taches!B85)</f>
        <v/>
      </c>
      <c r="C85" s="51">
        <f>IF(Taches!B85="","",Taches!F85)</f>
        <v/>
      </c>
      <c r="D85" s="50">
        <f>IF(Taches!B85="","",Taches!C85)</f>
        <v/>
      </c>
      <c r="E85" s="50">
        <f>IF(Taches!B85="","",Taches!D85)</f>
        <v/>
      </c>
      <c r="F85" s="52">
        <f>IF(Taches!P85="","",Taches!P85)</f>
        <v/>
      </c>
      <c r="G85" s="52">
        <f>IF(Taches!Q85="","",Taches!Q85)</f>
        <v/>
      </c>
      <c r="H85" s="50">
        <f>IF(Taches!B85="","",Taches!J85)</f>
        <v/>
      </c>
      <c r="I85" s="53">
        <f>IF(OR($F85="",$G85=""),"",IF(AND(I$5&lt;=$G85,I$5+6&gt;=$F85),IF($H85="Complétée","F",IF(OR($H85="En cours",$H85="En revue"),"E",IF($H85="Bloquée","B","P"))),""))</f>
        <v/>
      </c>
      <c r="J85" s="53">
        <f>IF(OR($F85="",$G85=""),"",IF(AND(J$5&lt;=$G85,J$5+6&gt;=$F85),IF($H85="Complétée","F",IF(OR($H85="En cours",$H85="En revue"),"E",IF($H85="Bloquée","B","P"))),""))</f>
        <v/>
      </c>
      <c r="K85" s="53">
        <f>IF(OR($F85="",$G85=""),"",IF(AND(K$5&lt;=$G85,K$5+6&gt;=$F85),IF($H85="Complétée","F",IF(OR($H85="En cours",$H85="En revue"),"E",IF($H85="Bloquée","B","P"))),""))</f>
        <v/>
      </c>
      <c r="L85" s="53">
        <f>IF(OR($F85="",$G85=""),"",IF(AND(L$5&lt;=$G85,L$5+6&gt;=$F85),IF($H85="Complétée","F",IF(OR($H85="En cours",$H85="En revue"),"E",IF($H85="Bloquée","B","P"))),""))</f>
        <v/>
      </c>
      <c r="M85" s="53">
        <f>IF(OR($F85="",$G85=""),"",IF(AND(M$5&lt;=$G85,M$5+6&gt;=$F85),IF($H85="Complétée","F",IF(OR($H85="En cours",$H85="En revue"),"E",IF($H85="Bloquée","B","P"))),""))</f>
        <v/>
      </c>
      <c r="N85" s="53">
        <f>IF(OR($F85="",$G85=""),"",IF(AND(N$5&lt;=$G85,N$5+6&gt;=$F85),IF($H85="Complétée","F",IF(OR($H85="En cours",$H85="En revue"),"E",IF($H85="Bloquée","B","P"))),""))</f>
        <v/>
      </c>
      <c r="O85" s="53">
        <f>IF(OR($F85="",$G85=""),"",IF(AND(O$5&lt;=$G85,O$5+6&gt;=$F85),IF($H85="Complétée","F",IF(OR($H85="En cours",$H85="En revue"),"E",IF($H85="Bloquée","B","P"))),""))</f>
        <v/>
      </c>
      <c r="P85" s="53">
        <f>IF(OR($F85="",$G85=""),"",IF(AND(P$5&lt;=$G85,P$5+6&gt;=$F85),IF($H85="Complétée","F",IF(OR($H85="En cours",$H85="En revue"),"E",IF($H85="Bloquée","B","P"))),""))</f>
        <v/>
      </c>
      <c r="Q85" s="53">
        <f>IF(OR($F85="",$G85=""),"",IF(AND(Q$5&lt;=$G85,Q$5+6&gt;=$F85),IF($H85="Complétée","F",IF(OR($H85="En cours",$H85="En revue"),"E",IF($H85="Bloquée","B","P"))),""))</f>
        <v/>
      </c>
      <c r="R85" s="53">
        <f>IF(OR($F85="",$G85=""),"",IF(AND(R$5&lt;=$G85,R$5+6&gt;=$F85),IF($H85="Complétée","F",IF(OR($H85="En cours",$H85="En revue"),"E",IF($H85="Bloquée","B","P"))),""))</f>
        <v/>
      </c>
      <c r="S85" s="53">
        <f>IF(OR($F85="",$G85=""),"",IF(AND(S$5&lt;=$G85,S$5+6&gt;=$F85),IF($H85="Complétée","F",IF(OR($H85="En cours",$H85="En revue"),"E",IF($H85="Bloquée","B","P"))),""))</f>
        <v/>
      </c>
      <c r="T85" s="53">
        <f>IF(OR($F85="",$G85=""),"",IF(AND(T$5&lt;=$G85,T$5+6&gt;=$F85),IF($H85="Complétée","F",IF(OR($H85="En cours",$H85="En revue"),"E",IF($H85="Bloquée","B","P"))),""))</f>
        <v/>
      </c>
      <c r="U85" s="53">
        <f>IF(OR($F85="",$G85=""),"",IF(AND(U$5&lt;=$G85,U$5+6&gt;=$F85),IF($H85="Complétée","F",IF(OR($H85="En cours",$H85="En revue"),"E",IF($H85="Bloquée","B","P"))),""))</f>
        <v/>
      </c>
      <c r="V85" s="53">
        <f>IF(OR($F85="",$G85=""),"",IF(AND(V$5&lt;=$G85,V$5+6&gt;=$F85),IF($H85="Complétée","F",IF(OR($H85="En cours",$H85="En revue"),"E",IF($H85="Bloquée","B","P"))),""))</f>
        <v/>
      </c>
      <c r="W85" s="53">
        <f>IF(OR($F85="",$G85=""),"",IF(AND(W$5&lt;=$G85,W$5+6&gt;=$F85),IF($H85="Complétée","F",IF(OR($H85="En cours",$H85="En revue"),"E",IF($H85="Bloquée","B","P"))),""))</f>
        <v/>
      </c>
      <c r="X85" s="53">
        <f>IF(OR($F85="",$G85=""),"",IF(AND(X$5&lt;=$G85,X$5+6&gt;=$F85),IF($H85="Complétée","F",IF(OR($H85="En cours",$H85="En revue"),"E",IF($H85="Bloquée","B","P"))),""))</f>
        <v/>
      </c>
      <c r="Y85" s="53">
        <f>IF(OR($F85="",$G85=""),"",IF(AND(Y$5&lt;=$G85,Y$5+6&gt;=$F85),IF($H85="Complétée","F",IF(OR($H85="En cours",$H85="En revue"),"E",IF($H85="Bloquée","B","P"))),""))</f>
        <v/>
      </c>
      <c r="Z85" s="53">
        <f>IF(OR($F85="",$G85=""),"",IF(AND(Z$5&lt;=$G85,Z$5+6&gt;=$F85),IF($H85="Complétée","F",IF(OR($H85="En cours",$H85="En revue"),"E",IF($H85="Bloquée","B","P"))),""))</f>
        <v/>
      </c>
      <c r="AA85" s="53">
        <f>IF(OR($F85="",$G85=""),"",IF(AND(AA$5&lt;=$G85,AA$5+6&gt;=$F85),IF($H85="Complétée","F",IF(OR($H85="En cours",$H85="En revue"),"E",IF($H85="Bloquée","B","P"))),""))</f>
        <v/>
      </c>
      <c r="AB85" s="53">
        <f>IF(OR($F85="",$G85=""),"",IF(AND(AB$5&lt;=$G85,AB$5+6&gt;=$F85),IF($H85="Complétée","F",IF(OR($H85="En cours",$H85="En revue"),"E",IF($H85="Bloquée","B","P"))),""))</f>
        <v/>
      </c>
      <c r="AC85" s="53">
        <f>IF(OR($F85="",$G85=""),"",IF(AND(AC$5&lt;=$G85,AC$5+6&gt;=$F85),IF($H85="Complétée","F",IF(OR($H85="En cours",$H85="En revue"),"E",IF($H85="Bloquée","B","P"))),""))</f>
        <v/>
      </c>
      <c r="AD85" s="53">
        <f>IF(OR($F85="",$G85=""),"",IF(AND(AD$5&lt;=$G85,AD$5+6&gt;=$F85),IF($H85="Complétée","F",IF(OR($H85="En cours",$H85="En revue"),"E",IF($H85="Bloquée","B","P"))),""))</f>
        <v/>
      </c>
      <c r="AE85" s="53">
        <f>IF(OR($F85="",$G85=""),"",IF(AND(AE$5&lt;=$G85,AE$5+6&gt;=$F85),IF($H85="Complétée","F",IF(OR($H85="En cours",$H85="En revue"),"E",IF($H85="Bloquée","B","P"))),""))</f>
        <v/>
      </c>
      <c r="AF85" s="53">
        <f>IF(OR($F85="",$G85=""),"",IF(AND(AF$5&lt;=$G85,AF$5+6&gt;=$F85),IF($H85="Complétée","F",IF(OR($H85="En cours",$H85="En revue"),"E",IF($H85="Bloquée","B","P"))),""))</f>
        <v/>
      </c>
      <c r="AG85" s="53">
        <f>IF(OR($F85="",$G85=""),"",IF(AND(AG$5&lt;=$G85,AG$5+6&gt;=$F85),IF($H85="Complétée","F",IF(OR($H85="En cours",$H85="En revue"),"E",IF($H85="Bloquée","B","P"))),""))</f>
        <v/>
      </c>
      <c r="AH85" s="53">
        <f>IF(OR($F85="",$G85=""),"",IF(AND(AH$5&lt;=$G85,AH$5+6&gt;=$F85),IF($H85="Complétée","F",IF(OR($H85="En cours",$H85="En revue"),"E",IF($H85="Bloquée","B","P"))),""))</f>
        <v/>
      </c>
      <c r="AI85" s="53">
        <f>IF(OR($F85="",$G85=""),"",IF(AND(AI$5&lt;=$G85,AI$5+6&gt;=$F85),IF($H85="Complétée","F",IF(OR($H85="En cours",$H85="En revue"),"E",IF($H85="Bloquée","B","P"))),""))</f>
        <v/>
      </c>
      <c r="AJ85" s="53">
        <f>IF(OR($F85="",$G85=""),"",IF(AND(AJ$5&lt;=$G85,AJ$5+6&gt;=$F85),IF($H85="Complétée","F",IF(OR($H85="En cours",$H85="En revue"),"E",IF($H85="Bloquée","B","P"))),""))</f>
        <v/>
      </c>
      <c r="AK85" s="53">
        <f>IF(OR($F85="",$G85=""),"",IF(AND(AK$5&lt;=$G85,AK$5+6&gt;=$F85),IF($H85="Complétée","F",IF(OR($H85="En cours",$H85="En revue"),"E",IF($H85="Bloquée","B","P"))),""))</f>
        <v/>
      </c>
      <c r="AL85" s="53">
        <f>IF(OR($F85="",$G85=""),"",IF(AND(AL$5&lt;=$G85,AL$5+6&gt;=$F85),IF($H85="Complétée","F",IF(OR($H85="En cours",$H85="En revue"),"E",IF($H85="Bloquée","B","P"))),""))</f>
        <v/>
      </c>
      <c r="AM85" s="53">
        <f>IF(OR($F85="",$G85=""),"",IF(AND(AM$5&lt;=$G85,AM$5+6&gt;=$F85),IF($H85="Complétée","F",IF(OR($H85="En cours",$H85="En revue"),"E",IF($H85="Bloquée","B","P"))),""))</f>
        <v/>
      </c>
      <c r="AN85" s="53">
        <f>IF(OR($F85="",$G85=""),"",IF(AND(AN$5&lt;=$G85,AN$5+6&gt;=$F85),IF($H85="Complétée","F",IF(OR($H85="En cours",$H85="En revue"),"E",IF($H85="Bloquée","B","P"))),""))</f>
        <v/>
      </c>
      <c r="AO85" s="53">
        <f>IF(OR($F85="",$G85=""),"",IF(AND(AO$5&lt;=$G85,AO$5+6&gt;=$F85),IF($H85="Complétée","F",IF(OR($H85="En cours",$H85="En revue"),"E",IF($H85="Bloquée","B","P"))),""))</f>
        <v/>
      </c>
      <c r="AP85" s="53">
        <f>IF(OR($F85="",$G85=""),"",IF(AND(AP$5&lt;=$G85,AP$5+6&gt;=$F85),IF($H85="Complétée","F",IF(OR($H85="En cours",$H85="En revue"),"E",IF($H85="Bloquée","B","P"))),""))</f>
        <v/>
      </c>
      <c r="AQ85" s="53">
        <f>IF(OR($F85="",$G85=""),"",IF(AND(AQ$5&lt;=$G85,AQ$5+6&gt;=$F85),IF($H85="Complétée","F",IF(OR($H85="En cours",$H85="En revue"),"E",IF($H85="Bloquée","B","P"))),""))</f>
        <v/>
      </c>
      <c r="AR85" s="53">
        <f>IF(OR($F85="",$G85=""),"",IF(AND(AR$5&lt;=$G85,AR$5+6&gt;=$F85),IF($H85="Complétée","F",IF(OR($H85="En cours",$H85="En revue"),"E",IF($H85="Bloquée","B","P"))),""))</f>
        <v/>
      </c>
      <c r="AS85" s="53">
        <f>IF(OR($F85="",$G85=""),"",IF(AND(AS$5&lt;=$G85,AS$5+6&gt;=$F85),IF($H85="Complétée","F",IF(OR($H85="En cours",$H85="En revue"),"E",IF($H85="Bloquée","B","P"))),""))</f>
        <v/>
      </c>
      <c r="AT85" s="53">
        <f>IF(OR($F85="",$G85=""),"",IF(AND(AT$5&lt;=$G85,AT$5+6&gt;=$F85),IF($H85="Complétée","F",IF(OR($H85="En cours",$H85="En revue"),"E",IF($H85="Bloquée","B","P"))),""))</f>
        <v/>
      </c>
      <c r="AU85" s="53">
        <f>IF(OR($F85="",$G85=""),"",IF(AND(AU$5&lt;=$G85,AU$5+6&gt;=$F85),IF($H85="Complétée","F",IF(OR($H85="En cours",$H85="En revue"),"E",IF($H85="Bloquée","B","P"))),""))</f>
        <v/>
      </c>
      <c r="AV85" s="53">
        <f>IF(OR($F85="",$G85=""),"",IF(AND(AV$5&lt;=$G85,AV$5+6&gt;=$F85),IF($H85="Complétée","F",IF(OR($H85="En cours",$H85="En revue"),"E",IF($H85="Bloquée","B","P"))),""))</f>
        <v/>
      </c>
      <c r="AW85" s="53">
        <f>IF(OR($F85="",$G85=""),"",IF(AND(AW$5&lt;=$G85,AW$5+6&gt;=$F85),IF($H85="Complétée","F",IF(OR($H85="En cours",$H85="En revue"),"E",IF($H85="Bloquée","B","P"))),""))</f>
        <v/>
      </c>
    </row>
    <row r="86">
      <c r="B86" s="50">
        <f>IF(Taches!B86="","",Taches!B86)</f>
        <v/>
      </c>
      <c r="C86" s="51">
        <f>IF(Taches!B86="","",Taches!F86)</f>
        <v/>
      </c>
      <c r="D86" s="50">
        <f>IF(Taches!B86="","",Taches!C86)</f>
        <v/>
      </c>
      <c r="E86" s="50">
        <f>IF(Taches!B86="","",Taches!D86)</f>
        <v/>
      </c>
      <c r="F86" s="52">
        <f>IF(Taches!P86="","",Taches!P86)</f>
        <v/>
      </c>
      <c r="G86" s="52">
        <f>IF(Taches!Q86="","",Taches!Q86)</f>
        <v/>
      </c>
      <c r="H86" s="50">
        <f>IF(Taches!B86="","",Taches!J86)</f>
        <v/>
      </c>
      <c r="I86" s="53">
        <f>IF(OR($F86="",$G86=""),"",IF(AND(I$5&lt;=$G86,I$5+6&gt;=$F86),IF($H86="Complétée","F",IF(OR($H86="En cours",$H86="En revue"),"E",IF($H86="Bloquée","B","P"))),""))</f>
        <v/>
      </c>
      <c r="J86" s="53">
        <f>IF(OR($F86="",$G86=""),"",IF(AND(J$5&lt;=$G86,J$5+6&gt;=$F86),IF($H86="Complétée","F",IF(OR($H86="En cours",$H86="En revue"),"E",IF($H86="Bloquée","B","P"))),""))</f>
        <v/>
      </c>
      <c r="K86" s="53">
        <f>IF(OR($F86="",$G86=""),"",IF(AND(K$5&lt;=$G86,K$5+6&gt;=$F86),IF($H86="Complétée","F",IF(OR($H86="En cours",$H86="En revue"),"E",IF($H86="Bloquée","B","P"))),""))</f>
        <v/>
      </c>
      <c r="L86" s="53">
        <f>IF(OR($F86="",$G86=""),"",IF(AND(L$5&lt;=$G86,L$5+6&gt;=$F86),IF($H86="Complétée","F",IF(OR($H86="En cours",$H86="En revue"),"E",IF($H86="Bloquée","B","P"))),""))</f>
        <v/>
      </c>
      <c r="M86" s="53">
        <f>IF(OR($F86="",$G86=""),"",IF(AND(M$5&lt;=$G86,M$5+6&gt;=$F86),IF($H86="Complétée","F",IF(OR($H86="En cours",$H86="En revue"),"E",IF($H86="Bloquée","B","P"))),""))</f>
        <v/>
      </c>
      <c r="N86" s="53">
        <f>IF(OR($F86="",$G86=""),"",IF(AND(N$5&lt;=$G86,N$5+6&gt;=$F86),IF($H86="Complétée","F",IF(OR($H86="En cours",$H86="En revue"),"E",IF($H86="Bloquée","B","P"))),""))</f>
        <v/>
      </c>
      <c r="O86" s="53">
        <f>IF(OR($F86="",$G86=""),"",IF(AND(O$5&lt;=$G86,O$5+6&gt;=$F86),IF($H86="Complétée","F",IF(OR($H86="En cours",$H86="En revue"),"E",IF($H86="Bloquée","B","P"))),""))</f>
        <v/>
      </c>
      <c r="P86" s="53">
        <f>IF(OR($F86="",$G86=""),"",IF(AND(P$5&lt;=$G86,P$5+6&gt;=$F86),IF($H86="Complétée","F",IF(OR($H86="En cours",$H86="En revue"),"E",IF($H86="Bloquée","B","P"))),""))</f>
        <v/>
      </c>
      <c r="Q86" s="53">
        <f>IF(OR($F86="",$G86=""),"",IF(AND(Q$5&lt;=$G86,Q$5+6&gt;=$F86),IF($H86="Complétée","F",IF(OR($H86="En cours",$H86="En revue"),"E",IF($H86="Bloquée","B","P"))),""))</f>
        <v/>
      </c>
      <c r="R86" s="53">
        <f>IF(OR($F86="",$G86=""),"",IF(AND(R$5&lt;=$G86,R$5+6&gt;=$F86),IF($H86="Complétée","F",IF(OR($H86="En cours",$H86="En revue"),"E",IF($H86="Bloquée","B","P"))),""))</f>
        <v/>
      </c>
      <c r="S86" s="53">
        <f>IF(OR($F86="",$G86=""),"",IF(AND(S$5&lt;=$G86,S$5+6&gt;=$F86),IF($H86="Complétée","F",IF(OR($H86="En cours",$H86="En revue"),"E",IF($H86="Bloquée","B","P"))),""))</f>
        <v/>
      </c>
      <c r="T86" s="53">
        <f>IF(OR($F86="",$G86=""),"",IF(AND(T$5&lt;=$G86,T$5+6&gt;=$F86),IF($H86="Complétée","F",IF(OR($H86="En cours",$H86="En revue"),"E",IF($H86="Bloquée","B","P"))),""))</f>
        <v/>
      </c>
      <c r="U86" s="53">
        <f>IF(OR($F86="",$G86=""),"",IF(AND(U$5&lt;=$G86,U$5+6&gt;=$F86),IF($H86="Complétée","F",IF(OR($H86="En cours",$H86="En revue"),"E",IF($H86="Bloquée","B","P"))),""))</f>
        <v/>
      </c>
      <c r="V86" s="53">
        <f>IF(OR($F86="",$G86=""),"",IF(AND(V$5&lt;=$G86,V$5+6&gt;=$F86),IF($H86="Complétée","F",IF(OR($H86="En cours",$H86="En revue"),"E",IF($H86="Bloquée","B","P"))),""))</f>
        <v/>
      </c>
      <c r="W86" s="53">
        <f>IF(OR($F86="",$G86=""),"",IF(AND(W$5&lt;=$G86,W$5+6&gt;=$F86),IF($H86="Complétée","F",IF(OR($H86="En cours",$H86="En revue"),"E",IF($H86="Bloquée","B","P"))),""))</f>
        <v/>
      </c>
      <c r="X86" s="53">
        <f>IF(OR($F86="",$G86=""),"",IF(AND(X$5&lt;=$G86,X$5+6&gt;=$F86),IF($H86="Complétée","F",IF(OR($H86="En cours",$H86="En revue"),"E",IF($H86="Bloquée","B","P"))),""))</f>
        <v/>
      </c>
      <c r="Y86" s="53">
        <f>IF(OR($F86="",$G86=""),"",IF(AND(Y$5&lt;=$G86,Y$5+6&gt;=$F86),IF($H86="Complétée","F",IF(OR($H86="En cours",$H86="En revue"),"E",IF($H86="Bloquée","B","P"))),""))</f>
        <v/>
      </c>
      <c r="Z86" s="53">
        <f>IF(OR($F86="",$G86=""),"",IF(AND(Z$5&lt;=$G86,Z$5+6&gt;=$F86),IF($H86="Complétée","F",IF(OR($H86="En cours",$H86="En revue"),"E",IF($H86="Bloquée","B","P"))),""))</f>
        <v/>
      </c>
      <c r="AA86" s="53">
        <f>IF(OR($F86="",$G86=""),"",IF(AND(AA$5&lt;=$G86,AA$5+6&gt;=$F86),IF($H86="Complétée","F",IF(OR($H86="En cours",$H86="En revue"),"E",IF($H86="Bloquée","B","P"))),""))</f>
        <v/>
      </c>
      <c r="AB86" s="53">
        <f>IF(OR($F86="",$G86=""),"",IF(AND(AB$5&lt;=$G86,AB$5+6&gt;=$F86),IF($H86="Complétée","F",IF(OR($H86="En cours",$H86="En revue"),"E",IF($H86="Bloquée","B","P"))),""))</f>
        <v/>
      </c>
      <c r="AC86" s="53">
        <f>IF(OR($F86="",$G86=""),"",IF(AND(AC$5&lt;=$G86,AC$5+6&gt;=$F86),IF($H86="Complétée","F",IF(OR($H86="En cours",$H86="En revue"),"E",IF($H86="Bloquée","B","P"))),""))</f>
        <v/>
      </c>
      <c r="AD86" s="53">
        <f>IF(OR($F86="",$G86=""),"",IF(AND(AD$5&lt;=$G86,AD$5+6&gt;=$F86),IF($H86="Complétée","F",IF(OR($H86="En cours",$H86="En revue"),"E",IF($H86="Bloquée","B","P"))),""))</f>
        <v/>
      </c>
      <c r="AE86" s="53">
        <f>IF(OR($F86="",$G86=""),"",IF(AND(AE$5&lt;=$G86,AE$5+6&gt;=$F86),IF($H86="Complétée","F",IF(OR($H86="En cours",$H86="En revue"),"E",IF($H86="Bloquée","B","P"))),""))</f>
        <v/>
      </c>
      <c r="AF86" s="53">
        <f>IF(OR($F86="",$G86=""),"",IF(AND(AF$5&lt;=$G86,AF$5+6&gt;=$F86),IF($H86="Complétée","F",IF(OR($H86="En cours",$H86="En revue"),"E",IF($H86="Bloquée","B","P"))),""))</f>
        <v/>
      </c>
      <c r="AG86" s="53">
        <f>IF(OR($F86="",$G86=""),"",IF(AND(AG$5&lt;=$G86,AG$5+6&gt;=$F86),IF($H86="Complétée","F",IF(OR($H86="En cours",$H86="En revue"),"E",IF($H86="Bloquée","B","P"))),""))</f>
        <v/>
      </c>
      <c r="AH86" s="53">
        <f>IF(OR($F86="",$G86=""),"",IF(AND(AH$5&lt;=$G86,AH$5+6&gt;=$F86),IF($H86="Complétée","F",IF(OR($H86="En cours",$H86="En revue"),"E",IF($H86="Bloquée","B","P"))),""))</f>
        <v/>
      </c>
      <c r="AI86" s="53">
        <f>IF(OR($F86="",$G86=""),"",IF(AND(AI$5&lt;=$G86,AI$5+6&gt;=$F86),IF($H86="Complétée","F",IF(OR($H86="En cours",$H86="En revue"),"E",IF($H86="Bloquée","B","P"))),""))</f>
        <v/>
      </c>
      <c r="AJ86" s="53">
        <f>IF(OR($F86="",$G86=""),"",IF(AND(AJ$5&lt;=$G86,AJ$5+6&gt;=$F86),IF($H86="Complétée","F",IF(OR($H86="En cours",$H86="En revue"),"E",IF($H86="Bloquée","B","P"))),""))</f>
        <v/>
      </c>
      <c r="AK86" s="53">
        <f>IF(OR($F86="",$G86=""),"",IF(AND(AK$5&lt;=$G86,AK$5+6&gt;=$F86),IF($H86="Complétée","F",IF(OR($H86="En cours",$H86="En revue"),"E",IF($H86="Bloquée","B","P"))),""))</f>
        <v/>
      </c>
      <c r="AL86" s="53">
        <f>IF(OR($F86="",$G86=""),"",IF(AND(AL$5&lt;=$G86,AL$5+6&gt;=$F86),IF($H86="Complétée","F",IF(OR($H86="En cours",$H86="En revue"),"E",IF($H86="Bloquée","B","P"))),""))</f>
        <v/>
      </c>
      <c r="AM86" s="53">
        <f>IF(OR($F86="",$G86=""),"",IF(AND(AM$5&lt;=$G86,AM$5+6&gt;=$F86),IF($H86="Complétée","F",IF(OR($H86="En cours",$H86="En revue"),"E",IF($H86="Bloquée","B","P"))),""))</f>
        <v/>
      </c>
      <c r="AN86" s="53">
        <f>IF(OR($F86="",$G86=""),"",IF(AND(AN$5&lt;=$G86,AN$5+6&gt;=$F86),IF($H86="Complétée","F",IF(OR($H86="En cours",$H86="En revue"),"E",IF($H86="Bloquée","B","P"))),""))</f>
        <v/>
      </c>
      <c r="AO86" s="53">
        <f>IF(OR($F86="",$G86=""),"",IF(AND(AO$5&lt;=$G86,AO$5+6&gt;=$F86),IF($H86="Complétée","F",IF(OR($H86="En cours",$H86="En revue"),"E",IF($H86="Bloquée","B","P"))),""))</f>
        <v/>
      </c>
      <c r="AP86" s="53">
        <f>IF(OR($F86="",$G86=""),"",IF(AND(AP$5&lt;=$G86,AP$5+6&gt;=$F86),IF($H86="Complétée","F",IF(OR($H86="En cours",$H86="En revue"),"E",IF($H86="Bloquée","B","P"))),""))</f>
        <v/>
      </c>
      <c r="AQ86" s="53">
        <f>IF(OR($F86="",$G86=""),"",IF(AND(AQ$5&lt;=$G86,AQ$5+6&gt;=$F86),IF($H86="Complétée","F",IF(OR($H86="En cours",$H86="En revue"),"E",IF($H86="Bloquée","B","P"))),""))</f>
        <v/>
      </c>
      <c r="AR86" s="53">
        <f>IF(OR($F86="",$G86=""),"",IF(AND(AR$5&lt;=$G86,AR$5+6&gt;=$F86),IF($H86="Complétée","F",IF(OR($H86="En cours",$H86="En revue"),"E",IF($H86="Bloquée","B","P"))),""))</f>
        <v/>
      </c>
      <c r="AS86" s="53">
        <f>IF(OR($F86="",$G86=""),"",IF(AND(AS$5&lt;=$G86,AS$5+6&gt;=$F86),IF($H86="Complétée","F",IF(OR($H86="En cours",$H86="En revue"),"E",IF($H86="Bloquée","B","P"))),""))</f>
        <v/>
      </c>
      <c r="AT86" s="53">
        <f>IF(OR($F86="",$G86=""),"",IF(AND(AT$5&lt;=$G86,AT$5+6&gt;=$F86),IF($H86="Complétée","F",IF(OR($H86="En cours",$H86="En revue"),"E",IF($H86="Bloquée","B","P"))),""))</f>
        <v/>
      </c>
      <c r="AU86" s="53">
        <f>IF(OR($F86="",$G86=""),"",IF(AND(AU$5&lt;=$G86,AU$5+6&gt;=$F86),IF($H86="Complétée","F",IF(OR($H86="En cours",$H86="En revue"),"E",IF($H86="Bloquée","B","P"))),""))</f>
        <v/>
      </c>
      <c r="AV86" s="53">
        <f>IF(OR($F86="",$G86=""),"",IF(AND(AV$5&lt;=$G86,AV$5+6&gt;=$F86),IF($H86="Complétée","F",IF(OR($H86="En cours",$H86="En revue"),"E",IF($H86="Bloquée","B","P"))),""))</f>
        <v/>
      </c>
      <c r="AW86" s="53">
        <f>IF(OR($F86="",$G86=""),"",IF(AND(AW$5&lt;=$G86,AW$5+6&gt;=$F86),IF($H86="Complétée","F",IF(OR($H86="En cours",$H86="En revue"),"E",IF($H86="Bloquée","B","P"))),""))</f>
        <v/>
      </c>
    </row>
    <row r="87">
      <c r="B87" s="50">
        <f>IF(Taches!B87="","",Taches!B87)</f>
        <v/>
      </c>
      <c r="C87" s="51">
        <f>IF(Taches!B87="","",Taches!F87)</f>
        <v/>
      </c>
      <c r="D87" s="50">
        <f>IF(Taches!B87="","",Taches!C87)</f>
        <v/>
      </c>
      <c r="E87" s="50">
        <f>IF(Taches!B87="","",Taches!D87)</f>
        <v/>
      </c>
      <c r="F87" s="52">
        <f>IF(Taches!P87="","",Taches!P87)</f>
        <v/>
      </c>
      <c r="G87" s="52">
        <f>IF(Taches!Q87="","",Taches!Q87)</f>
        <v/>
      </c>
      <c r="H87" s="50">
        <f>IF(Taches!B87="","",Taches!J87)</f>
        <v/>
      </c>
      <c r="I87" s="53">
        <f>IF(OR($F87="",$G87=""),"",IF(AND(I$5&lt;=$G87,I$5+6&gt;=$F87),IF($H87="Complétée","F",IF(OR($H87="En cours",$H87="En revue"),"E",IF($H87="Bloquée","B","P"))),""))</f>
        <v/>
      </c>
      <c r="J87" s="53">
        <f>IF(OR($F87="",$G87=""),"",IF(AND(J$5&lt;=$G87,J$5+6&gt;=$F87),IF($H87="Complétée","F",IF(OR($H87="En cours",$H87="En revue"),"E",IF($H87="Bloquée","B","P"))),""))</f>
        <v/>
      </c>
      <c r="K87" s="53">
        <f>IF(OR($F87="",$G87=""),"",IF(AND(K$5&lt;=$G87,K$5+6&gt;=$F87),IF($H87="Complétée","F",IF(OR($H87="En cours",$H87="En revue"),"E",IF($H87="Bloquée","B","P"))),""))</f>
        <v/>
      </c>
      <c r="L87" s="53">
        <f>IF(OR($F87="",$G87=""),"",IF(AND(L$5&lt;=$G87,L$5+6&gt;=$F87),IF($H87="Complétée","F",IF(OR($H87="En cours",$H87="En revue"),"E",IF($H87="Bloquée","B","P"))),""))</f>
        <v/>
      </c>
      <c r="M87" s="53">
        <f>IF(OR($F87="",$G87=""),"",IF(AND(M$5&lt;=$G87,M$5+6&gt;=$F87),IF($H87="Complétée","F",IF(OR($H87="En cours",$H87="En revue"),"E",IF($H87="Bloquée","B","P"))),""))</f>
        <v/>
      </c>
      <c r="N87" s="53">
        <f>IF(OR($F87="",$G87=""),"",IF(AND(N$5&lt;=$G87,N$5+6&gt;=$F87),IF($H87="Complétée","F",IF(OR($H87="En cours",$H87="En revue"),"E",IF($H87="Bloquée","B","P"))),""))</f>
        <v/>
      </c>
      <c r="O87" s="53">
        <f>IF(OR($F87="",$G87=""),"",IF(AND(O$5&lt;=$G87,O$5+6&gt;=$F87),IF($H87="Complétée","F",IF(OR($H87="En cours",$H87="En revue"),"E",IF($H87="Bloquée","B","P"))),""))</f>
        <v/>
      </c>
      <c r="P87" s="53">
        <f>IF(OR($F87="",$G87=""),"",IF(AND(P$5&lt;=$G87,P$5+6&gt;=$F87),IF($H87="Complétée","F",IF(OR($H87="En cours",$H87="En revue"),"E",IF($H87="Bloquée","B","P"))),""))</f>
        <v/>
      </c>
      <c r="Q87" s="53">
        <f>IF(OR($F87="",$G87=""),"",IF(AND(Q$5&lt;=$G87,Q$5+6&gt;=$F87),IF($H87="Complétée","F",IF(OR($H87="En cours",$H87="En revue"),"E",IF($H87="Bloquée","B","P"))),""))</f>
        <v/>
      </c>
      <c r="R87" s="53">
        <f>IF(OR($F87="",$G87=""),"",IF(AND(R$5&lt;=$G87,R$5+6&gt;=$F87),IF($H87="Complétée","F",IF(OR($H87="En cours",$H87="En revue"),"E",IF($H87="Bloquée","B","P"))),""))</f>
        <v/>
      </c>
      <c r="S87" s="53">
        <f>IF(OR($F87="",$G87=""),"",IF(AND(S$5&lt;=$G87,S$5+6&gt;=$F87),IF($H87="Complétée","F",IF(OR($H87="En cours",$H87="En revue"),"E",IF($H87="Bloquée","B","P"))),""))</f>
        <v/>
      </c>
      <c r="T87" s="53">
        <f>IF(OR($F87="",$G87=""),"",IF(AND(T$5&lt;=$G87,T$5+6&gt;=$F87),IF($H87="Complétée","F",IF(OR($H87="En cours",$H87="En revue"),"E",IF($H87="Bloquée","B","P"))),""))</f>
        <v/>
      </c>
      <c r="U87" s="53">
        <f>IF(OR($F87="",$G87=""),"",IF(AND(U$5&lt;=$G87,U$5+6&gt;=$F87),IF($H87="Complétée","F",IF(OR($H87="En cours",$H87="En revue"),"E",IF($H87="Bloquée","B","P"))),""))</f>
        <v/>
      </c>
      <c r="V87" s="53">
        <f>IF(OR($F87="",$G87=""),"",IF(AND(V$5&lt;=$G87,V$5+6&gt;=$F87),IF($H87="Complétée","F",IF(OR($H87="En cours",$H87="En revue"),"E",IF($H87="Bloquée","B","P"))),""))</f>
        <v/>
      </c>
      <c r="W87" s="53">
        <f>IF(OR($F87="",$G87=""),"",IF(AND(W$5&lt;=$G87,W$5+6&gt;=$F87),IF($H87="Complétée","F",IF(OR($H87="En cours",$H87="En revue"),"E",IF($H87="Bloquée","B","P"))),""))</f>
        <v/>
      </c>
      <c r="X87" s="53">
        <f>IF(OR($F87="",$G87=""),"",IF(AND(X$5&lt;=$G87,X$5+6&gt;=$F87),IF($H87="Complétée","F",IF(OR($H87="En cours",$H87="En revue"),"E",IF($H87="Bloquée","B","P"))),""))</f>
        <v/>
      </c>
      <c r="Y87" s="53">
        <f>IF(OR($F87="",$G87=""),"",IF(AND(Y$5&lt;=$G87,Y$5+6&gt;=$F87),IF($H87="Complétée","F",IF(OR($H87="En cours",$H87="En revue"),"E",IF($H87="Bloquée","B","P"))),""))</f>
        <v/>
      </c>
      <c r="Z87" s="53">
        <f>IF(OR($F87="",$G87=""),"",IF(AND(Z$5&lt;=$G87,Z$5+6&gt;=$F87),IF($H87="Complétée","F",IF(OR($H87="En cours",$H87="En revue"),"E",IF($H87="Bloquée","B","P"))),""))</f>
        <v/>
      </c>
      <c r="AA87" s="53">
        <f>IF(OR($F87="",$G87=""),"",IF(AND(AA$5&lt;=$G87,AA$5+6&gt;=$F87),IF($H87="Complétée","F",IF(OR($H87="En cours",$H87="En revue"),"E",IF($H87="Bloquée","B","P"))),""))</f>
        <v/>
      </c>
      <c r="AB87" s="53">
        <f>IF(OR($F87="",$G87=""),"",IF(AND(AB$5&lt;=$G87,AB$5+6&gt;=$F87),IF($H87="Complétée","F",IF(OR($H87="En cours",$H87="En revue"),"E",IF($H87="Bloquée","B","P"))),""))</f>
        <v/>
      </c>
      <c r="AC87" s="53">
        <f>IF(OR($F87="",$G87=""),"",IF(AND(AC$5&lt;=$G87,AC$5+6&gt;=$F87),IF($H87="Complétée","F",IF(OR($H87="En cours",$H87="En revue"),"E",IF($H87="Bloquée","B","P"))),""))</f>
        <v/>
      </c>
      <c r="AD87" s="53">
        <f>IF(OR($F87="",$G87=""),"",IF(AND(AD$5&lt;=$G87,AD$5+6&gt;=$F87),IF($H87="Complétée","F",IF(OR($H87="En cours",$H87="En revue"),"E",IF($H87="Bloquée","B","P"))),""))</f>
        <v/>
      </c>
      <c r="AE87" s="53">
        <f>IF(OR($F87="",$G87=""),"",IF(AND(AE$5&lt;=$G87,AE$5+6&gt;=$F87),IF($H87="Complétée","F",IF(OR($H87="En cours",$H87="En revue"),"E",IF($H87="Bloquée","B","P"))),""))</f>
        <v/>
      </c>
      <c r="AF87" s="53">
        <f>IF(OR($F87="",$G87=""),"",IF(AND(AF$5&lt;=$G87,AF$5+6&gt;=$F87),IF($H87="Complétée","F",IF(OR($H87="En cours",$H87="En revue"),"E",IF($H87="Bloquée","B","P"))),""))</f>
        <v/>
      </c>
      <c r="AG87" s="53">
        <f>IF(OR($F87="",$G87=""),"",IF(AND(AG$5&lt;=$G87,AG$5+6&gt;=$F87),IF($H87="Complétée","F",IF(OR($H87="En cours",$H87="En revue"),"E",IF($H87="Bloquée","B","P"))),""))</f>
        <v/>
      </c>
      <c r="AH87" s="53">
        <f>IF(OR($F87="",$G87=""),"",IF(AND(AH$5&lt;=$G87,AH$5+6&gt;=$F87),IF($H87="Complétée","F",IF(OR($H87="En cours",$H87="En revue"),"E",IF($H87="Bloquée","B","P"))),""))</f>
        <v/>
      </c>
      <c r="AI87" s="53">
        <f>IF(OR($F87="",$G87=""),"",IF(AND(AI$5&lt;=$G87,AI$5+6&gt;=$F87),IF($H87="Complétée","F",IF(OR($H87="En cours",$H87="En revue"),"E",IF($H87="Bloquée","B","P"))),""))</f>
        <v/>
      </c>
      <c r="AJ87" s="53">
        <f>IF(OR($F87="",$G87=""),"",IF(AND(AJ$5&lt;=$G87,AJ$5+6&gt;=$F87),IF($H87="Complétée","F",IF(OR($H87="En cours",$H87="En revue"),"E",IF($H87="Bloquée","B","P"))),""))</f>
        <v/>
      </c>
      <c r="AK87" s="53">
        <f>IF(OR($F87="",$G87=""),"",IF(AND(AK$5&lt;=$G87,AK$5+6&gt;=$F87),IF($H87="Complétée","F",IF(OR($H87="En cours",$H87="En revue"),"E",IF($H87="Bloquée","B","P"))),""))</f>
        <v/>
      </c>
      <c r="AL87" s="53">
        <f>IF(OR($F87="",$G87=""),"",IF(AND(AL$5&lt;=$G87,AL$5+6&gt;=$F87),IF($H87="Complétée","F",IF(OR($H87="En cours",$H87="En revue"),"E",IF($H87="Bloquée","B","P"))),""))</f>
        <v/>
      </c>
      <c r="AM87" s="53">
        <f>IF(OR($F87="",$G87=""),"",IF(AND(AM$5&lt;=$G87,AM$5+6&gt;=$F87),IF($H87="Complétée","F",IF(OR($H87="En cours",$H87="En revue"),"E",IF($H87="Bloquée","B","P"))),""))</f>
        <v/>
      </c>
      <c r="AN87" s="53">
        <f>IF(OR($F87="",$G87=""),"",IF(AND(AN$5&lt;=$G87,AN$5+6&gt;=$F87),IF($H87="Complétée","F",IF(OR($H87="En cours",$H87="En revue"),"E",IF($H87="Bloquée","B","P"))),""))</f>
        <v/>
      </c>
      <c r="AO87" s="53">
        <f>IF(OR($F87="",$G87=""),"",IF(AND(AO$5&lt;=$G87,AO$5+6&gt;=$F87),IF($H87="Complétée","F",IF(OR($H87="En cours",$H87="En revue"),"E",IF($H87="Bloquée","B","P"))),""))</f>
        <v/>
      </c>
      <c r="AP87" s="53">
        <f>IF(OR($F87="",$G87=""),"",IF(AND(AP$5&lt;=$G87,AP$5+6&gt;=$F87),IF($H87="Complétée","F",IF(OR($H87="En cours",$H87="En revue"),"E",IF($H87="Bloquée","B","P"))),""))</f>
        <v/>
      </c>
      <c r="AQ87" s="53">
        <f>IF(OR($F87="",$G87=""),"",IF(AND(AQ$5&lt;=$G87,AQ$5+6&gt;=$F87),IF($H87="Complétée","F",IF(OR($H87="En cours",$H87="En revue"),"E",IF($H87="Bloquée","B","P"))),""))</f>
        <v/>
      </c>
      <c r="AR87" s="53">
        <f>IF(OR($F87="",$G87=""),"",IF(AND(AR$5&lt;=$G87,AR$5+6&gt;=$F87),IF($H87="Complétée","F",IF(OR($H87="En cours",$H87="En revue"),"E",IF($H87="Bloquée","B","P"))),""))</f>
        <v/>
      </c>
      <c r="AS87" s="53">
        <f>IF(OR($F87="",$G87=""),"",IF(AND(AS$5&lt;=$G87,AS$5+6&gt;=$F87),IF($H87="Complétée","F",IF(OR($H87="En cours",$H87="En revue"),"E",IF($H87="Bloquée","B","P"))),""))</f>
        <v/>
      </c>
      <c r="AT87" s="53">
        <f>IF(OR($F87="",$G87=""),"",IF(AND(AT$5&lt;=$G87,AT$5+6&gt;=$F87),IF($H87="Complétée","F",IF(OR($H87="En cours",$H87="En revue"),"E",IF($H87="Bloquée","B","P"))),""))</f>
        <v/>
      </c>
      <c r="AU87" s="53">
        <f>IF(OR($F87="",$G87=""),"",IF(AND(AU$5&lt;=$G87,AU$5+6&gt;=$F87),IF($H87="Complétée","F",IF(OR($H87="En cours",$H87="En revue"),"E",IF($H87="Bloquée","B","P"))),""))</f>
        <v/>
      </c>
      <c r="AV87" s="53">
        <f>IF(OR($F87="",$G87=""),"",IF(AND(AV$5&lt;=$G87,AV$5+6&gt;=$F87),IF($H87="Complétée","F",IF(OR($H87="En cours",$H87="En revue"),"E",IF($H87="Bloquée","B","P"))),""))</f>
        <v/>
      </c>
      <c r="AW87" s="53">
        <f>IF(OR($F87="",$G87=""),"",IF(AND(AW$5&lt;=$G87,AW$5+6&gt;=$F87),IF($H87="Complétée","F",IF(OR($H87="En cours",$H87="En revue"),"E",IF($H87="Bloquée","B","P"))),""))</f>
        <v/>
      </c>
    </row>
    <row r="88">
      <c r="B88" s="50">
        <f>IF(Taches!B88="","",Taches!B88)</f>
        <v/>
      </c>
      <c r="C88" s="51">
        <f>IF(Taches!B88="","",Taches!F88)</f>
        <v/>
      </c>
      <c r="D88" s="50">
        <f>IF(Taches!B88="","",Taches!C88)</f>
        <v/>
      </c>
      <c r="E88" s="50">
        <f>IF(Taches!B88="","",Taches!D88)</f>
        <v/>
      </c>
      <c r="F88" s="52">
        <f>IF(Taches!P88="","",Taches!P88)</f>
        <v/>
      </c>
      <c r="G88" s="52">
        <f>IF(Taches!Q88="","",Taches!Q88)</f>
        <v/>
      </c>
      <c r="H88" s="50">
        <f>IF(Taches!B88="","",Taches!J88)</f>
        <v/>
      </c>
      <c r="I88" s="53">
        <f>IF(OR($F88="",$G88=""),"",IF(AND(I$5&lt;=$G88,I$5+6&gt;=$F88),IF($H88="Complétée","F",IF(OR($H88="En cours",$H88="En revue"),"E",IF($H88="Bloquée","B","P"))),""))</f>
        <v/>
      </c>
      <c r="J88" s="53">
        <f>IF(OR($F88="",$G88=""),"",IF(AND(J$5&lt;=$G88,J$5+6&gt;=$F88),IF($H88="Complétée","F",IF(OR($H88="En cours",$H88="En revue"),"E",IF($H88="Bloquée","B","P"))),""))</f>
        <v/>
      </c>
      <c r="K88" s="53">
        <f>IF(OR($F88="",$G88=""),"",IF(AND(K$5&lt;=$G88,K$5+6&gt;=$F88),IF($H88="Complétée","F",IF(OR($H88="En cours",$H88="En revue"),"E",IF($H88="Bloquée","B","P"))),""))</f>
        <v/>
      </c>
      <c r="L88" s="53">
        <f>IF(OR($F88="",$G88=""),"",IF(AND(L$5&lt;=$G88,L$5+6&gt;=$F88),IF($H88="Complétée","F",IF(OR($H88="En cours",$H88="En revue"),"E",IF($H88="Bloquée","B","P"))),""))</f>
        <v/>
      </c>
      <c r="M88" s="53">
        <f>IF(OR($F88="",$G88=""),"",IF(AND(M$5&lt;=$G88,M$5+6&gt;=$F88),IF($H88="Complétée","F",IF(OR($H88="En cours",$H88="En revue"),"E",IF($H88="Bloquée","B","P"))),""))</f>
        <v/>
      </c>
      <c r="N88" s="53">
        <f>IF(OR($F88="",$G88=""),"",IF(AND(N$5&lt;=$G88,N$5+6&gt;=$F88),IF($H88="Complétée","F",IF(OR($H88="En cours",$H88="En revue"),"E",IF($H88="Bloquée","B","P"))),""))</f>
        <v/>
      </c>
      <c r="O88" s="53">
        <f>IF(OR($F88="",$G88=""),"",IF(AND(O$5&lt;=$G88,O$5+6&gt;=$F88),IF($H88="Complétée","F",IF(OR($H88="En cours",$H88="En revue"),"E",IF($H88="Bloquée","B","P"))),""))</f>
        <v/>
      </c>
      <c r="P88" s="53">
        <f>IF(OR($F88="",$G88=""),"",IF(AND(P$5&lt;=$G88,P$5+6&gt;=$F88),IF($H88="Complétée","F",IF(OR($H88="En cours",$H88="En revue"),"E",IF($H88="Bloquée","B","P"))),""))</f>
        <v/>
      </c>
      <c r="Q88" s="53">
        <f>IF(OR($F88="",$G88=""),"",IF(AND(Q$5&lt;=$G88,Q$5+6&gt;=$F88),IF($H88="Complétée","F",IF(OR($H88="En cours",$H88="En revue"),"E",IF($H88="Bloquée","B","P"))),""))</f>
        <v/>
      </c>
      <c r="R88" s="53">
        <f>IF(OR($F88="",$G88=""),"",IF(AND(R$5&lt;=$G88,R$5+6&gt;=$F88),IF($H88="Complétée","F",IF(OR($H88="En cours",$H88="En revue"),"E",IF($H88="Bloquée","B","P"))),""))</f>
        <v/>
      </c>
      <c r="S88" s="53">
        <f>IF(OR($F88="",$G88=""),"",IF(AND(S$5&lt;=$G88,S$5+6&gt;=$F88),IF($H88="Complétée","F",IF(OR($H88="En cours",$H88="En revue"),"E",IF($H88="Bloquée","B","P"))),""))</f>
        <v/>
      </c>
      <c r="T88" s="53">
        <f>IF(OR($F88="",$G88=""),"",IF(AND(T$5&lt;=$G88,T$5+6&gt;=$F88),IF($H88="Complétée","F",IF(OR($H88="En cours",$H88="En revue"),"E",IF($H88="Bloquée","B","P"))),""))</f>
        <v/>
      </c>
      <c r="U88" s="53">
        <f>IF(OR($F88="",$G88=""),"",IF(AND(U$5&lt;=$G88,U$5+6&gt;=$F88),IF($H88="Complétée","F",IF(OR($H88="En cours",$H88="En revue"),"E",IF($H88="Bloquée","B","P"))),""))</f>
        <v/>
      </c>
      <c r="V88" s="53">
        <f>IF(OR($F88="",$G88=""),"",IF(AND(V$5&lt;=$G88,V$5+6&gt;=$F88),IF($H88="Complétée","F",IF(OR($H88="En cours",$H88="En revue"),"E",IF($H88="Bloquée","B","P"))),""))</f>
        <v/>
      </c>
      <c r="W88" s="53">
        <f>IF(OR($F88="",$G88=""),"",IF(AND(W$5&lt;=$G88,W$5+6&gt;=$F88),IF($H88="Complétée","F",IF(OR($H88="En cours",$H88="En revue"),"E",IF($H88="Bloquée","B","P"))),""))</f>
        <v/>
      </c>
      <c r="X88" s="53">
        <f>IF(OR($F88="",$G88=""),"",IF(AND(X$5&lt;=$G88,X$5+6&gt;=$F88),IF($H88="Complétée","F",IF(OR($H88="En cours",$H88="En revue"),"E",IF($H88="Bloquée","B","P"))),""))</f>
        <v/>
      </c>
      <c r="Y88" s="53">
        <f>IF(OR($F88="",$G88=""),"",IF(AND(Y$5&lt;=$G88,Y$5+6&gt;=$F88),IF($H88="Complétée","F",IF(OR($H88="En cours",$H88="En revue"),"E",IF($H88="Bloquée","B","P"))),""))</f>
        <v/>
      </c>
      <c r="Z88" s="53">
        <f>IF(OR($F88="",$G88=""),"",IF(AND(Z$5&lt;=$G88,Z$5+6&gt;=$F88),IF($H88="Complétée","F",IF(OR($H88="En cours",$H88="En revue"),"E",IF($H88="Bloquée","B","P"))),""))</f>
        <v/>
      </c>
      <c r="AA88" s="53">
        <f>IF(OR($F88="",$G88=""),"",IF(AND(AA$5&lt;=$G88,AA$5+6&gt;=$F88),IF($H88="Complétée","F",IF(OR($H88="En cours",$H88="En revue"),"E",IF($H88="Bloquée","B","P"))),""))</f>
        <v/>
      </c>
      <c r="AB88" s="53">
        <f>IF(OR($F88="",$G88=""),"",IF(AND(AB$5&lt;=$G88,AB$5+6&gt;=$F88),IF($H88="Complétée","F",IF(OR($H88="En cours",$H88="En revue"),"E",IF($H88="Bloquée","B","P"))),""))</f>
        <v/>
      </c>
      <c r="AC88" s="53">
        <f>IF(OR($F88="",$G88=""),"",IF(AND(AC$5&lt;=$G88,AC$5+6&gt;=$F88),IF($H88="Complétée","F",IF(OR($H88="En cours",$H88="En revue"),"E",IF($H88="Bloquée","B","P"))),""))</f>
        <v/>
      </c>
      <c r="AD88" s="53">
        <f>IF(OR($F88="",$G88=""),"",IF(AND(AD$5&lt;=$G88,AD$5+6&gt;=$F88),IF($H88="Complétée","F",IF(OR($H88="En cours",$H88="En revue"),"E",IF($H88="Bloquée","B","P"))),""))</f>
        <v/>
      </c>
      <c r="AE88" s="53">
        <f>IF(OR($F88="",$G88=""),"",IF(AND(AE$5&lt;=$G88,AE$5+6&gt;=$F88),IF($H88="Complétée","F",IF(OR($H88="En cours",$H88="En revue"),"E",IF($H88="Bloquée","B","P"))),""))</f>
        <v/>
      </c>
      <c r="AF88" s="53">
        <f>IF(OR($F88="",$G88=""),"",IF(AND(AF$5&lt;=$G88,AF$5+6&gt;=$F88),IF($H88="Complétée","F",IF(OR($H88="En cours",$H88="En revue"),"E",IF($H88="Bloquée","B","P"))),""))</f>
        <v/>
      </c>
      <c r="AG88" s="53">
        <f>IF(OR($F88="",$G88=""),"",IF(AND(AG$5&lt;=$G88,AG$5+6&gt;=$F88),IF($H88="Complétée","F",IF(OR($H88="En cours",$H88="En revue"),"E",IF($H88="Bloquée","B","P"))),""))</f>
        <v/>
      </c>
      <c r="AH88" s="53">
        <f>IF(OR($F88="",$G88=""),"",IF(AND(AH$5&lt;=$G88,AH$5+6&gt;=$F88),IF($H88="Complétée","F",IF(OR($H88="En cours",$H88="En revue"),"E",IF($H88="Bloquée","B","P"))),""))</f>
        <v/>
      </c>
      <c r="AI88" s="53">
        <f>IF(OR($F88="",$G88=""),"",IF(AND(AI$5&lt;=$G88,AI$5+6&gt;=$F88),IF($H88="Complétée","F",IF(OR($H88="En cours",$H88="En revue"),"E",IF($H88="Bloquée","B","P"))),""))</f>
        <v/>
      </c>
      <c r="AJ88" s="53">
        <f>IF(OR($F88="",$G88=""),"",IF(AND(AJ$5&lt;=$G88,AJ$5+6&gt;=$F88),IF($H88="Complétée","F",IF(OR($H88="En cours",$H88="En revue"),"E",IF($H88="Bloquée","B","P"))),""))</f>
        <v/>
      </c>
      <c r="AK88" s="53">
        <f>IF(OR($F88="",$G88=""),"",IF(AND(AK$5&lt;=$G88,AK$5+6&gt;=$F88),IF($H88="Complétée","F",IF(OR($H88="En cours",$H88="En revue"),"E",IF($H88="Bloquée","B","P"))),""))</f>
        <v/>
      </c>
      <c r="AL88" s="53">
        <f>IF(OR($F88="",$G88=""),"",IF(AND(AL$5&lt;=$G88,AL$5+6&gt;=$F88),IF($H88="Complétée","F",IF(OR($H88="En cours",$H88="En revue"),"E",IF($H88="Bloquée","B","P"))),""))</f>
        <v/>
      </c>
      <c r="AM88" s="53">
        <f>IF(OR($F88="",$G88=""),"",IF(AND(AM$5&lt;=$G88,AM$5+6&gt;=$F88),IF($H88="Complétée","F",IF(OR($H88="En cours",$H88="En revue"),"E",IF($H88="Bloquée","B","P"))),""))</f>
        <v/>
      </c>
      <c r="AN88" s="53">
        <f>IF(OR($F88="",$G88=""),"",IF(AND(AN$5&lt;=$G88,AN$5+6&gt;=$F88),IF($H88="Complétée","F",IF(OR($H88="En cours",$H88="En revue"),"E",IF($H88="Bloquée","B","P"))),""))</f>
        <v/>
      </c>
      <c r="AO88" s="53">
        <f>IF(OR($F88="",$G88=""),"",IF(AND(AO$5&lt;=$G88,AO$5+6&gt;=$F88),IF($H88="Complétée","F",IF(OR($H88="En cours",$H88="En revue"),"E",IF($H88="Bloquée","B","P"))),""))</f>
        <v/>
      </c>
      <c r="AP88" s="53">
        <f>IF(OR($F88="",$G88=""),"",IF(AND(AP$5&lt;=$G88,AP$5+6&gt;=$F88),IF($H88="Complétée","F",IF(OR($H88="En cours",$H88="En revue"),"E",IF($H88="Bloquée","B","P"))),""))</f>
        <v/>
      </c>
      <c r="AQ88" s="53">
        <f>IF(OR($F88="",$G88=""),"",IF(AND(AQ$5&lt;=$G88,AQ$5+6&gt;=$F88),IF($H88="Complétée","F",IF(OR($H88="En cours",$H88="En revue"),"E",IF($H88="Bloquée","B","P"))),""))</f>
        <v/>
      </c>
      <c r="AR88" s="53">
        <f>IF(OR($F88="",$G88=""),"",IF(AND(AR$5&lt;=$G88,AR$5+6&gt;=$F88),IF($H88="Complétée","F",IF(OR($H88="En cours",$H88="En revue"),"E",IF($H88="Bloquée","B","P"))),""))</f>
        <v/>
      </c>
      <c r="AS88" s="53">
        <f>IF(OR($F88="",$G88=""),"",IF(AND(AS$5&lt;=$G88,AS$5+6&gt;=$F88),IF($H88="Complétée","F",IF(OR($H88="En cours",$H88="En revue"),"E",IF($H88="Bloquée","B","P"))),""))</f>
        <v/>
      </c>
      <c r="AT88" s="53">
        <f>IF(OR($F88="",$G88=""),"",IF(AND(AT$5&lt;=$G88,AT$5+6&gt;=$F88),IF($H88="Complétée","F",IF(OR($H88="En cours",$H88="En revue"),"E",IF($H88="Bloquée","B","P"))),""))</f>
        <v/>
      </c>
      <c r="AU88" s="53">
        <f>IF(OR($F88="",$G88=""),"",IF(AND(AU$5&lt;=$G88,AU$5+6&gt;=$F88),IF($H88="Complétée","F",IF(OR($H88="En cours",$H88="En revue"),"E",IF($H88="Bloquée","B","P"))),""))</f>
        <v/>
      </c>
      <c r="AV88" s="53">
        <f>IF(OR($F88="",$G88=""),"",IF(AND(AV$5&lt;=$G88,AV$5+6&gt;=$F88),IF($H88="Complétée","F",IF(OR($H88="En cours",$H88="En revue"),"E",IF($H88="Bloquée","B","P"))),""))</f>
        <v/>
      </c>
      <c r="AW88" s="53">
        <f>IF(OR($F88="",$G88=""),"",IF(AND(AW$5&lt;=$G88,AW$5+6&gt;=$F88),IF($H88="Complétée","F",IF(OR($H88="En cours",$H88="En revue"),"E",IF($H88="Bloquée","B","P"))),""))</f>
        <v/>
      </c>
    </row>
    <row r="89">
      <c r="B89" s="50">
        <f>IF(Taches!B89="","",Taches!B89)</f>
        <v/>
      </c>
      <c r="C89" s="51">
        <f>IF(Taches!B89="","",Taches!F89)</f>
        <v/>
      </c>
      <c r="D89" s="50">
        <f>IF(Taches!B89="","",Taches!C89)</f>
        <v/>
      </c>
      <c r="E89" s="50">
        <f>IF(Taches!B89="","",Taches!D89)</f>
        <v/>
      </c>
      <c r="F89" s="52">
        <f>IF(Taches!P89="","",Taches!P89)</f>
        <v/>
      </c>
      <c r="G89" s="52">
        <f>IF(Taches!Q89="","",Taches!Q89)</f>
        <v/>
      </c>
      <c r="H89" s="50">
        <f>IF(Taches!B89="","",Taches!J89)</f>
        <v/>
      </c>
      <c r="I89" s="53">
        <f>IF(OR($F89="",$G89=""),"",IF(AND(I$5&lt;=$G89,I$5+6&gt;=$F89),IF($H89="Complétée","F",IF(OR($H89="En cours",$H89="En revue"),"E",IF($H89="Bloquée","B","P"))),""))</f>
        <v/>
      </c>
      <c r="J89" s="53">
        <f>IF(OR($F89="",$G89=""),"",IF(AND(J$5&lt;=$G89,J$5+6&gt;=$F89),IF($H89="Complétée","F",IF(OR($H89="En cours",$H89="En revue"),"E",IF($H89="Bloquée","B","P"))),""))</f>
        <v/>
      </c>
      <c r="K89" s="53">
        <f>IF(OR($F89="",$G89=""),"",IF(AND(K$5&lt;=$G89,K$5+6&gt;=$F89),IF($H89="Complétée","F",IF(OR($H89="En cours",$H89="En revue"),"E",IF($H89="Bloquée","B","P"))),""))</f>
        <v/>
      </c>
      <c r="L89" s="53">
        <f>IF(OR($F89="",$G89=""),"",IF(AND(L$5&lt;=$G89,L$5+6&gt;=$F89),IF($H89="Complétée","F",IF(OR($H89="En cours",$H89="En revue"),"E",IF($H89="Bloquée","B","P"))),""))</f>
        <v/>
      </c>
      <c r="M89" s="53">
        <f>IF(OR($F89="",$G89=""),"",IF(AND(M$5&lt;=$G89,M$5+6&gt;=$F89),IF($H89="Complétée","F",IF(OR($H89="En cours",$H89="En revue"),"E",IF($H89="Bloquée","B","P"))),""))</f>
        <v/>
      </c>
      <c r="N89" s="53">
        <f>IF(OR($F89="",$G89=""),"",IF(AND(N$5&lt;=$G89,N$5+6&gt;=$F89),IF($H89="Complétée","F",IF(OR($H89="En cours",$H89="En revue"),"E",IF($H89="Bloquée","B","P"))),""))</f>
        <v/>
      </c>
      <c r="O89" s="53">
        <f>IF(OR($F89="",$G89=""),"",IF(AND(O$5&lt;=$G89,O$5+6&gt;=$F89),IF($H89="Complétée","F",IF(OR($H89="En cours",$H89="En revue"),"E",IF($H89="Bloquée","B","P"))),""))</f>
        <v/>
      </c>
      <c r="P89" s="53">
        <f>IF(OR($F89="",$G89=""),"",IF(AND(P$5&lt;=$G89,P$5+6&gt;=$F89),IF($H89="Complétée","F",IF(OR($H89="En cours",$H89="En revue"),"E",IF($H89="Bloquée","B","P"))),""))</f>
        <v/>
      </c>
      <c r="Q89" s="53">
        <f>IF(OR($F89="",$G89=""),"",IF(AND(Q$5&lt;=$G89,Q$5+6&gt;=$F89),IF($H89="Complétée","F",IF(OR($H89="En cours",$H89="En revue"),"E",IF($H89="Bloquée","B","P"))),""))</f>
        <v/>
      </c>
      <c r="R89" s="53">
        <f>IF(OR($F89="",$G89=""),"",IF(AND(R$5&lt;=$G89,R$5+6&gt;=$F89),IF($H89="Complétée","F",IF(OR($H89="En cours",$H89="En revue"),"E",IF($H89="Bloquée","B","P"))),""))</f>
        <v/>
      </c>
      <c r="S89" s="53">
        <f>IF(OR($F89="",$G89=""),"",IF(AND(S$5&lt;=$G89,S$5+6&gt;=$F89),IF($H89="Complétée","F",IF(OR($H89="En cours",$H89="En revue"),"E",IF($H89="Bloquée","B","P"))),""))</f>
        <v/>
      </c>
      <c r="T89" s="53">
        <f>IF(OR($F89="",$G89=""),"",IF(AND(T$5&lt;=$G89,T$5+6&gt;=$F89),IF($H89="Complétée","F",IF(OR($H89="En cours",$H89="En revue"),"E",IF($H89="Bloquée","B","P"))),""))</f>
        <v/>
      </c>
      <c r="U89" s="53">
        <f>IF(OR($F89="",$G89=""),"",IF(AND(U$5&lt;=$G89,U$5+6&gt;=$F89),IF($H89="Complétée","F",IF(OR($H89="En cours",$H89="En revue"),"E",IF($H89="Bloquée","B","P"))),""))</f>
        <v/>
      </c>
      <c r="V89" s="53">
        <f>IF(OR($F89="",$G89=""),"",IF(AND(V$5&lt;=$G89,V$5+6&gt;=$F89),IF($H89="Complétée","F",IF(OR($H89="En cours",$H89="En revue"),"E",IF($H89="Bloquée","B","P"))),""))</f>
        <v/>
      </c>
      <c r="W89" s="53">
        <f>IF(OR($F89="",$G89=""),"",IF(AND(W$5&lt;=$G89,W$5+6&gt;=$F89),IF($H89="Complétée","F",IF(OR($H89="En cours",$H89="En revue"),"E",IF($H89="Bloquée","B","P"))),""))</f>
        <v/>
      </c>
      <c r="X89" s="53">
        <f>IF(OR($F89="",$G89=""),"",IF(AND(X$5&lt;=$G89,X$5+6&gt;=$F89),IF($H89="Complétée","F",IF(OR($H89="En cours",$H89="En revue"),"E",IF($H89="Bloquée","B","P"))),""))</f>
        <v/>
      </c>
      <c r="Y89" s="53">
        <f>IF(OR($F89="",$G89=""),"",IF(AND(Y$5&lt;=$G89,Y$5+6&gt;=$F89),IF($H89="Complétée","F",IF(OR($H89="En cours",$H89="En revue"),"E",IF($H89="Bloquée","B","P"))),""))</f>
        <v/>
      </c>
      <c r="Z89" s="53">
        <f>IF(OR($F89="",$G89=""),"",IF(AND(Z$5&lt;=$G89,Z$5+6&gt;=$F89),IF($H89="Complétée","F",IF(OR($H89="En cours",$H89="En revue"),"E",IF($H89="Bloquée","B","P"))),""))</f>
        <v/>
      </c>
      <c r="AA89" s="53">
        <f>IF(OR($F89="",$G89=""),"",IF(AND(AA$5&lt;=$G89,AA$5+6&gt;=$F89),IF($H89="Complétée","F",IF(OR($H89="En cours",$H89="En revue"),"E",IF($H89="Bloquée","B","P"))),""))</f>
        <v/>
      </c>
      <c r="AB89" s="53">
        <f>IF(OR($F89="",$G89=""),"",IF(AND(AB$5&lt;=$G89,AB$5+6&gt;=$F89),IF($H89="Complétée","F",IF(OR($H89="En cours",$H89="En revue"),"E",IF($H89="Bloquée","B","P"))),""))</f>
        <v/>
      </c>
      <c r="AC89" s="53">
        <f>IF(OR($F89="",$G89=""),"",IF(AND(AC$5&lt;=$G89,AC$5+6&gt;=$F89),IF($H89="Complétée","F",IF(OR($H89="En cours",$H89="En revue"),"E",IF($H89="Bloquée","B","P"))),""))</f>
        <v/>
      </c>
      <c r="AD89" s="53">
        <f>IF(OR($F89="",$G89=""),"",IF(AND(AD$5&lt;=$G89,AD$5+6&gt;=$F89),IF($H89="Complétée","F",IF(OR($H89="En cours",$H89="En revue"),"E",IF($H89="Bloquée","B","P"))),""))</f>
        <v/>
      </c>
      <c r="AE89" s="53">
        <f>IF(OR($F89="",$G89=""),"",IF(AND(AE$5&lt;=$G89,AE$5+6&gt;=$F89),IF($H89="Complétée","F",IF(OR($H89="En cours",$H89="En revue"),"E",IF($H89="Bloquée","B","P"))),""))</f>
        <v/>
      </c>
      <c r="AF89" s="53">
        <f>IF(OR($F89="",$G89=""),"",IF(AND(AF$5&lt;=$G89,AF$5+6&gt;=$F89),IF($H89="Complétée","F",IF(OR($H89="En cours",$H89="En revue"),"E",IF($H89="Bloquée","B","P"))),""))</f>
        <v/>
      </c>
      <c r="AG89" s="53">
        <f>IF(OR($F89="",$G89=""),"",IF(AND(AG$5&lt;=$G89,AG$5+6&gt;=$F89),IF($H89="Complétée","F",IF(OR($H89="En cours",$H89="En revue"),"E",IF($H89="Bloquée","B","P"))),""))</f>
        <v/>
      </c>
      <c r="AH89" s="53">
        <f>IF(OR($F89="",$G89=""),"",IF(AND(AH$5&lt;=$G89,AH$5+6&gt;=$F89),IF($H89="Complétée","F",IF(OR($H89="En cours",$H89="En revue"),"E",IF($H89="Bloquée","B","P"))),""))</f>
        <v/>
      </c>
      <c r="AI89" s="53">
        <f>IF(OR($F89="",$G89=""),"",IF(AND(AI$5&lt;=$G89,AI$5+6&gt;=$F89),IF($H89="Complétée","F",IF(OR($H89="En cours",$H89="En revue"),"E",IF($H89="Bloquée","B","P"))),""))</f>
        <v/>
      </c>
      <c r="AJ89" s="53">
        <f>IF(OR($F89="",$G89=""),"",IF(AND(AJ$5&lt;=$G89,AJ$5+6&gt;=$F89),IF($H89="Complétée","F",IF(OR($H89="En cours",$H89="En revue"),"E",IF($H89="Bloquée","B","P"))),""))</f>
        <v/>
      </c>
      <c r="AK89" s="53">
        <f>IF(OR($F89="",$G89=""),"",IF(AND(AK$5&lt;=$G89,AK$5+6&gt;=$F89),IF($H89="Complétée","F",IF(OR($H89="En cours",$H89="En revue"),"E",IF($H89="Bloquée","B","P"))),""))</f>
        <v/>
      </c>
      <c r="AL89" s="53">
        <f>IF(OR($F89="",$G89=""),"",IF(AND(AL$5&lt;=$G89,AL$5+6&gt;=$F89),IF($H89="Complétée","F",IF(OR($H89="En cours",$H89="En revue"),"E",IF($H89="Bloquée","B","P"))),""))</f>
        <v/>
      </c>
      <c r="AM89" s="53">
        <f>IF(OR($F89="",$G89=""),"",IF(AND(AM$5&lt;=$G89,AM$5+6&gt;=$F89),IF($H89="Complétée","F",IF(OR($H89="En cours",$H89="En revue"),"E",IF($H89="Bloquée","B","P"))),""))</f>
        <v/>
      </c>
      <c r="AN89" s="53">
        <f>IF(OR($F89="",$G89=""),"",IF(AND(AN$5&lt;=$G89,AN$5+6&gt;=$F89),IF($H89="Complétée","F",IF(OR($H89="En cours",$H89="En revue"),"E",IF($H89="Bloquée","B","P"))),""))</f>
        <v/>
      </c>
      <c r="AO89" s="53">
        <f>IF(OR($F89="",$G89=""),"",IF(AND(AO$5&lt;=$G89,AO$5+6&gt;=$F89),IF($H89="Complétée","F",IF(OR($H89="En cours",$H89="En revue"),"E",IF($H89="Bloquée","B","P"))),""))</f>
        <v/>
      </c>
      <c r="AP89" s="53">
        <f>IF(OR($F89="",$G89=""),"",IF(AND(AP$5&lt;=$G89,AP$5+6&gt;=$F89),IF($H89="Complétée","F",IF(OR($H89="En cours",$H89="En revue"),"E",IF($H89="Bloquée","B","P"))),""))</f>
        <v/>
      </c>
      <c r="AQ89" s="53">
        <f>IF(OR($F89="",$G89=""),"",IF(AND(AQ$5&lt;=$G89,AQ$5+6&gt;=$F89),IF($H89="Complétée","F",IF(OR($H89="En cours",$H89="En revue"),"E",IF($H89="Bloquée","B","P"))),""))</f>
        <v/>
      </c>
      <c r="AR89" s="53">
        <f>IF(OR($F89="",$G89=""),"",IF(AND(AR$5&lt;=$G89,AR$5+6&gt;=$F89),IF($H89="Complétée","F",IF(OR($H89="En cours",$H89="En revue"),"E",IF($H89="Bloquée","B","P"))),""))</f>
        <v/>
      </c>
      <c r="AS89" s="53">
        <f>IF(OR($F89="",$G89=""),"",IF(AND(AS$5&lt;=$G89,AS$5+6&gt;=$F89),IF($H89="Complétée","F",IF(OR($H89="En cours",$H89="En revue"),"E",IF($H89="Bloquée","B","P"))),""))</f>
        <v/>
      </c>
      <c r="AT89" s="53">
        <f>IF(OR($F89="",$G89=""),"",IF(AND(AT$5&lt;=$G89,AT$5+6&gt;=$F89),IF($H89="Complétée","F",IF(OR($H89="En cours",$H89="En revue"),"E",IF($H89="Bloquée","B","P"))),""))</f>
        <v/>
      </c>
      <c r="AU89" s="53">
        <f>IF(OR($F89="",$G89=""),"",IF(AND(AU$5&lt;=$G89,AU$5+6&gt;=$F89),IF($H89="Complétée","F",IF(OR($H89="En cours",$H89="En revue"),"E",IF($H89="Bloquée","B","P"))),""))</f>
        <v/>
      </c>
      <c r="AV89" s="53">
        <f>IF(OR($F89="",$G89=""),"",IF(AND(AV$5&lt;=$G89,AV$5+6&gt;=$F89),IF($H89="Complétée","F",IF(OR($H89="En cours",$H89="En revue"),"E",IF($H89="Bloquée","B","P"))),""))</f>
        <v/>
      </c>
      <c r="AW89" s="53">
        <f>IF(OR($F89="",$G89=""),"",IF(AND(AW$5&lt;=$G89,AW$5+6&gt;=$F89),IF($H89="Complétée","F",IF(OR($H89="En cours",$H89="En revue"),"E",IF($H89="Bloquée","B","P"))),""))</f>
        <v/>
      </c>
    </row>
    <row r="90">
      <c r="B90" s="50">
        <f>IF(Taches!B90="","",Taches!B90)</f>
        <v/>
      </c>
      <c r="C90" s="51">
        <f>IF(Taches!B90="","",Taches!F90)</f>
        <v/>
      </c>
      <c r="D90" s="50">
        <f>IF(Taches!B90="","",Taches!C90)</f>
        <v/>
      </c>
      <c r="E90" s="50">
        <f>IF(Taches!B90="","",Taches!D90)</f>
        <v/>
      </c>
      <c r="F90" s="52">
        <f>IF(Taches!P90="","",Taches!P90)</f>
        <v/>
      </c>
      <c r="G90" s="52">
        <f>IF(Taches!Q90="","",Taches!Q90)</f>
        <v/>
      </c>
      <c r="H90" s="50">
        <f>IF(Taches!B90="","",Taches!J90)</f>
        <v/>
      </c>
      <c r="I90" s="53">
        <f>IF(OR($F90="",$G90=""),"",IF(AND(I$5&lt;=$G90,I$5+6&gt;=$F90),IF($H90="Complétée","F",IF(OR($H90="En cours",$H90="En revue"),"E",IF($H90="Bloquée","B","P"))),""))</f>
        <v/>
      </c>
      <c r="J90" s="53">
        <f>IF(OR($F90="",$G90=""),"",IF(AND(J$5&lt;=$G90,J$5+6&gt;=$F90),IF($H90="Complétée","F",IF(OR($H90="En cours",$H90="En revue"),"E",IF($H90="Bloquée","B","P"))),""))</f>
        <v/>
      </c>
      <c r="K90" s="53">
        <f>IF(OR($F90="",$G90=""),"",IF(AND(K$5&lt;=$G90,K$5+6&gt;=$F90),IF($H90="Complétée","F",IF(OR($H90="En cours",$H90="En revue"),"E",IF($H90="Bloquée","B","P"))),""))</f>
        <v/>
      </c>
      <c r="L90" s="53">
        <f>IF(OR($F90="",$G90=""),"",IF(AND(L$5&lt;=$G90,L$5+6&gt;=$F90),IF($H90="Complétée","F",IF(OR($H90="En cours",$H90="En revue"),"E",IF($H90="Bloquée","B","P"))),""))</f>
        <v/>
      </c>
      <c r="M90" s="53">
        <f>IF(OR($F90="",$G90=""),"",IF(AND(M$5&lt;=$G90,M$5+6&gt;=$F90),IF($H90="Complétée","F",IF(OR($H90="En cours",$H90="En revue"),"E",IF($H90="Bloquée","B","P"))),""))</f>
        <v/>
      </c>
      <c r="N90" s="53">
        <f>IF(OR($F90="",$G90=""),"",IF(AND(N$5&lt;=$G90,N$5+6&gt;=$F90),IF($H90="Complétée","F",IF(OR($H90="En cours",$H90="En revue"),"E",IF($H90="Bloquée","B","P"))),""))</f>
        <v/>
      </c>
      <c r="O90" s="53">
        <f>IF(OR($F90="",$G90=""),"",IF(AND(O$5&lt;=$G90,O$5+6&gt;=$F90),IF($H90="Complétée","F",IF(OR($H90="En cours",$H90="En revue"),"E",IF($H90="Bloquée","B","P"))),""))</f>
        <v/>
      </c>
      <c r="P90" s="53">
        <f>IF(OR($F90="",$G90=""),"",IF(AND(P$5&lt;=$G90,P$5+6&gt;=$F90),IF($H90="Complétée","F",IF(OR($H90="En cours",$H90="En revue"),"E",IF($H90="Bloquée","B","P"))),""))</f>
        <v/>
      </c>
      <c r="Q90" s="53">
        <f>IF(OR($F90="",$G90=""),"",IF(AND(Q$5&lt;=$G90,Q$5+6&gt;=$F90),IF($H90="Complétée","F",IF(OR($H90="En cours",$H90="En revue"),"E",IF($H90="Bloquée","B","P"))),""))</f>
        <v/>
      </c>
      <c r="R90" s="53">
        <f>IF(OR($F90="",$G90=""),"",IF(AND(R$5&lt;=$G90,R$5+6&gt;=$F90),IF($H90="Complétée","F",IF(OR($H90="En cours",$H90="En revue"),"E",IF($H90="Bloquée","B","P"))),""))</f>
        <v/>
      </c>
      <c r="S90" s="53">
        <f>IF(OR($F90="",$G90=""),"",IF(AND(S$5&lt;=$G90,S$5+6&gt;=$F90),IF($H90="Complétée","F",IF(OR($H90="En cours",$H90="En revue"),"E",IF($H90="Bloquée","B","P"))),""))</f>
        <v/>
      </c>
      <c r="T90" s="53">
        <f>IF(OR($F90="",$G90=""),"",IF(AND(T$5&lt;=$G90,T$5+6&gt;=$F90),IF($H90="Complétée","F",IF(OR($H90="En cours",$H90="En revue"),"E",IF($H90="Bloquée","B","P"))),""))</f>
        <v/>
      </c>
      <c r="U90" s="53">
        <f>IF(OR($F90="",$G90=""),"",IF(AND(U$5&lt;=$G90,U$5+6&gt;=$F90),IF($H90="Complétée","F",IF(OR($H90="En cours",$H90="En revue"),"E",IF($H90="Bloquée","B","P"))),""))</f>
        <v/>
      </c>
      <c r="V90" s="53">
        <f>IF(OR($F90="",$G90=""),"",IF(AND(V$5&lt;=$G90,V$5+6&gt;=$F90),IF($H90="Complétée","F",IF(OR($H90="En cours",$H90="En revue"),"E",IF($H90="Bloquée","B","P"))),""))</f>
        <v/>
      </c>
      <c r="W90" s="53">
        <f>IF(OR($F90="",$G90=""),"",IF(AND(W$5&lt;=$G90,W$5+6&gt;=$F90),IF($H90="Complétée","F",IF(OR($H90="En cours",$H90="En revue"),"E",IF($H90="Bloquée","B","P"))),""))</f>
        <v/>
      </c>
      <c r="X90" s="53">
        <f>IF(OR($F90="",$G90=""),"",IF(AND(X$5&lt;=$G90,X$5+6&gt;=$F90),IF($H90="Complétée","F",IF(OR($H90="En cours",$H90="En revue"),"E",IF($H90="Bloquée","B","P"))),""))</f>
        <v/>
      </c>
      <c r="Y90" s="53">
        <f>IF(OR($F90="",$G90=""),"",IF(AND(Y$5&lt;=$G90,Y$5+6&gt;=$F90),IF($H90="Complétée","F",IF(OR($H90="En cours",$H90="En revue"),"E",IF($H90="Bloquée","B","P"))),""))</f>
        <v/>
      </c>
      <c r="Z90" s="53">
        <f>IF(OR($F90="",$G90=""),"",IF(AND(Z$5&lt;=$G90,Z$5+6&gt;=$F90),IF($H90="Complétée","F",IF(OR($H90="En cours",$H90="En revue"),"E",IF($H90="Bloquée","B","P"))),""))</f>
        <v/>
      </c>
      <c r="AA90" s="53">
        <f>IF(OR($F90="",$G90=""),"",IF(AND(AA$5&lt;=$G90,AA$5+6&gt;=$F90),IF($H90="Complétée","F",IF(OR($H90="En cours",$H90="En revue"),"E",IF($H90="Bloquée","B","P"))),""))</f>
        <v/>
      </c>
      <c r="AB90" s="53">
        <f>IF(OR($F90="",$G90=""),"",IF(AND(AB$5&lt;=$G90,AB$5+6&gt;=$F90),IF($H90="Complétée","F",IF(OR($H90="En cours",$H90="En revue"),"E",IF($H90="Bloquée","B","P"))),""))</f>
        <v/>
      </c>
      <c r="AC90" s="53">
        <f>IF(OR($F90="",$G90=""),"",IF(AND(AC$5&lt;=$G90,AC$5+6&gt;=$F90),IF($H90="Complétée","F",IF(OR($H90="En cours",$H90="En revue"),"E",IF($H90="Bloquée","B","P"))),""))</f>
        <v/>
      </c>
      <c r="AD90" s="53">
        <f>IF(OR($F90="",$G90=""),"",IF(AND(AD$5&lt;=$G90,AD$5+6&gt;=$F90),IF($H90="Complétée","F",IF(OR($H90="En cours",$H90="En revue"),"E",IF($H90="Bloquée","B","P"))),""))</f>
        <v/>
      </c>
      <c r="AE90" s="53">
        <f>IF(OR($F90="",$G90=""),"",IF(AND(AE$5&lt;=$G90,AE$5+6&gt;=$F90),IF($H90="Complétée","F",IF(OR($H90="En cours",$H90="En revue"),"E",IF($H90="Bloquée","B","P"))),""))</f>
        <v/>
      </c>
      <c r="AF90" s="53">
        <f>IF(OR($F90="",$G90=""),"",IF(AND(AF$5&lt;=$G90,AF$5+6&gt;=$F90),IF($H90="Complétée","F",IF(OR($H90="En cours",$H90="En revue"),"E",IF($H90="Bloquée","B","P"))),""))</f>
        <v/>
      </c>
      <c r="AG90" s="53">
        <f>IF(OR($F90="",$G90=""),"",IF(AND(AG$5&lt;=$G90,AG$5+6&gt;=$F90),IF($H90="Complétée","F",IF(OR($H90="En cours",$H90="En revue"),"E",IF($H90="Bloquée","B","P"))),""))</f>
        <v/>
      </c>
      <c r="AH90" s="53">
        <f>IF(OR($F90="",$G90=""),"",IF(AND(AH$5&lt;=$G90,AH$5+6&gt;=$F90),IF($H90="Complétée","F",IF(OR($H90="En cours",$H90="En revue"),"E",IF($H90="Bloquée","B","P"))),""))</f>
        <v/>
      </c>
      <c r="AI90" s="53">
        <f>IF(OR($F90="",$G90=""),"",IF(AND(AI$5&lt;=$G90,AI$5+6&gt;=$F90),IF($H90="Complétée","F",IF(OR($H90="En cours",$H90="En revue"),"E",IF($H90="Bloquée","B","P"))),""))</f>
        <v/>
      </c>
      <c r="AJ90" s="53">
        <f>IF(OR($F90="",$G90=""),"",IF(AND(AJ$5&lt;=$G90,AJ$5+6&gt;=$F90),IF($H90="Complétée","F",IF(OR($H90="En cours",$H90="En revue"),"E",IF($H90="Bloquée","B","P"))),""))</f>
        <v/>
      </c>
      <c r="AK90" s="53">
        <f>IF(OR($F90="",$G90=""),"",IF(AND(AK$5&lt;=$G90,AK$5+6&gt;=$F90),IF($H90="Complétée","F",IF(OR($H90="En cours",$H90="En revue"),"E",IF($H90="Bloquée","B","P"))),""))</f>
        <v/>
      </c>
      <c r="AL90" s="53">
        <f>IF(OR($F90="",$G90=""),"",IF(AND(AL$5&lt;=$G90,AL$5+6&gt;=$F90),IF($H90="Complétée","F",IF(OR($H90="En cours",$H90="En revue"),"E",IF($H90="Bloquée","B","P"))),""))</f>
        <v/>
      </c>
      <c r="AM90" s="53">
        <f>IF(OR($F90="",$G90=""),"",IF(AND(AM$5&lt;=$G90,AM$5+6&gt;=$F90),IF($H90="Complétée","F",IF(OR($H90="En cours",$H90="En revue"),"E",IF($H90="Bloquée","B","P"))),""))</f>
        <v/>
      </c>
      <c r="AN90" s="53">
        <f>IF(OR($F90="",$G90=""),"",IF(AND(AN$5&lt;=$G90,AN$5+6&gt;=$F90),IF($H90="Complétée","F",IF(OR($H90="En cours",$H90="En revue"),"E",IF($H90="Bloquée","B","P"))),""))</f>
        <v/>
      </c>
      <c r="AO90" s="53">
        <f>IF(OR($F90="",$G90=""),"",IF(AND(AO$5&lt;=$G90,AO$5+6&gt;=$F90),IF($H90="Complétée","F",IF(OR($H90="En cours",$H90="En revue"),"E",IF($H90="Bloquée","B","P"))),""))</f>
        <v/>
      </c>
      <c r="AP90" s="53">
        <f>IF(OR($F90="",$G90=""),"",IF(AND(AP$5&lt;=$G90,AP$5+6&gt;=$F90),IF($H90="Complétée","F",IF(OR($H90="En cours",$H90="En revue"),"E",IF($H90="Bloquée","B","P"))),""))</f>
        <v/>
      </c>
      <c r="AQ90" s="53">
        <f>IF(OR($F90="",$G90=""),"",IF(AND(AQ$5&lt;=$G90,AQ$5+6&gt;=$F90),IF($H90="Complétée","F",IF(OR($H90="En cours",$H90="En revue"),"E",IF($H90="Bloquée","B","P"))),""))</f>
        <v/>
      </c>
      <c r="AR90" s="53">
        <f>IF(OR($F90="",$G90=""),"",IF(AND(AR$5&lt;=$G90,AR$5+6&gt;=$F90),IF($H90="Complétée","F",IF(OR($H90="En cours",$H90="En revue"),"E",IF($H90="Bloquée","B","P"))),""))</f>
        <v/>
      </c>
      <c r="AS90" s="53">
        <f>IF(OR($F90="",$G90=""),"",IF(AND(AS$5&lt;=$G90,AS$5+6&gt;=$F90),IF($H90="Complétée","F",IF(OR($H90="En cours",$H90="En revue"),"E",IF($H90="Bloquée","B","P"))),""))</f>
        <v/>
      </c>
      <c r="AT90" s="53">
        <f>IF(OR($F90="",$G90=""),"",IF(AND(AT$5&lt;=$G90,AT$5+6&gt;=$F90),IF($H90="Complétée","F",IF(OR($H90="En cours",$H90="En revue"),"E",IF($H90="Bloquée","B","P"))),""))</f>
        <v/>
      </c>
      <c r="AU90" s="53">
        <f>IF(OR($F90="",$G90=""),"",IF(AND(AU$5&lt;=$G90,AU$5+6&gt;=$F90),IF($H90="Complétée","F",IF(OR($H90="En cours",$H90="En revue"),"E",IF($H90="Bloquée","B","P"))),""))</f>
        <v/>
      </c>
      <c r="AV90" s="53">
        <f>IF(OR($F90="",$G90=""),"",IF(AND(AV$5&lt;=$G90,AV$5+6&gt;=$F90),IF($H90="Complétée","F",IF(OR($H90="En cours",$H90="En revue"),"E",IF($H90="Bloquée","B","P"))),""))</f>
        <v/>
      </c>
      <c r="AW90" s="53">
        <f>IF(OR($F90="",$G90=""),"",IF(AND(AW$5&lt;=$G90,AW$5+6&gt;=$F90),IF($H90="Complétée","F",IF(OR($H90="En cours",$H90="En revue"),"E",IF($H90="Bloquée","B","P"))),""))</f>
        <v/>
      </c>
    </row>
    <row r="91">
      <c r="B91" s="50">
        <f>IF(Taches!B91="","",Taches!B91)</f>
        <v/>
      </c>
      <c r="C91" s="51">
        <f>IF(Taches!B91="","",Taches!F91)</f>
        <v/>
      </c>
      <c r="D91" s="50">
        <f>IF(Taches!B91="","",Taches!C91)</f>
        <v/>
      </c>
      <c r="E91" s="50">
        <f>IF(Taches!B91="","",Taches!D91)</f>
        <v/>
      </c>
      <c r="F91" s="52">
        <f>IF(Taches!P91="","",Taches!P91)</f>
        <v/>
      </c>
      <c r="G91" s="52">
        <f>IF(Taches!Q91="","",Taches!Q91)</f>
        <v/>
      </c>
      <c r="H91" s="50">
        <f>IF(Taches!B91="","",Taches!J91)</f>
        <v/>
      </c>
      <c r="I91" s="53">
        <f>IF(OR($F91="",$G91=""),"",IF(AND(I$5&lt;=$G91,I$5+6&gt;=$F91),IF($H91="Complétée","F",IF(OR($H91="En cours",$H91="En revue"),"E",IF($H91="Bloquée","B","P"))),""))</f>
        <v/>
      </c>
      <c r="J91" s="53">
        <f>IF(OR($F91="",$G91=""),"",IF(AND(J$5&lt;=$G91,J$5+6&gt;=$F91),IF($H91="Complétée","F",IF(OR($H91="En cours",$H91="En revue"),"E",IF($H91="Bloquée","B","P"))),""))</f>
        <v/>
      </c>
      <c r="K91" s="53">
        <f>IF(OR($F91="",$G91=""),"",IF(AND(K$5&lt;=$G91,K$5+6&gt;=$F91),IF($H91="Complétée","F",IF(OR($H91="En cours",$H91="En revue"),"E",IF($H91="Bloquée","B","P"))),""))</f>
        <v/>
      </c>
      <c r="L91" s="53">
        <f>IF(OR($F91="",$G91=""),"",IF(AND(L$5&lt;=$G91,L$5+6&gt;=$F91),IF($H91="Complétée","F",IF(OR($H91="En cours",$H91="En revue"),"E",IF($H91="Bloquée","B","P"))),""))</f>
        <v/>
      </c>
      <c r="M91" s="53">
        <f>IF(OR($F91="",$G91=""),"",IF(AND(M$5&lt;=$G91,M$5+6&gt;=$F91),IF($H91="Complétée","F",IF(OR($H91="En cours",$H91="En revue"),"E",IF($H91="Bloquée","B","P"))),""))</f>
        <v/>
      </c>
      <c r="N91" s="53">
        <f>IF(OR($F91="",$G91=""),"",IF(AND(N$5&lt;=$G91,N$5+6&gt;=$F91),IF($H91="Complétée","F",IF(OR($H91="En cours",$H91="En revue"),"E",IF($H91="Bloquée","B","P"))),""))</f>
        <v/>
      </c>
      <c r="O91" s="53">
        <f>IF(OR($F91="",$G91=""),"",IF(AND(O$5&lt;=$G91,O$5+6&gt;=$F91),IF($H91="Complétée","F",IF(OR($H91="En cours",$H91="En revue"),"E",IF($H91="Bloquée","B","P"))),""))</f>
        <v/>
      </c>
      <c r="P91" s="53">
        <f>IF(OR($F91="",$G91=""),"",IF(AND(P$5&lt;=$G91,P$5+6&gt;=$F91),IF($H91="Complétée","F",IF(OR($H91="En cours",$H91="En revue"),"E",IF($H91="Bloquée","B","P"))),""))</f>
        <v/>
      </c>
      <c r="Q91" s="53">
        <f>IF(OR($F91="",$G91=""),"",IF(AND(Q$5&lt;=$G91,Q$5+6&gt;=$F91),IF($H91="Complétée","F",IF(OR($H91="En cours",$H91="En revue"),"E",IF($H91="Bloquée","B","P"))),""))</f>
        <v/>
      </c>
      <c r="R91" s="53">
        <f>IF(OR($F91="",$G91=""),"",IF(AND(R$5&lt;=$G91,R$5+6&gt;=$F91),IF($H91="Complétée","F",IF(OR($H91="En cours",$H91="En revue"),"E",IF($H91="Bloquée","B","P"))),""))</f>
        <v/>
      </c>
      <c r="S91" s="53">
        <f>IF(OR($F91="",$G91=""),"",IF(AND(S$5&lt;=$G91,S$5+6&gt;=$F91),IF($H91="Complétée","F",IF(OR($H91="En cours",$H91="En revue"),"E",IF($H91="Bloquée","B","P"))),""))</f>
        <v/>
      </c>
      <c r="T91" s="53">
        <f>IF(OR($F91="",$G91=""),"",IF(AND(T$5&lt;=$G91,T$5+6&gt;=$F91),IF($H91="Complétée","F",IF(OR($H91="En cours",$H91="En revue"),"E",IF($H91="Bloquée","B","P"))),""))</f>
        <v/>
      </c>
      <c r="U91" s="53">
        <f>IF(OR($F91="",$G91=""),"",IF(AND(U$5&lt;=$G91,U$5+6&gt;=$F91),IF($H91="Complétée","F",IF(OR($H91="En cours",$H91="En revue"),"E",IF($H91="Bloquée","B","P"))),""))</f>
        <v/>
      </c>
      <c r="V91" s="53">
        <f>IF(OR($F91="",$G91=""),"",IF(AND(V$5&lt;=$G91,V$5+6&gt;=$F91),IF($H91="Complétée","F",IF(OR($H91="En cours",$H91="En revue"),"E",IF($H91="Bloquée","B","P"))),""))</f>
        <v/>
      </c>
      <c r="W91" s="53">
        <f>IF(OR($F91="",$G91=""),"",IF(AND(W$5&lt;=$G91,W$5+6&gt;=$F91),IF($H91="Complétée","F",IF(OR($H91="En cours",$H91="En revue"),"E",IF($H91="Bloquée","B","P"))),""))</f>
        <v/>
      </c>
      <c r="X91" s="53">
        <f>IF(OR($F91="",$G91=""),"",IF(AND(X$5&lt;=$G91,X$5+6&gt;=$F91),IF($H91="Complétée","F",IF(OR($H91="En cours",$H91="En revue"),"E",IF($H91="Bloquée","B","P"))),""))</f>
        <v/>
      </c>
      <c r="Y91" s="53">
        <f>IF(OR($F91="",$G91=""),"",IF(AND(Y$5&lt;=$G91,Y$5+6&gt;=$F91),IF($H91="Complétée","F",IF(OR($H91="En cours",$H91="En revue"),"E",IF($H91="Bloquée","B","P"))),""))</f>
        <v/>
      </c>
      <c r="Z91" s="53">
        <f>IF(OR($F91="",$G91=""),"",IF(AND(Z$5&lt;=$G91,Z$5+6&gt;=$F91),IF($H91="Complétée","F",IF(OR($H91="En cours",$H91="En revue"),"E",IF($H91="Bloquée","B","P"))),""))</f>
        <v/>
      </c>
      <c r="AA91" s="53">
        <f>IF(OR($F91="",$G91=""),"",IF(AND(AA$5&lt;=$G91,AA$5+6&gt;=$F91),IF($H91="Complétée","F",IF(OR($H91="En cours",$H91="En revue"),"E",IF($H91="Bloquée","B","P"))),""))</f>
        <v/>
      </c>
      <c r="AB91" s="53">
        <f>IF(OR($F91="",$G91=""),"",IF(AND(AB$5&lt;=$G91,AB$5+6&gt;=$F91),IF($H91="Complétée","F",IF(OR($H91="En cours",$H91="En revue"),"E",IF($H91="Bloquée","B","P"))),""))</f>
        <v/>
      </c>
      <c r="AC91" s="53">
        <f>IF(OR($F91="",$G91=""),"",IF(AND(AC$5&lt;=$G91,AC$5+6&gt;=$F91),IF($H91="Complétée","F",IF(OR($H91="En cours",$H91="En revue"),"E",IF($H91="Bloquée","B","P"))),""))</f>
        <v/>
      </c>
      <c r="AD91" s="53">
        <f>IF(OR($F91="",$G91=""),"",IF(AND(AD$5&lt;=$G91,AD$5+6&gt;=$F91),IF($H91="Complétée","F",IF(OR($H91="En cours",$H91="En revue"),"E",IF($H91="Bloquée","B","P"))),""))</f>
        <v/>
      </c>
      <c r="AE91" s="53">
        <f>IF(OR($F91="",$G91=""),"",IF(AND(AE$5&lt;=$G91,AE$5+6&gt;=$F91),IF($H91="Complétée","F",IF(OR($H91="En cours",$H91="En revue"),"E",IF($H91="Bloquée","B","P"))),""))</f>
        <v/>
      </c>
      <c r="AF91" s="53">
        <f>IF(OR($F91="",$G91=""),"",IF(AND(AF$5&lt;=$G91,AF$5+6&gt;=$F91),IF($H91="Complétée","F",IF(OR($H91="En cours",$H91="En revue"),"E",IF($H91="Bloquée","B","P"))),""))</f>
        <v/>
      </c>
      <c r="AG91" s="53">
        <f>IF(OR($F91="",$G91=""),"",IF(AND(AG$5&lt;=$G91,AG$5+6&gt;=$F91),IF($H91="Complétée","F",IF(OR($H91="En cours",$H91="En revue"),"E",IF($H91="Bloquée","B","P"))),""))</f>
        <v/>
      </c>
      <c r="AH91" s="53">
        <f>IF(OR($F91="",$G91=""),"",IF(AND(AH$5&lt;=$G91,AH$5+6&gt;=$F91),IF($H91="Complétée","F",IF(OR($H91="En cours",$H91="En revue"),"E",IF($H91="Bloquée","B","P"))),""))</f>
        <v/>
      </c>
      <c r="AI91" s="53">
        <f>IF(OR($F91="",$G91=""),"",IF(AND(AI$5&lt;=$G91,AI$5+6&gt;=$F91),IF($H91="Complétée","F",IF(OR($H91="En cours",$H91="En revue"),"E",IF($H91="Bloquée","B","P"))),""))</f>
        <v/>
      </c>
      <c r="AJ91" s="53">
        <f>IF(OR($F91="",$G91=""),"",IF(AND(AJ$5&lt;=$G91,AJ$5+6&gt;=$F91),IF($H91="Complétée","F",IF(OR($H91="En cours",$H91="En revue"),"E",IF($H91="Bloquée","B","P"))),""))</f>
        <v/>
      </c>
      <c r="AK91" s="53">
        <f>IF(OR($F91="",$G91=""),"",IF(AND(AK$5&lt;=$G91,AK$5+6&gt;=$F91),IF($H91="Complétée","F",IF(OR($H91="En cours",$H91="En revue"),"E",IF($H91="Bloquée","B","P"))),""))</f>
        <v/>
      </c>
      <c r="AL91" s="53">
        <f>IF(OR($F91="",$G91=""),"",IF(AND(AL$5&lt;=$G91,AL$5+6&gt;=$F91),IF($H91="Complétée","F",IF(OR($H91="En cours",$H91="En revue"),"E",IF($H91="Bloquée","B","P"))),""))</f>
        <v/>
      </c>
      <c r="AM91" s="53">
        <f>IF(OR($F91="",$G91=""),"",IF(AND(AM$5&lt;=$G91,AM$5+6&gt;=$F91),IF($H91="Complétée","F",IF(OR($H91="En cours",$H91="En revue"),"E",IF($H91="Bloquée","B","P"))),""))</f>
        <v/>
      </c>
      <c r="AN91" s="53">
        <f>IF(OR($F91="",$G91=""),"",IF(AND(AN$5&lt;=$G91,AN$5+6&gt;=$F91),IF($H91="Complétée","F",IF(OR($H91="En cours",$H91="En revue"),"E",IF($H91="Bloquée","B","P"))),""))</f>
        <v/>
      </c>
      <c r="AO91" s="53">
        <f>IF(OR($F91="",$G91=""),"",IF(AND(AO$5&lt;=$G91,AO$5+6&gt;=$F91),IF($H91="Complétée","F",IF(OR($H91="En cours",$H91="En revue"),"E",IF($H91="Bloquée","B","P"))),""))</f>
        <v/>
      </c>
      <c r="AP91" s="53">
        <f>IF(OR($F91="",$G91=""),"",IF(AND(AP$5&lt;=$G91,AP$5+6&gt;=$F91),IF($H91="Complétée","F",IF(OR($H91="En cours",$H91="En revue"),"E",IF($H91="Bloquée","B","P"))),""))</f>
        <v/>
      </c>
      <c r="AQ91" s="53">
        <f>IF(OR($F91="",$G91=""),"",IF(AND(AQ$5&lt;=$G91,AQ$5+6&gt;=$F91),IF($H91="Complétée","F",IF(OR($H91="En cours",$H91="En revue"),"E",IF($H91="Bloquée","B","P"))),""))</f>
        <v/>
      </c>
      <c r="AR91" s="53">
        <f>IF(OR($F91="",$G91=""),"",IF(AND(AR$5&lt;=$G91,AR$5+6&gt;=$F91),IF($H91="Complétée","F",IF(OR($H91="En cours",$H91="En revue"),"E",IF($H91="Bloquée","B","P"))),""))</f>
        <v/>
      </c>
      <c r="AS91" s="53">
        <f>IF(OR($F91="",$G91=""),"",IF(AND(AS$5&lt;=$G91,AS$5+6&gt;=$F91),IF($H91="Complétée","F",IF(OR($H91="En cours",$H91="En revue"),"E",IF($H91="Bloquée","B","P"))),""))</f>
        <v/>
      </c>
      <c r="AT91" s="53">
        <f>IF(OR($F91="",$G91=""),"",IF(AND(AT$5&lt;=$G91,AT$5+6&gt;=$F91),IF($H91="Complétée","F",IF(OR($H91="En cours",$H91="En revue"),"E",IF($H91="Bloquée","B","P"))),""))</f>
        <v/>
      </c>
      <c r="AU91" s="53">
        <f>IF(OR($F91="",$G91=""),"",IF(AND(AU$5&lt;=$G91,AU$5+6&gt;=$F91),IF($H91="Complétée","F",IF(OR($H91="En cours",$H91="En revue"),"E",IF($H91="Bloquée","B","P"))),""))</f>
        <v/>
      </c>
      <c r="AV91" s="53">
        <f>IF(OR($F91="",$G91=""),"",IF(AND(AV$5&lt;=$G91,AV$5+6&gt;=$F91),IF($H91="Complétée","F",IF(OR($H91="En cours",$H91="En revue"),"E",IF($H91="Bloquée","B","P"))),""))</f>
        <v/>
      </c>
      <c r="AW91" s="53">
        <f>IF(OR($F91="",$G91=""),"",IF(AND(AW$5&lt;=$G91,AW$5+6&gt;=$F91),IF($H91="Complétée","F",IF(OR($H91="En cours",$H91="En revue"),"E",IF($H91="Bloquée","B","P"))),""))</f>
        <v/>
      </c>
    </row>
    <row r="92">
      <c r="B92" s="50">
        <f>IF(Taches!B92="","",Taches!B92)</f>
        <v/>
      </c>
      <c r="C92" s="51">
        <f>IF(Taches!B92="","",Taches!F92)</f>
        <v/>
      </c>
      <c r="D92" s="50">
        <f>IF(Taches!B92="","",Taches!C92)</f>
        <v/>
      </c>
      <c r="E92" s="50">
        <f>IF(Taches!B92="","",Taches!D92)</f>
        <v/>
      </c>
      <c r="F92" s="52">
        <f>IF(Taches!P92="","",Taches!P92)</f>
        <v/>
      </c>
      <c r="G92" s="52">
        <f>IF(Taches!Q92="","",Taches!Q92)</f>
        <v/>
      </c>
      <c r="H92" s="50">
        <f>IF(Taches!B92="","",Taches!J92)</f>
        <v/>
      </c>
      <c r="I92" s="53">
        <f>IF(OR($F92="",$G92=""),"",IF(AND(I$5&lt;=$G92,I$5+6&gt;=$F92),IF($H92="Complétée","F",IF(OR($H92="En cours",$H92="En revue"),"E",IF($H92="Bloquée","B","P"))),""))</f>
        <v/>
      </c>
      <c r="J92" s="53">
        <f>IF(OR($F92="",$G92=""),"",IF(AND(J$5&lt;=$G92,J$5+6&gt;=$F92),IF($H92="Complétée","F",IF(OR($H92="En cours",$H92="En revue"),"E",IF($H92="Bloquée","B","P"))),""))</f>
        <v/>
      </c>
      <c r="K92" s="53">
        <f>IF(OR($F92="",$G92=""),"",IF(AND(K$5&lt;=$G92,K$5+6&gt;=$F92),IF($H92="Complétée","F",IF(OR($H92="En cours",$H92="En revue"),"E",IF($H92="Bloquée","B","P"))),""))</f>
        <v/>
      </c>
      <c r="L92" s="53">
        <f>IF(OR($F92="",$G92=""),"",IF(AND(L$5&lt;=$G92,L$5+6&gt;=$F92),IF($H92="Complétée","F",IF(OR($H92="En cours",$H92="En revue"),"E",IF($H92="Bloquée","B","P"))),""))</f>
        <v/>
      </c>
      <c r="M92" s="53">
        <f>IF(OR($F92="",$G92=""),"",IF(AND(M$5&lt;=$G92,M$5+6&gt;=$F92),IF($H92="Complétée","F",IF(OR($H92="En cours",$H92="En revue"),"E",IF($H92="Bloquée","B","P"))),""))</f>
        <v/>
      </c>
      <c r="N92" s="53">
        <f>IF(OR($F92="",$G92=""),"",IF(AND(N$5&lt;=$G92,N$5+6&gt;=$F92),IF($H92="Complétée","F",IF(OR($H92="En cours",$H92="En revue"),"E",IF($H92="Bloquée","B","P"))),""))</f>
        <v/>
      </c>
      <c r="O92" s="53">
        <f>IF(OR($F92="",$G92=""),"",IF(AND(O$5&lt;=$G92,O$5+6&gt;=$F92),IF($H92="Complétée","F",IF(OR($H92="En cours",$H92="En revue"),"E",IF($H92="Bloquée","B","P"))),""))</f>
        <v/>
      </c>
      <c r="P92" s="53">
        <f>IF(OR($F92="",$G92=""),"",IF(AND(P$5&lt;=$G92,P$5+6&gt;=$F92),IF($H92="Complétée","F",IF(OR($H92="En cours",$H92="En revue"),"E",IF($H92="Bloquée","B","P"))),""))</f>
        <v/>
      </c>
      <c r="Q92" s="53">
        <f>IF(OR($F92="",$G92=""),"",IF(AND(Q$5&lt;=$G92,Q$5+6&gt;=$F92),IF($H92="Complétée","F",IF(OR($H92="En cours",$H92="En revue"),"E",IF($H92="Bloquée","B","P"))),""))</f>
        <v/>
      </c>
      <c r="R92" s="53">
        <f>IF(OR($F92="",$G92=""),"",IF(AND(R$5&lt;=$G92,R$5+6&gt;=$F92),IF($H92="Complétée","F",IF(OR($H92="En cours",$H92="En revue"),"E",IF($H92="Bloquée","B","P"))),""))</f>
        <v/>
      </c>
      <c r="S92" s="53">
        <f>IF(OR($F92="",$G92=""),"",IF(AND(S$5&lt;=$G92,S$5+6&gt;=$F92),IF($H92="Complétée","F",IF(OR($H92="En cours",$H92="En revue"),"E",IF($H92="Bloquée","B","P"))),""))</f>
        <v/>
      </c>
      <c r="T92" s="53">
        <f>IF(OR($F92="",$G92=""),"",IF(AND(T$5&lt;=$G92,T$5+6&gt;=$F92),IF($H92="Complétée","F",IF(OR($H92="En cours",$H92="En revue"),"E",IF($H92="Bloquée","B","P"))),""))</f>
        <v/>
      </c>
      <c r="U92" s="53">
        <f>IF(OR($F92="",$G92=""),"",IF(AND(U$5&lt;=$G92,U$5+6&gt;=$F92),IF($H92="Complétée","F",IF(OR($H92="En cours",$H92="En revue"),"E",IF($H92="Bloquée","B","P"))),""))</f>
        <v/>
      </c>
      <c r="V92" s="53">
        <f>IF(OR($F92="",$G92=""),"",IF(AND(V$5&lt;=$G92,V$5+6&gt;=$F92),IF($H92="Complétée","F",IF(OR($H92="En cours",$H92="En revue"),"E",IF($H92="Bloquée","B","P"))),""))</f>
        <v/>
      </c>
      <c r="W92" s="53">
        <f>IF(OR($F92="",$G92=""),"",IF(AND(W$5&lt;=$G92,W$5+6&gt;=$F92),IF($H92="Complétée","F",IF(OR($H92="En cours",$H92="En revue"),"E",IF($H92="Bloquée","B","P"))),""))</f>
        <v/>
      </c>
      <c r="X92" s="53">
        <f>IF(OR($F92="",$G92=""),"",IF(AND(X$5&lt;=$G92,X$5+6&gt;=$F92),IF($H92="Complétée","F",IF(OR($H92="En cours",$H92="En revue"),"E",IF($H92="Bloquée","B","P"))),""))</f>
        <v/>
      </c>
      <c r="Y92" s="53">
        <f>IF(OR($F92="",$G92=""),"",IF(AND(Y$5&lt;=$G92,Y$5+6&gt;=$F92),IF($H92="Complétée","F",IF(OR($H92="En cours",$H92="En revue"),"E",IF($H92="Bloquée","B","P"))),""))</f>
        <v/>
      </c>
      <c r="Z92" s="53">
        <f>IF(OR($F92="",$G92=""),"",IF(AND(Z$5&lt;=$G92,Z$5+6&gt;=$F92),IF($H92="Complétée","F",IF(OR($H92="En cours",$H92="En revue"),"E",IF($H92="Bloquée","B","P"))),""))</f>
        <v/>
      </c>
      <c r="AA92" s="53">
        <f>IF(OR($F92="",$G92=""),"",IF(AND(AA$5&lt;=$G92,AA$5+6&gt;=$F92),IF($H92="Complétée","F",IF(OR($H92="En cours",$H92="En revue"),"E",IF($H92="Bloquée","B","P"))),""))</f>
        <v/>
      </c>
      <c r="AB92" s="53">
        <f>IF(OR($F92="",$G92=""),"",IF(AND(AB$5&lt;=$G92,AB$5+6&gt;=$F92),IF($H92="Complétée","F",IF(OR($H92="En cours",$H92="En revue"),"E",IF($H92="Bloquée","B","P"))),""))</f>
        <v/>
      </c>
      <c r="AC92" s="53">
        <f>IF(OR($F92="",$G92=""),"",IF(AND(AC$5&lt;=$G92,AC$5+6&gt;=$F92),IF($H92="Complétée","F",IF(OR($H92="En cours",$H92="En revue"),"E",IF($H92="Bloquée","B","P"))),""))</f>
        <v/>
      </c>
      <c r="AD92" s="53">
        <f>IF(OR($F92="",$G92=""),"",IF(AND(AD$5&lt;=$G92,AD$5+6&gt;=$F92),IF($H92="Complétée","F",IF(OR($H92="En cours",$H92="En revue"),"E",IF($H92="Bloquée","B","P"))),""))</f>
        <v/>
      </c>
      <c r="AE92" s="53">
        <f>IF(OR($F92="",$G92=""),"",IF(AND(AE$5&lt;=$G92,AE$5+6&gt;=$F92),IF($H92="Complétée","F",IF(OR($H92="En cours",$H92="En revue"),"E",IF($H92="Bloquée","B","P"))),""))</f>
        <v/>
      </c>
      <c r="AF92" s="53">
        <f>IF(OR($F92="",$G92=""),"",IF(AND(AF$5&lt;=$G92,AF$5+6&gt;=$F92),IF($H92="Complétée","F",IF(OR($H92="En cours",$H92="En revue"),"E",IF($H92="Bloquée","B","P"))),""))</f>
        <v/>
      </c>
      <c r="AG92" s="53">
        <f>IF(OR($F92="",$G92=""),"",IF(AND(AG$5&lt;=$G92,AG$5+6&gt;=$F92),IF($H92="Complétée","F",IF(OR($H92="En cours",$H92="En revue"),"E",IF($H92="Bloquée","B","P"))),""))</f>
        <v/>
      </c>
      <c r="AH92" s="53">
        <f>IF(OR($F92="",$G92=""),"",IF(AND(AH$5&lt;=$G92,AH$5+6&gt;=$F92),IF($H92="Complétée","F",IF(OR($H92="En cours",$H92="En revue"),"E",IF($H92="Bloquée","B","P"))),""))</f>
        <v/>
      </c>
      <c r="AI92" s="53">
        <f>IF(OR($F92="",$G92=""),"",IF(AND(AI$5&lt;=$G92,AI$5+6&gt;=$F92),IF($H92="Complétée","F",IF(OR($H92="En cours",$H92="En revue"),"E",IF($H92="Bloquée","B","P"))),""))</f>
        <v/>
      </c>
      <c r="AJ92" s="53">
        <f>IF(OR($F92="",$G92=""),"",IF(AND(AJ$5&lt;=$G92,AJ$5+6&gt;=$F92),IF($H92="Complétée","F",IF(OR($H92="En cours",$H92="En revue"),"E",IF($H92="Bloquée","B","P"))),""))</f>
        <v/>
      </c>
      <c r="AK92" s="53">
        <f>IF(OR($F92="",$G92=""),"",IF(AND(AK$5&lt;=$G92,AK$5+6&gt;=$F92),IF($H92="Complétée","F",IF(OR($H92="En cours",$H92="En revue"),"E",IF($H92="Bloquée","B","P"))),""))</f>
        <v/>
      </c>
      <c r="AL92" s="53">
        <f>IF(OR($F92="",$G92=""),"",IF(AND(AL$5&lt;=$G92,AL$5+6&gt;=$F92),IF($H92="Complétée","F",IF(OR($H92="En cours",$H92="En revue"),"E",IF($H92="Bloquée","B","P"))),""))</f>
        <v/>
      </c>
      <c r="AM92" s="53">
        <f>IF(OR($F92="",$G92=""),"",IF(AND(AM$5&lt;=$G92,AM$5+6&gt;=$F92),IF($H92="Complétée","F",IF(OR($H92="En cours",$H92="En revue"),"E",IF($H92="Bloquée","B","P"))),""))</f>
        <v/>
      </c>
      <c r="AN92" s="53">
        <f>IF(OR($F92="",$G92=""),"",IF(AND(AN$5&lt;=$G92,AN$5+6&gt;=$F92),IF($H92="Complétée","F",IF(OR($H92="En cours",$H92="En revue"),"E",IF($H92="Bloquée","B","P"))),""))</f>
        <v/>
      </c>
      <c r="AO92" s="53">
        <f>IF(OR($F92="",$G92=""),"",IF(AND(AO$5&lt;=$G92,AO$5+6&gt;=$F92),IF($H92="Complétée","F",IF(OR($H92="En cours",$H92="En revue"),"E",IF($H92="Bloquée","B","P"))),""))</f>
        <v/>
      </c>
      <c r="AP92" s="53">
        <f>IF(OR($F92="",$G92=""),"",IF(AND(AP$5&lt;=$G92,AP$5+6&gt;=$F92),IF($H92="Complétée","F",IF(OR($H92="En cours",$H92="En revue"),"E",IF($H92="Bloquée","B","P"))),""))</f>
        <v/>
      </c>
      <c r="AQ92" s="53">
        <f>IF(OR($F92="",$G92=""),"",IF(AND(AQ$5&lt;=$G92,AQ$5+6&gt;=$F92),IF($H92="Complétée","F",IF(OR($H92="En cours",$H92="En revue"),"E",IF($H92="Bloquée","B","P"))),""))</f>
        <v/>
      </c>
      <c r="AR92" s="53">
        <f>IF(OR($F92="",$G92=""),"",IF(AND(AR$5&lt;=$G92,AR$5+6&gt;=$F92),IF($H92="Complétée","F",IF(OR($H92="En cours",$H92="En revue"),"E",IF($H92="Bloquée","B","P"))),""))</f>
        <v/>
      </c>
      <c r="AS92" s="53">
        <f>IF(OR($F92="",$G92=""),"",IF(AND(AS$5&lt;=$G92,AS$5+6&gt;=$F92),IF($H92="Complétée","F",IF(OR($H92="En cours",$H92="En revue"),"E",IF($H92="Bloquée","B","P"))),""))</f>
        <v/>
      </c>
      <c r="AT92" s="53">
        <f>IF(OR($F92="",$G92=""),"",IF(AND(AT$5&lt;=$G92,AT$5+6&gt;=$F92),IF($H92="Complétée","F",IF(OR($H92="En cours",$H92="En revue"),"E",IF($H92="Bloquée","B","P"))),""))</f>
        <v/>
      </c>
      <c r="AU92" s="53">
        <f>IF(OR($F92="",$G92=""),"",IF(AND(AU$5&lt;=$G92,AU$5+6&gt;=$F92),IF($H92="Complétée","F",IF(OR($H92="En cours",$H92="En revue"),"E",IF($H92="Bloquée","B","P"))),""))</f>
        <v/>
      </c>
      <c r="AV92" s="53">
        <f>IF(OR($F92="",$G92=""),"",IF(AND(AV$5&lt;=$G92,AV$5+6&gt;=$F92),IF($H92="Complétée","F",IF(OR($H92="En cours",$H92="En revue"),"E",IF($H92="Bloquée","B","P"))),""))</f>
        <v/>
      </c>
      <c r="AW92" s="53">
        <f>IF(OR($F92="",$G92=""),"",IF(AND(AW$5&lt;=$G92,AW$5+6&gt;=$F92),IF($H92="Complétée","F",IF(OR($H92="En cours",$H92="En revue"),"E",IF($H92="Bloquée","B","P"))),""))</f>
        <v/>
      </c>
    </row>
    <row r="93">
      <c r="B93" s="50">
        <f>IF(Taches!B93="","",Taches!B93)</f>
        <v/>
      </c>
      <c r="C93" s="51">
        <f>IF(Taches!B93="","",Taches!F93)</f>
        <v/>
      </c>
      <c r="D93" s="50">
        <f>IF(Taches!B93="","",Taches!C93)</f>
        <v/>
      </c>
      <c r="E93" s="50">
        <f>IF(Taches!B93="","",Taches!D93)</f>
        <v/>
      </c>
      <c r="F93" s="52">
        <f>IF(Taches!P93="","",Taches!P93)</f>
        <v/>
      </c>
      <c r="G93" s="52">
        <f>IF(Taches!Q93="","",Taches!Q93)</f>
        <v/>
      </c>
      <c r="H93" s="50">
        <f>IF(Taches!B93="","",Taches!J93)</f>
        <v/>
      </c>
      <c r="I93" s="53">
        <f>IF(OR($F93="",$G93=""),"",IF(AND(I$5&lt;=$G93,I$5+6&gt;=$F93),IF($H93="Complétée","F",IF(OR($H93="En cours",$H93="En revue"),"E",IF($H93="Bloquée","B","P"))),""))</f>
        <v/>
      </c>
      <c r="J93" s="53">
        <f>IF(OR($F93="",$G93=""),"",IF(AND(J$5&lt;=$G93,J$5+6&gt;=$F93),IF($H93="Complétée","F",IF(OR($H93="En cours",$H93="En revue"),"E",IF($H93="Bloquée","B","P"))),""))</f>
        <v/>
      </c>
      <c r="K93" s="53">
        <f>IF(OR($F93="",$G93=""),"",IF(AND(K$5&lt;=$G93,K$5+6&gt;=$F93),IF($H93="Complétée","F",IF(OR($H93="En cours",$H93="En revue"),"E",IF($H93="Bloquée","B","P"))),""))</f>
        <v/>
      </c>
      <c r="L93" s="53">
        <f>IF(OR($F93="",$G93=""),"",IF(AND(L$5&lt;=$G93,L$5+6&gt;=$F93),IF($H93="Complétée","F",IF(OR($H93="En cours",$H93="En revue"),"E",IF($H93="Bloquée","B","P"))),""))</f>
        <v/>
      </c>
      <c r="M93" s="53">
        <f>IF(OR($F93="",$G93=""),"",IF(AND(M$5&lt;=$G93,M$5+6&gt;=$F93),IF($H93="Complétée","F",IF(OR($H93="En cours",$H93="En revue"),"E",IF($H93="Bloquée","B","P"))),""))</f>
        <v/>
      </c>
      <c r="N93" s="53">
        <f>IF(OR($F93="",$G93=""),"",IF(AND(N$5&lt;=$G93,N$5+6&gt;=$F93),IF($H93="Complétée","F",IF(OR($H93="En cours",$H93="En revue"),"E",IF($H93="Bloquée","B","P"))),""))</f>
        <v/>
      </c>
      <c r="O93" s="53">
        <f>IF(OR($F93="",$G93=""),"",IF(AND(O$5&lt;=$G93,O$5+6&gt;=$F93),IF($H93="Complétée","F",IF(OR($H93="En cours",$H93="En revue"),"E",IF($H93="Bloquée","B","P"))),""))</f>
        <v/>
      </c>
      <c r="P93" s="53">
        <f>IF(OR($F93="",$G93=""),"",IF(AND(P$5&lt;=$G93,P$5+6&gt;=$F93),IF($H93="Complétée","F",IF(OR($H93="En cours",$H93="En revue"),"E",IF($H93="Bloquée","B","P"))),""))</f>
        <v/>
      </c>
      <c r="Q93" s="53">
        <f>IF(OR($F93="",$G93=""),"",IF(AND(Q$5&lt;=$G93,Q$5+6&gt;=$F93),IF($H93="Complétée","F",IF(OR($H93="En cours",$H93="En revue"),"E",IF($H93="Bloquée","B","P"))),""))</f>
        <v/>
      </c>
      <c r="R93" s="53">
        <f>IF(OR($F93="",$G93=""),"",IF(AND(R$5&lt;=$G93,R$5+6&gt;=$F93),IF($H93="Complétée","F",IF(OR($H93="En cours",$H93="En revue"),"E",IF($H93="Bloquée","B","P"))),""))</f>
        <v/>
      </c>
      <c r="S93" s="53">
        <f>IF(OR($F93="",$G93=""),"",IF(AND(S$5&lt;=$G93,S$5+6&gt;=$F93),IF($H93="Complétée","F",IF(OR($H93="En cours",$H93="En revue"),"E",IF($H93="Bloquée","B","P"))),""))</f>
        <v/>
      </c>
      <c r="T93" s="53">
        <f>IF(OR($F93="",$G93=""),"",IF(AND(T$5&lt;=$G93,T$5+6&gt;=$F93),IF($H93="Complétée","F",IF(OR($H93="En cours",$H93="En revue"),"E",IF($H93="Bloquée","B","P"))),""))</f>
        <v/>
      </c>
      <c r="U93" s="53">
        <f>IF(OR($F93="",$G93=""),"",IF(AND(U$5&lt;=$G93,U$5+6&gt;=$F93),IF($H93="Complétée","F",IF(OR($H93="En cours",$H93="En revue"),"E",IF($H93="Bloquée","B","P"))),""))</f>
        <v/>
      </c>
      <c r="V93" s="53">
        <f>IF(OR($F93="",$G93=""),"",IF(AND(V$5&lt;=$G93,V$5+6&gt;=$F93),IF($H93="Complétée","F",IF(OR($H93="En cours",$H93="En revue"),"E",IF($H93="Bloquée","B","P"))),""))</f>
        <v/>
      </c>
      <c r="W93" s="53">
        <f>IF(OR($F93="",$G93=""),"",IF(AND(W$5&lt;=$G93,W$5+6&gt;=$F93),IF($H93="Complétée","F",IF(OR($H93="En cours",$H93="En revue"),"E",IF($H93="Bloquée","B","P"))),""))</f>
        <v/>
      </c>
      <c r="X93" s="53">
        <f>IF(OR($F93="",$G93=""),"",IF(AND(X$5&lt;=$G93,X$5+6&gt;=$F93),IF($H93="Complétée","F",IF(OR($H93="En cours",$H93="En revue"),"E",IF($H93="Bloquée","B","P"))),""))</f>
        <v/>
      </c>
      <c r="Y93" s="53">
        <f>IF(OR($F93="",$G93=""),"",IF(AND(Y$5&lt;=$G93,Y$5+6&gt;=$F93),IF($H93="Complétée","F",IF(OR($H93="En cours",$H93="En revue"),"E",IF($H93="Bloquée","B","P"))),""))</f>
        <v/>
      </c>
      <c r="Z93" s="53">
        <f>IF(OR($F93="",$G93=""),"",IF(AND(Z$5&lt;=$G93,Z$5+6&gt;=$F93),IF($H93="Complétée","F",IF(OR($H93="En cours",$H93="En revue"),"E",IF($H93="Bloquée","B","P"))),""))</f>
        <v/>
      </c>
      <c r="AA93" s="53">
        <f>IF(OR($F93="",$G93=""),"",IF(AND(AA$5&lt;=$G93,AA$5+6&gt;=$F93),IF($H93="Complétée","F",IF(OR($H93="En cours",$H93="En revue"),"E",IF($H93="Bloquée","B","P"))),""))</f>
        <v/>
      </c>
      <c r="AB93" s="53">
        <f>IF(OR($F93="",$G93=""),"",IF(AND(AB$5&lt;=$G93,AB$5+6&gt;=$F93),IF($H93="Complétée","F",IF(OR($H93="En cours",$H93="En revue"),"E",IF($H93="Bloquée","B","P"))),""))</f>
        <v/>
      </c>
      <c r="AC93" s="53">
        <f>IF(OR($F93="",$G93=""),"",IF(AND(AC$5&lt;=$G93,AC$5+6&gt;=$F93),IF($H93="Complétée","F",IF(OR($H93="En cours",$H93="En revue"),"E",IF($H93="Bloquée","B","P"))),""))</f>
        <v/>
      </c>
      <c r="AD93" s="53">
        <f>IF(OR($F93="",$G93=""),"",IF(AND(AD$5&lt;=$G93,AD$5+6&gt;=$F93),IF($H93="Complétée","F",IF(OR($H93="En cours",$H93="En revue"),"E",IF($H93="Bloquée","B","P"))),""))</f>
        <v/>
      </c>
      <c r="AE93" s="53">
        <f>IF(OR($F93="",$G93=""),"",IF(AND(AE$5&lt;=$G93,AE$5+6&gt;=$F93),IF($H93="Complétée","F",IF(OR($H93="En cours",$H93="En revue"),"E",IF($H93="Bloquée","B","P"))),""))</f>
        <v/>
      </c>
      <c r="AF93" s="53">
        <f>IF(OR($F93="",$G93=""),"",IF(AND(AF$5&lt;=$G93,AF$5+6&gt;=$F93),IF($H93="Complétée","F",IF(OR($H93="En cours",$H93="En revue"),"E",IF($H93="Bloquée","B","P"))),""))</f>
        <v/>
      </c>
      <c r="AG93" s="53">
        <f>IF(OR($F93="",$G93=""),"",IF(AND(AG$5&lt;=$G93,AG$5+6&gt;=$F93),IF($H93="Complétée","F",IF(OR($H93="En cours",$H93="En revue"),"E",IF($H93="Bloquée","B","P"))),""))</f>
        <v/>
      </c>
      <c r="AH93" s="53">
        <f>IF(OR($F93="",$G93=""),"",IF(AND(AH$5&lt;=$G93,AH$5+6&gt;=$F93),IF($H93="Complétée","F",IF(OR($H93="En cours",$H93="En revue"),"E",IF($H93="Bloquée","B","P"))),""))</f>
        <v/>
      </c>
      <c r="AI93" s="53">
        <f>IF(OR($F93="",$G93=""),"",IF(AND(AI$5&lt;=$G93,AI$5+6&gt;=$F93),IF($H93="Complétée","F",IF(OR($H93="En cours",$H93="En revue"),"E",IF($H93="Bloquée","B","P"))),""))</f>
        <v/>
      </c>
      <c r="AJ93" s="53">
        <f>IF(OR($F93="",$G93=""),"",IF(AND(AJ$5&lt;=$G93,AJ$5+6&gt;=$F93),IF($H93="Complétée","F",IF(OR($H93="En cours",$H93="En revue"),"E",IF($H93="Bloquée","B","P"))),""))</f>
        <v/>
      </c>
      <c r="AK93" s="53">
        <f>IF(OR($F93="",$G93=""),"",IF(AND(AK$5&lt;=$G93,AK$5+6&gt;=$F93),IF($H93="Complétée","F",IF(OR($H93="En cours",$H93="En revue"),"E",IF($H93="Bloquée","B","P"))),""))</f>
        <v/>
      </c>
      <c r="AL93" s="53">
        <f>IF(OR($F93="",$G93=""),"",IF(AND(AL$5&lt;=$G93,AL$5+6&gt;=$F93),IF($H93="Complétée","F",IF(OR($H93="En cours",$H93="En revue"),"E",IF($H93="Bloquée","B","P"))),""))</f>
        <v/>
      </c>
      <c r="AM93" s="53">
        <f>IF(OR($F93="",$G93=""),"",IF(AND(AM$5&lt;=$G93,AM$5+6&gt;=$F93),IF($H93="Complétée","F",IF(OR($H93="En cours",$H93="En revue"),"E",IF($H93="Bloquée","B","P"))),""))</f>
        <v/>
      </c>
      <c r="AN93" s="53">
        <f>IF(OR($F93="",$G93=""),"",IF(AND(AN$5&lt;=$G93,AN$5+6&gt;=$F93),IF($H93="Complétée","F",IF(OR($H93="En cours",$H93="En revue"),"E",IF($H93="Bloquée","B","P"))),""))</f>
        <v/>
      </c>
      <c r="AO93" s="53">
        <f>IF(OR($F93="",$G93=""),"",IF(AND(AO$5&lt;=$G93,AO$5+6&gt;=$F93),IF($H93="Complétée","F",IF(OR($H93="En cours",$H93="En revue"),"E",IF($H93="Bloquée","B","P"))),""))</f>
        <v/>
      </c>
      <c r="AP93" s="53">
        <f>IF(OR($F93="",$G93=""),"",IF(AND(AP$5&lt;=$G93,AP$5+6&gt;=$F93),IF($H93="Complétée","F",IF(OR($H93="En cours",$H93="En revue"),"E",IF($H93="Bloquée","B","P"))),""))</f>
        <v/>
      </c>
      <c r="AQ93" s="53">
        <f>IF(OR($F93="",$G93=""),"",IF(AND(AQ$5&lt;=$G93,AQ$5+6&gt;=$F93),IF($H93="Complétée","F",IF(OR($H93="En cours",$H93="En revue"),"E",IF($H93="Bloquée","B","P"))),""))</f>
        <v/>
      </c>
      <c r="AR93" s="53">
        <f>IF(OR($F93="",$G93=""),"",IF(AND(AR$5&lt;=$G93,AR$5+6&gt;=$F93),IF($H93="Complétée","F",IF(OR($H93="En cours",$H93="En revue"),"E",IF($H93="Bloquée","B","P"))),""))</f>
        <v/>
      </c>
      <c r="AS93" s="53">
        <f>IF(OR($F93="",$G93=""),"",IF(AND(AS$5&lt;=$G93,AS$5+6&gt;=$F93),IF($H93="Complétée","F",IF(OR($H93="En cours",$H93="En revue"),"E",IF($H93="Bloquée","B","P"))),""))</f>
        <v/>
      </c>
      <c r="AT93" s="53">
        <f>IF(OR($F93="",$G93=""),"",IF(AND(AT$5&lt;=$G93,AT$5+6&gt;=$F93),IF($H93="Complétée","F",IF(OR($H93="En cours",$H93="En revue"),"E",IF($H93="Bloquée","B","P"))),""))</f>
        <v/>
      </c>
      <c r="AU93" s="53">
        <f>IF(OR($F93="",$G93=""),"",IF(AND(AU$5&lt;=$G93,AU$5+6&gt;=$F93),IF($H93="Complétée","F",IF(OR($H93="En cours",$H93="En revue"),"E",IF($H93="Bloquée","B","P"))),""))</f>
        <v/>
      </c>
      <c r="AV93" s="53">
        <f>IF(OR($F93="",$G93=""),"",IF(AND(AV$5&lt;=$G93,AV$5+6&gt;=$F93),IF($H93="Complétée","F",IF(OR($H93="En cours",$H93="En revue"),"E",IF($H93="Bloquée","B","P"))),""))</f>
        <v/>
      </c>
      <c r="AW93" s="53">
        <f>IF(OR($F93="",$G93=""),"",IF(AND(AW$5&lt;=$G93,AW$5+6&gt;=$F93),IF($H93="Complétée","F",IF(OR($H93="En cours",$H93="En revue"),"E",IF($H93="Bloquée","B","P"))),""))</f>
        <v/>
      </c>
    </row>
    <row r="94">
      <c r="B94" s="50">
        <f>IF(Taches!B94="","",Taches!B94)</f>
        <v/>
      </c>
      <c r="C94" s="51">
        <f>IF(Taches!B94="","",Taches!F94)</f>
        <v/>
      </c>
      <c r="D94" s="50">
        <f>IF(Taches!B94="","",Taches!C94)</f>
        <v/>
      </c>
      <c r="E94" s="50">
        <f>IF(Taches!B94="","",Taches!D94)</f>
        <v/>
      </c>
      <c r="F94" s="52">
        <f>IF(Taches!P94="","",Taches!P94)</f>
        <v/>
      </c>
      <c r="G94" s="52">
        <f>IF(Taches!Q94="","",Taches!Q94)</f>
        <v/>
      </c>
      <c r="H94" s="50">
        <f>IF(Taches!B94="","",Taches!J94)</f>
        <v/>
      </c>
      <c r="I94" s="53">
        <f>IF(OR($F94="",$G94=""),"",IF(AND(I$5&lt;=$G94,I$5+6&gt;=$F94),IF($H94="Complétée","F",IF(OR($H94="En cours",$H94="En revue"),"E",IF($H94="Bloquée","B","P"))),""))</f>
        <v/>
      </c>
      <c r="J94" s="53">
        <f>IF(OR($F94="",$G94=""),"",IF(AND(J$5&lt;=$G94,J$5+6&gt;=$F94),IF($H94="Complétée","F",IF(OR($H94="En cours",$H94="En revue"),"E",IF($H94="Bloquée","B","P"))),""))</f>
        <v/>
      </c>
      <c r="K94" s="53">
        <f>IF(OR($F94="",$G94=""),"",IF(AND(K$5&lt;=$G94,K$5+6&gt;=$F94),IF($H94="Complétée","F",IF(OR($H94="En cours",$H94="En revue"),"E",IF($H94="Bloquée","B","P"))),""))</f>
        <v/>
      </c>
      <c r="L94" s="53">
        <f>IF(OR($F94="",$G94=""),"",IF(AND(L$5&lt;=$G94,L$5+6&gt;=$F94),IF($H94="Complétée","F",IF(OR($H94="En cours",$H94="En revue"),"E",IF($H94="Bloquée","B","P"))),""))</f>
        <v/>
      </c>
      <c r="M94" s="53">
        <f>IF(OR($F94="",$G94=""),"",IF(AND(M$5&lt;=$G94,M$5+6&gt;=$F94),IF($H94="Complétée","F",IF(OR($H94="En cours",$H94="En revue"),"E",IF($H94="Bloquée","B","P"))),""))</f>
        <v/>
      </c>
      <c r="N94" s="53">
        <f>IF(OR($F94="",$G94=""),"",IF(AND(N$5&lt;=$G94,N$5+6&gt;=$F94),IF($H94="Complétée","F",IF(OR($H94="En cours",$H94="En revue"),"E",IF($H94="Bloquée","B","P"))),""))</f>
        <v/>
      </c>
      <c r="O94" s="53">
        <f>IF(OR($F94="",$G94=""),"",IF(AND(O$5&lt;=$G94,O$5+6&gt;=$F94),IF($H94="Complétée","F",IF(OR($H94="En cours",$H94="En revue"),"E",IF($H94="Bloquée","B","P"))),""))</f>
        <v/>
      </c>
      <c r="P94" s="53">
        <f>IF(OR($F94="",$G94=""),"",IF(AND(P$5&lt;=$G94,P$5+6&gt;=$F94),IF($H94="Complétée","F",IF(OR($H94="En cours",$H94="En revue"),"E",IF($H94="Bloquée","B","P"))),""))</f>
        <v/>
      </c>
      <c r="Q94" s="53">
        <f>IF(OR($F94="",$G94=""),"",IF(AND(Q$5&lt;=$G94,Q$5+6&gt;=$F94),IF($H94="Complétée","F",IF(OR($H94="En cours",$H94="En revue"),"E",IF($H94="Bloquée","B","P"))),""))</f>
        <v/>
      </c>
      <c r="R94" s="53">
        <f>IF(OR($F94="",$G94=""),"",IF(AND(R$5&lt;=$G94,R$5+6&gt;=$F94),IF($H94="Complétée","F",IF(OR($H94="En cours",$H94="En revue"),"E",IF($H94="Bloquée","B","P"))),""))</f>
        <v/>
      </c>
      <c r="S94" s="53">
        <f>IF(OR($F94="",$G94=""),"",IF(AND(S$5&lt;=$G94,S$5+6&gt;=$F94),IF($H94="Complétée","F",IF(OR($H94="En cours",$H94="En revue"),"E",IF($H94="Bloquée","B","P"))),""))</f>
        <v/>
      </c>
      <c r="T94" s="53">
        <f>IF(OR($F94="",$G94=""),"",IF(AND(T$5&lt;=$G94,T$5+6&gt;=$F94),IF($H94="Complétée","F",IF(OR($H94="En cours",$H94="En revue"),"E",IF($H94="Bloquée","B","P"))),""))</f>
        <v/>
      </c>
      <c r="U94" s="53">
        <f>IF(OR($F94="",$G94=""),"",IF(AND(U$5&lt;=$G94,U$5+6&gt;=$F94),IF($H94="Complétée","F",IF(OR($H94="En cours",$H94="En revue"),"E",IF($H94="Bloquée","B","P"))),""))</f>
        <v/>
      </c>
      <c r="V94" s="53">
        <f>IF(OR($F94="",$G94=""),"",IF(AND(V$5&lt;=$G94,V$5+6&gt;=$F94),IF($H94="Complétée","F",IF(OR($H94="En cours",$H94="En revue"),"E",IF($H94="Bloquée","B","P"))),""))</f>
        <v/>
      </c>
      <c r="W94" s="53">
        <f>IF(OR($F94="",$G94=""),"",IF(AND(W$5&lt;=$G94,W$5+6&gt;=$F94),IF($H94="Complétée","F",IF(OR($H94="En cours",$H94="En revue"),"E",IF($H94="Bloquée","B","P"))),""))</f>
        <v/>
      </c>
      <c r="X94" s="53">
        <f>IF(OR($F94="",$G94=""),"",IF(AND(X$5&lt;=$G94,X$5+6&gt;=$F94),IF($H94="Complétée","F",IF(OR($H94="En cours",$H94="En revue"),"E",IF($H94="Bloquée","B","P"))),""))</f>
        <v/>
      </c>
      <c r="Y94" s="53">
        <f>IF(OR($F94="",$G94=""),"",IF(AND(Y$5&lt;=$G94,Y$5+6&gt;=$F94),IF($H94="Complétée","F",IF(OR($H94="En cours",$H94="En revue"),"E",IF($H94="Bloquée","B","P"))),""))</f>
        <v/>
      </c>
      <c r="Z94" s="53">
        <f>IF(OR($F94="",$G94=""),"",IF(AND(Z$5&lt;=$G94,Z$5+6&gt;=$F94),IF($H94="Complétée","F",IF(OR($H94="En cours",$H94="En revue"),"E",IF($H94="Bloquée","B","P"))),""))</f>
        <v/>
      </c>
      <c r="AA94" s="53">
        <f>IF(OR($F94="",$G94=""),"",IF(AND(AA$5&lt;=$G94,AA$5+6&gt;=$F94),IF($H94="Complétée","F",IF(OR($H94="En cours",$H94="En revue"),"E",IF($H94="Bloquée","B","P"))),""))</f>
        <v/>
      </c>
      <c r="AB94" s="53">
        <f>IF(OR($F94="",$G94=""),"",IF(AND(AB$5&lt;=$G94,AB$5+6&gt;=$F94),IF($H94="Complétée","F",IF(OR($H94="En cours",$H94="En revue"),"E",IF($H94="Bloquée","B","P"))),""))</f>
        <v/>
      </c>
      <c r="AC94" s="53">
        <f>IF(OR($F94="",$G94=""),"",IF(AND(AC$5&lt;=$G94,AC$5+6&gt;=$F94),IF($H94="Complétée","F",IF(OR($H94="En cours",$H94="En revue"),"E",IF($H94="Bloquée","B","P"))),""))</f>
        <v/>
      </c>
      <c r="AD94" s="53">
        <f>IF(OR($F94="",$G94=""),"",IF(AND(AD$5&lt;=$G94,AD$5+6&gt;=$F94),IF($H94="Complétée","F",IF(OR($H94="En cours",$H94="En revue"),"E",IF($H94="Bloquée","B","P"))),""))</f>
        <v/>
      </c>
      <c r="AE94" s="53">
        <f>IF(OR($F94="",$G94=""),"",IF(AND(AE$5&lt;=$G94,AE$5+6&gt;=$F94),IF($H94="Complétée","F",IF(OR($H94="En cours",$H94="En revue"),"E",IF($H94="Bloquée","B","P"))),""))</f>
        <v/>
      </c>
      <c r="AF94" s="53">
        <f>IF(OR($F94="",$G94=""),"",IF(AND(AF$5&lt;=$G94,AF$5+6&gt;=$F94),IF($H94="Complétée","F",IF(OR($H94="En cours",$H94="En revue"),"E",IF($H94="Bloquée","B","P"))),""))</f>
        <v/>
      </c>
      <c r="AG94" s="53">
        <f>IF(OR($F94="",$G94=""),"",IF(AND(AG$5&lt;=$G94,AG$5+6&gt;=$F94),IF($H94="Complétée","F",IF(OR($H94="En cours",$H94="En revue"),"E",IF($H94="Bloquée","B","P"))),""))</f>
        <v/>
      </c>
      <c r="AH94" s="53">
        <f>IF(OR($F94="",$G94=""),"",IF(AND(AH$5&lt;=$G94,AH$5+6&gt;=$F94),IF($H94="Complétée","F",IF(OR($H94="En cours",$H94="En revue"),"E",IF($H94="Bloquée","B","P"))),""))</f>
        <v/>
      </c>
      <c r="AI94" s="53">
        <f>IF(OR($F94="",$G94=""),"",IF(AND(AI$5&lt;=$G94,AI$5+6&gt;=$F94),IF($H94="Complétée","F",IF(OR($H94="En cours",$H94="En revue"),"E",IF($H94="Bloquée","B","P"))),""))</f>
        <v/>
      </c>
      <c r="AJ94" s="53">
        <f>IF(OR($F94="",$G94=""),"",IF(AND(AJ$5&lt;=$G94,AJ$5+6&gt;=$F94),IF($H94="Complétée","F",IF(OR($H94="En cours",$H94="En revue"),"E",IF($H94="Bloquée","B","P"))),""))</f>
        <v/>
      </c>
      <c r="AK94" s="53">
        <f>IF(OR($F94="",$G94=""),"",IF(AND(AK$5&lt;=$G94,AK$5+6&gt;=$F94),IF($H94="Complétée","F",IF(OR($H94="En cours",$H94="En revue"),"E",IF($H94="Bloquée","B","P"))),""))</f>
        <v/>
      </c>
      <c r="AL94" s="53">
        <f>IF(OR($F94="",$G94=""),"",IF(AND(AL$5&lt;=$G94,AL$5+6&gt;=$F94),IF($H94="Complétée","F",IF(OR($H94="En cours",$H94="En revue"),"E",IF($H94="Bloquée","B","P"))),""))</f>
        <v/>
      </c>
      <c r="AM94" s="53">
        <f>IF(OR($F94="",$G94=""),"",IF(AND(AM$5&lt;=$G94,AM$5+6&gt;=$F94),IF($H94="Complétée","F",IF(OR($H94="En cours",$H94="En revue"),"E",IF($H94="Bloquée","B","P"))),""))</f>
        <v/>
      </c>
      <c r="AN94" s="53">
        <f>IF(OR($F94="",$G94=""),"",IF(AND(AN$5&lt;=$G94,AN$5+6&gt;=$F94),IF($H94="Complétée","F",IF(OR($H94="En cours",$H94="En revue"),"E",IF($H94="Bloquée","B","P"))),""))</f>
        <v/>
      </c>
      <c r="AO94" s="53">
        <f>IF(OR($F94="",$G94=""),"",IF(AND(AO$5&lt;=$G94,AO$5+6&gt;=$F94),IF($H94="Complétée","F",IF(OR($H94="En cours",$H94="En revue"),"E",IF($H94="Bloquée","B","P"))),""))</f>
        <v/>
      </c>
      <c r="AP94" s="53">
        <f>IF(OR($F94="",$G94=""),"",IF(AND(AP$5&lt;=$G94,AP$5+6&gt;=$F94),IF($H94="Complétée","F",IF(OR($H94="En cours",$H94="En revue"),"E",IF($H94="Bloquée","B","P"))),""))</f>
        <v/>
      </c>
      <c r="AQ94" s="53">
        <f>IF(OR($F94="",$G94=""),"",IF(AND(AQ$5&lt;=$G94,AQ$5+6&gt;=$F94),IF($H94="Complétée","F",IF(OR($H94="En cours",$H94="En revue"),"E",IF($H94="Bloquée","B","P"))),""))</f>
        <v/>
      </c>
      <c r="AR94" s="53">
        <f>IF(OR($F94="",$G94=""),"",IF(AND(AR$5&lt;=$G94,AR$5+6&gt;=$F94),IF($H94="Complétée","F",IF(OR($H94="En cours",$H94="En revue"),"E",IF($H94="Bloquée","B","P"))),""))</f>
        <v/>
      </c>
      <c r="AS94" s="53">
        <f>IF(OR($F94="",$G94=""),"",IF(AND(AS$5&lt;=$G94,AS$5+6&gt;=$F94),IF($H94="Complétée","F",IF(OR($H94="En cours",$H94="En revue"),"E",IF($H94="Bloquée","B","P"))),""))</f>
        <v/>
      </c>
      <c r="AT94" s="53">
        <f>IF(OR($F94="",$G94=""),"",IF(AND(AT$5&lt;=$G94,AT$5+6&gt;=$F94),IF($H94="Complétée","F",IF(OR($H94="En cours",$H94="En revue"),"E",IF($H94="Bloquée","B","P"))),""))</f>
        <v/>
      </c>
      <c r="AU94" s="53">
        <f>IF(OR($F94="",$G94=""),"",IF(AND(AU$5&lt;=$G94,AU$5+6&gt;=$F94),IF($H94="Complétée","F",IF(OR($H94="En cours",$H94="En revue"),"E",IF($H94="Bloquée","B","P"))),""))</f>
        <v/>
      </c>
      <c r="AV94" s="53">
        <f>IF(OR($F94="",$G94=""),"",IF(AND(AV$5&lt;=$G94,AV$5+6&gt;=$F94),IF($H94="Complétée","F",IF(OR($H94="En cours",$H94="En revue"),"E",IF($H94="Bloquée","B","P"))),""))</f>
        <v/>
      </c>
      <c r="AW94" s="53">
        <f>IF(OR($F94="",$G94=""),"",IF(AND(AW$5&lt;=$G94,AW$5+6&gt;=$F94),IF($H94="Complétée","F",IF(OR($H94="En cours",$H94="En revue"),"E",IF($H94="Bloquée","B","P"))),""))</f>
        <v/>
      </c>
    </row>
    <row r="95">
      <c r="B95" s="50">
        <f>IF(Taches!B95="","",Taches!B95)</f>
        <v/>
      </c>
      <c r="C95" s="51">
        <f>IF(Taches!B95="","",Taches!F95)</f>
        <v/>
      </c>
      <c r="D95" s="50">
        <f>IF(Taches!B95="","",Taches!C95)</f>
        <v/>
      </c>
      <c r="E95" s="50">
        <f>IF(Taches!B95="","",Taches!D95)</f>
        <v/>
      </c>
      <c r="F95" s="52">
        <f>IF(Taches!P95="","",Taches!P95)</f>
        <v/>
      </c>
      <c r="G95" s="52">
        <f>IF(Taches!Q95="","",Taches!Q95)</f>
        <v/>
      </c>
      <c r="H95" s="50">
        <f>IF(Taches!B95="","",Taches!J95)</f>
        <v/>
      </c>
      <c r="I95" s="53">
        <f>IF(OR($F95="",$G95=""),"",IF(AND(I$5&lt;=$G95,I$5+6&gt;=$F95),IF($H95="Complétée","F",IF(OR($H95="En cours",$H95="En revue"),"E",IF($H95="Bloquée","B","P"))),""))</f>
        <v/>
      </c>
      <c r="J95" s="53">
        <f>IF(OR($F95="",$G95=""),"",IF(AND(J$5&lt;=$G95,J$5+6&gt;=$F95),IF($H95="Complétée","F",IF(OR($H95="En cours",$H95="En revue"),"E",IF($H95="Bloquée","B","P"))),""))</f>
        <v/>
      </c>
      <c r="K95" s="53">
        <f>IF(OR($F95="",$G95=""),"",IF(AND(K$5&lt;=$G95,K$5+6&gt;=$F95),IF($H95="Complétée","F",IF(OR($H95="En cours",$H95="En revue"),"E",IF($H95="Bloquée","B","P"))),""))</f>
        <v/>
      </c>
      <c r="L95" s="53">
        <f>IF(OR($F95="",$G95=""),"",IF(AND(L$5&lt;=$G95,L$5+6&gt;=$F95),IF($H95="Complétée","F",IF(OR($H95="En cours",$H95="En revue"),"E",IF($H95="Bloquée","B","P"))),""))</f>
        <v/>
      </c>
      <c r="M95" s="53">
        <f>IF(OR($F95="",$G95=""),"",IF(AND(M$5&lt;=$G95,M$5+6&gt;=$F95),IF($H95="Complétée","F",IF(OR($H95="En cours",$H95="En revue"),"E",IF($H95="Bloquée","B","P"))),""))</f>
        <v/>
      </c>
      <c r="N95" s="53">
        <f>IF(OR($F95="",$G95=""),"",IF(AND(N$5&lt;=$G95,N$5+6&gt;=$F95),IF($H95="Complétée","F",IF(OR($H95="En cours",$H95="En revue"),"E",IF($H95="Bloquée","B","P"))),""))</f>
        <v/>
      </c>
      <c r="O95" s="53">
        <f>IF(OR($F95="",$G95=""),"",IF(AND(O$5&lt;=$G95,O$5+6&gt;=$F95),IF($H95="Complétée","F",IF(OR($H95="En cours",$H95="En revue"),"E",IF($H95="Bloquée","B","P"))),""))</f>
        <v/>
      </c>
      <c r="P95" s="53">
        <f>IF(OR($F95="",$G95=""),"",IF(AND(P$5&lt;=$G95,P$5+6&gt;=$F95),IF($H95="Complétée","F",IF(OR($H95="En cours",$H95="En revue"),"E",IF($H95="Bloquée","B","P"))),""))</f>
        <v/>
      </c>
      <c r="Q95" s="53">
        <f>IF(OR($F95="",$G95=""),"",IF(AND(Q$5&lt;=$G95,Q$5+6&gt;=$F95),IF($H95="Complétée","F",IF(OR($H95="En cours",$H95="En revue"),"E",IF($H95="Bloquée","B","P"))),""))</f>
        <v/>
      </c>
      <c r="R95" s="53">
        <f>IF(OR($F95="",$G95=""),"",IF(AND(R$5&lt;=$G95,R$5+6&gt;=$F95),IF($H95="Complétée","F",IF(OR($H95="En cours",$H95="En revue"),"E",IF($H95="Bloquée","B","P"))),""))</f>
        <v/>
      </c>
      <c r="S95" s="53">
        <f>IF(OR($F95="",$G95=""),"",IF(AND(S$5&lt;=$G95,S$5+6&gt;=$F95),IF($H95="Complétée","F",IF(OR($H95="En cours",$H95="En revue"),"E",IF($H95="Bloquée","B","P"))),""))</f>
        <v/>
      </c>
      <c r="T95" s="53">
        <f>IF(OR($F95="",$G95=""),"",IF(AND(T$5&lt;=$G95,T$5+6&gt;=$F95),IF($H95="Complétée","F",IF(OR($H95="En cours",$H95="En revue"),"E",IF($H95="Bloquée","B","P"))),""))</f>
        <v/>
      </c>
      <c r="U95" s="53">
        <f>IF(OR($F95="",$G95=""),"",IF(AND(U$5&lt;=$G95,U$5+6&gt;=$F95),IF($H95="Complétée","F",IF(OR($H95="En cours",$H95="En revue"),"E",IF($H95="Bloquée","B","P"))),""))</f>
        <v/>
      </c>
      <c r="V95" s="53">
        <f>IF(OR($F95="",$G95=""),"",IF(AND(V$5&lt;=$G95,V$5+6&gt;=$F95),IF($H95="Complétée","F",IF(OR($H95="En cours",$H95="En revue"),"E",IF($H95="Bloquée","B","P"))),""))</f>
        <v/>
      </c>
      <c r="W95" s="53">
        <f>IF(OR($F95="",$G95=""),"",IF(AND(W$5&lt;=$G95,W$5+6&gt;=$F95),IF($H95="Complétée","F",IF(OR($H95="En cours",$H95="En revue"),"E",IF($H95="Bloquée","B","P"))),""))</f>
        <v/>
      </c>
      <c r="X95" s="53">
        <f>IF(OR($F95="",$G95=""),"",IF(AND(X$5&lt;=$G95,X$5+6&gt;=$F95),IF($H95="Complétée","F",IF(OR($H95="En cours",$H95="En revue"),"E",IF($H95="Bloquée","B","P"))),""))</f>
        <v/>
      </c>
      <c r="Y95" s="53">
        <f>IF(OR($F95="",$G95=""),"",IF(AND(Y$5&lt;=$G95,Y$5+6&gt;=$F95),IF($H95="Complétée","F",IF(OR($H95="En cours",$H95="En revue"),"E",IF($H95="Bloquée","B","P"))),""))</f>
        <v/>
      </c>
      <c r="Z95" s="53">
        <f>IF(OR($F95="",$G95=""),"",IF(AND(Z$5&lt;=$G95,Z$5+6&gt;=$F95),IF($H95="Complétée","F",IF(OR($H95="En cours",$H95="En revue"),"E",IF($H95="Bloquée","B","P"))),""))</f>
        <v/>
      </c>
      <c r="AA95" s="53">
        <f>IF(OR($F95="",$G95=""),"",IF(AND(AA$5&lt;=$G95,AA$5+6&gt;=$F95),IF($H95="Complétée","F",IF(OR($H95="En cours",$H95="En revue"),"E",IF($H95="Bloquée","B","P"))),""))</f>
        <v/>
      </c>
      <c r="AB95" s="53">
        <f>IF(OR($F95="",$G95=""),"",IF(AND(AB$5&lt;=$G95,AB$5+6&gt;=$F95),IF($H95="Complétée","F",IF(OR($H95="En cours",$H95="En revue"),"E",IF($H95="Bloquée","B","P"))),""))</f>
        <v/>
      </c>
      <c r="AC95" s="53">
        <f>IF(OR($F95="",$G95=""),"",IF(AND(AC$5&lt;=$G95,AC$5+6&gt;=$F95),IF($H95="Complétée","F",IF(OR($H95="En cours",$H95="En revue"),"E",IF($H95="Bloquée","B","P"))),""))</f>
        <v/>
      </c>
      <c r="AD95" s="53">
        <f>IF(OR($F95="",$G95=""),"",IF(AND(AD$5&lt;=$G95,AD$5+6&gt;=$F95),IF($H95="Complétée","F",IF(OR($H95="En cours",$H95="En revue"),"E",IF($H95="Bloquée","B","P"))),""))</f>
        <v/>
      </c>
      <c r="AE95" s="53">
        <f>IF(OR($F95="",$G95=""),"",IF(AND(AE$5&lt;=$G95,AE$5+6&gt;=$F95),IF($H95="Complétée","F",IF(OR($H95="En cours",$H95="En revue"),"E",IF($H95="Bloquée","B","P"))),""))</f>
        <v/>
      </c>
      <c r="AF95" s="53">
        <f>IF(OR($F95="",$G95=""),"",IF(AND(AF$5&lt;=$G95,AF$5+6&gt;=$F95),IF($H95="Complétée","F",IF(OR($H95="En cours",$H95="En revue"),"E",IF($H95="Bloquée","B","P"))),""))</f>
        <v/>
      </c>
      <c r="AG95" s="53">
        <f>IF(OR($F95="",$G95=""),"",IF(AND(AG$5&lt;=$G95,AG$5+6&gt;=$F95),IF($H95="Complétée","F",IF(OR($H95="En cours",$H95="En revue"),"E",IF($H95="Bloquée","B","P"))),""))</f>
        <v/>
      </c>
      <c r="AH95" s="53">
        <f>IF(OR($F95="",$G95=""),"",IF(AND(AH$5&lt;=$G95,AH$5+6&gt;=$F95),IF($H95="Complétée","F",IF(OR($H95="En cours",$H95="En revue"),"E",IF($H95="Bloquée","B","P"))),""))</f>
        <v/>
      </c>
      <c r="AI95" s="53">
        <f>IF(OR($F95="",$G95=""),"",IF(AND(AI$5&lt;=$G95,AI$5+6&gt;=$F95),IF($H95="Complétée","F",IF(OR($H95="En cours",$H95="En revue"),"E",IF($H95="Bloquée","B","P"))),""))</f>
        <v/>
      </c>
      <c r="AJ95" s="53">
        <f>IF(OR($F95="",$G95=""),"",IF(AND(AJ$5&lt;=$G95,AJ$5+6&gt;=$F95),IF($H95="Complétée","F",IF(OR($H95="En cours",$H95="En revue"),"E",IF($H95="Bloquée","B","P"))),""))</f>
        <v/>
      </c>
      <c r="AK95" s="53">
        <f>IF(OR($F95="",$G95=""),"",IF(AND(AK$5&lt;=$G95,AK$5+6&gt;=$F95),IF($H95="Complétée","F",IF(OR($H95="En cours",$H95="En revue"),"E",IF($H95="Bloquée","B","P"))),""))</f>
        <v/>
      </c>
      <c r="AL95" s="53">
        <f>IF(OR($F95="",$G95=""),"",IF(AND(AL$5&lt;=$G95,AL$5+6&gt;=$F95),IF($H95="Complétée","F",IF(OR($H95="En cours",$H95="En revue"),"E",IF($H95="Bloquée","B","P"))),""))</f>
        <v/>
      </c>
      <c r="AM95" s="53">
        <f>IF(OR($F95="",$G95=""),"",IF(AND(AM$5&lt;=$G95,AM$5+6&gt;=$F95),IF($H95="Complétée","F",IF(OR($H95="En cours",$H95="En revue"),"E",IF($H95="Bloquée","B","P"))),""))</f>
        <v/>
      </c>
      <c r="AN95" s="53">
        <f>IF(OR($F95="",$G95=""),"",IF(AND(AN$5&lt;=$G95,AN$5+6&gt;=$F95),IF($H95="Complétée","F",IF(OR($H95="En cours",$H95="En revue"),"E",IF($H95="Bloquée","B","P"))),""))</f>
        <v/>
      </c>
      <c r="AO95" s="53">
        <f>IF(OR($F95="",$G95=""),"",IF(AND(AO$5&lt;=$G95,AO$5+6&gt;=$F95),IF($H95="Complétée","F",IF(OR($H95="En cours",$H95="En revue"),"E",IF($H95="Bloquée","B","P"))),""))</f>
        <v/>
      </c>
      <c r="AP95" s="53">
        <f>IF(OR($F95="",$G95=""),"",IF(AND(AP$5&lt;=$G95,AP$5+6&gt;=$F95),IF($H95="Complétée","F",IF(OR($H95="En cours",$H95="En revue"),"E",IF($H95="Bloquée","B","P"))),""))</f>
        <v/>
      </c>
      <c r="AQ95" s="53">
        <f>IF(OR($F95="",$G95=""),"",IF(AND(AQ$5&lt;=$G95,AQ$5+6&gt;=$F95),IF($H95="Complétée","F",IF(OR($H95="En cours",$H95="En revue"),"E",IF($H95="Bloquée","B","P"))),""))</f>
        <v/>
      </c>
      <c r="AR95" s="53">
        <f>IF(OR($F95="",$G95=""),"",IF(AND(AR$5&lt;=$G95,AR$5+6&gt;=$F95),IF($H95="Complétée","F",IF(OR($H95="En cours",$H95="En revue"),"E",IF($H95="Bloquée","B","P"))),""))</f>
        <v/>
      </c>
      <c r="AS95" s="53">
        <f>IF(OR($F95="",$G95=""),"",IF(AND(AS$5&lt;=$G95,AS$5+6&gt;=$F95),IF($H95="Complétée","F",IF(OR($H95="En cours",$H95="En revue"),"E",IF($H95="Bloquée","B","P"))),""))</f>
        <v/>
      </c>
      <c r="AT95" s="53">
        <f>IF(OR($F95="",$G95=""),"",IF(AND(AT$5&lt;=$G95,AT$5+6&gt;=$F95),IF($H95="Complétée","F",IF(OR($H95="En cours",$H95="En revue"),"E",IF($H95="Bloquée","B","P"))),""))</f>
        <v/>
      </c>
      <c r="AU95" s="53">
        <f>IF(OR($F95="",$G95=""),"",IF(AND(AU$5&lt;=$G95,AU$5+6&gt;=$F95),IF($H95="Complétée","F",IF(OR($H95="En cours",$H95="En revue"),"E",IF($H95="Bloquée","B","P"))),""))</f>
        <v/>
      </c>
      <c r="AV95" s="53">
        <f>IF(OR($F95="",$G95=""),"",IF(AND(AV$5&lt;=$G95,AV$5+6&gt;=$F95),IF($H95="Complétée","F",IF(OR($H95="En cours",$H95="En revue"),"E",IF($H95="Bloquée","B","P"))),""))</f>
        <v/>
      </c>
      <c r="AW95" s="53">
        <f>IF(OR($F95="",$G95=""),"",IF(AND(AW$5&lt;=$G95,AW$5+6&gt;=$F95),IF($H95="Complétée","F",IF(OR($H95="En cours",$H95="En revue"),"E",IF($H95="Bloquée","B","P"))),""))</f>
        <v/>
      </c>
    </row>
    <row r="96">
      <c r="B96" s="50">
        <f>IF(Taches!B96="","",Taches!B96)</f>
        <v/>
      </c>
      <c r="C96" s="51">
        <f>IF(Taches!B96="","",Taches!F96)</f>
        <v/>
      </c>
      <c r="D96" s="50">
        <f>IF(Taches!B96="","",Taches!C96)</f>
        <v/>
      </c>
      <c r="E96" s="50">
        <f>IF(Taches!B96="","",Taches!D96)</f>
        <v/>
      </c>
      <c r="F96" s="52">
        <f>IF(Taches!P96="","",Taches!P96)</f>
        <v/>
      </c>
      <c r="G96" s="52">
        <f>IF(Taches!Q96="","",Taches!Q96)</f>
        <v/>
      </c>
      <c r="H96" s="50">
        <f>IF(Taches!B96="","",Taches!J96)</f>
        <v/>
      </c>
      <c r="I96" s="53">
        <f>IF(OR($F96="",$G96=""),"",IF(AND(I$5&lt;=$G96,I$5+6&gt;=$F96),IF($H96="Complétée","F",IF(OR($H96="En cours",$H96="En revue"),"E",IF($H96="Bloquée","B","P"))),""))</f>
        <v/>
      </c>
      <c r="J96" s="53">
        <f>IF(OR($F96="",$G96=""),"",IF(AND(J$5&lt;=$G96,J$5+6&gt;=$F96),IF($H96="Complétée","F",IF(OR($H96="En cours",$H96="En revue"),"E",IF($H96="Bloquée","B","P"))),""))</f>
        <v/>
      </c>
      <c r="K96" s="53">
        <f>IF(OR($F96="",$G96=""),"",IF(AND(K$5&lt;=$G96,K$5+6&gt;=$F96),IF($H96="Complétée","F",IF(OR($H96="En cours",$H96="En revue"),"E",IF($H96="Bloquée","B","P"))),""))</f>
        <v/>
      </c>
      <c r="L96" s="53">
        <f>IF(OR($F96="",$G96=""),"",IF(AND(L$5&lt;=$G96,L$5+6&gt;=$F96),IF($H96="Complétée","F",IF(OR($H96="En cours",$H96="En revue"),"E",IF($H96="Bloquée","B","P"))),""))</f>
        <v/>
      </c>
      <c r="M96" s="53">
        <f>IF(OR($F96="",$G96=""),"",IF(AND(M$5&lt;=$G96,M$5+6&gt;=$F96),IF($H96="Complétée","F",IF(OR($H96="En cours",$H96="En revue"),"E",IF($H96="Bloquée","B","P"))),""))</f>
        <v/>
      </c>
      <c r="N96" s="53">
        <f>IF(OR($F96="",$G96=""),"",IF(AND(N$5&lt;=$G96,N$5+6&gt;=$F96),IF($H96="Complétée","F",IF(OR($H96="En cours",$H96="En revue"),"E",IF($H96="Bloquée","B","P"))),""))</f>
        <v/>
      </c>
      <c r="O96" s="53">
        <f>IF(OR($F96="",$G96=""),"",IF(AND(O$5&lt;=$G96,O$5+6&gt;=$F96),IF($H96="Complétée","F",IF(OR($H96="En cours",$H96="En revue"),"E",IF($H96="Bloquée","B","P"))),""))</f>
        <v/>
      </c>
      <c r="P96" s="53">
        <f>IF(OR($F96="",$G96=""),"",IF(AND(P$5&lt;=$G96,P$5+6&gt;=$F96),IF($H96="Complétée","F",IF(OR($H96="En cours",$H96="En revue"),"E",IF($H96="Bloquée","B","P"))),""))</f>
        <v/>
      </c>
      <c r="Q96" s="53">
        <f>IF(OR($F96="",$G96=""),"",IF(AND(Q$5&lt;=$G96,Q$5+6&gt;=$F96),IF($H96="Complétée","F",IF(OR($H96="En cours",$H96="En revue"),"E",IF($H96="Bloquée","B","P"))),""))</f>
        <v/>
      </c>
      <c r="R96" s="53">
        <f>IF(OR($F96="",$G96=""),"",IF(AND(R$5&lt;=$G96,R$5+6&gt;=$F96),IF($H96="Complétée","F",IF(OR($H96="En cours",$H96="En revue"),"E",IF($H96="Bloquée","B","P"))),""))</f>
        <v/>
      </c>
      <c r="S96" s="53">
        <f>IF(OR($F96="",$G96=""),"",IF(AND(S$5&lt;=$G96,S$5+6&gt;=$F96),IF($H96="Complétée","F",IF(OR($H96="En cours",$H96="En revue"),"E",IF($H96="Bloquée","B","P"))),""))</f>
        <v/>
      </c>
      <c r="T96" s="53">
        <f>IF(OR($F96="",$G96=""),"",IF(AND(T$5&lt;=$G96,T$5+6&gt;=$F96),IF($H96="Complétée","F",IF(OR($H96="En cours",$H96="En revue"),"E",IF($H96="Bloquée","B","P"))),""))</f>
        <v/>
      </c>
      <c r="U96" s="53">
        <f>IF(OR($F96="",$G96=""),"",IF(AND(U$5&lt;=$G96,U$5+6&gt;=$F96),IF($H96="Complétée","F",IF(OR($H96="En cours",$H96="En revue"),"E",IF($H96="Bloquée","B","P"))),""))</f>
        <v/>
      </c>
      <c r="V96" s="53">
        <f>IF(OR($F96="",$G96=""),"",IF(AND(V$5&lt;=$G96,V$5+6&gt;=$F96),IF($H96="Complétée","F",IF(OR($H96="En cours",$H96="En revue"),"E",IF($H96="Bloquée","B","P"))),""))</f>
        <v/>
      </c>
      <c r="W96" s="53">
        <f>IF(OR($F96="",$G96=""),"",IF(AND(W$5&lt;=$G96,W$5+6&gt;=$F96),IF($H96="Complétée","F",IF(OR($H96="En cours",$H96="En revue"),"E",IF($H96="Bloquée","B","P"))),""))</f>
        <v/>
      </c>
      <c r="X96" s="53">
        <f>IF(OR($F96="",$G96=""),"",IF(AND(X$5&lt;=$G96,X$5+6&gt;=$F96),IF($H96="Complétée","F",IF(OR($H96="En cours",$H96="En revue"),"E",IF($H96="Bloquée","B","P"))),""))</f>
        <v/>
      </c>
      <c r="Y96" s="53">
        <f>IF(OR($F96="",$G96=""),"",IF(AND(Y$5&lt;=$G96,Y$5+6&gt;=$F96),IF($H96="Complétée","F",IF(OR($H96="En cours",$H96="En revue"),"E",IF($H96="Bloquée","B","P"))),""))</f>
        <v/>
      </c>
      <c r="Z96" s="53">
        <f>IF(OR($F96="",$G96=""),"",IF(AND(Z$5&lt;=$G96,Z$5+6&gt;=$F96),IF($H96="Complétée","F",IF(OR($H96="En cours",$H96="En revue"),"E",IF($H96="Bloquée","B","P"))),""))</f>
        <v/>
      </c>
      <c r="AA96" s="53">
        <f>IF(OR($F96="",$G96=""),"",IF(AND(AA$5&lt;=$G96,AA$5+6&gt;=$F96),IF($H96="Complétée","F",IF(OR($H96="En cours",$H96="En revue"),"E",IF($H96="Bloquée","B","P"))),""))</f>
        <v/>
      </c>
      <c r="AB96" s="53">
        <f>IF(OR($F96="",$G96=""),"",IF(AND(AB$5&lt;=$G96,AB$5+6&gt;=$F96),IF($H96="Complétée","F",IF(OR($H96="En cours",$H96="En revue"),"E",IF($H96="Bloquée","B","P"))),""))</f>
        <v/>
      </c>
      <c r="AC96" s="53">
        <f>IF(OR($F96="",$G96=""),"",IF(AND(AC$5&lt;=$G96,AC$5+6&gt;=$F96),IF($H96="Complétée","F",IF(OR($H96="En cours",$H96="En revue"),"E",IF($H96="Bloquée","B","P"))),""))</f>
        <v/>
      </c>
      <c r="AD96" s="53">
        <f>IF(OR($F96="",$G96=""),"",IF(AND(AD$5&lt;=$G96,AD$5+6&gt;=$F96),IF($H96="Complétée","F",IF(OR($H96="En cours",$H96="En revue"),"E",IF($H96="Bloquée","B","P"))),""))</f>
        <v/>
      </c>
      <c r="AE96" s="53">
        <f>IF(OR($F96="",$G96=""),"",IF(AND(AE$5&lt;=$G96,AE$5+6&gt;=$F96),IF($H96="Complétée","F",IF(OR($H96="En cours",$H96="En revue"),"E",IF($H96="Bloquée","B","P"))),""))</f>
        <v/>
      </c>
      <c r="AF96" s="53">
        <f>IF(OR($F96="",$G96=""),"",IF(AND(AF$5&lt;=$G96,AF$5+6&gt;=$F96),IF($H96="Complétée","F",IF(OR($H96="En cours",$H96="En revue"),"E",IF($H96="Bloquée","B","P"))),""))</f>
        <v/>
      </c>
      <c r="AG96" s="53">
        <f>IF(OR($F96="",$G96=""),"",IF(AND(AG$5&lt;=$G96,AG$5+6&gt;=$F96),IF($H96="Complétée","F",IF(OR($H96="En cours",$H96="En revue"),"E",IF($H96="Bloquée","B","P"))),""))</f>
        <v/>
      </c>
      <c r="AH96" s="53">
        <f>IF(OR($F96="",$G96=""),"",IF(AND(AH$5&lt;=$G96,AH$5+6&gt;=$F96),IF($H96="Complétée","F",IF(OR($H96="En cours",$H96="En revue"),"E",IF($H96="Bloquée","B","P"))),""))</f>
        <v/>
      </c>
      <c r="AI96" s="53">
        <f>IF(OR($F96="",$G96=""),"",IF(AND(AI$5&lt;=$G96,AI$5+6&gt;=$F96),IF($H96="Complétée","F",IF(OR($H96="En cours",$H96="En revue"),"E",IF($H96="Bloquée","B","P"))),""))</f>
        <v/>
      </c>
      <c r="AJ96" s="53">
        <f>IF(OR($F96="",$G96=""),"",IF(AND(AJ$5&lt;=$G96,AJ$5+6&gt;=$F96),IF($H96="Complétée","F",IF(OR($H96="En cours",$H96="En revue"),"E",IF($H96="Bloquée","B","P"))),""))</f>
        <v/>
      </c>
      <c r="AK96" s="53">
        <f>IF(OR($F96="",$G96=""),"",IF(AND(AK$5&lt;=$G96,AK$5+6&gt;=$F96),IF($H96="Complétée","F",IF(OR($H96="En cours",$H96="En revue"),"E",IF($H96="Bloquée","B","P"))),""))</f>
        <v/>
      </c>
      <c r="AL96" s="53">
        <f>IF(OR($F96="",$G96=""),"",IF(AND(AL$5&lt;=$G96,AL$5+6&gt;=$F96),IF($H96="Complétée","F",IF(OR($H96="En cours",$H96="En revue"),"E",IF($H96="Bloquée","B","P"))),""))</f>
        <v/>
      </c>
      <c r="AM96" s="53">
        <f>IF(OR($F96="",$G96=""),"",IF(AND(AM$5&lt;=$G96,AM$5+6&gt;=$F96),IF($H96="Complétée","F",IF(OR($H96="En cours",$H96="En revue"),"E",IF($H96="Bloquée","B","P"))),""))</f>
        <v/>
      </c>
      <c r="AN96" s="53">
        <f>IF(OR($F96="",$G96=""),"",IF(AND(AN$5&lt;=$G96,AN$5+6&gt;=$F96),IF($H96="Complétée","F",IF(OR($H96="En cours",$H96="En revue"),"E",IF($H96="Bloquée","B","P"))),""))</f>
        <v/>
      </c>
      <c r="AO96" s="53">
        <f>IF(OR($F96="",$G96=""),"",IF(AND(AO$5&lt;=$G96,AO$5+6&gt;=$F96),IF($H96="Complétée","F",IF(OR($H96="En cours",$H96="En revue"),"E",IF($H96="Bloquée","B","P"))),""))</f>
        <v/>
      </c>
      <c r="AP96" s="53">
        <f>IF(OR($F96="",$G96=""),"",IF(AND(AP$5&lt;=$G96,AP$5+6&gt;=$F96),IF($H96="Complétée","F",IF(OR($H96="En cours",$H96="En revue"),"E",IF($H96="Bloquée","B","P"))),""))</f>
        <v/>
      </c>
      <c r="AQ96" s="53">
        <f>IF(OR($F96="",$G96=""),"",IF(AND(AQ$5&lt;=$G96,AQ$5+6&gt;=$F96),IF($H96="Complétée","F",IF(OR($H96="En cours",$H96="En revue"),"E",IF($H96="Bloquée","B","P"))),""))</f>
        <v/>
      </c>
      <c r="AR96" s="53">
        <f>IF(OR($F96="",$G96=""),"",IF(AND(AR$5&lt;=$G96,AR$5+6&gt;=$F96),IF($H96="Complétée","F",IF(OR($H96="En cours",$H96="En revue"),"E",IF($H96="Bloquée","B","P"))),""))</f>
        <v/>
      </c>
      <c r="AS96" s="53">
        <f>IF(OR($F96="",$G96=""),"",IF(AND(AS$5&lt;=$G96,AS$5+6&gt;=$F96),IF($H96="Complétée","F",IF(OR($H96="En cours",$H96="En revue"),"E",IF($H96="Bloquée","B","P"))),""))</f>
        <v/>
      </c>
      <c r="AT96" s="53">
        <f>IF(OR($F96="",$G96=""),"",IF(AND(AT$5&lt;=$G96,AT$5+6&gt;=$F96),IF($H96="Complétée","F",IF(OR($H96="En cours",$H96="En revue"),"E",IF($H96="Bloquée","B","P"))),""))</f>
        <v/>
      </c>
      <c r="AU96" s="53">
        <f>IF(OR($F96="",$G96=""),"",IF(AND(AU$5&lt;=$G96,AU$5+6&gt;=$F96),IF($H96="Complétée","F",IF(OR($H96="En cours",$H96="En revue"),"E",IF($H96="Bloquée","B","P"))),""))</f>
        <v/>
      </c>
      <c r="AV96" s="53">
        <f>IF(OR($F96="",$G96=""),"",IF(AND(AV$5&lt;=$G96,AV$5+6&gt;=$F96),IF($H96="Complétée","F",IF(OR($H96="En cours",$H96="En revue"),"E",IF($H96="Bloquée","B","P"))),""))</f>
        <v/>
      </c>
      <c r="AW96" s="53">
        <f>IF(OR($F96="",$G96=""),"",IF(AND(AW$5&lt;=$G96,AW$5+6&gt;=$F96),IF($H96="Complétée","F",IF(OR($H96="En cours",$H96="En revue"),"E",IF($H96="Bloquée","B","P"))),""))</f>
        <v/>
      </c>
    </row>
    <row r="97">
      <c r="B97" s="50">
        <f>IF(Taches!B97="","",Taches!B97)</f>
        <v/>
      </c>
      <c r="C97" s="51">
        <f>IF(Taches!B97="","",Taches!F97)</f>
        <v/>
      </c>
      <c r="D97" s="50">
        <f>IF(Taches!B97="","",Taches!C97)</f>
        <v/>
      </c>
      <c r="E97" s="50">
        <f>IF(Taches!B97="","",Taches!D97)</f>
        <v/>
      </c>
      <c r="F97" s="52">
        <f>IF(Taches!P97="","",Taches!P97)</f>
        <v/>
      </c>
      <c r="G97" s="52">
        <f>IF(Taches!Q97="","",Taches!Q97)</f>
        <v/>
      </c>
      <c r="H97" s="50">
        <f>IF(Taches!B97="","",Taches!J97)</f>
        <v/>
      </c>
      <c r="I97" s="53">
        <f>IF(OR($F97="",$G97=""),"",IF(AND(I$5&lt;=$G97,I$5+6&gt;=$F97),IF($H97="Complétée","F",IF(OR($H97="En cours",$H97="En revue"),"E",IF($H97="Bloquée","B","P"))),""))</f>
        <v/>
      </c>
      <c r="J97" s="53">
        <f>IF(OR($F97="",$G97=""),"",IF(AND(J$5&lt;=$G97,J$5+6&gt;=$F97),IF($H97="Complétée","F",IF(OR($H97="En cours",$H97="En revue"),"E",IF($H97="Bloquée","B","P"))),""))</f>
        <v/>
      </c>
      <c r="K97" s="53">
        <f>IF(OR($F97="",$G97=""),"",IF(AND(K$5&lt;=$G97,K$5+6&gt;=$F97),IF($H97="Complétée","F",IF(OR($H97="En cours",$H97="En revue"),"E",IF($H97="Bloquée","B","P"))),""))</f>
        <v/>
      </c>
      <c r="L97" s="53">
        <f>IF(OR($F97="",$G97=""),"",IF(AND(L$5&lt;=$G97,L$5+6&gt;=$F97),IF($H97="Complétée","F",IF(OR($H97="En cours",$H97="En revue"),"E",IF($H97="Bloquée","B","P"))),""))</f>
        <v/>
      </c>
      <c r="M97" s="53">
        <f>IF(OR($F97="",$G97=""),"",IF(AND(M$5&lt;=$G97,M$5+6&gt;=$F97),IF($H97="Complétée","F",IF(OR($H97="En cours",$H97="En revue"),"E",IF($H97="Bloquée","B","P"))),""))</f>
        <v/>
      </c>
      <c r="N97" s="53">
        <f>IF(OR($F97="",$G97=""),"",IF(AND(N$5&lt;=$G97,N$5+6&gt;=$F97),IF($H97="Complétée","F",IF(OR($H97="En cours",$H97="En revue"),"E",IF($H97="Bloquée","B","P"))),""))</f>
        <v/>
      </c>
      <c r="O97" s="53">
        <f>IF(OR($F97="",$G97=""),"",IF(AND(O$5&lt;=$G97,O$5+6&gt;=$F97),IF($H97="Complétée","F",IF(OR($H97="En cours",$H97="En revue"),"E",IF($H97="Bloquée","B","P"))),""))</f>
        <v/>
      </c>
      <c r="P97" s="53">
        <f>IF(OR($F97="",$G97=""),"",IF(AND(P$5&lt;=$G97,P$5+6&gt;=$F97),IF($H97="Complétée","F",IF(OR($H97="En cours",$H97="En revue"),"E",IF($H97="Bloquée","B","P"))),""))</f>
        <v/>
      </c>
      <c r="Q97" s="53">
        <f>IF(OR($F97="",$G97=""),"",IF(AND(Q$5&lt;=$G97,Q$5+6&gt;=$F97),IF($H97="Complétée","F",IF(OR($H97="En cours",$H97="En revue"),"E",IF($H97="Bloquée","B","P"))),""))</f>
        <v/>
      </c>
      <c r="R97" s="53">
        <f>IF(OR($F97="",$G97=""),"",IF(AND(R$5&lt;=$G97,R$5+6&gt;=$F97),IF($H97="Complétée","F",IF(OR($H97="En cours",$H97="En revue"),"E",IF($H97="Bloquée","B","P"))),""))</f>
        <v/>
      </c>
      <c r="S97" s="53">
        <f>IF(OR($F97="",$G97=""),"",IF(AND(S$5&lt;=$G97,S$5+6&gt;=$F97),IF($H97="Complétée","F",IF(OR($H97="En cours",$H97="En revue"),"E",IF($H97="Bloquée","B","P"))),""))</f>
        <v/>
      </c>
      <c r="T97" s="53">
        <f>IF(OR($F97="",$G97=""),"",IF(AND(T$5&lt;=$G97,T$5+6&gt;=$F97),IF($H97="Complétée","F",IF(OR($H97="En cours",$H97="En revue"),"E",IF($H97="Bloquée","B","P"))),""))</f>
        <v/>
      </c>
      <c r="U97" s="53">
        <f>IF(OR($F97="",$G97=""),"",IF(AND(U$5&lt;=$G97,U$5+6&gt;=$F97),IF($H97="Complétée","F",IF(OR($H97="En cours",$H97="En revue"),"E",IF($H97="Bloquée","B","P"))),""))</f>
        <v/>
      </c>
      <c r="V97" s="53">
        <f>IF(OR($F97="",$G97=""),"",IF(AND(V$5&lt;=$G97,V$5+6&gt;=$F97),IF($H97="Complétée","F",IF(OR($H97="En cours",$H97="En revue"),"E",IF($H97="Bloquée","B","P"))),""))</f>
        <v/>
      </c>
      <c r="W97" s="53">
        <f>IF(OR($F97="",$G97=""),"",IF(AND(W$5&lt;=$G97,W$5+6&gt;=$F97),IF($H97="Complétée","F",IF(OR($H97="En cours",$H97="En revue"),"E",IF($H97="Bloquée","B","P"))),""))</f>
        <v/>
      </c>
      <c r="X97" s="53">
        <f>IF(OR($F97="",$G97=""),"",IF(AND(X$5&lt;=$G97,X$5+6&gt;=$F97),IF($H97="Complétée","F",IF(OR($H97="En cours",$H97="En revue"),"E",IF($H97="Bloquée","B","P"))),""))</f>
        <v/>
      </c>
      <c r="Y97" s="53">
        <f>IF(OR($F97="",$G97=""),"",IF(AND(Y$5&lt;=$G97,Y$5+6&gt;=$F97),IF($H97="Complétée","F",IF(OR($H97="En cours",$H97="En revue"),"E",IF($H97="Bloquée","B","P"))),""))</f>
        <v/>
      </c>
      <c r="Z97" s="53">
        <f>IF(OR($F97="",$G97=""),"",IF(AND(Z$5&lt;=$G97,Z$5+6&gt;=$F97),IF($H97="Complétée","F",IF(OR($H97="En cours",$H97="En revue"),"E",IF($H97="Bloquée","B","P"))),""))</f>
        <v/>
      </c>
      <c r="AA97" s="53">
        <f>IF(OR($F97="",$G97=""),"",IF(AND(AA$5&lt;=$G97,AA$5+6&gt;=$F97),IF($H97="Complétée","F",IF(OR($H97="En cours",$H97="En revue"),"E",IF($H97="Bloquée","B","P"))),""))</f>
        <v/>
      </c>
      <c r="AB97" s="53">
        <f>IF(OR($F97="",$G97=""),"",IF(AND(AB$5&lt;=$G97,AB$5+6&gt;=$F97),IF($H97="Complétée","F",IF(OR($H97="En cours",$H97="En revue"),"E",IF($H97="Bloquée","B","P"))),""))</f>
        <v/>
      </c>
      <c r="AC97" s="53">
        <f>IF(OR($F97="",$G97=""),"",IF(AND(AC$5&lt;=$G97,AC$5+6&gt;=$F97),IF($H97="Complétée","F",IF(OR($H97="En cours",$H97="En revue"),"E",IF($H97="Bloquée","B","P"))),""))</f>
        <v/>
      </c>
      <c r="AD97" s="53">
        <f>IF(OR($F97="",$G97=""),"",IF(AND(AD$5&lt;=$G97,AD$5+6&gt;=$F97),IF($H97="Complétée","F",IF(OR($H97="En cours",$H97="En revue"),"E",IF($H97="Bloquée","B","P"))),""))</f>
        <v/>
      </c>
      <c r="AE97" s="53">
        <f>IF(OR($F97="",$G97=""),"",IF(AND(AE$5&lt;=$G97,AE$5+6&gt;=$F97),IF($H97="Complétée","F",IF(OR($H97="En cours",$H97="En revue"),"E",IF($H97="Bloquée","B","P"))),""))</f>
        <v/>
      </c>
      <c r="AF97" s="53">
        <f>IF(OR($F97="",$G97=""),"",IF(AND(AF$5&lt;=$G97,AF$5+6&gt;=$F97),IF($H97="Complétée","F",IF(OR($H97="En cours",$H97="En revue"),"E",IF($H97="Bloquée","B","P"))),""))</f>
        <v/>
      </c>
      <c r="AG97" s="53">
        <f>IF(OR($F97="",$G97=""),"",IF(AND(AG$5&lt;=$G97,AG$5+6&gt;=$F97),IF($H97="Complétée","F",IF(OR($H97="En cours",$H97="En revue"),"E",IF($H97="Bloquée","B","P"))),""))</f>
        <v/>
      </c>
      <c r="AH97" s="53">
        <f>IF(OR($F97="",$G97=""),"",IF(AND(AH$5&lt;=$G97,AH$5+6&gt;=$F97),IF($H97="Complétée","F",IF(OR($H97="En cours",$H97="En revue"),"E",IF($H97="Bloquée","B","P"))),""))</f>
        <v/>
      </c>
      <c r="AI97" s="53">
        <f>IF(OR($F97="",$G97=""),"",IF(AND(AI$5&lt;=$G97,AI$5+6&gt;=$F97),IF($H97="Complétée","F",IF(OR($H97="En cours",$H97="En revue"),"E",IF($H97="Bloquée","B","P"))),""))</f>
        <v/>
      </c>
      <c r="AJ97" s="53">
        <f>IF(OR($F97="",$G97=""),"",IF(AND(AJ$5&lt;=$G97,AJ$5+6&gt;=$F97),IF($H97="Complétée","F",IF(OR($H97="En cours",$H97="En revue"),"E",IF($H97="Bloquée","B","P"))),""))</f>
        <v/>
      </c>
      <c r="AK97" s="53">
        <f>IF(OR($F97="",$G97=""),"",IF(AND(AK$5&lt;=$G97,AK$5+6&gt;=$F97),IF($H97="Complétée","F",IF(OR($H97="En cours",$H97="En revue"),"E",IF($H97="Bloquée","B","P"))),""))</f>
        <v/>
      </c>
      <c r="AL97" s="53">
        <f>IF(OR($F97="",$G97=""),"",IF(AND(AL$5&lt;=$G97,AL$5+6&gt;=$F97),IF($H97="Complétée","F",IF(OR($H97="En cours",$H97="En revue"),"E",IF($H97="Bloquée","B","P"))),""))</f>
        <v/>
      </c>
      <c r="AM97" s="53">
        <f>IF(OR($F97="",$G97=""),"",IF(AND(AM$5&lt;=$G97,AM$5+6&gt;=$F97),IF($H97="Complétée","F",IF(OR($H97="En cours",$H97="En revue"),"E",IF($H97="Bloquée","B","P"))),""))</f>
        <v/>
      </c>
      <c r="AN97" s="53">
        <f>IF(OR($F97="",$G97=""),"",IF(AND(AN$5&lt;=$G97,AN$5+6&gt;=$F97),IF($H97="Complétée","F",IF(OR($H97="En cours",$H97="En revue"),"E",IF($H97="Bloquée","B","P"))),""))</f>
        <v/>
      </c>
      <c r="AO97" s="53">
        <f>IF(OR($F97="",$G97=""),"",IF(AND(AO$5&lt;=$G97,AO$5+6&gt;=$F97),IF($H97="Complétée","F",IF(OR($H97="En cours",$H97="En revue"),"E",IF($H97="Bloquée","B","P"))),""))</f>
        <v/>
      </c>
      <c r="AP97" s="53">
        <f>IF(OR($F97="",$G97=""),"",IF(AND(AP$5&lt;=$G97,AP$5+6&gt;=$F97),IF($H97="Complétée","F",IF(OR($H97="En cours",$H97="En revue"),"E",IF($H97="Bloquée","B","P"))),""))</f>
        <v/>
      </c>
      <c r="AQ97" s="53">
        <f>IF(OR($F97="",$G97=""),"",IF(AND(AQ$5&lt;=$G97,AQ$5+6&gt;=$F97),IF($H97="Complétée","F",IF(OR($H97="En cours",$H97="En revue"),"E",IF($H97="Bloquée","B","P"))),""))</f>
        <v/>
      </c>
      <c r="AR97" s="53">
        <f>IF(OR($F97="",$G97=""),"",IF(AND(AR$5&lt;=$G97,AR$5+6&gt;=$F97),IF($H97="Complétée","F",IF(OR($H97="En cours",$H97="En revue"),"E",IF($H97="Bloquée","B","P"))),""))</f>
        <v/>
      </c>
      <c r="AS97" s="53">
        <f>IF(OR($F97="",$G97=""),"",IF(AND(AS$5&lt;=$G97,AS$5+6&gt;=$F97),IF($H97="Complétée","F",IF(OR($H97="En cours",$H97="En revue"),"E",IF($H97="Bloquée","B","P"))),""))</f>
        <v/>
      </c>
      <c r="AT97" s="53">
        <f>IF(OR($F97="",$G97=""),"",IF(AND(AT$5&lt;=$G97,AT$5+6&gt;=$F97),IF($H97="Complétée","F",IF(OR($H97="En cours",$H97="En revue"),"E",IF($H97="Bloquée","B","P"))),""))</f>
        <v/>
      </c>
      <c r="AU97" s="53">
        <f>IF(OR($F97="",$G97=""),"",IF(AND(AU$5&lt;=$G97,AU$5+6&gt;=$F97),IF($H97="Complétée","F",IF(OR($H97="En cours",$H97="En revue"),"E",IF($H97="Bloquée","B","P"))),""))</f>
        <v/>
      </c>
      <c r="AV97" s="53">
        <f>IF(OR($F97="",$G97=""),"",IF(AND(AV$5&lt;=$G97,AV$5+6&gt;=$F97),IF($H97="Complétée","F",IF(OR($H97="En cours",$H97="En revue"),"E",IF($H97="Bloquée","B","P"))),""))</f>
        <v/>
      </c>
      <c r="AW97" s="53">
        <f>IF(OR($F97="",$G97=""),"",IF(AND(AW$5&lt;=$G97,AW$5+6&gt;=$F97),IF($H97="Complétée","F",IF(OR($H97="En cours",$H97="En revue"),"E",IF($H97="Bloquée","B","P"))),""))</f>
        <v/>
      </c>
    </row>
    <row r="98">
      <c r="B98" s="50">
        <f>IF(Taches!B98="","",Taches!B98)</f>
        <v/>
      </c>
      <c r="C98" s="51">
        <f>IF(Taches!B98="","",Taches!F98)</f>
        <v/>
      </c>
      <c r="D98" s="50">
        <f>IF(Taches!B98="","",Taches!C98)</f>
        <v/>
      </c>
      <c r="E98" s="50">
        <f>IF(Taches!B98="","",Taches!D98)</f>
        <v/>
      </c>
      <c r="F98" s="52">
        <f>IF(Taches!P98="","",Taches!P98)</f>
        <v/>
      </c>
      <c r="G98" s="52">
        <f>IF(Taches!Q98="","",Taches!Q98)</f>
        <v/>
      </c>
      <c r="H98" s="50">
        <f>IF(Taches!B98="","",Taches!J98)</f>
        <v/>
      </c>
      <c r="I98" s="53">
        <f>IF(OR($F98="",$G98=""),"",IF(AND(I$5&lt;=$G98,I$5+6&gt;=$F98),IF($H98="Complétée","F",IF(OR($H98="En cours",$H98="En revue"),"E",IF($H98="Bloquée","B","P"))),""))</f>
        <v/>
      </c>
      <c r="J98" s="53">
        <f>IF(OR($F98="",$G98=""),"",IF(AND(J$5&lt;=$G98,J$5+6&gt;=$F98),IF($H98="Complétée","F",IF(OR($H98="En cours",$H98="En revue"),"E",IF($H98="Bloquée","B","P"))),""))</f>
        <v/>
      </c>
      <c r="K98" s="53">
        <f>IF(OR($F98="",$G98=""),"",IF(AND(K$5&lt;=$G98,K$5+6&gt;=$F98),IF($H98="Complétée","F",IF(OR($H98="En cours",$H98="En revue"),"E",IF($H98="Bloquée","B","P"))),""))</f>
        <v/>
      </c>
      <c r="L98" s="53">
        <f>IF(OR($F98="",$G98=""),"",IF(AND(L$5&lt;=$G98,L$5+6&gt;=$F98),IF($H98="Complétée","F",IF(OR($H98="En cours",$H98="En revue"),"E",IF($H98="Bloquée","B","P"))),""))</f>
        <v/>
      </c>
      <c r="M98" s="53">
        <f>IF(OR($F98="",$G98=""),"",IF(AND(M$5&lt;=$G98,M$5+6&gt;=$F98),IF($H98="Complétée","F",IF(OR($H98="En cours",$H98="En revue"),"E",IF($H98="Bloquée","B","P"))),""))</f>
        <v/>
      </c>
      <c r="N98" s="53">
        <f>IF(OR($F98="",$G98=""),"",IF(AND(N$5&lt;=$G98,N$5+6&gt;=$F98),IF($H98="Complétée","F",IF(OR($H98="En cours",$H98="En revue"),"E",IF($H98="Bloquée","B","P"))),""))</f>
        <v/>
      </c>
      <c r="O98" s="53">
        <f>IF(OR($F98="",$G98=""),"",IF(AND(O$5&lt;=$G98,O$5+6&gt;=$F98),IF($H98="Complétée","F",IF(OR($H98="En cours",$H98="En revue"),"E",IF($H98="Bloquée","B","P"))),""))</f>
        <v/>
      </c>
      <c r="P98" s="53">
        <f>IF(OR($F98="",$G98=""),"",IF(AND(P$5&lt;=$G98,P$5+6&gt;=$F98),IF($H98="Complétée","F",IF(OR($H98="En cours",$H98="En revue"),"E",IF($H98="Bloquée","B","P"))),""))</f>
        <v/>
      </c>
      <c r="Q98" s="53">
        <f>IF(OR($F98="",$G98=""),"",IF(AND(Q$5&lt;=$G98,Q$5+6&gt;=$F98),IF($H98="Complétée","F",IF(OR($H98="En cours",$H98="En revue"),"E",IF($H98="Bloquée","B","P"))),""))</f>
        <v/>
      </c>
      <c r="R98" s="53">
        <f>IF(OR($F98="",$G98=""),"",IF(AND(R$5&lt;=$G98,R$5+6&gt;=$F98),IF($H98="Complétée","F",IF(OR($H98="En cours",$H98="En revue"),"E",IF($H98="Bloquée","B","P"))),""))</f>
        <v/>
      </c>
      <c r="S98" s="53">
        <f>IF(OR($F98="",$G98=""),"",IF(AND(S$5&lt;=$G98,S$5+6&gt;=$F98),IF($H98="Complétée","F",IF(OR($H98="En cours",$H98="En revue"),"E",IF($H98="Bloquée","B","P"))),""))</f>
        <v/>
      </c>
      <c r="T98" s="53">
        <f>IF(OR($F98="",$G98=""),"",IF(AND(T$5&lt;=$G98,T$5+6&gt;=$F98),IF($H98="Complétée","F",IF(OR($H98="En cours",$H98="En revue"),"E",IF($H98="Bloquée","B","P"))),""))</f>
        <v/>
      </c>
      <c r="U98" s="53">
        <f>IF(OR($F98="",$G98=""),"",IF(AND(U$5&lt;=$G98,U$5+6&gt;=$F98),IF($H98="Complétée","F",IF(OR($H98="En cours",$H98="En revue"),"E",IF($H98="Bloquée","B","P"))),""))</f>
        <v/>
      </c>
      <c r="V98" s="53">
        <f>IF(OR($F98="",$G98=""),"",IF(AND(V$5&lt;=$G98,V$5+6&gt;=$F98),IF($H98="Complétée","F",IF(OR($H98="En cours",$H98="En revue"),"E",IF($H98="Bloquée","B","P"))),""))</f>
        <v/>
      </c>
      <c r="W98" s="53">
        <f>IF(OR($F98="",$G98=""),"",IF(AND(W$5&lt;=$G98,W$5+6&gt;=$F98),IF($H98="Complétée","F",IF(OR($H98="En cours",$H98="En revue"),"E",IF($H98="Bloquée","B","P"))),""))</f>
        <v/>
      </c>
      <c r="X98" s="53">
        <f>IF(OR($F98="",$G98=""),"",IF(AND(X$5&lt;=$G98,X$5+6&gt;=$F98),IF($H98="Complétée","F",IF(OR($H98="En cours",$H98="En revue"),"E",IF($H98="Bloquée","B","P"))),""))</f>
        <v/>
      </c>
      <c r="Y98" s="53">
        <f>IF(OR($F98="",$G98=""),"",IF(AND(Y$5&lt;=$G98,Y$5+6&gt;=$F98),IF($H98="Complétée","F",IF(OR($H98="En cours",$H98="En revue"),"E",IF($H98="Bloquée","B","P"))),""))</f>
        <v/>
      </c>
      <c r="Z98" s="53">
        <f>IF(OR($F98="",$G98=""),"",IF(AND(Z$5&lt;=$G98,Z$5+6&gt;=$F98),IF($H98="Complétée","F",IF(OR($H98="En cours",$H98="En revue"),"E",IF($H98="Bloquée","B","P"))),""))</f>
        <v/>
      </c>
      <c r="AA98" s="53">
        <f>IF(OR($F98="",$G98=""),"",IF(AND(AA$5&lt;=$G98,AA$5+6&gt;=$F98),IF($H98="Complétée","F",IF(OR($H98="En cours",$H98="En revue"),"E",IF($H98="Bloquée","B","P"))),""))</f>
        <v/>
      </c>
      <c r="AB98" s="53">
        <f>IF(OR($F98="",$G98=""),"",IF(AND(AB$5&lt;=$G98,AB$5+6&gt;=$F98),IF($H98="Complétée","F",IF(OR($H98="En cours",$H98="En revue"),"E",IF($H98="Bloquée","B","P"))),""))</f>
        <v/>
      </c>
      <c r="AC98" s="53">
        <f>IF(OR($F98="",$G98=""),"",IF(AND(AC$5&lt;=$G98,AC$5+6&gt;=$F98),IF($H98="Complétée","F",IF(OR($H98="En cours",$H98="En revue"),"E",IF($H98="Bloquée","B","P"))),""))</f>
        <v/>
      </c>
      <c r="AD98" s="53">
        <f>IF(OR($F98="",$G98=""),"",IF(AND(AD$5&lt;=$G98,AD$5+6&gt;=$F98),IF($H98="Complétée","F",IF(OR($H98="En cours",$H98="En revue"),"E",IF($H98="Bloquée","B","P"))),""))</f>
        <v/>
      </c>
      <c r="AE98" s="53">
        <f>IF(OR($F98="",$G98=""),"",IF(AND(AE$5&lt;=$G98,AE$5+6&gt;=$F98),IF($H98="Complétée","F",IF(OR($H98="En cours",$H98="En revue"),"E",IF($H98="Bloquée","B","P"))),""))</f>
        <v/>
      </c>
      <c r="AF98" s="53">
        <f>IF(OR($F98="",$G98=""),"",IF(AND(AF$5&lt;=$G98,AF$5+6&gt;=$F98),IF($H98="Complétée","F",IF(OR($H98="En cours",$H98="En revue"),"E",IF($H98="Bloquée","B","P"))),""))</f>
        <v/>
      </c>
      <c r="AG98" s="53">
        <f>IF(OR($F98="",$G98=""),"",IF(AND(AG$5&lt;=$G98,AG$5+6&gt;=$F98),IF($H98="Complétée","F",IF(OR($H98="En cours",$H98="En revue"),"E",IF($H98="Bloquée","B","P"))),""))</f>
        <v/>
      </c>
      <c r="AH98" s="53">
        <f>IF(OR($F98="",$G98=""),"",IF(AND(AH$5&lt;=$G98,AH$5+6&gt;=$F98),IF($H98="Complétée","F",IF(OR($H98="En cours",$H98="En revue"),"E",IF($H98="Bloquée","B","P"))),""))</f>
        <v/>
      </c>
      <c r="AI98" s="53">
        <f>IF(OR($F98="",$G98=""),"",IF(AND(AI$5&lt;=$G98,AI$5+6&gt;=$F98),IF($H98="Complétée","F",IF(OR($H98="En cours",$H98="En revue"),"E",IF($H98="Bloquée","B","P"))),""))</f>
        <v/>
      </c>
      <c r="AJ98" s="53">
        <f>IF(OR($F98="",$G98=""),"",IF(AND(AJ$5&lt;=$G98,AJ$5+6&gt;=$F98),IF($H98="Complétée","F",IF(OR($H98="En cours",$H98="En revue"),"E",IF($H98="Bloquée","B","P"))),""))</f>
        <v/>
      </c>
      <c r="AK98" s="53">
        <f>IF(OR($F98="",$G98=""),"",IF(AND(AK$5&lt;=$G98,AK$5+6&gt;=$F98),IF($H98="Complétée","F",IF(OR($H98="En cours",$H98="En revue"),"E",IF($H98="Bloquée","B","P"))),""))</f>
        <v/>
      </c>
      <c r="AL98" s="53">
        <f>IF(OR($F98="",$G98=""),"",IF(AND(AL$5&lt;=$G98,AL$5+6&gt;=$F98),IF($H98="Complétée","F",IF(OR($H98="En cours",$H98="En revue"),"E",IF($H98="Bloquée","B","P"))),""))</f>
        <v/>
      </c>
      <c r="AM98" s="53">
        <f>IF(OR($F98="",$G98=""),"",IF(AND(AM$5&lt;=$G98,AM$5+6&gt;=$F98),IF($H98="Complétée","F",IF(OR($H98="En cours",$H98="En revue"),"E",IF($H98="Bloquée","B","P"))),""))</f>
        <v/>
      </c>
      <c r="AN98" s="53">
        <f>IF(OR($F98="",$G98=""),"",IF(AND(AN$5&lt;=$G98,AN$5+6&gt;=$F98),IF($H98="Complétée","F",IF(OR($H98="En cours",$H98="En revue"),"E",IF($H98="Bloquée","B","P"))),""))</f>
        <v/>
      </c>
      <c r="AO98" s="53">
        <f>IF(OR($F98="",$G98=""),"",IF(AND(AO$5&lt;=$G98,AO$5+6&gt;=$F98),IF($H98="Complétée","F",IF(OR($H98="En cours",$H98="En revue"),"E",IF($H98="Bloquée","B","P"))),""))</f>
        <v/>
      </c>
      <c r="AP98" s="53">
        <f>IF(OR($F98="",$G98=""),"",IF(AND(AP$5&lt;=$G98,AP$5+6&gt;=$F98),IF($H98="Complétée","F",IF(OR($H98="En cours",$H98="En revue"),"E",IF($H98="Bloquée","B","P"))),""))</f>
        <v/>
      </c>
      <c r="AQ98" s="53">
        <f>IF(OR($F98="",$G98=""),"",IF(AND(AQ$5&lt;=$G98,AQ$5+6&gt;=$F98),IF($H98="Complétée","F",IF(OR($H98="En cours",$H98="En revue"),"E",IF($H98="Bloquée","B","P"))),""))</f>
        <v/>
      </c>
      <c r="AR98" s="53">
        <f>IF(OR($F98="",$G98=""),"",IF(AND(AR$5&lt;=$G98,AR$5+6&gt;=$F98),IF($H98="Complétée","F",IF(OR($H98="En cours",$H98="En revue"),"E",IF($H98="Bloquée","B","P"))),""))</f>
        <v/>
      </c>
      <c r="AS98" s="53">
        <f>IF(OR($F98="",$G98=""),"",IF(AND(AS$5&lt;=$G98,AS$5+6&gt;=$F98),IF($H98="Complétée","F",IF(OR($H98="En cours",$H98="En revue"),"E",IF($H98="Bloquée","B","P"))),""))</f>
        <v/>
      </c>
      <c r="AT98" s="53">
        <f>IF(OR($F98="",$G98=""),"",IF(AND(AT$5&lt;=$G98,AT$5+6&gt;=$F98),IF($H98="Complétée","F",IF(OR($H98="En cours",$H98="En revue"),"E",IF($H98="Bloquée","B","P"))),""))</f>
        <v/>
      </c>
      <c r="AU98" s="53">
        <f>IF(OR($F98="",$G98=""),"",IF(AND(AU$5&lt;=$G98,AU$5+6&gt;=$F98),IF($H98="Complétée","F",IF(OR($H98="En cours",$H98="En revue"),"E",IF($H98="Bloquée","B","P"))),""))</f>
        <v/>
      </c>
      <c r="AV98" s="53">
        <f>IF(OR($F98="",$G98=""),"",IF(AND(AV$5&lt;=$G98,AV$5+6&gt;=$F98),IF($H98="Complétée","F",IF(OR($H98="En cours",$H98="En revue"),"E",IF($H98="Bloquée","B","P"))),""))</f>
        <v/>
      </c>
      <c r="AW98" s="53">
        <f>IF(OR($F98="",$G98=""),"",IF(AND(AW$5&lt;=$G98,AW$5+6&gt;=$F98),IF($H98="Complétée","F",IF(OR($H98="En cours",$H98="En revue"),"E",IF($H98="Bloquée","B","P"))),""))</f>
        <v/>
      </c>
    </row>
    <row r="99">
      <c r="B99" s="50">
        <f>IF(Taches!B99="","",Taches!B99)</f>
        <v/>
      </c>
      <c r="C99" s="51">
        <f>IF(Taches!B99="","",Taches!F99)</f>
        <v/>
      </c>
      <c r="D99" s="50">
        <f>IF(Taches!B99="","",Taches!C99)</f>
        <v/>
      </c>
      <c r="E99" s="50">
        <f>IF(Taches!B99="","",Taches!D99)</f>
        <v/>
      </c>
      <c r="F99" s="52">
        <f>IF(Taches!P99="","",Taches!P99)</f>
        <v/>
      </c>
      <c r="G99" s="52">
        <f>IF(Taches!Q99="","",Taches!Q99)</f>
        <v/>
      </c>
      <c r="H99" s="50">
        <f>IF(Taches!B99="","",Taches!J99)</f>
        <v/>
      </c>
      <c r="I99" s="53">
        <f>IF(OR($F99="",$G99=""),"",IF(AND(I$5&lt;=$G99,I$5+6&gt;=$F99),IF($H99="Complétée","F",IF(OR($H99="En cours",$H99="En revue"),"E",IF($H99="Bloquée","B","P"))),""))</f>
        <v/>
      </c>
      <c r="J99" s="53">
        <f>IF(OR($F99="",$G99=""),"",IF(AND(J$5&lt;=$G99,J$5+6&gt;=$F99),IF($H99="Complétée","F",IF(OR($H99="En cours",$H99="En revue"),"E",IF($H99="Bloquée","B","P"))),""))</f>
        <v/>
      </c>
      <c r="K99" s="53">
        <f>IF(OR($F99="",$G99=""),"",IF(AND(K$5&lt;=$G99,K$5+6&gt;=$F99),IF($H99="Complétée","F",IF(OR($H99="En cours",$H99="En revue"),"E",IF($H99="Bloquée","B","P"))),""))</f>
        <v/>
      </c>
      <c r="L99" s="53">
        <f>IF(OR($F99="",$G99=""),"",IF(AND(L$5&lt;=$G99,L$5+6&gt;=$F99),IF($H99="Complétée","F",IF(OR($H99="En cours",$H99="En revue"),"E",IF($H99="Bloquée","B","P"))),""))</f>
        <v/>
      </c>
      <c r="M99" s="53">
        <f>IF(OR($F99="",$G99=""),"",IF(AND(M$5&lt;=$G99,M$5+6&gt;=$F99),IF($H99="Complétée","F",IF(OR($H99="En cours",$H99="En revue"),"E",IF($H99="Bloquée","B","P"))),""))</f>
        <v/>
      </c>
      <c r="N99" s="53">
        <f>IF(OR($F99="",$G99=""),"",IF(AND(N$5&lt;=$G99,N$5+6&gt;=$F99),IF($H99="Complétée","F",IF(OR($H99="En cours",$H99="En revue"),"E",IF($H99="Bloquée","B","P"))),""))</f>
        <v/>
      </c>
      <c r="O99" s="53">
        <f>IF(OR($F99="",$G99=""),"",IF(AND(O$5&lt;=$G99,O$5+6&gt;=$F99),IF($H99="Complétée","F",IF(OR($H99="En cours",$H99="En revue"),"E",IF($H99="Bloquée","B","P"))),""))</f>
        <v/>
      </c>
      <c r="P99" s="53">
        <f>IF(OR($F99="",$G99=""),"",IF(AND(P$5&lt;=$G99,P$5+6&gt;=$F99),IF($H99="Complétée","F",IF(OR($H99="En cours",$H99="En revue"),"E",IF($H99="Bloquée","B","P"))),""))</f>
        <v/>
      </c>
      <c r="Q99" s="53">
        <f>IF(OR($F99="",$G99=""),"",IF(AND(Q$5&lt;=$G99,Q$5+6&gt;=$F99),IF($H99="Complétée","F",IF(OR($H99="En cours",$H99="En revue"),"E",IF($H99="Bloquée","B","P"))),""))</f>
        <v/>
      </c>
      <c r="R99" s="53">
        <f>IF(OR($F99="",$G99=""),"",IF(AND(R$5&lt;=$G99,R$5+6&gt;=$F99),IF($H99="Complétée","F",IF(OR($H99="En cours",$H99="En revue"),"E",IF($H99="Bloquée","B","P"))),""))</f>
        <v/>
      </c>
      <c r="S99" s="53">
        <f>IF(OR($F99="",$G99=""),"",IF(AND(S$5&lt;=$G99,S$5+6&gt;=$F99),IF($H99="Complétée","F",IF(OR($H99="En cours",$H99="En revue"),"E",IF($H99="Bloquée","B","P"))),""))</f>
        <v/>
      </c>
      <c r="T99" s="53">
        <f>IF(OR($F99="",$G99=""),"",IF(AND(T$5&lt;=$G99,T$5+6&gt;=$F99),IF($H99="Complétée","F",IF(OR($H99="En cours",$H99="En revue"),"E",IF($H99="Bloquée","B","P"))),""))</f>
        <v/>
      </c>
      <c r="U99" s="53">
        <f>IF(OR($F99="",$G99=""),"",IF(AND(U$5&lt;=$G99,U$5+6&gt;=$F99),IF($H99="Complétée","F",IF(OR($H99="En cours",$H99="En revue"),"E",IF($H99="Bloquée","B","P"))),""))</f>
        <v/>
      </c>
      <c r="V99" s="53">
        <f>IF(OR($F99="",$G99=""),"",IF(AND(V$5&lt;=$G99,V$5+6&gt;=$F99),IF($H99="Complétée","F",IF(OR($H99="En cours",$H99="En revue"),"E",IF($H99="Bloquée","B","P"))),""))</f>
        <v/>
      </c>
      <c r="W99" s="53">
        <f>IF(OR($F99="",$G99=""),"",IF(AND(W$5&lt;=$G99,W$5+6&gt;=$F99),IF($H99="Complétée","F",IF(OR($H99="En cours",$H99="En revue"),"E",IF($H99="Bloquée","B","P"))),""))</f>
        <v/>
      </c>
      <c r="X99" s="53">
        <f>IF(OR($F99="",$G99=""),"",IF(AND(X$5&lt;=$G99,X$5+6&gt;=$F99),IF($H99="Complétée","F",IF(OR($H99="En cours",$H99="En revue"),"E",IF($H99="Bloquée","B","P"))),""))</f>
        <v/>
      </c>
      <c r="Y99" s="53">
        <f>IF(OR($F99="",$G99=""),"",IF(AND(Y$5&lt;=$G99,Y$5+6&gt;=$F99),IF($H99="Complétée","F",IF(OR($H99="En cours",$H99="En revue"),"E",IF($H99="Bloquée","B","P"))),""))</f>
        <v/>
      </c>
      <c r="Z99" s="53">
        <f>IF(OR($F99="",$G99=""),"",IF(AND(Z$5&lt;=$G99,Z$5+6&gt;=$F99),IF($H99="Complétée","F",IF(OR($H99="En cours",$H99="En revue"),"E",IF($H99="Bloquée","B","P"))),""))</f>
        <v/>
      </c>
      <c r="AA99" s="53">
        <f>IF(OR($F99="",$G99=""),"",IF(AND(AA$5&lt;=$G99,AA$5+6&gt;=$F99),IF($H99="Complétée","F",IF(OR($H99="En cours",$H99="En revue"),"E",IF($H99="Bloquée","B","P"))),""))</f>
        <v/>
      </c>
      <c r="AB99" s="53">
        <f>IF(OR($F99="",$G99=""),"",IF(AND(AB$5&lt;=$G99,AB$5+6&gt;=$F99),IF($H99="Complétée","F",IF(OR($H99="En cours",$H99="En revue"),"E",IF($H99="Bloquée","B","P"))),""))</f>
        <v/>
      </c>
      <c r="AC99" s="53">
        <f>IF(OR($F99="",$G99=""),"",IF(AND(AC$5&lt;=$G99,AC$5+6&gt;=$F99),IF($H99="Complétée","F",IF(OR($H99="En cours",$H99="En revue"),"E",IF($H99="Bloquée","B","P"))),""))</f>
        <v/>
      </c>
      <c r="AD99" s="53">
        <f>IF(OR($F99="",$G99=""),"",IF(AND(AD$5&lt;=$G99,AD$5+6&gt;=$F99),IF($H99="Complétée","F",IF(OR($H99="En cours",$H99="En revue"),"E",IF($H99="Bloquée","B","P"))),""))</f>
        <v/>
      </c>
      <c r="AE99" s="53">
        <f>IF(OR($F99="",$G99=""),"",IF(AND(AE$5&lt;=$G99,AE$5+6&gt;=$F99),IF($H99="Complétée","F",IF(OR($H99="En cours",$H99="En revue"),"E",IF($H99="Bloquée","B","P"))),""))</f>
        <v/>
      </c>
      <c r="AF99" s="53">
        <f>IF(OR($F99="",$G99=""),"",IF(AND(AF$5&lt;=$G99,AF$5+6&gt;=$F99),IF($H99="Complétée","F",IF(OR($H99="En cours",$H99="En revue"),"E",IF($H99="Bloquée","B","P"))),""))</f>
        <v/>
      </c>
      <c r="AG99" s="53">
        <f>IF(OR($F99="",$G99=""),"",IF(AND(AG$5&lt;=$G99,AG$5+6&gt;=$F99),IF($H99="Complétée","F",IF(OR($H99="En cours",$H99="En revue"),"E",IF($H99="Bloquée","B","P"))),""))</f>
        <v/>
      </c>
      <c r="AH99" s="53">
        <f>IF(OR($F99="",$G99=""),"",IF(AND(AH$5&lt;=$G99,AH$5+6&gt;=$F99),IF($H99="Complétée","F",IF(OR($H99="En cours",$H99="En revue"),"E",IF($H99="Bloquée","B","P"))),""))</f>
        <v/>
      </c>
      <c r="AI99" s="53">
        <f>IF(OR($F99="",$G99=""),"",IF(AND(AI$5&lt;=$G99,AI$5+6&gt;=$F99),IF($H99="Complétée","F",IF(OR($H99="En cours",$H99="En revue"),"E",IF($H99="Bloquée","B","P"))),""))</f>
        <v/>
      </c>
      <c r="AJ99" s="53">
        <f>IF(OR($F99="",$G99=""),"",IF(AND(AJ$5&lt;=$G99,AJ$5+6&gt;=$F99),IF($H99="Complétée","F",IF(OR($H99="En cours",$H99="En revue"),"E",IF($H99="Bloquée","B","P"))),""))</f>
        <v/>
      </c>
      <c r="AK99" s="53">
        <f>IF(OR($F99="",$G99=""),"",IF(AND(AK$5&lt;=$G99,AK$5+6&gt;=$F99),IF($H99="Complétée","F",IF(OR($H99="En cours",$H99="En revue"),"E",IF($H99="Bloquée","B","P"))),""))</f>
        <v/>
      </c>
      <c r="AL99" s="53">
        <f>IF(OR($F99="",$G99=""),"",IF(AND(AL$5&lt;=$G99,AL$5+6&gt;=$F99),IF($H99="Complétée","F",IF(OR($H99="En cours",$H99="En revue"),"E",IF($H99="Bloquée","B","P"))),""))</f>
        <v/>
      </c>
      <c r="AM99" s="53">
        <f>IF(OR($F99="",$G99=""),"",IF(AND(AM$5&lt;=$G99,AM$5+6&gt;=$F99),IF($H99="Complétée","F",IF(OR($H99="En cours",$H99="En revue"),"E",IF($H99="Bloquée","B","P"))),""))</f>
        <v/>
      </c>
      <c r="AN99" s="53">
        <f>IF(OR($F99="",$G99=""),"",IF(AND(AN$5&lt;=$G99,AN$5+6&gt;=$F99),IF($H99="Complétée","F",IF(OR($H99="En cours",$H99="En revue"),"E",IF($H99="Bloquée","B","P"))),""))</f>
        <v/>
      </c>
      <c r="AO99" s="53">
        <f>IF(OR($F99="",$G99=""),"",IF(AND(AO$5&lt;=$G99,AO$5+6&gt;=$F99),IF($H99="Complétée","F",IF(OR($H99="En cours",$H99="En revue"),"E",IF($H99="Bloquée","B","P"))),""))</f>
        <v/>
      </c>
      <c r="AP99" s="53">
        <f>IF(OR($F99="",$G99=""),"",IF(AND(AP$5&lt;=$G99,AP$5+6&gt;=$F99),IF($H99="Complétée","F",IF(OR($H99="En cours",$H99="En revue"),"E",IF($H99="Bloquée","B","P"))),""))</f>
        <v/>
      </c>
      <c r="AQ99" s="53">
        <f>IF(OR($F99="",$G99=""),"",IF(AND(AQ$5&lt;=$G99,AQ$5+6&gt;=$F99),IF($H99="Complétée","F",IF(OR($H99="En cours",$H99="En revue"),"E",IF($H99="Bloquée","B","P"))),""))</f>
        <v/>
      </c>
      <c r="AR99" s="53">
        <f>IF(OR($F99="",$G99=""),"",IF(AND(AR$5&lt;=$G99,AR$5+6&gt;=$F99),IF($H99="Complétée","F",IF(OR($H99="En cours",$H99="En revue"),"E",IF($H99="Bloquée","B","P"))),""))</f>
        <v/>
      </c>
      <c r="AS99" s="53">
        <f>IF(OR($F99="",$G99=""),"",IF(AND(AS$5&lt;=$G99,AS$5+6&gt;=$F99),IF($H99="Complétée","F",IF(OR($H99="En cours",$H99="En revue"),"E",IF($H99="Bloquée","B","P"))),""))</f>
        <v/>
      </c>
      <c r="AT99" s="53">
        <f>IF(OR($F99="",$G99=""),"",IF(AND(AT$5&lt;=$G99,AT$5+6&gt;=$F99),IF($H99="Complétée","F",IF(OR($H99="En cours",$H99="En revue"),"E",IF($H99="Bloquée","B","P"))),""))</f>
        <v/>
      </c>
      <c r="AU99" s="53">
        <f>IF(OR($F99="",$G99=""),"",IF(AND(AU$5&lt;=$G99,AU$5+6&gt;=$F99),IF($H99="Complétée","F",IF(OR($H99="En cours",$H99="En revue"),"E",IF($H99="Bloquée","B","P"))),""))</f>
        <v/>
      </c>
      <c r="AV99" s="53">
        <f>IF(OR($F99="",$G99=""),"",IF(AND(AV$5&lt;=$G99,AV$5+6&gt;=$F99),IF($H99="Complétée","F",IF(OR($H99="En cours",$H99="En revue"),"E",IF($H99="Bloquée","B","P"))),""))</f>
        <v/>
      </c>
      <c r="AW99" s="53">
        <f>IF(OR($F99="",$G99=""),"",IF(AND(AW$5&lt;=$G99,AW$5+6&gt;=$F99),IF($H99="Complétée","F",IF(OR($H99="En cours",$H99="En revue"),"E",IF($H99="Bloquée","B","P"))),""))</f>
        <v/>
      </c>
    </row>
    <row r="100">
      <c r="B100" s="50">
        <f>IF(Taches!B100="","",Taches!B100)</f>
        <v/>
      </c>
      <c r="C100" s="51">
        <f>IF(Taches!B100="","",Taches!F100)</f>
        <v/>
      </c>
      <c r="D100" s="50">
        <f>IF(Taches!B100="","",Taches!C100)</f>
        <v/>
      </c>
      <c r="E100" s="50">
        <f>IF(Taches!B100="","",Taches!D100)</f>
        <v/>
      </c>
      <c r="F100" s="52">
        <f>IF(Taches!P100="","",Taches!P100)</f>
        <v/>
      </c>
      <c r="G100" s="52">
        <f>IF(Taches!Q100="","",Taches!Q100)</f>
        <v/>
      </c>
      <c r="H100" s="50">
        <f>IF(Taches!B100="","",Taches!J100)</f>
        <v/>
      </c>
      <c r="I100" s="53">
        <f>IF(OR($F100="",$G100=""),"",IF(AND(I$5&lt;=$G100,I$5+6&gt;=$F100),IF($H100="Complétée","F",IF(OR($H100="En cours",$H100="En revue"),"E",IF($H100="Bloquée","B","P"))),""))</f>
        <v/>
      </c>
      <c r="J100" s="53">
        <f>IF(OR($F100="",$G100=""),"",IF(AND(J$5&lt;=$G100,J$5+6&gt;=$F100),IF($H100="Complétée","F",IF(OR($H100="En cours",$H100="En revue"),"E",IF($H100="Bloquée","B","P"))),""))</f>
        <v/>
      </c>
      <c r="K100" s="53">
        <f>IF(OR($F100="",$G100=""),"",IF(AND(K$5&lt;=$G100,K$5+6&gt;=$F100),IF($H100="Complétée","F",IF(OR($H100="En cours",$H100="En revue"),"E",IF($H100="Bloquée","B","P"))),""))</f>
        <v/>
      </c>
      <c r="L100" s="53">
        <f>IF(OR($F100="",$G100=""),"",IF(AND(L$5&lt;=$G100,L$5+6&gt;=$F100),IF($H100="Complétée","F",IF(OR($H100="En cours",$H100="En revue"),"E",IF($H100="Bloquée","B","P"))),""))</f>
        <v/>
      </c>
      <c r="M100" s="53">
        <f>IF(OR($F100="",$G100=""),"",IF(AND(M$5&lt;=$G100,M$5+6&gt;=$F100),IF($H100="Complétée","F",IF(OR($H100="En cours",$H100="En revue"),"E",IF($H100="Bloquée","B","P"))),""))</f>
        <v/>
      </c>
      <c r="N100" s="53">
        <f>IF(OR($F100="",$G100=""),"",IF(AND(N$5&lt;=$G100,N$5+6&gt;=$F100),IF($H100="Complétée","F",IF(OR($H100="En cours",$H100="En revue"),"E",IF($H100="Bloquée","B","P"))),""))</f>
        <v/>
      </c>
      <c r="O100" s="53">
        <f>IF(OR($F100="",$G100=""),"",IF(AND(O$5&lt;=$G100,O$5+6&gt;=$F100),IF($H100="Complétée","F",IF(OR($H100="En cours",$H100="En revue"),"E",IF($H100="Bloquée","B","P"))),""))</f>
        <v/>
      </c>
      <c r="P100" s="53">
        <f>IF(OR($F100="",$G100=""),"",IF(AND(P$5&lt;=$G100,P$5+6&gt;=$F100),IF($H100="Complétée","F",IF(OR($H100="En cours",$H100="En revue"),"E",IF($H100="Bloquée","B","P"))),""))</f>
        <v/>
      </c>
      <c r="Q100" s="53">
        <f>IF(OR($F100="",$G100=""),"",IF(AND(Q$5&lt;=$G100,Q$5+6&gt;=$F100),IF($H100="Complétée","F",IF(OR($H100="En cours",$H100="En revue"),"E",IF($H100="Bloquée","B","P"))),""))</f>
        <v/>
      </c>
      <c r="R100" s="53">
        <f>IF(OR($F100="",$G100=""),"",IF(AND(R$5&lt;=$G100,R$5+6&gt;=$F100),IF($H100="Complétée","F",IF(OR($H100="En cours",$H100="En revue"),"E",IF($H100="Bloquée","B","P"))),""))</f>
        <v/>
      </c>
      <c r="S100" s="53">
        <f>IF(OR($F100="",$G100=""),"",IF(AND(S$5&lt;=$G100,S$5+6&gt;=$F100),IF($H100="Complétée","F",IF(OR($H100="En cours",$H100="En revue"),"E",IF($H100="Bloquée","B","P"))),""))</f>
        <v/>
      </c>
      <c r="T100" s="53">
        <f>IF(OR($F100="",$G100=""),"",IF(AND(T$5&lt;=$G100,T$5+6&gt;=$F100),IF($H100="Complétée","F",IF(OR($H100="En cours",$H100="En revue"),"E",IF($H100="Bloquée","B","P"))),""))</f>
        <v/>
      </c>
      <c r="U100" s="53">
        <f>IF(OR($F100="",$G100=""),"",IF(AND(U$5&lt;=$G100,U$5+6&gt;=$F100),IF($H100="Complétée","F",IF(OR($H100="En cours",$H100="En revue"),"E",IF($H100="Bloquée","B","P"))),""))</f>
        <v/>
      </c>
      <c r="V100" s="53">
        <f>IF(OR($F100="",$G100=""),"",IF(AND(V$5&lt;=$G100,V$5+6&gt;=$F100),IF($H100="Complétée","F",IF(OR($H100="En cours",$H100="En revue"),"E",IF($H100="Bloquée","B","P"))),""))</f>
        <v/>
      </c>
      <c r="W100" s="53">
        <f>IF(OR($F100="",$G100=""),"",IF(AND(W$5&lt;=$G100,W$5+6&gt;=$F100),IF($H100="Complétée","F",IF(OR($H100="En cours",$H100="En revue"),"E",IF($H100="Bloquée","B","P"))),""))</f>
        <v/>
      </c>
      <c r="X100" s="53">
        <f>IF(OR($F100="",$G100=""),"",IF(AND(X$5&lt;=$G100,X$5+6&gt;=$F100),IF($H100="Complétée","F",IF(OR($H100="En cours",$H100="En revue"),"E",IF($H100="Bloquée","B","P"))),""))</f>
        <v/>
      </c>
      <c r="Y100" s="53">
        <f>IF(OR($F100="",$G100=""),"",IF(AND(Y$5&lt;=$G100,Y$5+6&gt;=$F100),IF($H100="Complétée","F",IF(OR($H100="En cours",$H100="En revue"),"E",IF($H100="Bloquée","B","P"))),""))</f>
        <v/>
      </c>
      <c r="Z100" s="53">
        <f>IF(OR($F100="",$G100=""),"",IF(AND(Z$5&lt;=$G100,Z$5+6&gt;=$F100),IF($H100="Complétée","F",IF(OR($H100="En cours",$H100="En revue"),"E",IF($H100="Bloquée","B","P"))),""))</f>
        <v/>
      </c>
      <c r="AA100" s="53">
        <f>IF(OR($F100="",$G100=""),"",IF(AND(AA$5&lt;=$G100,AA$5+6&gt;=$F100),IF($H100="Complétée","F",IF(OR($H100="En cours",$H100="En revue"),"E",IF($H100="Bloquée","B","P"))),""))</f>
        <v/>
      </c>
      <c r="AB100" s="53">
        <f>IF(OR($F100="",$G100=""),"",IF(AND(AB$5&lt;=$G100,AB$5+6&gt;=$F100),IF($H100="Complétée","F",IF(OR($H100="En cours",$H100="En revue"),"E",IF($H100="Bloquée","B","P"))),""))</f>
        <v/>
      </c>
      <c r="AC100" s="53">
        <f>IF(OR($F100="",$G100=""),"",IF(AND(AC$5&lt;=$G100,AC$5+6&gt;=$F100),IF($H100="Complétée","F",IF(OR($H100="En cours",$H100="En revue"),"E",IF($H100="Bloquée","B","P"))),""))</f>
        <v/>
      </c>
      <c r="AD100" s="53">
        <f>IF(OR($F100="",$G100=""),"",IF(AND(AD$5&lt;=$G100,AD$5+6&gt;=$F100),IF($H100="Complétée","F",IF(OR($H100="En cours",$H100="En revue"),"E",IF($H100="Bloquée","B","P"))),""))</f>
        <v/>
      </c>
      <c r="AE100" s="53">
        <f>IF(OR($F100="",$G100=""),"",IF(AND(AE$5&lt;=$G100,AE$5+6&gt;=$F100),IF($H100="Complétée","F",IF(OR($H100="En cours",$H100="En revue"),"E",IF($H100="Bloquée","B","P"))),""))</f>
        <v/>
      </c>
      <c r="AF100" s="53">
        <f>IF(OR($F100="",$G100=""),"",IF(AND(AF$5&lt;=$G100,AF$5+6&gt;=$F100),IF($H100="Complétée","F",IF(OR($H100="En cours",$H100="En revue"),"E",IF($H100="Bloquée","B","P"))),""))</f>
        <v/>
      </c>
      <c r="AG100" s="53">
        <f>IF(OR($F100="",$G100=""),"",IF(AND(AG$5&lt;=$G100,AG$5+6&gt;=$F100),IF($H100="Complétée","F",IF(OR($H100="En cours",$H100="En revue"),"E",IF($H100="Bloquée","B","P"))),""))</f>
        <v/>
      </c>
      <c r="AH100" s="53">
        <f>IF(OR($F100="",$G100=""),"",IF(AND(AH$5&lt;=$G100,AH$5+6&gt;=$F100),IF($H100="Complétée","F",IF(OR($H100="En cours",$H100="En revue"),"E",IF($H100="Bloquée","B","P"))),""))</f>
        <v/>
      </c>
      <c r="AI100" s="53">
        <f>IF(OR($F100="",$G100=""),"",IF(AND(AI$5&lt;=$G100,AI$5+6&gt;=$F100),IF($H100="Complétée","F",IF(OR($H100="En cours",$H100="En revue"),"E",IF($H100="Bloquée","B","P"))),""))</f>
        <v/>
      </c>
      <c r="AJ100" s="53">
        <f>IF(OR($F100="",$G100=""),"",IF(AND(AJ$5&lt;=$G100,AJ$5+6&gt;=$F100),IF($H100="Complétée","F",IF(OR($H100="En cours",$H100="En revue"),"E",IF($H100="Bloquée","B","P"))),""))</f>
        <v/>
      </c>
      <c r="AK100" s="53">
        <f>IF(OR($F100="",$G100=""),"",IF(AND(AK$5&lt;=$G100,AK$5+6&gt;=$F100),IF($H100="Complétée","F",IF(OR($H100="En cours",$H100="En revue"),"E",IF($H100="Bloquée","B","P"))),""))</f>
        <v/>
      </c>
      <c r="AL100" s="53">
        <f>IF(OR($F100="",$G100=""),"",IF(AND(AL$5&lt;=$G100,AL$5+6&gt;=$F100),IF($H100="Complétée","F",IF(OR($H100="En cours",$H100="En revue"),"E",IF($H100="Bloquée","B","P"))),""))</f>
        <v/>
      </c>
      <c r="AM100" s="53">
        <f>IF(OR($F100="",$G100=""),"",IF(AND(AM$5&lt;=$G100,AM$5+6&gt;=$F100),IF($H100="Complétée","F",IF(OR($H100="En cours",$H100="En revue"),"E",IF($H100="Bloquée","B","P"))),""))</f>
        <v/>
      </c>
      <c r="AN100" s="53">
        <f>IF(OR($F100="",$G100=""),"",IF(AND(AN$5&lt;=$G100,AN$5+6&gt;=$F100),IF($H100="Complétée","F",IF(OR($H100="En cours",$H100="En revue"),"E",IF($H100="Bloquée","B","P"))),""))</f>
        <v/>
      </c>
      <c r="AO100" s="53">
        <f>IF(OR($F100="",$G100=""),"",IF(AND(AO$5&lt;=$G100,AO$5+6&gt;=$F100),IF($H100="Complétée","F",IF(OR($H100="En cours",$H100="En revue"),"E",IF($H100="Bloquée","B","P"))),""))</f>
        <v/>
      </c>
      <c r="AP100" s="53">
        <f>IF(OR($F100="",$G100=""),"",IF(AND(AP$5&lt;=$G100,AP$5+6&gt;=$F100),IF($H100="Complétée","F",IF(OR($H100="En cours",$H100="En revue"),"E",IF($H100="Bloquée","B","P"))),""))</f>
        <v/>
      </c>
      <c r="AQ100" s="53">
        <f>IF(OR($F100="",$G100=""),"",IF(AND(AQ$5&lt;=$G100,AQ$5+6&gt;=$F100),IF($H100="Complétée","F",IF(OR($H100="En cours",$H100="En revue"),"E",IF($H100="Bloquée","B","P"))),""))</f>
        <v/>
      </c>
      <c r="AR100" s="53">
        <f>IF(OR($F100="",$G100=""),"",IF(AND(AR$5&lt;=$G100,AR$5+6&gt;=$F100),IF($H100="Complétée","F",IF(OR($H100="En cours",$H100="En revue"),"E",IF($H100="Bloquée","B","P"))),""))</f>
        <v/>
      </c>
      <c r="AS100" s="53">
        <f>IF(OR($F100="",$G100=""),"",IF(AND(AS$5&lt;=$G100,AS$5+6&gt;=$F100),IF($H100="Complétée","F",IF(OR($H100="En cours",$H100="En revue"),"E",IF($H100="Bloquée","B","P"))),""))</f>
        <v/>
      </c>
      <c r="AT100" s="53">
        <f>IF(OR($F100="",$G100=""),"",IF(AND(AT$5&lt;=$G100,AT$5+6&gt;=$F100),IF($H100="Complétée","F",IF(OR($H100="En cours",$H100="En revue"),"E",IF($H100="Bloquée","B","P"))),""))</f>
        <v/>
      </c>
      <c r="AU100" s="53">
        <f>IF(OR($F100="",$G100=""),"",IF(AND(AU$5&lt;=$G100,AU$5+6&gt;=$F100),IF($H100="Complétée","F",IF(OR($H100="En cours",$H100="En revue"),"E",IF($H100="Bloquée","B","P"))),""))</f>
        <v/>
      </c>
      <c r="AV100" s="53">
        <f>IF(OR($F100="",$G100=""),"",IF(AND(AV$5&lt;=$G100,AV$5+6&gt;=$F100),IF($H100="Complétée","F",IF(OR($H100="En cours",$H100="En revue"),"E",IF($H100="Bloquée","B","P"))),""))</f>
        <v/>
      </c>
      <c r="AW100" s="53">
        <f>IF(OR($F100="",$G100=""),"",IF(AND(AW$5&lt;=$G100,AW$5+6&gt;=$F100),IF($H100="Complétée","F",IF(OR($H100="En cours",$H100="En revue"),"E",IF($H100="Bloquée","B","P"))),""))</f>
        <v/>
      </c>
    </row>
    <row r="101">
      <c r="B101" s="50">
        <f>IF(Taches!B101="","",Taches!B101)</f>
        <v/>
      </c>
      <c r="C101" s="51">
        <f>IF(Taches!B101="","",Taches!F101)</f>
        <v/>
      </c>
      <c r="D101" s="50">
        <f>IF(Taches!B101="","",Taches!C101)</f>
        <v/>
      </c>
      <c r="E101" s="50">
        <f>IF(Taches!B101="","",Taches!D101)</f>
        <v/>
      </c>
      <c r="F101" s="52">
        <f>IF(Taches!P101="","",Taches!P101)</f>
        <v/>
      </c>
      <c r="G101" s="52">
        <f>IF(Taches!Q101="","",Taches!Q101)</f>
        <v/>
      </c>
      <c r="H101" s="50">
        <f>IF(Taches!B101="","",Taches!J101)</f>
        <v/>
      </c>
      <c r="I101" s="53">
        <f>IF(OR($F101="",$G101=""),"",IF(AND(I$5&lt;=$G101,I$5+6&gt;=$F101),IF($H101="Complétée","F",IF(OR($H101="En cours",$H101="En revue"),"E",IF($H101="Bloquée","B","P"))),""))</f>
        <v/>
      </c>
      <c r="J101" s="53">
        <f>IF(OR($F101="",$G101=""),"",IF(AND(J$5&lt;=$G101,J$5+6&gt;=$F101),IF($H101="Complétée","F",IF(OR($H101="En cours",$H101="En revue"),"E",IF($H101="Bloquée","B","P"))),""))</f>
        <v/>
      </c>
      <c r="K101" s="53">
        <f>IF(OR($F101="",$G101=""),"",IF(AND(K$5&lt;=$G101,K$5+6&gt;=$F101),IF($H101="Complétée","F",IF(OR($H101="En cours",$H101="En revue"),"E",IF($H101="Bloquée","B","P"))),""))</f>
        <v/>
      </c>
      <c r="L101" s="53">
        <f>IF(OR($F101="",$G101=""),"",IF(AND(L$5&lt;=$G101,L$5+6&gt;=$F101),IF($H101="Complétée","F",IF(OR($H101="En cours",$H101="En revue"),"E",IF($H101="Bloquée","B","P"))),""))</f>
        <v/>
      </c>
      <c r="M101" s="53">
        <f>IF(OR($F101="",$G101=""),"",IF(AND(M$5&lt;=$G101,M$5+6&gt;=$F101),IF($H101="Complétée","F",IF(OR($H101="En cours",$H101="En revue"),"E",IF($H101="Bloquée","B","P"))),""))</f>
        <v/>
      </c>
      <c r="N101" s="53">
        <f>IF(OR($F101="",$G101=""),"",IF(AND(N$5&lt;=$G101,N$5+6&gt;=$F101),IF($H101="Complétée","F",IF(OR($H101="En cours",$H101="En revue"),"E",IF($H101="Bloquée","B","P"))),""))</f>
        <v/>
      </c>
      <c r="O101" s="53">
        <f>IF(OR($F101="",$G101=""),"",IF(AND(O$5&lt;=$G101,O$5+6&gt;=$F101),IF($H101="Complétée","F",IF(OR($H101="En cours",$H101="En revue"),"E",IF($H101="Bloquée","B","P"))),""))</f>
        <v/>
      </c>
      <c r="P101" s="53">
        <f>IF(OR($F101="",$G101=""),"",IF(AND(P$5&lt;=$G101,P$5+6&gt;=$F101),IF($H101="Complétée","F",IF(OR($H101="En cours",$H101="En revue"),"E",IF($H101="Bloquée","B","P"))),""))</f>
        <v/>
      </c>
      <c r="Q101" s="53">
        <f>IF(OR($F101="",$G101=""),"",IF(AND(Q$5&lt;=$G101,Q$5+6&gt;=$F101),IF($H101="Complétée","F",IF(OR($H101="En cours",$H101="En revue"),"E",IF($H101="Bloquée","B","P"))),""))</f>
        <v/>
      </c>
      <c r="R101" s="53">
        <f>IF(OR($F101="",$G101=""),"",IF(AND(R$5&lt;=$G101,R$5+6&gt;=$F101),IF($H101="Complétée","F",IF(OR($H101="En cours",$H101="En revue"),"E",IF($H101="Bloquée","B","P"))),""))</f>
        <v/>
      </c>
      <c r="S101" s="53">
        <f>IF(OR($F101="",$G101=""),"",IF(AND(S$5&lt;=$G101,S$5+6&gt;=$F101),IF($H101="Complétée","F",IF(OR($H101="En cours",$H101="En revue"),"E",IF($H101="Bloquée","B","P"))),""))</f>
        <v/>
      </c>
      <c r="T101" s="53">
        <f>IF(OR($F101="",$G101=""),"",IF(AND(T$5&lt;=$G101,T$5+6&gt;=$F101),IF($H101="Complétée","F",IF(OR($H101="En cours",$H101="En revue"),"E",IF($H101="Bloquée","B","P"))),""))</f>
        <v/>
      </c>
      <c r="U101" s="53">
        <f>IF(OR($F101="",$G101=""),"",IF(AND(U$5&lt;=$G101,U$5+6&gt;=$F101),IF($H101="Complétée","F",IF(OR($H101="En cours",$H101="En revue"),"E",IF($H101="Bloquée","B","P"))),""))</f>
        <v/>
      </c>
      <c r="V101" s="53">
        <f>IF(OR($F101="",$G101=""),"",IF(AND(V$5&lt;=$G101,V$5+6&gt;=$F101),IF($H101="Complétée","F",IF(OR($H101="En cours",$H101="En revue"),"E",IF($H101="Bloquée","B","P"))),""))</f>
        <v/>
      </c>
      <c r="W101" s="53">
        <f>IF(OR($F101="",$G101=""),"",IF(AND(W$5&lt;=$G101,W$5+6&gt;=$F101),IF($H101="Complétée","F",IF(OR($H101="En cours",$H101="En revue"),"E",IF($H101="Bloquée","B","P"))),""))</f>
        <v/>
      </c>
      <c r="X101" s="53">
        <f>IF(OR($F101="",$G101=""),"",IF(AND(X$5&lt;=$G101,X$5+6&gt;=$F101),IF($H101="Complétée","F",IF(OR($H101="En cours",$H101="En revue"),"E",IF($H101="Bloquée","B","P"))),""))</f>
        <v/>
      </c>
      <c r="Y101" s="53">
        <f>IF(OR($F101="",$G101=""),"",IF(AND(Y$5&lt;=$G101,Y$5+6&gt;=$F101),IF($H101="Complétée","F",IF(OR($H101="En cours",$H101="En revue"),"E",IF($H101="Bloquée","B","P"))),""))</f>
        <v/>
      </c>
      <c r="Z101" s="53">
        <f>IF(OR($F101="",$G101=""),"",IF(AND(Z$5&lt;=$G101,Z$5+6&gt;=$F101),IF($H101="Complétée","F",IF(OR($H101="En cours",$H101="En revue"),"E",IF($H101="Bloquée","B","P"))),""))</f>
        <v/>
      </c>
      <c r="AA101" s="53">
        <f>IF(OR($F101="",$G101=""),"",IF(AND(AA$5&lt;=$G101,AA$5+6&gt;=$F101),IF($H101="Complétée","F",IF(OR($H101="En cours",$H101="En revue"),"E",IF($H101="Bloquée","B","P"))),""))</f>
        <v/>
      </c>
      <c r="AB101" s="53">
        <f>IF(OR($F101="",$G101=""),"",IF(AND(AB$5&lt;=$G101,AB$5+6&gt;=$F101),IF($H101="Complétée","F",IF(OR($H101="En cours",$H101="En revue"),"E",IF($H101="Bloquée","B","P"))),""))</f>
        <v/>
      </c>
      <c r="AC101" s="53">
        <f>IF(OR($F101="",$G101=""),"",IF(AND(AC$5&lt;=$G101,AC$5+6&gt;=$F101),IF($H101="Complétée","F",IF(OR($H101="En cours",$H101="En revue"),"E",IF($H101="Bloquée","B","P"))),""))</f>
        <v/>
      </c>
      <c r="AD101" s="53">
        <f>IF(OR($F101="",$G101=""),"",IF(AND(AD$5&lt;=$G101,AD$5+6&gt;=$F101),IF($H101="Complétée","F",IF(OR($H101="En cours",$H101="En revue"),"E",IF($H101="Bloquée","B","P"))),""))</f>
        <v/>
      </c>
      <c r="AE101" s="53">
        <f>IF(OR($F101="",$G101=""),"",IF(AND(AE$5&lt;=$G101,AE$5+6&gt;=$F101),IF($H101="Complétée","F",IF(OR($H101="En cours",$H101="En revue"),"E",IF($H101="Bloquée","B","P"))),""))</f>
        <v/>
      </c>
      <c r="AF101" s="53">
        <f>IF(OR($F101="",$G101=""),"",IF(AND(AF$5&lt;=$G101,AF$5+6&gt;=$F101),IF($H101="Complétée","F",IF(OR($H101="En cours",$H101="En revue"),"E",IF($H101="Bloquée","B","P"))),""))</f>
        <v/>
      </c>
      <c r="AG101" s="53">
        <f>IF(OR($F101="",$G101=""),"",IF(AND(AG$5&lt;=$G101,AG$5+6&gt;=$F101),IF($H101="Complétée","F",IF(OR($H101="En cours",$H101="En revue"),"E",IF($H101="Bloquée","B","P"))),""))</f>
        <v/>
      </c>
      <c r="AH101" s="53">
        <f>IF(OR($F101="",$G101=""),"",IF(AND(AH$5&lt;=$G101,AH$5+6&gt;=$F101),IF($H101="Complétée","F",IF(OR($H101="En cours",$H101="En revue"),"E",IF($H101="Bloquée","B","P"))),""))</f>
        <v/>
      </c>
      <c r="AI101" s="53">
        <f>IF(OR($F101="",$G101=""),"",IF(AND(AI$5&lt;=$G101,AI$5+6&gt;=$F101),IF($H101="Complétée","F",IF(OR($H101="En cours",$H101="En revue"),"E",IF($H101="Bloquée","B","P"))),""))</f>
        <v/>
      </c>
      <c r="AJ101" s="53">
        <f>IF(OR($F101="",$G101=""),"",IF(AND(AJ$5&lt;=$G101,AJ$5+6&gt;=$F101),IF($H101="Complétée","F",IF(OR($H101="En cours",$H101="En revue"),"E",IF($H101="Bloquée","B","P"))),""))</f>
        <v/>
      </c>
      <c r="AK101" s="53">
        <f>IF(OR($F101="",$G101=""),"",IF(AND(AK$5&lt;=$G101,AK$5+6&gt;=$F101),IF($H101="Complétée","F",IF(OR($H101="En cours",$H101="En revue"),"E",IF($H101="Bloquée","B","P"))),""))</f>
        <v/>
      </c>
      <c r="AL101" s="53">
        <f>IF(OR($F101="",$G101=""),"",IF(AND(AL$5&lt;=$G101,AL$5+6&gt;=$F101),IF($H101="Complétée","F",IF(OR($H101="En cours",$H101="En revue"),"E",IF($H101="Bloquée","B","P"))),""))</f>
        <v/>
      </c>
      <c r="AM101" s="53">
        <f>IF(OR($F101="",$G101=""),"",IF(AND(AM$5&lt;=$G101,AM$5+6&gt;=$F101),IF($H101="Complétée","F",IF(OR($H101="En cours",$H101="En revue"),"E",IF($H101="Bloquée","B","P"))),""))</f>
        <v/>
      </c>
      <c r="AN101" s="53">
        <f>IF(OR($F101="",$G101=""),"",IF(AND(AN$5&lt;=$G101,AN$5+6&gt;=$F101),IF($H101="Complétée","F",IF(OR($H101="En cours",$H101="En revue"),"E",IF($H101="Bloquée","B","P"))),""))</f>
        <v/>
      </c>
      <c r="AO101" s="53">
        <f>IF(OR($F101="",$G101=""),"",IF(AND(AO$5&lt;=$G101,AO$5+6&gt;=$F101),IF($H101="Complétée","F",IF(OR($H101="En cours",$H101="En revue"),"E",IF($H101="Bloquée","B","P"))),""))</f>
        <v/>
      </c>
      <c r="AP101" s="53">
        <f>IF(OR($F101="",$G101=""),"",IF(AND(AP$5&lt;=$G101,AP$5+6&gt;=$F101),IF($H101="Complétée","F",IF(OR($H101="En cours",$H101="En revue"),"E",IF($H101="Bloquée","B","P"))),""))</f>
        <v/>
      </c>
      <c r="AQ101" s="53">
        <f>IF(OR($F101="",$G101=""),"",IF(AND(AQ$5&lt;=$G101,AQ$5+6&gt;=$F101),IF($H101="Complétée","F",IF(OR($H101="En cours",$H101="En revue"),"E",IF($H101="Bloquée","B","P"))),""))</f>
        <v/>
      </c>
      <c r="AR101" s="53">
        <f>IF(OR($F101="",$G101=""),"",IF(AND(AR$5&lt;=$G101,AR$5+6&gt;=$F101),IF($H101="Complétée","F",IF(OR($H101="En cours",$H101="En revue"),"E",IF($H101="Bloquée","B","P"))),""))</f>
        <v/>
      </c>
      <c r="AS101" s="53">
        <f>IF(OR($F101="",$G101=""),"",IF(AND(AS$5&lt;=$G101,AS$5+6&gt;=$F101),IF($H101="Complétée","F",IF(OR($H101="En cours",$H101="En revue"),"E",IF($H101="Bloquée","B","P"))),""))</f>
        <v/>
      </c>
      <c r="AT101" s="53">
        <f>IF(OR($F101="",$G101=""),"",IF(AND(AT$5&lt;=$G101,AT$5+6&gt;=$F101),IF($H101="Complétée","F",IF(OR($H101="En cours",$H101="En revue"),"E",IF($H101="Bloquée","B","P"))),""))</f>
        <v/>
      </c>
      <c r="AU101" s="53">
        <f>IF(OR($F101="",$G101=""),"",IF(AND(AU$5&lt;=$G101,AU$5+6&gt;=$F101),IF($H101="Complétée","F",IF(OR($H101="En cours",$H101="En revue"),"E",IF($H101="Bloquée","B","P"))),""))</f>
        <v/>
      </c>
      <c r="AV101" s="53">
        <f>IF(OR($F101="",$G101=""),"",IF(AND(AV$5&lt;=$G101,AV$5+6&gt;=$F101),IF($H101="Complétée","F",IF(OR($H101="En cours",$H101="En revue"),"E",IF($H101="Bloquée","B","P"))),""))</f>
        <v/>
      </c>
      <c r="AW101" s="53">
        <f>IF(OR($F101="",$G101=""),"",IF(AND(AW$5&lt;=$G101,AW$5+6&gt;=$F101),IF($H101="Complétée","F",IF(OR($H101="En cours",$H101="En revue"),"E",IF($H101="Bloquée","B","P"))),""))</f>
        <v/>
      </c>
    </row>
    <row r="102">
      <c r="B102" s="50">
        <f>IF(Taches!B102="","",Taches!B102)</f>
        <v/>
      </c>
      <c r="C102" s="51">
        <f>IF(Taches!B102="","",Taches!F102)</f>
        <v/>
      </c>
      <c r="D102" s="50">
        <f>IF(Taches!B102="","",Taches!C102)</f>
        <v/>
      </c>
      <c r="E102" s="50">
        <f>IF(Taches!B102="","",Taches!D102)</f>
        <v/>
      </c>
      <c r="F102" s="52">
        <f>IF(Taches!P102="","",Taches!P102)</f>
        <v/>
      </c>
      <c r="G102" s="52">
        <f>IF(Taches!Q102="","",Taches!Q102)</f>
        <v/>
      </c>
      <c r="H102" s="50">
        <f>IF(Taches!B102="","",Taches!J102)</f>
        <v/>
      </c>
      <c r="I102" s="53">
        <f>IF(OR($F102="",$G102=""),"",IF(AND(I$5&lt;=$G102,I$5+6&gt;=$F102),IF($H102="Complétée","F",IF(OR($H102="En cours",$H102="En revue"),"E",IF($H102="Bloquée","B","P"))),""))</f>
        <v/>
      </c>
      <c r="J102" s="53">
        <f>IF(OR($F102="",$G102=""),"",IF(AND(J$5&lt;=$G102,J$5+6&gt;=$F102),IF($H102="Complétée","F",IF(OR($H102="En cours",$H102="En revue"),"E",IF($H102="Bloquée","B","P"))),""))</f>
        <v/>
      </c>
      <c r="K102" s="53">
        <f>IF(OR($F102="",$G102=""),"",IF(AND(K$5&lt;=$G102,K$5+6&gt;=$F102),IF($H102="Complétée","F",IF(OR($H102="En cours",$H102="En revue"),"E",IF($H102="Bloquée","B","P"))),""))</f>
        <v/>
      </c>
      <c r="L102" s="53">
        <f>IF(OR($F102="",$G102=""),"",IF(AND(L$5&lt;=$G102,L$5+6&gt;=$F102),IF($H102="Complétée","F",IF(OR($H102="En cours",$H102="En revue"),"E",IF($H102="Bloquée","B","P"))),""))</f>
        <v/>
      </c>
      <c r="M102" s="53">
        <f>IF(OR($F102="",$G102=""),"",IF(AND(M$5&lt;=$G102,M$5+6&gt;=$F102),IF($H102="Complétée","F",IF(OR($H102="En cours",$H102="En revue"),"E",IF($H102="Bloquée","B","P"))),""))</f>
        <v/>
      </c>
      <c r="N102" s="53">
        <f>IF(OR($F102="",$G102=""),"",IF(AND(N$5&lt;=$G102,N$5+6&gt;=$F102),IF($H102="Complétée","F",IF(OR($H102="En cours",$H102="En revue"),"E",IF($H102="Bloquée","B","P"))),""))</f>
        <v/>
      </c>
      <c r="O102" s="53">
        <f>IF(OR($F102="",$G102=""),"",IF(AND(O$5&lt;=$G102,O$5+6&gt;=$F102),IF($H102="Complétée","F",IF(OR($H102="En cours",$H102="En revue"),"E",IF($H102="Bloquée","B","P"))),""))</f>
        <v/>
      </c>
      <c r="P102" s="53">
        <f>IF(OR($F102="",$G102=""),"",IF(AND(P$5&lt;=$G102,P$5+6&gt;=$F102),IF($H102="Complétée","F",IF(OR($H102="En cours",$H102="En revue"),"E",IF($H102="Bloquée","B","P"))),""))</f>
        <v/>
      </c>
      <c r="Q102" s="53">
        <f>IF(OR($F102="",$G102=""),"",IF(AND(Q$5&lt;=$G102,Q$5+6&gt;=$F102),IF($H102="Complétée","F",IF(OR($H102="En cours",$H102="En revue"),"E",IF($H102="Bloquée","B","P"))),""))</f>
        <v/>
      </c>
      <c r="R102" s="53">
        <f>IF(OR($F102="",$G102=""),"",IF(AND(R$5&lt;=$G102,R$5+6&gt;=$F102),IF($H102="Complétée","F",IF(OR($H102="En cours",$H102="En revue"),"E",IF($H102="Bloquée","B","P"))),""))</f>
        <v/>
      </c>
      <c r="S102" s="53">
        <f>IF(OR($F102="",$G102=""),"",IF(AND(S$5&lt;=$G102,S$5+6&gt;=$F102),IF($H102="Complétée","F",IF(OR($H102="En cours",$H102="En revue"),"E",IF($H102="Bloquée","B","P"))),""))</f>
        <v/>
      </c>
      <c r="T102" s="53">
        <f>IF(OR($F102="",$G102=""),"",IF(AND(T$5&lt;=$G102,T$5+6&gt;=$F102),IF($H102="Complétée","F",IF(OR($H102="En cours",$H102="En revue"),"E",IF($H102="Bloquée","B","P"))),""))</f>
        <v/>
      </c>
      <c r="U102" s="53">
        <f>IF(OR($F102="",$G102=""),"",IF(AND(U$5&lt;=$G102,U$5+6&gt;=$F102),IF($H102="Complétée","F",IF(OR($H102="En cours",$H102="En revue"),"E",IF($H102="Bloquée","B","P"))),""))</f>
        <v/>
      </c>
      <c r="V102" s="53">
        <f>IF(OR($F102="",$G102=""),"",IF(AND(V$5&lt;=$G102,V$5+6&gt;=$F102),IF($H102="Complétée","F",IF(OR($H102="En cours",$H102="En revue"),"E",IF($H102="Bloquée","B","P"))),""))</f>
        <v/>
      </c>
      <c r="W102" s="53">
        <f>IF(OR($F102="",$G102=""),"",IF(AND(W$5&lt;=$G102,W$5+6&gt;=$F102),IF($H102="Complétée","F",IF(OR($H102="En cours",$H102="En revue"),"E",IF($H102="Bloquée","B","P"))),""))</f>
        <v/>
      </c>
      <c r="X102" s="53">
        <f>IF(OR($F102="",$G102=""),"",IF(AND(X$5&lt;=$G102,X$5+6&gt;=$F102),IF($H102="Complétée","F",IF(OR($H102="En cours",$H102="En revue"),"E",IF($H102="Bloquée","B","P"))),""))</f>
        <v/>
      </c>
      <c r="Y102" s="53">
        <f>IF(OR($F102="",$G102=""),"",IF(AND(Y$5&lt;=$G102,Y$5+6&gt;=$F102),IF($H102="Complétée","F",IF(OR($H102="En cours",$H102="En revue"),"E",IF($H102="Bloquée","B","P"))),""))</f>
        <v/>
      </c>
      <c r="Z102" s="53">
        <f>IF(OR($F102="",$G102=""),"",IF(AND(Z$5&lt;=$G102,Z$5+6&gt;=$F102),IF($H102="Complétée","F",IF(OR($H102="En cours",$H102="En revue"),"E",IF($H102="Bloquée","B","P"))),""))</f>
        <v/>
      </c>
      <c r="AA102" s="53">
        <f>IF(OR($F102="",$G102=""),"",IF(AND(AA$5&lt;=$G102,AA$5+6&gt;=$F102),IF($H102="Complétée","F",IF(OR($H102="En cours",$H102="En revue"),"E",IF($H102="Bloquée","B","P"))),""))</f>
        <v/>
      </c>
      <c r="AB102" s="53">
        <f>IF(OR($F102="",$G102=""),"",IF(AND(AB$5&lt;=$G102,AB$5+6&gt;=$F102),IF($H102="Complétée","F",IF(OR($H102="En cours",$H102="En revue"),"E",IF($H102="Bloquée","B","P"))),""))</f>
        <v/>
      </c>
      <c r="AC102" s="53">
        <f>IF(OR($F102="",$G102=""),"",IF(AND(AC$5&lt;=$G102,AC$5+6&gt;=$F102),IF($H102="Complétée","F",IF(OR($H102="En cours",$H102="En revue"),"E",IF($H102="Bloquée","B","P"))),""))</f>
        <v/>
      </c>
      <c r="AD102" s="53">
        <f>IF(OR($F102="",$G102=""),"",IF(AND(AD$5&lt;=$G102,AD$5+6&gt;=$F102),IF($H102="Complétée","F",IF(OR($H102="En cours",$H102="En revue"),"E",IF($H102="Bloquée","B","P"))),""))</f>
        <v/>
      </c>
      <c r="AE102" s="53">
        <f>IF(OR($F102="",$G102=""),"",IF(AND(AE$5&lt;=$G102,AE$5+6&gt;=$F102),IF($H102="Complétée","F",IF(OR($H102="En cours",$H102="En revue"),"E",IF($H102="Bloquée","B","P"))),""))</f>
        <v/>
      </c>
      <c r="AF102" s="53">
        <f>IF(OR($F102="",$G102=""),"",IF(AND(AF$5&lt;=$G102,AF$5+6&gt;=$F102),IF($H102="Complétée","F",IF(OR($H102="En cours",$H102="En revue"),"E",IF($H102="Bloquée","B","P"))),""))</f>
        <v/>
      </c>
      <c r="AG102" s="53">
        <f>IF(OR($F102="",$G102=""),"",IF(AND(AG$5&lt;=$G102,AG$5+6&gt;=$F102),IF($H102="Complétée","F",IF(OR($H102="En cours",$H102="En revue"),"E",IF($H102="Bloquée","B","P"))),""))</f>
        <v/>
      </c>
      <c r="AH102" s="53">
        <f>IF(OR($F102="",$G102=""),"",IF(AND(AH$5&lt;=$G102,AH$5+6&gt;=$F102),IF($H102="Complétée","F",IF(OR($H102="En cours",$H102="En revue"),"E",IF($H102="Bloquée","B","P"))),""))</f>
        <v/>
      </c>
      <c r="AI102" s="53">
        <f>IF(OR($F102="",$G102=""),"",IF(AND(AI$5&lt;=$G102,AI$5+6&gt;=$F102),IF($H102="Complétée","F",IF(OR($H102="En cours",$H102="En revue"),"E",IF($H102="Bloquée","B","P"))),""))</f>
        <v/>
      </c>
      <c r="AJ102" s="53">
        <f>IF(OR($F102="",$G102=""),"",IF(AND(AJ$5&lt;=$G102,AJ$5+6&gt;=$F102),IF($H102="Complétée","F",IF(OR($H102="En cours",$H102="En revue"),"E",IF($H102="Bloquée","B","P"))),""))</f>
        <v/>
      </c>
      <c r="AK102" s="53">
        <f>IF(OR($F102="",$G102=""),"",IF(AND(AK$5&lt;=$G102,AK$5+6&gt;=$F102),IF($H102="Complétée","F",IF(OR($H102="En cours",$H102="En revue"),"E",IF($H102="Bloquée","B","P"))),""))</f>
        <v/>
      </c>
      <c r="AL102" s="53">
        <f>IF(OR($F102="",$G102=""),"",IF(AND(AL$5&lt;=$G102,AL$5+6&gt;=$F102),IF($H102="Complétée","F",IF(OR($H102="En cours",$H102="En revue"),"E",IF($H102="Bloquée","B","P"))),""))</f>
        <v/>
      </c>
      <c r="AM102" s="53">
        <f>IF(OR($F102="",$G102=""),"",IF(AND(AM$5&lt;=$G102,AM$5+6&gt;=$F102),IF($H102="Complétée","F",IF(OR($H102="En cours",$H102="En revue"),"E",IF($H102="Bloquée","B","P"))),""))</f>
        <v/>
      </c>
      <c r="AN102" s="53">
        <f>IF(OR($F102="",$G102=""),"",IF(AND(AN$5&lt;=$G102,AN$5+6&gt;=$F102),IF($H102="Complétée","F",IF(OR($H102="En cours",$H102="En revue"),"E",IF($H102="Bloquée","B","P"))),""))</f>
        <v/>
      </c>
      <c r="AO102" s="53">
        <f>IF(OR($F102="",$G102=""),"",IF(AND(AO$5&lt;=$G102,AO$5+6&gt;=$F102),IF($H102="Complétée","F",IF(OR($H102="En cours",$H102="En revue"),"E",IF($H102="Bloquée","B","P"))),""))</f>
        <v/>
      </c>
      <c r="AP102" s="53">
        <f>IF(OR($F102="",$G102=""),"",IF(AND(AP$5&lt;=$G102,AP$5+6&gt;=$F102),IF($H102="Complétée","F",IF(OR($H102="En cours",$H102="En revue"),"E",IF($H102="Bloquée","B","P"))),""))</f>
        <v/>
      </c>
      <c r="AQ102" s="53">
        <f>IF(OR($F102="",$G102=""),"",IF(AND(AQ$5&lt;=$G102,AQ$5+6&gt;=$F102),IF($H102="Complétée","F",IF(OR($H102="En cours",$H102="En revue"),"E",IF($H102="Bloquée","B","P"))),""))</f>
        <v/>
      </c>
      <c r="AR102" s="53">
        <f>IF(OR($F102="",$G102=""),"",IF(AND(AR$5&lt;=$G102,AR$5+6&gt;=$F102),IF($H102="Complétée","F",IF(OR($H102="En cours",$H102="En revue"),"E",IF($H102="Bloquée","B","P"))),""))</f>
        <v/>
      </c>
      <c r="AS102" s="53">
        <f>IF(OR($F102="",$G102=""),"",IF(AND(AS$5&lt;=$G102,AS$5+6&gt;=$F102),IF($H102="Complétée","F",IF(OR($H102="En cours",$H102="En revue"),"E",IF($H102="Bloquée","B","P"))),""))</f>
        <v/>
      </c>
      <c r="AT102" s="53">
        <f>IF(OR($F102="",$G102=""),"",IF(AND(AT$5&lt;=$G102,AT$5+6&gt;=$F102),IF($H102="Complétée","F",IF(OR($H102="En cours",$H102="En revue"),"E",IF($H102="Bloquée","B","P"))),""))</f>
        <v/>
      </c>
      <c r="AU102" s="53">
        <f>IF(OR($F102="",$G102=""),"",IF(AND(AU$5&lt;=$G102,AU$5+6&gt;=$F102),IF($H102="Complétée","F",IF(OR($H102="En cours",$H102="En revue"),"E",IF($H102="Bloquée","B","P"))),""))</f>
        <v/>
      </c>
      <c r="AV102" s="53">
        <f>IF(OR($F102="",$G102=""),"",IF(AND(AV$5&lt;=$G102,AV$5+6&gt;=$F102),IF($H102="Complétée","F",IF(OR($H102="En cours",$H102="En revue"),"E",IF($H102="Bloquée","B","P"))),""))</f>
        <v/>
      </c>
      <c r="AW102" s="53">
        <f>IF(OR($F102="",$G102=""),"",IF(AND(AW$5&lt;=$G102,AW$5+6&gt;=$F102),IF($H102="Complétée","F",IF(OR($H102="En cours",$H102="En revue"),"E",IF($H102="Bloquée","B","P"))),""))</f>
        <v/>
      </c>
    </row>
    <row r="103">
      <c r="B103" s="50">
        <f>IF(Taches!B103="","",Taches!B103)</f>
        <v/>
      </c>
      <c r="C103" s="51">
        <f>IF(Taches!B103="","",Taches!F103)</f>
        <v/>
      </c>
      <c r="D103" s="50">
        <f>IF(Taches!B103="","",Taches!C103)</f>
        <v/>
      </c>
      <c r="E103" s="50">
        <f>IF(Taches!B103="","",Taches!D103)</f>
        <v/>
      </c>
      <c r="F103" s="52">
        <f>IF(Taches!P103="","",Taches!P103)</f>
        <v/>
      </c>
      <c r="G103" s="52">
        <f>IF(Taches!Q103="","",Taches!Q103)</f>
        <v/>
      </c>
      <c r="H103" s="50">
        <f>IF(Taches!B103="","",Taches!J103)</f>
        <v/>
      </c>
      <c r="I103" s="53">
        <f>IF(OR($F103="",$G103=""),"",IF(AND(I$5&lt;=$G103,I$5+6&gt;=$F103),IF($H103="Complétée","F",IF(OR($H103="En cours",$H103="En revue"),"E",IF($H103="Bloquée","B","P"))),""))</f>
        <v/>
      </c>
      <c r="J103" s="53">
        <f>IF(OR($F103="",$G103=""),"",IF(AND(J$5&lt;=$G103,J$5+6&gt;=$F103),IF($H103="Complétée","F",IF(OR($H103="En cours",$H103="En revue"),"E",IF($H103="Bloquée","B","P"))),""))</f>
        <v/>
      </c>
      <c r="K103" s="53">
        <f>IF(OR($F103="",$G103=""),"",IF(AND(K$5&lt;=$G103,K$5+6&gt;=$F103),IF($H103="Complétée","F",IF(OR($H103="En cours",$H103="En revue"),"E",IF($H103="Bloquée","B","P"))),""))</f>
        <v/>
      </c>
      <c r="L103" s="53">
        <f>IF(OR($F103="",$G103=""),"",IF(AND(L$5&lt;=$G103,L$5+6&gt;=$F103),IF($H103="Complétée","F",IF(OR($H103="En cours",$H103="En revue"),"E",IF($H103="Bloquée","B","P"))),""))</f>
        <v/>
      </c>
      <c r="M103" s="53">
        <f>IF(OR($F103="",$G103=""),"",IF(AND(M$5&lt;=$G103,M$5+6&gt;=$F103),IF($H103="Complétée","F",IF(OR($H103="En cours",$H103="En revue"),"E",IF($H103="Bloquée","B","P"))),""))</f>
        <v/>
      </c>
      <c r="N103" s="53">
        <f>IF(OR($F103="",$G103=""),"",IF(AND(N$5&lt;=$G103,N$5+6&gt;=$F103),IF($H103="Complétée","F",IF(OR($H103="En cours",$H103="En revue"),"E",IF($H103="Bloquée","B","P"))),""))</f>
        <v/>
      </c>
      <c r="O103" s="53">
        <f>IF(OR($F103="",$G103=""),"",IF(AND(O$5&lt;=$G103,O$5+6&gt;=$F103),IF($H103="Complétée","F",IF(OR($H103="En cours",$H103="En revue"),"E",IF($H103="Bloquée","B","P"))),""))</f>
        <v/>
      </c>
      <c r="P103" s="53">
        <f>IF(OR($F103="",$G103=""),"",IF(AND(P$5&lt;=$G103,P$5+6&gt;=$F103),IF($H103="Complétée","F",IF(OR($H103="En cours",$H103="En revue"),"E",IF($H103="Bloquée","B","P"))),""))</f>
        <v/>
      </c>
      <c r="Q103" s="53">
        <f>IF(OR($F103="",$G103=""),"",IF(AND(Q$5&lt;=$G103,Q$5+6&gt;=$F103),IF($H103="Complétée","F",IF(OR($H103="En cours",$H103="En revue"),"E",IF($H103="Bloquée","B","P"))),""))</f>
        <v/>
      </c>
      <c r="R103" s="53">
        <f>IF(OR($F103="",$G103=""),"",IF(AND(R$5&lt;=$G103,R$5+6&gt;=$F103),IF($H103="Complétée","F",IF(OR($H103="En cours",$H103="En revue"),"E",IF($H103="Bloquée","B","P"))),""))</f>
        <v/>
      </c>
      <c r="S103" s="53">
        <f>IF(OR($F103="",$G103=""),"",IF(AND(S$5&lt;=$G103,S$5+6&gt;=$F103),IF($H103="Complétée","F",IF(OR($H103="En cours",$H103="En revue"),"E",IF($H103="Bloquée","B","P"))),""))</f>
        <v/>
      </c>
      <c r="T103" s="53">
        <f>IF(OR($F103="",$G103=""),"",IF(AND(T$5&lt;=$G103,T$5+6&gt;=$F103),IF($H103="Complétée","F",IF(OR($H103="En cours",$H103="En revue"),"E",IF($H103="Bloquée","B","P"))),""))</f>
        <v/>
      </c>
      <c r="U103" s="53">
        <f>IF(OR($F103="",$G103=""),"",IF(AND(U$5&lt;=$G103,U$5+6&gt;=$F103),IF($H103="Complétée","F",IF(OR($H103="En cours",$H103="En revue"),"E",IF($H103="Bloquée","B","P"))),""))</f>
        <v/>
      </c>
      <c r="V103" s="53">
        <f>IF(OR($F103="",$G103=""),"",IF(AND(V$5&lt;=$G103,V$5+6&gt;=$F103),IF($H103="Complétée","F",IF(OR($H103="En cours",$H103="En revue"),"E",IF($H103="Bloquée","B","P"))),""))</f>
        <v/>
      </c>
      <c r="W103" s="53">
        <f>IF(OR($F103="",$G103=""),"",IF(AND(W$5&lt;=$G103,W$5+6&gt;=$F103),IF($H103="Complétée","F",IF(OR($H103="En cours",$H103="En revue"),"E",IF($H103="Bloquée","B","P"))),""))</f>
        <v/>
      </c>
      <c r="X103" s="53">
        <f>IF(OR($F103="",$G103=""),"",IF(AND(X$5&lt;=$G103,X$5+6&gt;=$F103),IF($H103="Complétée","F",IF(OR($H103="En cours",$H103="En revue"),"E",IF($H103="Bloquée","B","P"))),""))</f>
        <v/>
      </c>
      <c r="Y103" s="53">
        <f>IF(OR($F103="",$G103=""),"",IF(AND(Y$5&lt;=$G103,Y$5+6&gt;=$F103),IF($H103="Complétée","F",IF(OR($H103="En cours",$H103="En revue"),"E",IF($H103="Bloquée","B","P"))),""))</f>
        <v/>
      </c>
      <c r="Z103" s="53">
        <f>IF(OR($F103="",$G103=""),"",IF(AND(Z$5&lt;=$G103,Z$5+6&gt;=$F103),IF($H103="Complétée","F",IF(OR($H103="En cours",$H103="En revue"),"E",IF($H103="Bloquée","B","P"))),""))</f>
        <v/>
      </c>
      <c r="AA103" s="53">
        <f>IF(OR($F103="",$G103=""),"",IF(AND(AA$5&lt;=$G103,AA$5+6&gt;=$F103),IF($H103="Complétée","F",IF(OR($H103="En cours",$H103="En revue"),"E",IF($H103="Bloquée","B","P"))),""))</f>
        <v/>
      </c>
      <c r="AB103" s="53">
        <f>IF(OR($F103="",$G103=""),"",IF(AND(AB$5&lt;=$G103,AB$5+6&gt;=$F103),IF($H103="Complétée","F",IF(OR($H103="En cours",$H103="En revue"),"E",IF($H103="Bloquée","B","P"))),""))</f>
        <v/>
      </c>
      <c r="AC103" s="53">
        <f>IF(OR($F103="",$G103=""),"",IF(AND(AC$5&lt;=$G103,AC$5+6&gt;=$F103),IF($H103="Complétée","F",IF(OR($H103="En cours",$H103="En revue"),"E",IF($H103="Bloquée","B","P"))),""))</f>
        <v/>
      </c>
      <c r="AD103" s="53">
        <f>IF(OR($F103="",$G103=""),"",IF(AND(AD$5&lt;=$G103,AD$5+6&gt;=$F103),IF($H103="Complétée","F",IF(OR($H103="En cours",$H103="En revue"),"E",IF($H103="Bloquée","B","P"))),""))</f>
        <v/>
      </c>
      <c r="AE103" s="53">
        <f>IF(OR($F103="",$G103=""),"",IF(AND(AE$5&lt;=$G103,AE$5+6&gt;=$F103),IF($H103="Complétée","F",IF(OR($H103="En cours",$H103="En revue"),"E",IF($H103="Bloquée","B","P"))),""))</f>
        <v/>
      </c>
      <c r="AF103" s="53">
        <f>IF(OR($F103="",$G103=""),"",IF(AND(AF$5&lt;=$G103,AF$5+6&gt;=$F103),IF($H103="Complétée","F",IF(OR($H103="En cours",$H103="En revue"),"E",IF($H103="Bloquée","B","P"))),""))</f>
        <v/>
      </c>
      <c r="AG103" s="53">
        <f>IF(OR($F103="",$G103=""),"",IF(AND(AG$5&lt;=$G103,AG$5+6&gt;=$F103),IF($H103="Complétée","F",IF(OR($H103="En cours",$H103="En revue"),"E",IF($H103="Bloquée","B","P"))),""))</f>
        <v/>
      </c>
      <c r="AH103" s="53">
        <f>IF(OR($F103="",$G103=""),"",IF(AND(AH$5&lt;=$G103,AH$5+6&gt;=$F103),IF($H103="Complétée","F",IF(OR($H103="En cours",$H103="En revue"),"E",IF($H103="Bloquée","B","P"))),""))</f>
        <v/>
      </c>
      <c r="AI103" s="53">
        <f>IF(OR($F103="",$G103=""),"",IF(AND(AI$5&lt;=$G103,AI$5+6&gt;=$F103),IF($H103="Complétée","F",IF(OR($H103="En cours",$H103="En revue"),"E",IF($H103="Bloquée","B","P"))),""))</f>
        <v/>
      </c>
      <c r="AJ103" s="53">
        <f>IF(OR($F103="",$G103=""),"",IF(AND(AJ$5&lt;=$G103,AJ$5+6&gt;=$F103),IF($H103="Complétée","F",IF(OR($H103="En cours",$H103="En revue"),"E",IF($H103="Bloquée","B","P"))),""))</f>
        <v/>
      </c>
      <c r="AK103" s="53">
        <f>IF(OR($F103="",$G103=""),"",IF(AND(AK$5&lt;=$G103,AK$5+6&gt;=$F103),IF($H103="Complétée","F",IF(OR($H103="En cours",$H103="En revue"),"E",IF($H103="Bloquée","B","P"))),""))</f>
        <v/>
      </c>
      <c r="AL103" s="53">
        <f>IF(OR($F103="",$G103=""),"",IF(AND(AL$5&lt;=$G103,AL$5+6&gt;=$F103),IF($H103="Complétée","F",IF(OR($H103="En cours",$H103="En revue"),"E",IF($H103="Bloquée","B","P"))),""))</f>
        <v/>
      </c>
      <c r="AM103" s="53">
        <f>IF(OR($F103="",$G103=""),"",IF(AND(AM$5&lt;=$G103,AM$5+6&gt;=$F103),IF($H103="Complétée","F",IF(OR($H103="En cours",$H103="En revue"),"E",IF($H103="Bloquée","B","P"))),""))</f>
        <v/>
      </c>
      <c r="AN103" s="53">
        <f>IF(OR($F103="",$G103=""),"",IF(AND(AN$5&lt;=$G103,AN$5+6&gt;=$F103),IF($H103="Complétée","F",IF(OR($H103="En cours",$H103="En revue"),"E",IF($H103="Bloquée","B","P"))),""))</f>
        <v/>
      </c>
      <c r="AO103" s="53">
        <f>IF(OR($F103="",$G103=""),"",IF(AND(AO$5&lt;=$G103,AO$5+6&gt;=$F103),IF($H103="Complétée","F",IF(OR($H103="En cours",$H103="En revue"),"E",IF($H103="Bloquée","B","P"))),""))</f>
        <v/>
      </c>
      <c r="AP103" s="53">
        <f>IF(OR($F103="",$G103=""),"",IF(AND(AP$5&lt;=$G103,AP$5+6&gt;=$F103),IF($H103="Complétée","F",IF(OR($H103="En cours",$H103="En revue"),"E",IF($H103="Bloquée","B","P"))),""))</f>
        <v/>
      </c>
      <c r="AQ103" s="53">
        <f>IF(OR($F103="",$G103=""),"",IF(AND(AQ$5&lt;=$G103,AQ$5+6&gt;=$F103),IF($H103="Complétée","F",IF(OR($H103="En cours",$H103="En revue"),"E",IF($H103="Bloquée","B","P"))),""))</f>
        <v/>
      </c>
      <c r="AR103" s="53">
        <f>IF(OR($F103="",$G103=""),"",IF(AND(AR$5&lt;=$G103,AR$5+6&gt;=$F103),IF($H103="Complétée","F",IF(OR($H103="En cours",$H103="En revue"),"E",IF($H103="Bloquée","B","P"))),""))</f>
        <v/>
      </c>
      <c r="AS103" s="53">
        <f>IF(OR($F103="",$G103=""),"",IF(AND(AS$5&lt;=$G103,AS$5+6&gt;=$F103),IF($H103="Complétée","F",IF(OR($H103="En cours",$H103="En revue"),"E",IF($H103="Bloquée","B","P"))),""))</f>
        <v/>
      </c>
      <c r="AT103" s="53">
        <f>IF(OR($F103="",$G103=""),"",IF(AND(AT$5&lt;=$G103,AT$5+6&gt;=$F103),IF($H103="Complétée","F",IF(OR($H103="En cours",$H103="En revue"),"E",IF($H103="Bloquée","B","P"))),""))</f>
        <v/>
      </c>
      <c r="AU103" s="53">
        <f>IF(OR($F103="",$G103=""),"",IF(AND(AU$5&lt;=$G103,AU$5+6&gt;=$F103),IF($H103="Complétée","F",IF(OR($H103="En cours",$H103="En revue"),"E",IF($H103="Bloquée","B","P"))),""))</f>
        <v/>
      </c>
      <c r="AV103" s="53">
        <f>IF(OR($F103="",$G103=""),"",IF(AND(AV$5&lt;=$G103,AV$5+6&gt;=$F103),IF($H103="Complétée","F",IF(OR($H103="En cours",$H103="En revue"),"E",IF($H103="Bloquée","B","P"))),""))</f>
        <v/>
      </c>
      <c r="AW103" s="53">
        <f>IF(OR($F103="",$G103=""),"",IF(AND(AW$5&lt;=$G103,AW$5+6&gt;=$F103),IF($H103="Complétée","F",IF(OR($H103="En cours",$H103="En revue"),"E",IF($H103="Bloquée","B","P"))),""))</f>
        <v/>
      </c>
    </row>
    <row r="104">
      <c r="B104" s="50">
        <f>IF(Taches!B104="","",Taches!B104)</f>
        <v/>
      </c>
      <c r="C104" s="51">
        <f>IF(Taches!B104="","",Taches!F104)</f>
        <v/>
      </c>
      <c r="D104" s="50">
        <f>IF(Taches!B104="","",Taches!C104)</f>
        <v/>
      </c>
      <c r="E104" s="50">
        <f>IF(Taches!B104="","",Taches!D104)</f>
        <v/>
      </c>
      <c r="F104" s="52">
        <f>IF(Taches!P104="","",Taches!P104)</f>
        <v/>
      </c>
      <c r="G104" s="52">
        <f>IF(Taches!Q104="","",Taches!Q104)</f>
        <v/>
      </c>
      <c r="H104" s="50">
        <f>IF(Taches!B104="","",Taches!J104)</f>
        <v/>
      </c>
      <c r="I104" s="53">
        <f>IF(OR($F104="",$G104=""),"",IF(AND(I$5&lt;=$G104,I$5+6&gt;=$F104),IF($H104="Complétée","F",IF(OR($H104="En cours",$H104="En revue"),"E",IF($H104="Bloquée","B","P"))),""))</f>
        <v/>
      </c>
      <c r="J104" s="53">
        <f>IF(OR($F104="",$G104=""),"",IF(AND(J$5&lt;=$G104,J$5+6&gt;=$F104),IF($H104="Complétée","F",IF(OR($H104="En cours",$H104="En revue"),"E",IF($H104="Bloquée","B","P"))),""))</f>
        <v/>
      </c>
      <c r="K104" s="53">
        <f>IF(OR($F104="",$G104=""),"",IF(AND(K$5&lt;=$G104,K$5+6&gt;=$F104),IF($H104="Complétée","F",IF(OR($H104="En cours",$H104="En revue"),"E",IF($H104="Bloquée","B","P"))),""))</f>
        <v/>
      </c>
      <c r="L104" s="53">
        <f>IF(OR($F104="",$G104=""),"",IF(AND(L$5&lt;=$G104,L$5+6&gt;=$F104),IF($H104="Complétée","F",IF(OR($H104="En cours",$H104="En revue"),"E",IF($H104="Bloquée","B","P"))),""))</f>
        <v/>
      </c>
      <c r="M104" s="53">
        <f>IF(OR($F104="",$G104=""),"",IF(AND(M$5&lt;=$G104,M$5+6&gt;=$F104),IF($H104="Complétée","F",IF(OR($H104="En cours",$H104="En revue"),"E",IF($H104="Bloquée","B","P"))),""))</f>
        <v/>
      </c>
      <c r="N104" s="53">
        <f>IF(OR($F104="",$G104=""),"",IF(AND(N$5&lt;=$G104,N$5+6&gt;=$F104),IF($H104="Complétée","F",IF(OR($H104="En cours",$H104="En revue"),"E",IF($H104="Bloquée","B","P"))),""))</f>
        <v/>
      </c>
      <c r="O104" s="53">
        <f>IF(OR($F104="",$G104=""),"",IF(AND(O$5&lt;=$G104,O$5+6&gt;=$F104),IF($H104="Complétée","F",IF(OR($H104="En cours",$H104="En revue"),"E",IF($H104="Bloquée","B","P"))),""))</f>
        <v/>
      </c>
      <c r="P104" s="53">
        <f>IF(OR($F104="",$G104=""),"",IF(AND(P$5&lt;=$G104,P$5+6&gt;=$F104),IF($H104="Complétée","F",IF(OR($H104="En cours",$H104="En revue"),"E",IF($H104="Bloquée","B","P"))),""))</f>
        <v/>
      </c>
      <c r="Q104" s="53">
        <f>IF(OR($F104="",$G104=""),"",IF(AND(Q$5&lt;=$G104,Q$5+6&gt;=$F104),IF($H104="Complétée","F",IF(OR($H104="En cours",$H104="En revue"),"E",IF($H104="Bloquée","B","P"))),""))</f>
        <v/>
      </c>
      <c r="R104" s="53">
        <f>IF(OR($F104="",$G104=""),"",IF(AND(R$5&lt;=$G104,R$5+6&gt;=$F104),IF($H104="Complétée","F",IF(OR($H104="En cours",$H104="En revue"),"E",IF($H104="Bloquée","B","P"))),""))</f>
        <v/>
      </c>
      <c r="S104" s="53">
        <f>IF(OR($F104="",$G104=""),"",IF(AND(S$5&lt;=$G104,S$5+6&gt;=$F104),IF($H104="Complétée","F",IF(OR($H104="En cours",$H104="En revue"),"E",IF($H104="Bloquée","B","P"))),""))</f>
        <v/>
      </c>
      <c r="T104" s="53">
        <f>IF(OR($F104="",$G104=""),"",IF(AND(T$5&lt;=$G104,T$5+6&gt;=$F104),IF($H104="Complétée","F",IF(OR($H104="En cours",$H104="En revue"),"E",IF($H104="Bloquée","B","P"))),""))</f>
        <v/>
      </c>
      <c r="U104" s="53">
        <f>IF(OR($F104="",$G104=""),"",IF(AND(U$5&lt;=$G104,U$5+6&gt;=$F104),IF($H104="Complétée","F",IF(OR($H104="En cours",$H104="En revue"),"E",IF($H104="Bloquée","B","P"))),""))</f>
        <v/>
      </c>
      <c r="V104" s="53">
        <f>IF(OR($F104="",$G104=""),"",IF(AND(V$5&lt;=$G104,V$5+6&gt;=$F104),IF($H104="Complétée","F",IF(OR($H104="En cours",$H104="En revue"),"E",IF($H104="Bloquée","B","P"))),""))</f>
        <v/>
      </c>
      <c r="W104" s="53">
        <f>IF(OR($F104="",$G104=""),"",IF(AND(W$5&lt;=$G104,W$5+6&gt;=$F104),IF($H104="Complétée","F",IF(OR($H104="En cours",$H104="En revue"),"E",IF($H104="Bloquée","B","P"))),""))</f>
        <v/>
      </c>
      <c r="X104" s="53">
        <f>IF(OR($F104="",$G104=""),"",IF(AND(X$5&lt;=$G104,X$5+6&gt;=$F104),IF($H104="Complétée","F",IF(OR($H104="En cours",$H104="En revue"),"E",IF($H104="Bloquée","B","P"))),""))</f>
        <v/>
      </c>
      <c r="Y104" s="53">
        <f>IF(OR($F104="",$G104=""),"",IF(AND(Y$5&lt;=$G104,Y$5+6&gt;=$F104),IF($H104="Complétée","F",IF(OR($H104="En cours",$H104="En revue"),"E",IF($H104="Bloquée","B","P"))),""))</f>
        <v/>
      </c>
      <c r="Z104" s="53">
        <f>IF(OR($F104="",$G104=""),"",IF(AND(Z$5&lt;=$G104,Z$5+6&gt;=$F104),IF($H104="Complétée","F",IF(OR($H104="En cours",$H104="En revue"),"E",IF($H104="Bloquée","B","P"))),""))</f>
        <v/>
      </c>
      <c r="AA104" s="53">
        <f>IF(OR($F104="",$G104=""),"",IF(AND(AA$5&lt;=$G104,AA$5+6&gt;=$F104),IF($H104="Complétée","F",IF(OR($H104="En cours",$H104="En revue"),"E",IF($H104="Bloquée","B","P"))),""))</f>
        <v/>
      </c>
      <c r="AB104" s="53">
        <f>IF(OR($F104="",$G104=""),"",IF(AND(AB$5&lt;=$G104,AB$5+6&gt;=$F104),IF($H104="Complétée","F",IF(OR($H104="En cours",$H104="En revue"),"E",IF($H104="Bloquée","B","P"))),""))</f>
        <v/>
      </c>
      <c r="AC104" s="53">
        <f>IF(OR($F104="",$G104=""),"",IF(AND(AC$5&lt;=$G104,AC$5+6&gt;=$F104),IF($H104="Complétée","F",IF(OR($H104="En cours",$H104="En revue"),"E",IF($H104="Bloquée","B","P"))),""))</f>
        <v/>
      </c>
      <c r="AD104" s="53">
        <f>IF(OR($F104="",$G104=""),"",IF(AND(AD$5&lt;=$G104,AD$5+6&gt;=$F104),IF($H104="Complétée","F",IF(OR($H104="En cours",$H104="En revue"),"E",IF($H104="Bloquée","B","P"))),""))</f>
        <v/>
      </c>
      <c r="AE104" s="53">
        <f>IF(OR($F104="",$G104=""),"",IF(AND(AE$5&lt;=$G104,AE$5+6&gt;=$F104),IF($H104="Complétée","F",IF(OR($H104="En cours",$H104="En revue"),"E",IF($H104="Bloquée","B","P"))),""))</f>
        <v/>
      </c>
      <c r="AF104" s="53">
        <f>IF(OR($F104="",$G104=""),"",IF(AND(AF$5&lt;=$G104,AF$5+6&gt;=$F104),IF($H104="Complétée","F",IF(OR($H104="En cours",$H104="En revue"),"E",IF($H104="Bloquée","B","P"))),""))</f>
        <v/>
      </c>
      <c r="AG104" s="53">
        <f>IF(OR($F104="",$G104=""),"",IF(AND(AG$5&lt;=$G104,AG$5+6&gt;=$F104),IF($H104="Complétée","F",IF(OR($H104="En cours",$H104="En revue"),"E",IF($H104="Bloquée","B","P"))),""))</f>
        <v/>
      </c>
      <c r="AH104" s="53">
        <f>IF(OR($F104="",$G104=""),"",IF(AND(AH$5&lt;=$G104,AH$5+6&gt;=$F104),IF($H104="Complétée","F",IF(OR($H104="En cours",$H104="En revue"),"E",IF($H104="Bloquée","B","P"))),""))</f>
        <v/>
      </c>
      <c r="AI104" s="53">
        <f>IF(OR($F104="",$G104=""),"",IF(AND(AI$5&lt;=$G104,AI$5+6&gt;=$F104),IF($H104="Complétée","F",IF(OR($H104="En cours",$H104="En revue"),"E",IF($H104="Bloquée","B","P"))),""))</f>
        <v/>
      </c>
      <c r="AJ104" s="53">
        <f>IF(OR($F104="",$G104=""),"",IF(AND(AJ$5&lt;=$G104,AJ$5+6&gt;=$F104),IF($H104="Complétée","F",IF(OR($H104="En cours",$H104="En revue"),"E",IF($H104="Bloquée","B","P"))),""))</f>
        <v/>
      </c>
      <c r="AK104" s="53">
        <f>IF(OR($F104="",$G104=""),"",IF(AND(AK$5&lt;=$G104,AK$5+6&gt;=$F104),IF($H104="Complétée","F",IF(OR($H104="En cours",$H104="En revue"),"E",IF($H104="Bloquée","B","P"))),""))</f>
        <v/>
      </c>
      <c r="AL104" s="53">
        <f>IF(OR($F104="",$G104=""),"",IF(AND(AL$5&lt;=$G104,AL$5+6&gt;=$F104),IF($H104="Complétée","F",IF(OR($H104="En cours",$H104="En revue"),"E",IF($H104="Bloquée","B","P"))),""))</f>
        <v/>
      </c>
      <c r="AM104" s="53">
        <f>IF(OR($F104="",$G104=""),"",IF(AND(AM$5&lt;=$G104,AM$5+6&gt;=$F104),IF($H104="Complétée","F",IF(OR($H104="En cours",$H104="En revue"),"E",IF($H104="Bloquée","B","P"))),""))</f>
        <v/>
      </c>
      <c r="AN104" s="53">
        <f>IF(OR($F104="",$G104=""),"",IF(AND(AN$5&lt;=$G104,AN$5+6&gt;=$F104),IF($H104="Complétée","F",IF(OR($H104="En cours",$H104="En revue"),"E",IF($H104="Bloquée","B","P"))),""))</f>
        <v/>
      </c>
      <c r="AO104" s="53">
        <f>IF(OR($F104="",$G104=""),"",IF(AND(AO$5&lt;=$G104,AO$5+6&gt;=$F104),IF($H104="Complétée","F",IF(OR($H104="En cours",$H104="En revue"),"E",IF($H104="Bloquée","B","P"))),""))</f>
        <v/>
      </c>
      <c r="AP104" s="53">
        <f>IF(OR($F104="",$G104=""),"",IF(AND(AP$5&lt;=$G104,AP$5+6&gt;=$F104),IF($H104="Complétée","F",IF(OR($H104="En cours",$H104="En revue"),"E",IF($H104="Bloquée","B","P"))),""))</f>
        <v/>
      </c>
      <c r="AQ104" s="53">
        <f>IF(OR($F104="",$G104=""),"",IF(AND(AQ$5&lt;=$G104,AQ$5+6&gt;=$F104),IF($H104="Complétée","F",IF(OR($H104="En cours",$H104="En revue"),"E",IF($H104="Bloquée","B","P"))),""))</f>
        <v/>
      </c>
      <c r="AR104" s="53">
        <f>IF(OR($F104="",$G104=""),"",IF(AND(AR$5&lt;=$G104,AR$5+6&gt;=$F104),IF($H104="Complétée","F",IF(OR($H104="En cours",$H104="En revue"),"E",IF($H104="Bloquée","B","P"))),""))</f>
        <v/>
      </c>
      <c r="AS104" s="53">
        <f>IF(OR($F104="",$G104=""),"",IF(AND(AS$5&lt;=$G104,AS$5+6&gt;=$F104),IF($H104="Complétée","F",IF(OR($H104="En cours",$H104="En revue"),"E",IF($H104="Bloquée","B","P"))),""))</f>
        <v/>
      </c>
      <c r="AT104" s="53">
        <f>IF(OR($F104="",$G104=""),"",IF(AND(AT$5&lt;=$G104,AT$5+6&gt;=$F104),IF($H104="Complétée","F",IF(OR($H104="En cours",$H104="En revue"),"E",IF($H104="Bloquée","B","P"))),""))</f>
        <v/>
      </c>
      <c r="AU104" s="53">
        <f>IF(OR($F104="",$G104=""),"",IF(AND(AU$5&lt;=$G104,AU$5+6&gt;=$F104),IF($H104="Complétée","F",IF(OR($H104="En cours",$H104="En revue"),"E",IF($H104="Bloquée","B","P"))),""))</f>
        <v/>
      </c>
      <c r="AV104" s="53">
        <f>IF(OR($F104="",$G104=""),"",IF(AND(AV$5&lt;=$G104,AV$5+6&gt;=$F104),IF($H104="Complétée","F",IF(OR($H104="En cours",$H104="En revue"),"E",IF($H104="Bloquée","B","P"))),""))</f>
        <v/>
      </c>
      <c r="AW104" s="53">
        <f>IF(OR($F104="",$G104=""),"",IF(AND(AW$5&lt;=$G104,AW$5+6&gt;=$F104),IF($H104="Complétée","F",IF(OR($H104="En cours",$H104="En revue"),"E",IF($H104="Bloquée","B","P"))),""))</f>
        <v/>
      </c>
    </row>
    <row r="105">
      <c r="B105" s="50">
        <f>IF(Taches!B105="","",Taches!B105)</f>
        <v/>
      </c>
      <c r="C105" s="51">
        <f>IF(Taches!B105="","",Taches!F105)</f>
        <v/>
      </c>
      <c r="D105" s="50">
        <f>IF(Taches!B105="","",Taches!C105)</f>
        <v/>
      </c>
      <c r="E105" s="50">
        <f>IF(Taches!B105="","",Taches!D105)</f>
        <v/>
      </c>
      <c r="F105" s="52">
        <f>IF(Taches!P105="","",Taches!P105)</f>
        <v/>
      </c>
      <c r="G105" s="52">
        <f>IF(Taches!Q105="","",Taches!Q105)</f>
        <v/>
      </c>
      <c r="H105" s="50">
        <f>IF(Taches!B105="","",Taches!J105)</f>
        <v/>
      </c>
      <c r="I105" s="53">
        <f>IF(OR($F105="",$G105=""),"",IF(AND(I$5&lt;=$G105,I$5+6&gt;=$F105),IF($H105="Complétée","F",IF(OR($H105="En cours",$H105="En revue"),"E",IF($H105="Bloquée","B","P"))),""))</f>
        <v/>
      </c>
      <c r="J105" s="53">
        <f>IF(OR($F105="",$G105=""),"",IF(AND(J$5&lt;=$G105,J$5+6&gt;=$F105),IF($H105="Complétée","F",IF(OR($H105="En cours",$H105="En revue"),"E",IF($H105="Bloquée","B","P"))),""))</f>
        <v/>
      </c>
      <c r="K105" s="53">
        <f>IF(OR($F105="",$G105=""),"",IF(AND(K$5&lt;=$G105,K$5+6&gt;=$F105),IF($H105="Complétée","F",IF(OR($H105="En cours",$H105="En revue"),"E",IF($H105="Bloquée","B","P"))),""))</f>
        <v/>
      </c>
      <c r="L105" s="53">
        <f>IF(OR($F105="",$G105=""),"",IF(AND(L$5&lt;=$G105,L$5+6&gt;=$F105),IF($H105="Complétée","F",IF(OR($H105="En cours",$H105="En revue"),"E",IF($H105="Bloquée","B","P"))),""))</f>
        <v/>
      </c>
      <c r="M105" s="53">
        <f>IF(OR($F105="",$G105=""),"",IF(AND(M$5&lt;=$G105,M$5+6&gt;=$F105),IF($H105="Complétée","F",IF(OR($H105="En cours",$H105="En revue"),"E",IF($H105="Bloquée","B","P"))),""))</f>
        <v/>
      </c>
      <c r="N105" s="53">
        <f>IF(OR($F105="",$G105=""),"",IF(AND(N$5&lt;=$G105,N$5+6&gt;=$F105),IF($H105="Complétée","F",IF(OR($H105="En cours",$H105="En revue"),"E",IF($H105="Bloquée","B","P"))),""))</f>
        <v/>
      </c>
      <c r="O105" s="53">
        <f>IF(OR($F105="",$G105=""),"",IF(AND(O$5&lt;=$G105,O$5+6&gt;=$F105),IF($H105="Complétée","F",IF(OR($H105="En cours",$H105="En revue"),"E",IF($H105="Bloquée","B","P"))),""))</f>
        <v/>
      </c>
      <c r="P105" s="53">
        <f>IF(OR($F105="",$G105=""),"",IF(AND(P$5&lt;=$G105,P$5+6&gt;=$F105),IF($H105="Complétée","F",IF(OR($H105="En cours",$H105="En revue"),"E",IF($H105="Bloquée","B","P"))),""))</f>
        <v/>
      </c>
      <c r="Q105" s="53">
        <f>IF(OR($F105="",$G105=""),"",IF(AND(Q$5&lt;=$G105,Q$5+6&gt;=$F105),IF($H105="Complétée","F",IF(OR($H105="En cours",$H105="En revue"),"E",IF($H105="Bloquée","B","P"))),""))</f>
        <v/>
      </c>
      <c r="R105" s="53">
        <f>IF(OR($F105="",$G105=""),"",IF(AND(R$5&lt;=$G105,R$5+6&gt;=$F105),IF($H105="Complétée","F",IF(OR($H105="En cours",$H105="En revue"),"E",IF($H105="Bloquée","B","P"))),""))</f>
        <v/>
      </c>
      <c r="S105" s="53">
        <f>IF(OR($F105="",$G105=""),"",IF(AND(S$5&lt;=$G105,S$5+6&gt;=$F105),IF($H105="Complétée","F",IF(OR($H105="En cours",$H105="En revue"),"E",IF($H105="Bloquée","B","P"))),""))</f>
        <v/>
      </c>
      <c r="T105" s="53">
        <f>IF(OR($F105="",$G105=""),"",IF(AND(T$5&lt;=$G105,T$5+6&gt;=$F105),IF($H105="Complétée","F",IF(OR($H105="En cours",$H105="En revue"),"E",IF($H105="Bloquée","B","P"))),""))</f>
        <v/>
      </c>
      <c r="U105" s="53">
        <f>IF(OR($F105="",$G105=""),"",IF(AND(U$5&lt;=$G105,U$5+6&gt;=$F105),IF($H105="Complétée","F",IF(OR($H105="En cours",$H105="En revue"),"E",IF($H105="Bloquée","B","P"))),""))</f>
        <v/>
      </c>
      <c r="V105" s="53">
        <f>IF(OR($F105="",$G105=""),"",IF(AND(V$5&lt;=$G105,V$5+6&gt;=$F105),IF($H105="Complétée","F",IF(OR($H105="En cours",$H105="En revue"),"E",IF($H105="Bloquée","B","P"))),""))</f>
        <v/>
      </c>
      <c r="W105" s="53">
        <f>IF(OR($F105="",$G105=""),"",IF(AND(W$5&lt;=$G105,W$5+6&gt;=$F105),IF($H105="Complétée","F",IF(OR($H105="En cours",$H105="En revue"),"E",IF($H105="Bloquée","B","P"))),""))</f>
        <v/>
      </c>
      <c r="X105" s="53">
        <f>IF(OR($F105="",$G105=""),"",IF(AND(X$5&lt;=$G105,X$5+6&gt;=$F105),IF($H105="Complétée","F",IF(OR($H105="En cours",$H105="En revue"),"E",IF($H105="Bloquée","B","P"))),""))</f>
        <v/>
      </c>
      <c r="Y105" s="53">
        <f>IF(OR($F105="",$G105=""),"",IF(AND(Y$5&lt;=$G105,Y$5+6&gt;=$F105),IF($H105="Complétée","F",IF(OR($H105="En cours",$H105="En revue"),"E",IF($H105="Bloquée","B","P"))),""))</f>
        <v/>
      </c>
      <c r="Z105" s="53">
        <f>IF(OR($F105="",$G105=""),"",IF(AND(Z$5&lt;=$G105,Z$5+6&gt;=$F105),IF($H105="Complétée","F",IF(OR($H105="En cours",$H105="En revue"),"E",IF($H105="Bloquée","B","P"))),""))</f>
        <v/>
      </c>
      <c r="AA105" s="53">
        <f>IF(OR($F105="",$G105=""),"",IF(AND(AA$5&lt;=$G105,AA$5+6&gt;=$F105),IF($H105="Complétée","F",IF(OR($H105="En cours",$H105="En revue"),"E",IF($H105="Bloquée","B","P"))),""))</f>
        <v/>
      </c>
      <c r="AB105" s="53">
        <f>IF(OR($F105="",$G105=""),"",IF(AND(AB$5&lt;=$G105,AB$5+6&gt;=$F105),IF($H105="Complétée","F",IF(OR($H105="En cours",$H105="En revue"),"E",IF($H105="Bloquée","B","P"))),""))</f>
        <v/>
      </c>
      <c r="AC105" s="53">
        <f>IF(OR($F105="",$G105=""),"",IF(AND(AC$5&lt;=$G105,AC$5+6&gt;=$F105),IF($H105="Complétée","F",IF(OR($H105="En cours",$H105="En revue"),"E",IF($H105="Bloquée","B","P"))),""))</f>
        <v/>
      </c>
      <c r="AD105" s="53">
        <f>IF(OR($F105="",$G105=""),"",IF(AND(AD$5&lt;=$G105,AD$5+6&gt;=$F105),IF($H105="Complétée","F",IF(OR($H105="En cours",$H105="En revue"),"E",IF($H105="Bloquée","B","P"))),""))</f>
        <v/>
      </c>
      <c r="AE105" s="53">
        <f>IF(OR($F105="",$G105=""),"",IF(AND(AE$5&lt;=$G105,AE$5+6&gt;=$F105),IF($H105="Complétée","F",IF(OR($H105="En cours",$H105="En revue"),"E",IF($H105="Bloquée","B","P"))),""))</f>
        <v/>
      </c>
      <c r="AF105" s="53">
        <f>IF(OR($F105="",$G105=""),"",IF(AND(AF$5&lt;=$G105,AF$5+6&gt;=$F105),IF($H105="Complétée","F",IF(OR($H105="En cours",$H105="En revue"),"E",IF($H105="Bloquée","B","P"))),""))</f>
        <v/>
      </c>
      <c r="AG105" s="53">
        <f>IF(OR($F105="",$G105=""),"",IF(AND(AG$5&lt;=$G105,AG$5+6&gt;=$F105),IF($H105="Complétée","F",IF(OR($H105="En cours",$H105="En revue"),"E",IF($H105="Bloquée","B","P"))),""))</f>
        <v/>
      </c>
      <c r="AH105" s="53">
        <f>IF(OR($F105="",$G105=""),"",IF(AND(AH$5&lt;=$G105,AH$5+6&gt;=$F105),IF($H105="Complétée","F",IF(OR($H105="En cours",$H105="En revue"),"E",IF($H105="Bloquée","B","P"))),""))</f>
        <v/>
      </c>
      <c r="AI105" s="53">
        <f>IF(OR($F105="",$G105=""),"",IF(AND(AI$5&lt;=$G105,AI$5+6&gt;=$F105),IF($H105="Complétée","F",IF(OR($H105="En cours",$H105="En revue"),"E",IF($H105="Bloquée","B","P"))),""))</f>
        <v/>
      </c>
      <c r="AJ105" s="53">
        <f>IF(OR($F105="",$G105=""),"",IF(AND(AJ$5&lt;=$G105,AJ$5+6&gt;=$F105),IF($H105="Complétée","F",IF(OR($H105="En cours",$H105="En revue"),"E",IF($H105="Bloquée","B","P"))),""))</f>
        <v/>
      </c>
      <c r="AK105" s="53">
        <f>IF(OR($F105="",$G105=""),"",IF(AND(AK$5&lt;=$G105,AK$5+6&gt;=$F105),IF($H105="Complétée","F",IF(OR($H105="En cours",$H105="En revue"),"E",IF($H105="Bloquée","B","P"))),""))</f>
        <v/>
      </c>
      <c r="AL105" s="53">
        <f>IF(OR($F105="",$G105=""),"",IF(AND(AL$5&lt;=$G105,AL$5+6&gt;=$F105),IF($H105="Complétée","F",IF(OR($H105="En cours",$H105="En revue"),"E",IF($H105="Bloquée","B","P"))),""))</f>
        <v/>
      </c>
      <c r="AM105" s="53">
        <f>IF(OR($F105="",$G105=""),"",IF(AND(AM$5&lt;=$G105,AM$5+6&gt;=$F105),IF($H105="Complétée","F",IF(OR($H105="En cours",$H105="En revue"),"E",IF($H105="Bloquée","B","P"))),""))</f>
        <v/>
      </c>
      <c r="AN105" s="53">
        <f>IF(OR($F105="",$G105=""),"",IF(AND(AN$5&lt;=$G105,AN$5+6&gt;=$F105),IF($H105="Complétée","F",IF(OR($H105="En cours",$H105="En revue"),"E",IF($H105="Bloquée","B","P"))),""))</f>
        <v/>
      </c>
      <c r="AO105" s="53">
        <f>IF(OR($F105="",$G105=""),"",IF(AND(AO$5&lt;=$G105,AO$5+6&gt;=$F105),IF($H105="Complétée","F",IF(OR($H105="En cours",$H105="En revue"),"E",IF($H105="Bloquée","B","P"))),""))</f>
        <v/>
      </c>
      <c r="AP105" s="53">
        <f>IF(OR($F105="",$G105=""),"",IF(AND(AP$5&lt;=$G105,AP$5+6&gt;=$F105),IF($H105="Complétée","F",IF(OR($H105="En cours",$H105="En revue"),"E",IF($H105="Bloquée","B","P"))),""))</f>
        <v/>
      </c>
      <c r="AQ105" s="53">
        <f>IF(OR($F105="",$G105=""),"",IF(AND(AQ$5&lt;=$G105,AQ$5+6&gt;=$F105),IF($H105="Complétée","F",IF(OR($H105="En cours",$H105="En revue"),"E",IF($H105="Bloquée","B","P"))),""))</f>
        <v/>
      </c>
      <c r="AR105" s="53">
        <f>IF(OR($F105="",$G105=""),"",IF(AND(AR$5&lt;=$G105,AR$5+6&gt;=$F105),IF($H105="Complétée","F",IF(OR($H105="En cours",$H105="En revue"),"E",IF($H105="Bloquée","B","P"))),""))</f>
        <v/>
      </c>
      <c r="AS105" s="53">
        <f>IF(OR($F105="",$G105=""),"",IF(AND(AS$5&lt;=$G105,AS$5+6&gt;=$F105),IF($H105="Complétée","F",IF(OR($H105="En cours",$H105="En revue"),"E",IF($H105="Bloquée","B","P"))),""))</f>
        <v/>
      </c>
      <c r="AT105" s="53">
        <f>IF(OR($F105="",$G105=""),"",IF(AND(AT$5&lt;=$G105,AT$5+6&gt;=$F105),IF($H105="Complétée","F",IF(OR($H105="En cours",$H105="En revue"),"E",IF($H105="Bloquée","B","P"))),""))</f>
        <v/>
      </c>
      <c r="AU105" s="53">
        <f>IF(OR($F105="",$G105=""),"",IF(AND(AU$5&lt;=$G105,AU$5+6&gt;=$F105),IF($H105="Complétée","F",IF(OR($H105="En cours",$H105="En revue"),"E",IF($H105="Bloquée","B","P"))),""))</f>
        <v/>
      </c>
      <c r="AV105" s="53">
        <f>IF(OR($F105="",$G105=""),"",IF(AND(AV$5&lt;=$G105,AV$5+6&gt;=$F105),IF($H105="Complétée","F",IF(OR($H105="En cours",$H105="En revue"),"E",IF($H105="Bloquée","B","P"))),""))</f>
        <v/>
      </c>
      <c r="AW105" s="53">
        <f>IF(OR($F105="",$G105=""),"",IF(AND(AW$5&lt;=$G105,AW$5+6&gt;=$F105),IF($H105="Complétée","F",IF(OR($H105="En cours",$H105="En revue"),"E",IF($H105="Bloquée","B","P"))),""))</f>
        <v/>
      </c>
    </row>
    <row r="106">
      <c r="B106" s="50">
        <f>IF(Taches!B106="","",Taches!B106)</f>
        <v/>
      </c>
      <c r="C106" s="51">
        <f>IF(Taches!B106="","",Taches!F106)</f>
        <v/>
      </c>
      <c r="D106" s="50">
        <f>IF(Taches!B106="","",Taches!C106)</f>
        <v/>
      </c>
      <c r="E106" s="50">
        <f>IF(Taches!B106="","",Taches!D106)</f>
        <v/>
      </c>
      <c r="F106" s="52">
        <f>IF(Taches!P106="","",Taches!P106)</f>
        <v/>
      </c>
      <c r="G106" s="52">
        <f>IF(Taches!Q106="","",Taches!Q106)</f>
        <v/>
      </c>
      <c r="H106" s="50">
        <f>IF(Taches!B106="","",Taches!J106)</f>
        <v/>
      </c>
      <c r="I106" s="53">
        <f>IF(OR($F106="",$G106=""),"",IF(AND(I$5&lt;=$G106,I$5+6&gt;=$F106),IF($H106="Complétée","F",IF(OR($H106="En cours",$H106="En revue"),"E",IF($H106="Bloquée","B","P"))),""))</f>
        <v/>
      </c>
      <c r="J106" s="53">
        <f>IF(OR($F106="",$G106=""),"",IF(AND(J$5&lt;=$G106,J$5+6&gt;=$F106),IF($H106="Complétée","F",IF(OR($H106="En cours",$H106="En revue"),"E",IF($H106="Bloquée","B","P"))),""))</f>
        <v/>
      </c>
      <c r="K106" s="53">
        <f>IF(OR($F106="",$G106=""),"",IF(AND(K$5&lt;=$G106,K$5+6&gt;=$F106),IF($H106="Complétée","F",IF(OR($H106="En cours",$H106="En revue"),"E",IF($H106="Bloquée","B","P"))),""))</f>
        <v/>
      </c>
      <c r="L106" s="53">
        <f>IF(OR($F106="",$G106=""),"",IF(AND(L$5&lt;=$G106,L$5+6&gt;=$F106),IF($H106="Complétée","F",IF(OR($H106="En cours",$H106="En revue"),"E",IF($H106="Bloquée","B","P"))),""))</f>
        <v/>
      </c>
      <c r="M106" s="53">
        <f>IF(OR($F106="",$G106=""),"",IF(AND(M$5&lt;=$G106,M$5+6&gt;=$F106),IF($H106="Complétée","F",IF(OR($H106="En cours",$H106="En revue"),"E",IF($H106="Bloquée","B","P"))),""))</f>
        <v/>
      </c>
      <c r="N106" s="53">
        <f>IF(OR($F106="",$G106=""),"",IF(AND(N$5&lt;=$G106,N$5+6&gt;=$F106),IF($H106="Complétée","F",IF(OR($H106="En cours",$H106="En revue"),"E",IF($H106="Bloquée","B","P"))),""))</f>
        <v/>
      </c>
      <c r="O106" s="53">
        <f>IF(OR($F106="",$G106=""),"",IF(AND(O$5&lt;=$G106,O$5+6&gt;=$F106),IF($H106="Complétée","F",IF(OR($H106="En cours",$H106="En revue"),"E",IF($H106="Bloquée","B","P"))),""))</f>
        <v/>
      </c>
      <c r="P106" s="53">
        <f>IF(OR($F106="",$G106=""),"",IF(AND(P$5&lt;=$G106,P$5+6&gt;=$F106),IF($H106="Complétée","F",IF(OR($H106="En cours",$H106="En revue"),"E",IF($H106="Bloquée","B","P"))),""))</f>
        <v/>
      </c>
      <c r="Q106" s="53">
        <f>IF(OR($F106="",$G106=""),"",IF(AND(Q$5&lt;=$G106,Q$5+6&gt;=$F106),IF($H106="Complétée","F",IF(OR($H106="En cours",$H106="En revue"),"E",IF($H106="Bloquée","B","P"))),""))</f>
        <v/>
      </c>
      <c r="R106" s="53">
        <f>IF(OR($F106="",$G106=""),"",IF(AND(R$5&lt;=$G106,R$5+6&gt;=$F106),IF($H106="Complétée","F",IF(OR($H106="En cours",$H106="En revue"),"E",IF($H106="Bloquée","B","P"))),""))</f>
        <v/>
      </c>
      <c r="S106" s="53">
        <f>IF(OR($F106="",$G106=""),"",IF(AND(S$5&lt;=$G106,S$5+6&gt;=$F106),IF($H106="Complétée","F",IF(OR($H106="En cours",$H106="En revue"),"E",IF($H106="Bloquée","B","P"))),""))</f>
        <v/>
      </c>
      <c r="T106" s="53">
        <f>IF(OR($F106="",$G106=""),"",IF(AND(T$5&lt;=$G106,T$5+6&gt;=$F106),IF($H106="Complétée","F",IF(OR($H106="En cours",$H106="En revue"),"E",IF($H106="Bloquée","B","P"))),""))</f>
        <v/>
      </c>
      <c r="U106" s="53">
        <f>IF(OR($F106="",$G106=""),"",IF(AND(U$5&lt;=$G106,U$5+6&gt;=$F106),IF($H106="Complétée","F",IF(OR($H106="En cours",$H106="En revue"),"E",IF($H106="Bloquée","B","P"))),""))</f>
        <v/>
      </c>
      <c r="V106" s="53">
        <f>IF(OR($F106="",$G106=""),"",IF(AND(V$5&lt;=$G106,V$5+6&gt;=$F106),IF($H106="Complétée","F",IF(OR($H106="En cours",$H106="En revue"),"E",IF($H106="Bloquée","B","P"))),""))</f>
        <v/>
      </c>
      <c r="W106" s="53">
        <f>IF(OR($F106="",$G106=""),"",IF(AND(W$5&lt;=$G106,W$5+6&gt;=$F106),IF($H106="Complétée","F",IF(OR($H106="En cours",$H106="En revue"),"E",IF($H106="Bloquée","B","P"))),""))</f>
        <v/>
      </c>
      <c r="X106" s="53">
        <f>IF(OR($F106="",$G106=""),"",IF(AND(X$5&lt;=$G106,X$5+6&gt;=$F106),IF($H106="Complétée","F",IF(OR($H106="En cours",$H106="En revue"),"E",IF($H106="Bloquée","B","P"))),""))</f>
        <v/>
      </c>
      <c r="Y106" s="53">
        <f>IF(OR($F106="",$G106=""),"",IF(AND(Y$5&lt;=$G106,Y$5+6&gt;=$F106),IF($H106="Complétée","F",IF(OR($H106="En cours",$H106="En revue"),"E",IF($H106="Bloquée","B","P"))),""))</f>
        <v/>
      </c>
      <c r="Z106" s="53">
        <f>IF(OR($F106="",$G106=""),"",IF(AND(Z$5&lt;=$G106,Z$5+6&gt;=$F106),IF($H106="Complétée","F",IF(OR($H106="En cours",$H106="En revue"),"E",IF($H106="Bloquée","B","P"))),""))</f>
        <v/>
      </c>
      <c r="AA106" s="53">
        <f>IF(OR($F106="",$G106=""),"",IF(AND(AA$5&lt;=$G106,AA$5+6&gt;=$F106),IF($H106="Complétée","F",IF(OR($H106="En cours",$H106="En revue"),"E",IF($H106="Bloquée","B","P"))),""))</f>
        <v/>
      </c>
      <c r="AB106" s="53">
        <f>IF(OR($F106="",$G106=""),"",IF(AND(AB$5&lt;=$G106,AB$5+6&gt;=$F106),IF($H106="Complétée","F",IF(OR($H106="En cours",$H106="En revue"),"E",IF($H106="Bloquée","B","P"))),""))</f>
        <v/>
      </c>
      <c r="AC106" s="53">
        <f>IF(OR($F106="",$G106=""),"",IF(AND(AC$5&lt;=$G106,AC$5+6&gt;=$F106),IF($H106="Complétée","F",IF(OR($H106="En cours",$H106="En revue"),"E",IF($H106="Bloquée","B","P"))),""))</f>
        <v/>
      </c>
      <c r="AD106" s="53">
        <f>IF(OR($F106="",$G106=""),"",IF(AND(AD$5&lt;=$G106,AD$5+6&gt;=$F106),IF($H106="Complétée","F",IF(OR($H106="En cours",$H106="En revue"),"E",IF($H106="Bloquée","B","P"))),""))</f>
        <v/>
      </c>
      <c r="AE106" s="53">
        <f>IF(OR($F106="",$G106=""),"",IF(AND(AE$5&lt;=$G106,AE$5+6&gt;=$F106),IF($H106="Complétée","F",IF(OR($H106="En cours",$H106="En revue"),"E",IF($H106="Bloquée","B","P"))),""))</f>
        <v/>
      </c>
      <c r="AF106" s="53">
        <f>IF(OR($F106="",$G106=""),"",IF(AND(AF$5&lt;=$G106,AF$5+6&gt;=$F106),IF($H106="Complétée","F",IF(OR($H106="En cours",$H106="En revue"),"E",IF($H106="Bloquée","B","P"))),""))</f>
        <v/>
      </c>
      <c r="AG106" s="53">
        <f>IF(OR($F106="",$G106=""),"",IF(AND(AG$5&lt;=$G106,AG$5+6&gt;=$F106),IF($H106="Complétée","F",IF(OR($H106="En cours",$H106="En revue"),"E",IF($H106="Bloquée","B","P"))),""))</f>
        <v/>
      </c>
      <c r="AH106" s="53">
        <f>IF(OR($F106="",$G106=""),"",IF(AND(AH$5&lt;=$G106,AH$5+6&gt;=$F106),IF($H106="Complétée","F",IF(OR($H106="En cours",$H106="En revue"),"E",IF($H106="Bloquée","B","P"))),""))</f>
        <v/>
      </c>
      <c r="AI106" s="53">
        <f>IF(OR($F106="",$G106=""),"",IF(AND(AI$5&lt;=$G106,AI$5+6&gt;=$F106),IF($H106="Complétée","F",IF(OR($H106="En cours",$H106="En revue"),"E",IF($H106="Bloquée","B","P"))),""))</f>
        <v/>
      </c>
      <c r="AJ106" s="53">
        <f>IF(OR($F106="",$G106=""),"",IF(AND(AJ$5&lt;=$G106,AJ$5+6&gt;=$F106),IF($H106="Complétée","F",IF(OR($H106="En cours",$H106="En revue"),"E",IF($H106="Bloquée","B","P"))),""))</f>
        <v/>
      </c>
      <c r="AK106" s="53">
        <f>IF(OR($F106="",$G106=""),"",IF(AND(AK$5&lt;=$G106,AK$5+6&gt;=$F106),IF($H106="Complétée","F",IF(OR($H106="En cours",$H106="En revue"),"E",IF($H106="Bloquée","B","P"))),""))</f>
        <v/>
      </c>
      <c r="AL106" s="53">
        <f>IF(OR($F106="",$G106=""),"",IF(AND(AL$5&lt;=$G106,AL$5+6&gt;=$F106),IF($H106="Complétée","F",IF(OR($H106="En cours",$H106="En revue"),"E",IF($H106="Bloquée","B","P"))),""))</f>
        <v/>
      </c>
      <c r="AM106" s="53">
        <f>IF(OR($F106="",$G106=""),"",IF(AND(AM$5&lt;=$G106,AM$5+6&gt;=$F106),IF($H106="Complétée","F",IF(OR($H106="En cours",$H106="En revue"),"E",IF($H106="Bloquée","B","P"))),""))</f>
        <v/>
      </c>
      <c r="AN106" s="53">
        <f>IF(OR($F106="",$G106=""),"",IF(AND(AN$5&lt;=$G106,AN$5+6&gt;=$F106),IF($H106="Complétée","F",IF(OR($H106="En cours",$H106="En revue"),"E",IF($H106="Bloquée","B","P"))),""))</f>
        <v/>
      </c>
      <c r="AO106" s="53">
        <f>IF(OR($F106="",$G106=""),"",IF(AND(AO$5&lt;=$G106,AO$5+6&gt;=$F106),IF($H106="Complétée","F",IF(OR($H106="En cours",$H106="En revue"),"E",IF($H106="Bloquée","B","P"))),""))</f>
        <v/>
      </c>
      <c r="AP106" s="53">
        <f>IF(OR($F106="",$G106=""),"",IF(AND(AP$5&lt;=$G106,AP$5+6&gt;=$F106),IF($H106="Complétée","F",IF(OR($H106="En cours",$H106="En revue"),"E",IF($H106="Bloquée","B","P"))),""))</f>
        <v/>
      </c>
      <c r="AQ106" s="53">
        <f>IF(OR($F106="",$G106=""),"",IF(AND(AQ$5&lt;=$G106,AQ$5+6&gt;=$F106),IF($H106="Complétée","F",IF(OR($H106="En cours",$H106="En revue"),"E",IF($H106="Bloquée","B","P"))),""))</f>
        <v/>
      </c>
      <c r="AR106" s="53">
        <f>IF(OR($F106="",$G106=""),"",IF(AND(AR$5&lt;=$G106,AR$5+6&gt;=$F106),IF($H106="Complétée","F",IF(OR($H106="En cours",$H106="En revue"),"E",IF($H106="Bloquée","B","P"))),""))</f>
        <v/>
      </c>
      <c r="AS106" s="53">
        <f>IF(OR($F106="",$G106=""),"",IF(AND(AS$5&lt;=$G106,AS$5+6&gt;=$F106),IF($H106="Complétée","F",IF(OR($H106="En cours",$H106="En revue"),"E",IF($H106="Bloquée","B","P"))),""))</f>
        <v/>
      </c>
      <c r="AT106" s="53">
        <f>IF(OR($F106="",$G106=""),"",IF(AND(AT$5&lt;=$G106,AT$5+6&gt;=$F106),IF($H106="Complétée","F",IF(OR($H106="En cours",$H106="En revue"),"E",IF($H106="Bloquée","B","P"))),""))</f>
        <v/>
      </c>
      <c r="AU106" s="53">
        <f>IF(OR($F106="",$G106=""),"",IF(AND(AU$5&lt;=$G106,AU$5+6&gt;=$F106),IF($H106="Complétée","F",IF(OR($H106="En cours",$H106="En revue"),"E",IF($H106="Bloquée","B","P"))),""))</f>
        <v/>
      </c>
      <c r="AV106" s="53">
        <f>IF(OR($F106="",$G106=""),"",IF(AND(AV$5&lt;=$G106,AV$5+6&gt;=$F106),IF($H106="Complétée","F",IF(OR($H106="En cours",$H106="En revue"),"E",IF($H106="Bloquée","B","P"))),""))</f>
        <v/>
      </c>
      <c r="AW106" s="53">
        <f>IF(OR($F106="",$G106=""),"",IF(AND(AW$5&lt;=$G106,AW$5+6&gt;=$F106),IF($H106="Complétée","F",IF(OR($H106="En cours",$H106="En revue"),"E",IF($H106="Bloquée","B","P"))),""))</f>
        <v/>
      </c>
    </row>
    <row r="107">
      <c r="B107" s="50">
        <f>IF(Taches!B107="","",Taches!B107)</f>
        <v/>
      </c>
      <c r="C107" s="51">
        <f>IF(Taches!B107="","",Taches!F107)</f>
        <v/>
      </c>
      <c r="D107" s="50">
        <f>IF(Taches!B107="","",Taches!C107)</f>
        <v/>
      </c>
      <c r="E107" s="50">
        <f>IF(Taches!B107="","",Taches!D107)</f>
        <v/>
      </c>
      <c r="F107" s="52">
        <f>IF(Taches!P107="","",Taches!P107)</f>
        <v/>
      </c>
      <c r="G107" s="52">
        <f>IF(Taches!Q107="","",Taches!Q107)</f>
        <v/>
      </c>
      <c r="H107" s="50">
        <f>IF(Taches!B107="","",Taches!J107)</f>
        <v/>
      </c>
      <c r="I107" s="53">
        <f>IF(OR($F107="",$G107=""),"",IF(AND(I$5&lt;=$G107,I$5+6&gt;=$F107),IF($H107="Complétée","F",IF(OR($H107="En cours",$H107="En revue"),"E",IF($H107="Bloquée","B","P"))),""))</f>
        <v/>
      </c>
      <c r="J107" s="53">
        <f>IF(OR($F107="",$G107=""),"",IF(AND(J$5&lt;=$G107,J$5+6&gt;=$F107),IF($H107="Complétée","F",IF(OR($H107="En cours",$H107="En revue"),"E",IF($H107="Bloquée","B","P"))),""))</f>
        <v/>
      </c>
      <c r="K107" s="53">
        <f>IF(OR($F107="",$G107=""),"",IF(AND(K$5&lt;=$G107,K$5+6&gt;=$F107),IF($H107="Complétée","F",IF(OR($H107="En cours",$H107="En revue"),"E",IF($H107="Bloquée","B","P"))),""))</f>
        <v/>
      </c>
      <c r="L107" s="53">
        <f>IF(OR($F107="",$G107=""),"",IF(AND(L$5&lt;=$G107,L$5+6&gt;=$F107),IF($H107="Complétée","F",IF(OR($H107="En cours",$H107="En revue"),"E",IF($H107="Bloquée","B","P"))),""))</f>
        <v/>
      </c>
      <c r="M107" s="53">
        <f>IF(OR($F107="",$G107=""),"",IF(AND(M$5&lt;=$G107,M$5+6&gt;=$F107),IF($H107="Complétée","F",IF(OR($H107="En cours",$H107="En revue"),"E",IF($H107="Bloquée","B","P"))),""))</f>
        <v/>
      </c>
      <c r="N107" s="53">
        <f>IF(OR($F107="",$G107=""),"",IF(AND(N$5&lt;=$G107,N$5+6&gt;=$F107),IF($H107="Complétée","F",IF(OR($H107="En cours",$H107="En revue"),"E",IF($H107="Bloquée","B","P"))),""))</f>
        <v/>
      </c>
      <c r="O107" s="53">
        <f>IF(OR($F107="",$G107=""),"",IF(AND(O$5&lt;=$G107,O$5+6&gt;=$F107),IF($H107="Complétée","F",IF(OR($H107="En cours",$H107="En revue"),"E",IF($H107="Bloquée","B","P"))),""))</f>
        <v/>
      </c>
      <c r="P107" s="53">
        <f>IF(OR($F107="",$G107=""),"",IF(AND(P$5&lt;=$G107,P$5+6&gt;=$F107),IF($H107="Complétée","F",IF(OR($H107="En cours",$H107="En revue"),"E",IF($H107="Bloquée","B","P"))),""))</f>
        <v/>
      </c>
      <c r="Q107" s="53">
        <f>IF(OR($F107="",$G107=""),"",IF(AND(Q$5&lt;=$G107,Q$5+6&gt;=$F107),IF($H107="Complétée","F",IF(OR($H107="En cours",$H107="En revue"),"E",IF($H107="Bloquée","B","P"))),""))</f>
        <v/>
      </c>
      <c r="R107" s="53">
        <f>IF(OR($F107="",$G107=""),"",IF(AND(R$5&lt;=$G107,R$5+6&gt;=$F107),IF($H107="Complétée","F",IF(OR($H107="En cours",$H107="En revue"),"E",IF($H107="Bloquée","B","P"))),""))</f>
        <v/>
      </c>
      <c r="S107" s="53">
        <f>IF(OR($F107="",$G107=""),"",IF(AND(S$5&lt;=$G107,S$5+6&gt;=$F107),IF($H107="Complétée","F",IF(OR($H107="En cours",$H107="En revue"),"E",IF($H107="Bloquée","B","P"))),""))</f>
        <v/>
      </c>
      <c r="T107" s="53">
        <f>IF(OR($F107="",$G107=""),"",IF(AND(T$5&lt;=$G107,T$5+6&gt;=$F107),IF($H107="Complétée","F",IF(OR($H107="En cours",$H107="En revue"),"E",IF($H107="Bloquée","B","P"))),""))</f>
        <v/>
      </c>
      <c r="U107" s="53">
        <f>IF(OR($F107="",$G107=""),"",IF(AND(U$5&lt;=$G107,U$5+6&gt;=$F107),IF($H107="Complétée","F",IF(OR($H107="En cours",$H107="En revue"),"E",IF($H107="Bloquée","B","P"))),""))</f>
        <v/>
      </c>
      <c r="V107" s="53">
        <f>IF(OR($F107="",$G107=""),"",IF(AND(V$5&lt;=$G107,V$5+6&gt;=$F107),IF($H107="Complétée","F",IF(OR($H107="En cours",$H107="En revue"),"E",IF($H107="Bloquée","B","P"))),""))</f>
        <v/>
      </c>
      <c r="W107" s="53">
        <f>IF(OR($F107="",$G107=""),"",IF(AND(W$5&lt;=$G107,W$5+6&gt;=$F107),IF($H107="Complétée","F",IF(OR($H107="En cours",$H107="En revue"),"E",IF($H107="Bloquée","B","P"))),""))</f>
        <v/>
      </c>
      <c r="X107" s="53">
        <f>IF(OR($F107="",$G107=""),"",IF(AND(X$5&lt;=$G107,X$5+6&gt;=$F107),IF($H107="Complétée","F",IF(OR($H107="En cours",$H107="En revue"),"E",IF($H107="Bloquée","B","P"))),""))</f>
        <v/>
      </c>
      <c r="Y107" s="53">
        <f>IF(OR($F107="",$G107=""),"",IF(AND(Y$5&lt;=$G107,Y$5+6&gt;=$F107),IF($H107="Complétée","F",IF(OR($H107="En cours",$H107="En revue"),"E",IF($H107="Bloquée","B","P"))),""))</f>
        <v/>
      </c>
      <c r="Z107" s="53">
        <f>IF(OR($F107="",$G107=""),"",IF(AND(Z$5&lt;=$G107,Z$5+6&gt;=$F107),IF($H107="Complétée","F",IF(OR($H107="En cours",$H107="En revue"),"E",IF($H107="Bloquée","B","P"))),""))</f>
        <v/>
      </c>
      <c r="AA107" s="53">
        <f>IF(OR($F107="",$G107=""),"",IF(AND(AA$5&lt;=$G107,AA$5+6&gt;=$F107),IF($H107="Complétée","F",IF(OR($H107="En cours",$H107="En revue"),"E",IF($H107="Bloquée","B","P"))),""))</f>
        <v/>
      </c>
      <c r="AB107" s="53">
        <f>IF(OR($F107="",$G107=""),"",IF(AND(AB$5&lt;=$G107,AB$5+6&gt;=$F107),IF($H107="Complétée","F",IF(OR($H107="En cours",$H107="En revue"),"E",IF($H107="Bloquée","B","P"))),""))</f>
        <v/>
      </c>
      <c r="AC107" s="53">
        <f>IF(OR($F107="",$G107=""),"",IF(AND(AC$5&lt;=$G107,AC$5+6&gt;=$F107),IF($H107="Complétée","F",IF(OR($H107="En cours",$H107="En revue"),"E",IF($H107="Bloquée","B","P"))),""))</f>
        <v/>
      </c>
      <c r="AD107" s="53">
        <f>IF(OR($F107="",$G107=""),"",IF(AND(AD$5&lt;=$G107,AD$5+6&gt;=$F107),IF($H107="Complétée","F",IF(OR($H107="En cours",$H107="En revue"),"E",IF($H107="Bloquée","B","P"))),""))</f>
        <v/>
      </c>
      <c r="AE107" s="53">
        <f>IF(OR($F107="",$G107=""),"",IF(AND(AE$5&lt;=$G107,AE$5+6&gt;=$F107),IF($H107="Complétée","F",IF(OR($H107="En cours",$H107="En revue"),"E",IF($H107="Bloquée","B","P"))),""))</f>
        <v/>
      </c>
      <c r="AF107" s="53">
        <f>IF(OR($F107="",$G107=""),"",IF(AND(AF$5&lt;=$G107,AF$5+6&gt;=$F107),IF($H107="Complétée","F",IF(OR($H107="En cours",$H107="En revue"),"E",IF($H107="Bloquée","B","P"))),""))</f>
        <v/>
      </c>
      <c r="AG107" s="53">
        <f>IF(OR($F107="",$G107=""),"",IF(AND(AG$5&lt;=$G107,AG$5+6&gt;=$F107),IF($H107="Complétée","F",IF(OR($H107="En cours",$H107="En revue"),"E",IF($H107="Bloquée","B","P"))),""))</f>
        <v/>
      </c>
      <c r="AH107" s="53">
        <f>IF(OR($F107="",$G107=""),"",IF(AND(AH$5&lt;=$G107,AH$5+6&gt;=$F107),IF($H107="Complétée","F",IF(OR($H107="En cours",$H107="En revue"),"E",IF($H107="Bloquée","B","P"))),""))</f>
        <v/>
      </c>
      <c r="AI107" s="53">
        <f>IF(OR($F107="",$G107=""),"",IF(AND(AI$5&lt;=$G107,AI$5+6&gt;=$F107),IF($H107="Complétée","F",IF(OR($H107="En cours",$H107="En revue"),"E",IF($H107="Bloquée","B","P"))),""))</f>
        <v/>
      </c>
      <c r="AJ107" s="53">
        <f>IF(OR($F107="",$G107=""),"",IF(AND(AJ$5&lt;=$G107,AJ$5+6&gt;=$F107),IF($H107="Complétée","F",IF(OR($H107="En cours",$H107="En revue"),"E",IF($H107="Bloquée","B","P"))),""))</f>
        <v/>
      </c>
      <c r="AK107" s="53">
        <f>IF(OR($F107="",$G107=""),"",IF(AND(AK$5&lt;=$G107,AK$5+6&gt;=$F107),IF($H107="Complétée","F",IF(OR($H107="En cours",$H107="En revue"),"E",IF($H107="Bloquée","B","P"))),""))</f>
        <v/>
      </c>
      <c r="AL107" s="53">
        <f>IF(OR($F107="",$G107=""),"",IF(AND(AL$5&lt;=$G107,AL$5+6&gt;=$F107),IF($H107="Complétée","F",IF(OR($H107="En cours",$H107="En revue"),"E",IF($H107="Bloquée","B","P"))),""))</f>
        <v/>
      </c>
      <c r="AM107" s="53">
        <f>IF(OR($F107="",$G107=""),"",IF(AND(AM$5&lt;=$G107,AM$5+6&gt;=$F107),IF($H107="Complétée","F",IF(OR($H107="En cours",$H107="En revue"),"E",IF($H107="Bloquée","B","P"))),""))</f>
        <v/>
      </c>
      <c r="AN107" s="53">
        <f>IF(OR($F107="",$G107=""),"",IF(AND(AN$5&lt;=$G107,AN$5+6&gt;=$F107),IF($H107="Complétée","F",IF(OR($H107="En cours",$H107="En revue"),"E",IF($H107="Bloquée","B","P"))),""))</f>
        <v/>
      </c>
      <c r="AO107" s="53">
        <f>IF(OR($F107="",$G107=""),"",IF(AND(AO$5&lt;=$G107,AO$5+6&gt;=$F107),IF($H107="Complétée","F",IF(OR($H107="En cours",$H107="En revue"),"E",IF($H107="Bloquée","B","P"))),""))</f>
        <v/>
      </c>
      <c r="AP107" s="53">
        <f>IF(OR($F107="",$G107=""),"",IF(AND(AP$5&lt;=$G107,AP$5+6&gt;=$F107),IF($H107="Complétée","F",IF(OR($H107="En cours",$H107="En revue"),"E",IF($H107="Bloquée","B","P"))),""))</f>
        <v/>
      </c>
      <c r="AQ107" s="53">
        <f>IF(OR($F107="",$G107=""),"",IF(AND(AQ$5&lt;=$G107,AQ$5+6&gt;=$F107),IF($H107="Complétée","F",IF(OR($H107="En cours",$H107="En revue"),"E",IF($H107="Bloquée","B","P"))),""))</f>
        <v/>
      </c>
      <c r="AR107" s="53">
        <f>IF(OR($F107="",$G107=""),"",IF(AND(AR$5&lt;=$G107,AR$5+6&gt;=$F107),IF($H107="Complétée","F",IF(OR($H107="En cours",$H107="En revue"),"E",IF($H107="Bloquée","B","P"))),""))</f>
        <v/>
      </c>
      <c r="AS107" s="53">
        <f>IF(OR($F107="",$G107=""),"",IF(AND(AS$5&lt;=$G107,AS$5+6&gt;=$F107),IF($H107="Complétée","F",IF(OR($H107="En cours",$H107="En revue"),"E",IF($H107="Bloquée","B","P"))),""))</f>
        <v/>
      </c>
      <c r="AT107" s="53">
        <f>IF(OR($F107="",$G107=""),"",IF(AND(AT$5&lt;=$G107,AT$5+6&gt;=$F107),IF($H107="Complétée","F",IF(OR($H107="En cours",$H107="En revue"),"E",IF($H107="Bloquée","B","P"))),""))</f>
        <v/>
      </c>
      <c r="AU107" s="53">
        <f>IF(OR($F107="",$G107=""),"",IF(AND(AU$5&lt;=$G107,AU$5+6&gt;=$F107),IF($H107="Complétée","F",IF(OR($H107="En cours",$H107="En revue"),"E",IF($H107="Bloquée","B","P"))),""))</f>
        <v/>
      </c>
      <c r="AV107" s="53">
        <f>IF(OR($F107="",$G107=""),"",IF(AND(AV$5&lt;=$G107,AV$5+6&gt;=$F107),IF($H107="Complétée","F",IF(OR($H107="En cours",$H107="En revue"),"E",IF($H107="Bloquée","B","P"))),""))</f>
        <v/>
      </c>
      <c r="AW107" s="53">
        <f>IF(OR($F107="",$G107=""),"",IF(AND(AW$5&lt;=$G107,AW$5+6&gt;=$F107),IF($H107="Complétée","F",IF(OR($H107="En cours",$H107="En revue"),"E",IF($H107="Bloquée","B","P"))),""))</f>
        <v/>
      </c>
    </row>
    <row r="108">
      <c r="B108" s="50">
        <f>IF(Taches!B108="","",Taches!B108)</f>
        <v/>
      </c>
      <c r="C108" s="51">
        <f>IF(Taches!B108="","",Taches!F108)</f>
        <v/>
      </c>
      <c r="D108" s="50">
        <f>IF(Taches!B108="","",Taches!C108)</f>
        <v/>
      </c>
      <c r="E108" s="50">
        <f>IF(Taches!B108="","",Taches!D108)</f>
        <v/>
      </c>
      <c r="F108" s="52">
        <f>IF(Taches!P108="","",Taches!P108)</f>
        <v/>
      </c>
      <c r="G108" s="52">
        <f>IF(Taches!Q108="","",Taches!Q108)</f>
        <v/>
      </c>
      <c r="H108" s="50">
        <f>IF(Taches!B108="","",Taches!J108)</f>
        <v/>
      </c>
      <c r="I108" s="53">
        <f>IF(OR($F108="",$G108=""),"",IF(AND(I$5&lt;=$G108,I$5+6&gt;=$F108),IF($H108="Complétée","F",IF(OR($H108="En cours",$H108="En revue"),"E",IF($H108="Bloquée","B","P"))),""))</f>
        <v/>
      </c>
      <c r="J108" s="53">
        <f>IF(OR($F108="",$G108=""),"",IF(AND(J$5&lt;=$G108,J$5+6&gt;=$F108),IF($H108="Complétée","F",IF(OR($H108="En cours",$H108="En revue"),"E",IF($H108="Bloquée","B","P"))),""))</f>
        <v/>
      </c>
      <c r="K108" s="53">
        <f>IF(OR($F108="",$G108=""),"",IF(AND(K$5&lt;=$G108,K$5+6&gt;=$F108),IF($H108="Complétée","F",IF(OR($H108="En cours",$H108="En revue"),"E",IF($H108="Bloquée","B","P"))),""))</f>
        <v/>
      </c>
      <c r="L108" s="53">
        <f>IF(OR($F108="",$G108=""),"",IF(AND(L$5&lt;=$G108,L$5+6&gt;=$F108),IF($H108="Complétée","F",IF(OR($H108="En cours",$H108="En revue"),"E",IF($H108="Bloquée","B","P"))),""))</f>
        <v/>
      </c>
      <c r="M108" s="53">
        <f>IF(OR($F108="",$G108=""),"",IF(AND(M$5&lt;=$G108,M$5+6&gt;=$F108),IF($H108="Complétée","F",IF(OR($H108="En cours",$H108="En revue"),"E",IF($H108="Bloquée","B","P"))),""))</f>
        <v/>
      </c>
      <c r="N108" s="53">
        <f>IF(OR($F108="",$G108=""),"",IF(AND(N$5&lt;=$G108,N$5+6&gt;=$F108),IF($H108="Complétée","F",IF(OR($H108="En cours",$H108="En revue"),"E",IF($H108="Bloquée","B","P"))),""))</f>
        <v/>
      </c>
      <c r="O108" s="53">
        <f>IF(OR($F108="",$G108=""),"",IF(AND(O$5&lt;=$G108,O$5+6&gt;=$F108),IF($H108="Complétée","F",IF(OR($H108="En cours",$H108="En revue"),"E",IF($H108="Bloquée","B","P"))),""))</f>
        <v/>
      </c>
      <c r="P108" s="53">
        <f>IF(OR($F108="",$G108=""),"",IF(AND(P$5&lt;=$G108,P$5+6&gt;=$F108),IF($H108="Complétée","F",IF(OR($H108="En cours",$H108="En revue"),"E",IF($H108="Bloquée","B","P"))),""))</f>
        <v/>
      </c>
      <c r="Q108" s="53">
        <f>IF(OR($F108="",$G108=""),"",IF(AND(Q$5&lt;=$G108,Q$5+6&gt;=$F108),IF($H108="Complétée","F",IF(OR($H108="En cours",$H108="En revue"),"E",IF($H108="Bloquée","B","P"))),""))</f>
        <v/>
      </c>
      <c r="R108" s="53">
        <f>IF(OR($F108="",$G108=""),"",IF(AND(R$5&lt;=$G108,R$5+6&gt;=$F108),IF($H108="Complétée","F",IF(OR($H108="En cours",$H108="En revue"),"E",IF($H108="Bloquée","B","P"))),""))</f>
        <v/>
      </c>
      <c r="S108" s="53">
        <f>IF(OR($F108="",$G108=""),"",IF(AND(S$5&lt;=$G108,S$5+6&gt;=$F108),IF($H108="Complétée","F",IF(OR($H108="En cours",$H108="En revue"),"E",IF($H108="Bloquée","B","P"))),""))</f>
        <v/>
      </c>
      <c r="T108" s="53">
        <f>IF(OR($F108="",$G108=""),"",IF(AND(T$5&lt;=$G108,T$5+6&gt;=$F108),IF($H108="Complétée","F",IF(OR($H108="En cours",$H108="En revue"),"E",IF($H108="Bloquée","B","P"))),""))</f>
        <v/>
      </c>
      <c r="U108" s="53">
        <f>IF(OR($F108="",$G108=""),"",IF(AND(U$5&lt;=$G108,U$5+6&gt;=$F108),IF($H108="Complétée","F",IF(OR($H108="En cours",$H108="En revue"),"E",IF($H108="Bloquée","B","P"))),""))</f>
        <v/>
      </c>
      <c r="V108" s="53">
        <f>IF(OR($F108="",$G108=""),"",IF(AND(V$5&lt;=$G108,V$5+6&gt;=$F108),IF($H108="Complétée","F",IF(OR($H108="En cours",$H108="En revue"),"E",IF($H108="Bloquée","B","P"))),""))</f>
        <v/>
      </c>
      <c r="W108" s="53">
        <f>IF(OR($F108="",$G108=""),"",IF(AND(W$5&lt;=$G108,W$5+6&gt;=$F108),IF($H108="Complétée","F",IF(OR($H108="En cours",$H108="En revue"),"E",IF($H108="Bloquée","B","P"))),""))</f>
        <v/>
      </c>
      <c r="X108" s="53">
        <f>IF(OR($F108="",$G108=""),"",IF(AND(X$5&lt;=$G108,X$5+6&gt;=$F108),IF($H108="Complétée","F",IF(OR($H108="En cours",$H108="En revue"),"E",IF($H108="Bloquée","B","P"))),""))</f>
        <v/>
      </c>
      <c r="Y108" s="53">
        <f>IF(OR($F108="",$G108=""),"",IF(AND(Y$5&lt;=$G108,Y$5+6&gt;=$F108),IF($H108="Complétée","F",IF(OR($H108="En cours",$H108="En revue"),"E",IF($H108="Bloquée","B","P"))),""))</f>
        <v/>
      </c>
      <c r="Z108" s="53">
        <f>IF(OR($F108="",$G108=""),"",IF(AND(Z$5&lt;=$G108,Z$5+6&gt;=$F108),IF($H108="Complétée","F",IF(OR($H108="En cours",$H108="En revue"),"E",IF($H108="Bloquée","B","P"))),""))</f>
        <v/>
      </c>
      <c r="AA108" s="53">
        <f>IF(OR($F108="",$G108=""),"",IF(AND(AA$5&lt;=$G108,AA$5+6&gt;=$F108),IF($H108="Complétée","F",IF(OR($H108="En cours",$H108="En revue"),"E",IF($H108="Bloquée","B","P"))),""))</f>
        <v/>
      </c>
      <c r="AB108" s="53">
        <f>IF(OR($F108="",$G108=""),"",IF(AND(AB$5&lt;=$G108,AB$5+6&gt;=$F108),IF($H108="Complétée","F",IF(OR($H108="En cours",$H108="En revue"),"E",IF($H108="Bloquée","B","P"))),""))</f>
        <v/>
      </c>
      <c r="AC108" s="53">
        <f>IF(OR($F108="",$G108=""),"",IF(AND(AC$5&lt;=$G108,AC$5+6&gt;=$F108),IF($H108="Complétée","F",IF(OR($H108="En cours",$H108="En revue"),"E",IF($H108="Bloquée","B","P"))),""))</f>
        <v/>
      </c>
      <c r="AD108" s="53">
        <f>IF(OR($F108="",$G108=""),"",IF(AND(AD$5&lt;=$G108,AD$5+6&gt;=$F108),IF($H108="Complétée","F",IF(OR($H108="En cours",$H108="En revue"),"E",IF($H108="Bloquée","B","P"))),""))</f>
        <v/>
      </c>
      <c r="AE108" s="53">
        <f>IF(OR($F108="",$G108=""),"",IF(AND(AE$5&lt;=$G108,AE$5+6&gt;=$F108),IF($H108="Complétée","F",IF(OR($H108="En cours",$H108="En revue"),"E",IF($H108="Bloquée","B","P"))),""))</f>
        <v/>
      </c>
      <c r="AF108" s="53">
        <f>IF(OR($F108="",$G108=""),"",IF(AND(AF$5&lt;=$G108,AF$5+6&gt;=$F108),IF($H108="Complétée","F",IF(OR($H108="En cours",$H108="En revue"),"E",IF($H108="Bloquée","B","P"))),""))</f>
        <v/>
      </c>
      <c r="AG108" s="53">
        <f>IF(OR($F108="",$G108=""),"",IF(AND(AG$5&lt;=$G108,AG$5+6&gt;=$F108),IF($H108="Complétée","F",IF(OR($H108="En cours",$H108="En revue"),"E",IF($H108="Bloquée","B","P"))),""))</f>
        <v/>
      </c>
      <c r="AH108" s="53">
        <f>IF(OR($F108="",$G108=""),"",IF(AND(AH$5&lt;=$G108,AH$5+6&gt;=$F108),IF($H108="Complétée","F",IF(OR($H108="En cours",$H108="En revue"),"E",IF($H108="Bloquée","B","P"))),""))</f>
        <v/>
      </c>
      <c r="AI108" s="53">
        <f>IF(OR($F108="",$G108=""),"",IF(AND(AI$5&lt;=$G108,AI$5+6&gt;=$F108),IF($H108="Complétée","F",IF(OR($H108="En cours",$H108="En revue"),"E",IF($H108="Bloquée","B","P"))),""))</f>
        <v/>
      </c>
      <c r="AJ108" s="53">
        <f>IF(OR($F108="",$G108=""),"",IF(AND(AJ$5&lt;=$G108,AJ$5+6&gt;=$F108),IF($H108="Complétée","F",IF(OR($H108="En cours",$H108="En revue"),"E",IF($H108="Bloquée","B","P"))),""))</f>
        <v/>
      </c>
      <c r="AK108" s="53">
        <f>IF(OR($F108="",$G108=""),"",IF(AND(AK$5&lt;=$G108,AK$5+6&gt;=$F108),IF($H108="Complétée","F",IF(OR($H108="En cours",$H108="En revue"),"E",IF($H108="Bloquée","B","P"))),""))</f>
        <v/>
      </c>
      <c r="AL108" s="53">
        <f>IF(OR($F108="",$G108=""),"",IF(AND(AL$5&lt;=$G108,AL$5+6&gt;=$F108),IF($H108="Complétée","F",IF(OR($H108="En cours",$H108="En revue"),"E",IF($H108="Bloquée","B","P"))),""))</f>
        <v/>
      </c>
      <c r="AM108" s="53">
        <f>IF(OR($F108="",$G108=""),"",IF(AND(AM$5&lt;=$G108,AM$5+6&gt;=$F108),IF($H108="Complétée","F",IF(OR($H108="En cours",$H108="En revue"),"E",IF($H108="Bloquée","B","P"))),""))</f>
        <v/>
      </c>
      <c r="AN108" s="53">
        <f>IF(OR($F108="",$G108=""),"",IF(AND(AN$5&lt;=$G108,AN$5+6&gt;=$F108),IF($H108="Complétée","F",IF(OR($H108="En cours",$H108="En revue"),"E",IF($H108="Bloquée","B","P"))),""))</f>
        <v/>
      </c>
      <c r="AO108" s="53">
        <f>IF(OR($F108="",$G108=""),"",IF(AND(AO$5&lt;=$G108,AO$5+6&gt;=$F108),IF($H108="Complétée","F",IF(OR($H108="En cours",$H108="En revue"),"E",IF($H108="Bloquée","B","P"))),""))</f>
        <v/>
      </c>
      <c r="AP108" s="53">
        <f>IF(OR($F108="",$G108=""),"",IF(AND(AP$5&lt;=$G108,AP$5+6&gt;=$F108),IF($H108="Complétée","F",IF(OR($H108="En cours",$H108="En revue"),"E",IF($H108="Bloquée","B","P"))),""))</f>
        <v/>
      </c>
      <c r="AQ108" s="53">
        <f>IF(OR($F108="",$G108=""),"",IF(AND(AQ$5&lt;=$G108,AQ$5+6&gt;=$F108),IF($H108="Complétée","F",IF(OR($H108="En cours",$H108="En revue"),"E",IF($H108="Bloquée","B","P"))),""))</f>
        <v/>
      </c>
      <c r="AR108" s="53">
        <f>IF(OR($F108="",$G108=""),"",IF(AND(AR$5&lt;=$G108,AR$5+6&gt;=$F108),IF($H108="Complétée","F",IF(OR($H108="En cours",$H108="En revue"),"E",IF($H108="Bloquée","B","P"))),""))</f>
        <v/>
      </c>
      <c r="AS108" s="53">
        <f>IF(OR($F108="",$G108=""),"",IF(AND(AS$5&lt;=$G108,AS$5+6&gt;=$F108),IF($H108="Complétée","F",IF(OR($H108="En cours",$H108="En revue"),"E",IF($H108="Bloquée","B","P"))),""))</f>
        <v/>
      </c>
      <c r="AT108" s="53">
        <f>IF(OR($F108="",$G108=""),"",IF(AND(AT$5&lt;=$G108,AT$5+6&gt;=$F108),IF($H108="Complétée","F",IF(OR($H108="En cours",$H108="En revue"),"E",IF($H108="Bloquée","B","P"))),""))</f>
        <v/>
      </c>
      <c r="AU108" s="53">
        <f>IF(OR($F108="",$G108=""),"",IF(AND(AU$5&lt;=$G108,AU$5+6&gt;=$F108),IF($H108="Complétée","F",IF(OR($H108="En cours",$H108="En revue"),"E",IF($H108="Bloquée","B","P"))),""))</f>
        <v/>
      </c>
      <c r="AV108" s="53">
        <f>IF(OR($F108="",$G108=""),"",IF(AND(AV$5&lt;=$G108,AV$5+6&gt;=$F108),IF($H108="Complétée","F",IF(OR($H108="En cours",$H108="En revue"),"E",IF($H108="Bloquée","B","P"))),""))</f>
        <v/>
      </c>
      <c r="AW108" s="53">
        <f>IF(OR($F108="",$G108=""),"",IF(AND(AW$5&lt;=$G108,AW$5+6&gt;=$F108),IF($H108="Complétée","F",IF(OR($H108="En cours",$H108="En revue"),"E",IF($H108="Bloquée","B","P"))),""))</f>
        <v/>
      </c>
    </row>
    <row r="109">
      <c r="B109" s="50">
        <f>IF(Taches!B109="","",Taches!B109)</f>
        <v/>
      </c>
      <c r="C109" s="51">
        <f>IF(Taches!B109="","",Taches!F109)</f>
        <v/>
      </c>
      <c r="D109" s="50">
        <f>IF(Taches!B109="","",Taches!C109)</f>
        <v/>
      </c>
      <c r="E109" s="50">
        <f>IF(Taches!B109="","",Taches!D109)</f>
        <v/>
      </c>
      <c r="F109" s="52">
        <f>IF(Taches!P109="","",Taches!P109)</f>
        <v/>
      </c>
      <c r="G109" s="52">
        <f>IF(Taches!Q109="","",Taches!Q109)</f>
        <v/>
      </c>
      <c r="H109" s="50">
        <f>IF(Taches!B109="","",Taches!J109)</f>
        <v/>
      </c>
      <c r="I109" s="53">
        <f>IF(OR($F109="",$G109=""),"",IF(AND(I$5&lt;=$G109,I$5+6&gt;=$F109),IF($H109="Complétée","F",IF(OR($H109="En cours",$H109="En revue"),"E",IF($H109="Bloquée","B","P"))),""))</f>
        <v/>
      </c>
      <c r="J109" s="53">
        <f>IF(OR($F109="",$G109=""),"",IF(AND(J$5&lt;=$G109,J$5+6&gt;=$F109),IF($H109="Complétée","F",IF(OR($H109="En cours",$H109="En revue"),"E",IF($H109="Bloquée","B","P"))),""))</f>
        <v/>
      </c>
      <c r="K109" s="53">
        <f>IF(OR($F109="",$G109=""),"",IF(AND(K$5&lt;=$G109,K$5+6&gt;=$F109),IF($H109="Complétée","F",IF(OR($H109="En cours",$H109="En revue"),"E",IF($H109="Bloquée","B","P"))),""))</f>
        <v/>
      </c>
      <c r="L109" s="53">
        <f>IF(OR($F109="",$G109=""),"",IF(AND(L$5&lt;=$G109,L$5+6&gt;=$F109),IF($H109="Complétée","F",IF(OR($H109="En cours",$H109="En revue"),"E",IF($H109="Bloquée","B","P"))),""))</f>
        <v/>
      </c>
      <c r="M109" s="53">
        <f>IF(OR($F109="",$G109=""),"",IF(AND(M$5&lt;=$G109,M$5+6&gt;=$F109),IF($H109="Complétée","F",IF(OR($H109="En cours",$H109="En revue"),"E",IF($H109="Bloquée","B","P"))),""))</f>
        <v/>
      </c>
      <c r="N109" s="53">
        <f>IF(OR($F109="",$G109=""),"",IF(AND(N$5&lt;=$G109,N$5+6&gt;=$F109),IF($H109="Complétée","F",IF(OR($H109="En cours",$H109="En revue"),"E",IF($H109="Bloquée","B","P"))),""))</f>
        <v/>
      </c>
      <c r="O109" s="53">
        <f>IF(OR($F109="",$G109=""),"",IF(AND(O$5&lt;=$G109,O$5+6&gt;=$F109),IF($H109="Complétée","F",IF(OR($H109="En cours",$H109="En revue"),"E",IF($H109="Bloquée","B","P"))),""))</f>
        <v/>
      </c>
      <c r="P109" s="53">
        <f>IF(OR($F109="",$G109=""),"",IF(AND(P$5&lt;=$G109,P$5+6&gt;=$F109),IF($H109="Complétée","F",IF(OR($H109="En cours",$H109="En revue"),"E",IF($H109="Bloquée","B","P"))),""))</f>
        <v/>
      </c>
      <c r="Q109" s="53">
        <f>IF(OR($F109="",$G109=""),"",IF(AND(Q$5&lt;=$G109,Q$5+6&gt;=$F109),IF($H109="Complétée","F",IF(OR($H109="En cours",$H109="En revue"),"E",IF($H109="Bloquée","B","P"))),""))</f>
        <v/>
      </c>
      <c r="R109" s="53">
        <f>IF(OR($F109="",$G109=""),"",IF(AND(R$5&lt;=$G109,R$5+6&gt;=$F109),IF($H109="Complétée","F",IF(OR($H109="En cours",$H109="En revue"),"E",IF($H109="Bloquée","B","P"))),""))</f>
        <v/>
      </c>
      <c r="S109" s="53">
        <f>IF(OR($F109="",$G109=""),"",IF(AND(S$5&lt;=$G109,S$5+6&gt;=$F109),IF($H109="Complétée","F",IF(OR($H109="En cours",$H109="En revue"),"E",IF($H109="Bloquée","B","P"))),""))</f>
        <v/>
      </c>
      <c r="T109" s="53">
        <f>IF(OR($F109="",$G109=""),"",IF(AND(T$5&lt;=$G109,T$5+6&gt;=$F109),IF($H109="Complétée","F",IF(OR($H109="En cours",$H109="En revue"),"E",IF($H109="Bloquée","B","P"))),""))</f>
        <v/>
      </c>
      <c r="U109" s="53">
        <f>IF(OR($F109="",$G109=""),"",IF(AND(U$5&lt;=$G109,U$5+6&gt;=$F109),IF($H109="Complétée","F",IF(OR($H109="En cours",$H109="En revue"),"E",IF($H109="Bloquée","B","P"))),""))</f>
        <v/>
      </c>
      <c r="V109" s="53">
        <f>IF(OR($F109="",$G109=""),"",IF(AND(V$5&lt;=$G109,V$5+6&gt;=$F109),IF($H109="Complétée","F",IF(OR($H109="En cours",$H109="En revue"),"E",IF($H109="Bloquée","B","P"))),""))</f>
        <v/>
      </c>
      <c r="W109" s="53">
        <f>IF(OR($F109="",$G109=""),"",IF(AND(W$5&lt;=$G109,W$5+6&gt;=$F109),IF($H109="Complétée","F",IF(OR($H109="En cours",$H109="En revue"),"E",IF($H109="Bloquée","B","P"))),""))</f>
        <v/>
      </c>
      <c r="X109" s="53">
        <f>IF(OR($F109="",$G109=""),"",IF(AND(X$5&lt;=$G109,X$5+6&gt;=$F109),IF($H109="Complétée","F",IF(OR($H109="En cours",$H109="En revue"),"E",IF($H109="Bloquée","B","P"))),""))</f>
        <v/>
      </c>
      <c r="Y109" s="53">
        <f>IF(OR($F109="",$G109=""),"",IF(AND(Y$5&lt;=$G109,Y$5+6&gt;=$F109),IF($H109="Complétée","F",IF(OR($H109="En cours",$H109="En revue"),"E",IF($H109="Bloquée","B","P"))),""))</f>
        <v/>
      </c>
      <c r="Z109" s="53">
        <f>IF(OR($F109="",$G109=""),"",IF(AND(Z$5&lt;=$G109,Z$5+6&gt;=$F109),IF($H109="Complétée","F",IF(OR($H109="En cours",$H109="En revue"),"E",IF($H109="Bloquée","B","P"))),""))</f>
        <v/>
      </c>
      <c r="AA109" s="53">
        <f>IF(OR($F109="",$G109=""),"",IF(AND(AA$5&lt;=$G109,AA$5+6&gt;=$F109),IF($H109="Complétée","F",IF(OR($H109="En cours",$H109="En revue"),"E",IF($H109="Bloquée","B","P"))),""))</f>
        <v/>
      </c>
      <c r="AB109" s="53">
        <f>IF(OR($F109="",$G109=""),"",IF(AND(AB$5&lt;=$G109,AB$5+6&gt;=$F109),IF($H109="Complétée","F",IF(OR($H109="En cours",$H109="En revue"),"E",IF($H109="Bloquée","B","P"))),""))</f>
        <v/>
      </c>
      <c r="AC109" s="53">
        <f>IF(OR($F109="",$G109=""),"",IF(AND(AC$5&lt;=$G109,AC$5+6&gt;=$F109),IF($H109="Complétée","F",IF(OR($H109="En cours",$H109="En revue"),"E",IF($H109="Bloquée","B","P"))),""))</f>
        <v/>
      </c>
      <c r="AD109" s="53">
        <f>IF(OR($F109="",$G109=""),"",IF(AND(AD$5&lt;=$G109,AD$5+6&gt;=$F109),IF($H109="Complétée","F",IF(OR($H109="En cours",$H109="En revue"),"E",IF($H109="Bloquée","B","P"))),""))</f>
        <v/>
      </c>
      <c r="AE109" s="53">
        <f>IF(OR($F109="",$G109=""),"",IF(AND(AE$5&lt;=$G109,AE$5+6&gt;=$F109),IF($H109="Complétée","F",IF(OR($H109="En cours",$H109="En revue"),"E",IF($H109="Bloquée","B","P"))),""))</f>
        <v/>
      </c>
      <c r="AF109" s="53">
        <f>IF(OR($F109="",$G109=""),"",IF(AND(AF$5&lt;=$G109,AF$5+6&gt;=$F109),IF($H109="Complétée","F",IF(OR($H109="En cours",$H109="En revue"),"E",IF($H109="Bloquée","B","P"))),""))</f>
        <v/>
      </c>
      <c r="AG109" s="53">
        <f>IF(OR($F109="",$G109=""),"",IF(AND(AG$5&lt;=$G109,AG$5+6&gt;=$F109),IF($H109="Complétée","F",IF(OR($H109="En cours",$H109="En revue"),"E",IF($H109="Bloquée","B","P"))),""))</f>
        <v/>
      </c>
      <c r="AH109" s="53">
        <f>IF(OR($F109="",$G109=""),"",IF(AND(AH$5&lt;=$G109,AH$5+6&gt;=$F109),IF($H109="Complétée","F",IF(OR($H109="En cours",$H109="En revue"),"E",IF($H109="Bloquée","B","P"))),""))</f>
        <v/>
      </c>
      <c r="AI109" s="53">
        <f>IF(OR($F109="",$G109=""),"",IF(AND(AI$5&lt;=$G109,AI$5+6&gt;=$F109),IF($H109="Complétée","F",IF(OR($H109="En cours",$H109="En revue"),"E",IF($H109="Bloquée","B","P"))),""))</f>
        <v/>
      </c>
      <c r="AJ109" s="53">
        <f>IF(OR($F109="",$G109=""),"",IF(AND(AJ$5&lt;=$G109,AJ$5+6&gt;=$F109),IF($H109="Complétée","F",IF(OR($H109="En cours",$H109="En revue"),"E",IF($H109="Bloquée","B","P"))),""))</f>
        <v/>
      </c>
      <c r="AK109" s="53">
        <f>IF(OR($F109="",$G109=""),"",IF(AND(AK$5&lt;=$G109,AK$5+6&gt;=$F109),IF($H109="Complétée","F",IF(OR($H109="En cours",$H109="En revue"),"E",IF($H109="Bloquée","B","P"))),""))</f>
        <v/>
      </c>
      <c r="AL109" s="53">
        <f>IF(OR($F109="",$G109=""),"",IF(AND(AL$5&lt;=$G109,AL$5+6&gt;=$F109),IF($H109="Complétée","F",IF(OR($H109="En cours",$H109="En revue"),"E",IF($H109="Bloquée","B","P"))),""))</f>
        <v/>
      </c>
      <c r="AM109" s="53">
        <f>IF(OR($F109="",$G109=""),"",IF(AND(AM$5&lt;=$G109,AM$5+6&gt;=$F109),IF($H109="Complétée","F",IF(OR($H109="En cours",$H109="En revue"),"E",IF($H109="Bloquée","B","P"))),""))</f>
        <v/>
      </c>
      <c r="AN109" s="53">
        <f>IF(OR($F109="",$G109=""),"",IF(AND(AN$5&lt;=$G109,AN$5+6&gt;=$F109),IF($H109="Complétée","F",IF(OR($H109="En cours",$H109="En revue"),"E",IF($H109="Bloquée","B","P"))),""))</f>
        <v/>
      </c>
      <c r="AO109" s="53">
        <f>IF(OR($F109="",$G109=""),"",IF(AND(AO$5&lt;=$G109,AO$5+6&gt;=$F109),IF($H109="Complétée","F",IF(OR($H109="En cours",$H109="En revue"),"E",IF($H109="Bloquée","B","P"))),""))</f>
        <v/>
      </c>
      <c r="AP109" s="53">
        <f>IF(OR($F109="",$G109=""),"",IF(AND(AP$5&lt;=$G109,AP$5+6&gt;=$F109),IF($H109="Complétée","F",IF(OR($H109="En cours",$H109="En revue"),"E",IF($H109="Bloquée","B","P"))),""))</f>
        <v/>
      </c>
      <c r="AQ109" s="53">
        <f>IF(OR($F109="",$G109=""),"",IF(AND(AQ$5&lt;=$G109,AQ$5+6&gt;=$F109),IF($H109="Complétée","F",IF(OR($H109="En cours",$H109="En revue"),"E",IF($H109="Bloquée","B","P"))),""))</f>
        <v/>
      </c>
      <c r="AR109" s="53">
        <f>IF(OR($F109="",$G109=""),"",IF(AND(AR$5&lt;=$G109,AR$5+6&gt;=$F109),IF($H109="Complétée","F",IF(OR($H109="En cours",$H109="En revue"),"E",IF($H109="Bloquée","B","P"))),""))</f>
        <v/>
      </c>
      <c r="AS109" s="53">
        <f>IF(OR($F109="",$G109=""),"",IF(AND(AS$5&lt;=$G109,AS$5+6&gt;=$F109),IF($H109="Complétée","F",IF(OR($H109="En cours",$H109="En revue"),"E",IF($H109="Bloquée","B","P"))),""))</f>
        <v/>
      </c>
      <c r="AT109" s="53">
        <f>IF(OR($F109="",$G109=""),"",IF(AND(AT$5&lt;=$G109,AT$5+6&gt;=$F109),IF($H109="Complétée","F",IF(OR($H109="En cours",$H109="En revue"),"E",IF($H109="Bloquée","B","P"))),""))</f>
        <v/>
      </c>
      <c r="AU109" s="53">
        <f>IF(OR($F109="",$G109=""),"",IF(AND(AU$5&lt;=$G109,AU$5+6&gt;=$F109),IF($H109="Complétée","F",IF(OR($H109="En cours",$H109="En revue"),"E",IF($H109="Bloquée","B","P"))),""))</f>
        <v/>
      </c>
      <c r="AV109" s="53">
        <f>IF(OR($F109="",$G109=""),"",IF(AND(AV$5&lt;=$G109,AV$5+6&gt;=$F109),IF($H109="Complétée","F",IF(OR($H109="En cours",$H109="En revue"),"E",IF($H109="Bloquée","B","P"))),""))</f>
        <v/>
      </c>
      <c r="AW109" s="53">
        <f>IF(OR($F109="",$G109=""),"",IF(AND(AW$5&lt;=$G109,AW$5+6&gt;=$F109),IF($H109="Complétée","F",IF(OR($H109="En cours",$H109="En revue"),"E",IF($H109="Bloquée","B","P"))),""))</f>
        <v/>
      </c>
    </row>
    <row r="110">
      <c r="B110" s="50">
        <f>IF(Taches!B110="","",Taches!B110)</f>
        <v/>
      </c>
      <c r="C110" s="51">
        <f>IF(Taches!B110="","",Taches!F110)</f>
        <v/>
      </c>
      <c r="D110" s="50">
        <f>IF(Taches!B110="","",Taches!C110)</f>
        <v/>
      </c>
      <c r="E110" s="50">
        <f>IF(Taches!B110="","",Taches!D110)</f>
        <v/>
      </c>
      <c r="F110" s="52">
        <f>IF(Taches!P110="","",Taches!P110)</f>
        <v/>
      </c>
      <c r="G110" s="52">
        <f>IF(Taches!Q110="","",Taches!Q110)</f>
        <v/>
      </c>
      <c r="H110" s="50">
        <f>IF(Taches!B110="","",Taches!J110)</f>
        <v/>
      </c>
      <c r="I110" s="53">
        <f>IF(OR($F110="",$G110=""),"",IF(AND(I$5&lt;=$G110,I$5+6&gt;=$F110),IF($H110="Complétée","F",IF(OR($H110="En cours",$H110="En revue"),"E",IF($H110="Bloquée","B","P"))),""))</f>
        <v/>
      </c>
      <c r="J110" s="53">
        <f>IF(OR($F110="",$G110=""),"",IF(AND(J$5&lt;=$G110,J$5+6&gt;=$F110),IF($H110="Complétée","F",IF(OR($H110="En cours",$H110="En revue"),"E",IF($H110="Bloquée","B","P"))),""))</f>
        <v/>
      </c>
      <c r="K110" s="53">
        <f>IF(OR($F110="",$G110=""),"",IF(AND(K$5&lt;=$G110,K$5+6&gt;=$F110),IF($H110="Complétée","F",IF(OR($H110="En cours",$H110="En revue"),"E",IF($H110="Bloquée","B","P"))),""))</f>
        <v/>
      </c>
      <c r="L110" s="53">
        <f>IF(OR($F110="",$G110=""),"",IF(AND(L$5&lt;=$G110,L$5+6&gt;=$F110),IF($H110="Complétée","F",IF(OR($H110="En cours",$H110="En revue"),"E",IF($H110="Bloquée","B","P"))),""))</f>
        <v/>
      </c>
      <c r="M110" s="53">
        <f>IF(OR($F110="",$G110=""),"",IF(AND(M$5&lt;=$G110,M$5+6&gt;=$F110),IF($H110="Complétée","F",IF(OR($H110="En cours",$H110="En revue"),"E",IF($H110="Bloquée","B","P"))),""))</f>
        <v/>
      </c>
      <c r="N110" s="53">
        <f>IF(OR($F110="",$G110=""),"",IF(AND(N$5&lt;=$G110,N$5+6&gt;=$F110),IF($H110="Complétée","F",IF(OR($H110="En cours",$H110="En revue"),"E",IF($H110="Bloquée","B","P"))),""))</f>
        <v/>
      </c>
      <c r="O110" s="53">
        <f>IF(OR($F110="",$G110=""),"",IF(AND(O$5&lt;=$G110,O$5+6&gt;=$F110),IF($H110="Complétée","F",IF(OR($H110="En cours",$H110="En revue"),"E",IF($H110="Bloquée","B","P"))),""))</f>
        <v/>
      </c>
      <c r="P110" s="53">
        <f>IF(OR($F110="",$G110=""),"",IF(AND(P$5&lt;=$G110,P$5+6&gt;=$F110),IF($H110="Complétée","F",IF(OR($H110="En cours",$H110="En revue"),"E",IF($H110="Bloquée","B","P"))),""))</f>
        <v/>
      </c>
      <c r="Q110" s="53">
        <f>IF(OR($F110="",$G110=""),"",IF(AND(Q$5&lt;=$G110,Q$5+6&gt;=$F110),IF($H110="Complétée","F",IF(OR($H110="En cours",$H110="En revue"),"E",IF($H110="Bloquée","B","P"))),""))</f>
        <v/>
      </c>
      <c r="R110" s="53">
        <f>IF(OR($F110="",$G110=""),"",IF(AND(R$5&lt;=$G110,R$5+6&gt;=$F110),IF($H110="Complétée","F",IF(OR($H110="En cours",$H110="En revue"),"E",IF($H110="Bloquée","B","P"))),""))</f>
        <v/>
      </c>
      <c r="S110" s="53">
        <f>IF(OR($F110="",$G110=""),"",IF(AND(S$5&lt;=$G110,S$5+6&gt;=$F110),IF($H110="Complétée","F",IF(OR($H110="En cours",$H110="En revue"),"E",IF($H110="Bloquée","B","P"))),""))</f>
        <v/>
      </c>
      <c r="T110" s="53">
        <f>IF(OR($F110="",$G110=""),"",IF(AND(T$5&lt;=$G110,T$5+6&gt;=$F110),IF($H110="Complétée","F",IF(OR($H110="En cours",$H110="En revue"),"E",IF($H110="Bloquée","B","P"))),""))</f>
        <v/>
      </c>
      <c r="U110" s="53">
        <f>IF(OR($F110="",$G110=""),"",IF(AND(U$5&lt;=$G110,U$5+6&gt;=$F110),IF($H110="Complétée","F",IF(OR($H110="En cours",$H110="En revue"),"E",IF($H110="Bloquée","B","P"))),""))</f>
        <v/>
      </c>
      <c r="V110" s="53">
        <f>IF(OR($F110="",$G110=""),"",IF(AND(V$5&lt;=$G110,V$5+6&gt;=$F110),IF($H110="Complétée","F",IF(OR($H110="En cours",$H110="En revue"),"E",IF($H110="Bloquée","B","P"))),""))</f>
        <v/>
      </c>
      <c r="W110" s="53">
        <f>IF(OR($F110="",$G110=""),"",IF(AND(W$5&lt;=$G110,W$5+6&gt;=$F110),IF($H110="Complétée","F",IF(OR($H110="En cours",$H110="En revue"),"E",IF($H110="Bloquée","B","P"))),""))</f>
        <v/>
      </c>
      <c r="X110" s="53">
        <f>IF(OR($F110="",$G110=""),"",IF(AND(X$5&lt;=$G110,X$5+6&gt;=$F110),IF($H110="Complétée","F",IF(OR($H110="En cours",$H110="En revue"),"E",IF($H110="Bloquée","B","P"))),""))</f>
        <v/>
      </c>
      <c r="Y110" s="53">
        <f>IF(OR($F110="",$G110=""),"",IF(AND(Y$5&lt;=$G110,Y$5+6&gt;=$F110),IF($H110="Complétée","F",IF(OR($H110="En cours",$H110="En revue"),"E",IF($H110="Bloquée","B","P"))),""))</f>
        <v/>
      </c>
      <c r="Z110" s="53">
        <f>IF(OR($F110="",$G110=""),"",IF(AND(Z$5&lt;=$G110,Z$5+6&gt;=$F110),IF($H110="Complétée","F",IF(OR($H110="En cours",$H110="En revue"),"E",IF($H110="Bloquée","B","P"))),""))</f>
        <v/>
      </c>
      <c r="AA110" s="53">
        <f>IF(OR($F110="",$G110=""),"",IF(AND(AA$5&lt;=$G110,AA$5+6&gt;=$F110),IF($H110="Complétée","F",IF(OR($H110="En cours",$H110="En revue"),"E",IF($H110="Bloquée","B","P"))),""))</f>
        <v/>
      </c>
      <c r="AB110" s="53">
        <f>IF(OR($F110="",$G110=""),"",IF(AND(AB$5&lt;=$G110,AB$5+6&gt;=$F110),IF($H110="Complétée","F",IF(OR($H110="En cours",$H110="En revue"),"E",IF($H110="Bloquée","B","P"))),""))</f>
        <v/>
      </c>
      <c r="AC110" s="53">
        <f>IF(OR($F110="",$G110=""),"",IF(AND(AC$5&lt;=$G110,AC$5+6&gt;=$F110),IF($H110="Complétée","F",IF(OR($H110="En cours",$H110="En revue"),"E",IF($H110="Bloquée","B","P"))),""))</f>
        <v/>
      </c>
      <c r="AD110" s="53">
        <f>IF(OR($F110="",$G110=""),"",IF(AND(AD$5&lt;=$G110,AD$5+6&gt;=$F110),IF($H110="Complétée","F",IF(OR($H110="En cours",$H110="En revue"),"E",IF($H110="Bloquée","B","P"))),""))</f>
        <v/>
      </c>
      <c r="AE110" s="53">
        <f>IF(OR($F110="",$G110=""),"",IF(AND(AE$5&lt;=$G110,AE$5+6&gt;=$F110),IF($H110="Complétée","F",IF(OR($H110="En cours",$H110="En revue"),"E",IF($H110="Bloquée","B","P"))),""))</f>
        <v/>
      </c>
      <c r="AF110" s="53">
        <f>IF(OR($F110="",$G110=""),"",IF(AND(AF$5&lt;=$G110,AF$5+6&gt;=$F110),IF($H110="Complétée","F",IF(OR($H110="En cours",$H110="En revue"),"E",IF($H110="Bloquée","B","P"))),""))</f>
        <v/>
      </c>
      <c r="AG110" s="53">
        <f>IF(OR($F110="",$G110=""),"",IF(AND(AG$5&lt;=$G110,AG$5+6&gt;=$F110),IF($H110="Complétée","F",IF(OR($H110="En cours",$H110="En revue"),"E",IF($H110="Bloquée","B","P"))),""))</f>
        <v/>
      </c>
      <c r="AH110" s="53">
        <f>IF(OR($F110="",$G110=""),"",IF(AND(AH$5&lt;=$G110,AH$5+6&gt;=$F110),IF($H110="Complétée","F",IF(OR($H110="En cours",$H110="En revue"),"E",IF($H110="Bloquée","B","P"))),""))</f>
        <v/>
      </c>
      <c r="AI110" s="53">
        <f>IF(OR($F110="",$G110=""),"",IF(AND(AI$5&lt;=$G110,AI$5+6&gt;=$F110),IF($H110="Complétée","F",IF(OR($H110="En cours",$H110="En revue"),"E",IF($H110="Bloquée","B","P"))),""))</f>
        <v/>
      </c>
      <c r="AJ110" s="53">
        <f>IF(OR($F110="",$G110=""),"",IF(AND(AJ$5&lt;=$G110,AJ$5+6&gt;=$F110),IF($H110="Complétée","F",IF(OR($H110="En cours",$H110="En revue"),"E",IF($H110="Bloquée","B","P"))),""))</f>
        <v/>
      </c>
      <c r="AK110" s="53">
        <f>IF(OR($F110="",$G110=""),"",IF(AND(AK$5&lt;=$G110,AK$5+6&gt;=$F110),IF($H110="Complétée","F",IF(OR($H110="En cours",$H110="En revue"),"E",IF($H110="Bloquée","B","P"))),""))</f>
        <v/>
      </c>
      <c r="AL110" s="53">
        <f>IF(OR($F110="",$G110=""),"",IF(AND(AL$5&lt;=$G110,AL$5+6&gt;=$F110),IF($H110="Complétée","F",IF(OR($H110="En cours",$H110="En revue"),"E",IF($H110="Bloquée","B","P"))),""))</f>
        <v/>
      </c>
      <c r="AM110" s="53">
        <f>IF(OR($F110="",$G110=""),"",IF(AND(AM$5&lt;=$G110,AM$5+6&gt;=$F110),IF($H110="Complétée","F",IF(OR($H110="En cours",$H110="En revue"),"E",IF($H110="Bloquée","B","P"))),""))</f>
        <v/>
      </c>
      <c r="AN110" s="53">
        <f>IF(OR($F110="",$G110=""),"",IF(AND(AN$5&lt;=$G110,AN$5+6&gt;=$F110),IF($H110="Complétée","F",IF(OR($H110="En cours",$H110="En revue"),"E",IF($H110="Bloquée","B","P"))),""))</f>
        <v/>
      </c>
      <c r="AO110" s="53">
        <f>IF(OR($F110="",$G110=""),"",IF(AND(AO$5&lt;=$G110,AO$5+6&gt;=$F110),IF($H110="Complétée","F",IF(OR($H110="En cours",$H110="En revue"),"E",IF($H110="Bloquée","B","P"))),""))</f>
        <v/>
      </c>
      <c r="AP110" s="53">
        <f>IF(OR($F110="",$G110=""),"",IF(AND(AP$5&lt;=$G110,AP$5+6&gt;=$F110),IF($H110="Complétée","F",IF(OR($H110="En cours",$H110="En revue"),"E",IF($H110="Bloquée","B","P"))),""))</f>
        <v/>
      </c>
      <c r="AQ110" s="53">
        <f>IF(OR($F110="",$G110=""),"",IF(AND(AQ$5&lt;=$G110,AQ$5+6&gt;=$F110),IF($H110="Complétée","F",IF(OR($H110="En cours",$H110="En revue"),"E",IF($H110="Bloquée","B","P"))),""))</f>
        <v/>
      </c>
      <c r="AR110" s="53">
        <f>IF(OR($F110="",$G110=""),"",IF(AND(AR$5&lt;=$G110,AR$5+6&gt;=$F110),IF($H110="Complétée","F",IF(OR($H110="En cours",$H110="En revue"),"E",IF($H110="Bloquée","B","P"))),""))</f>
        <v/>
      </c>
      <c r="AS110" s="53">
        <f>IF(OR($F110="",$G110=""),"",IF(AND(AS$5&lt;=$G110,AS$5+6&gt;=$F110),IF($H110="Complétée","F",IF(OR($H110="En cours",$H110="En revue"),"E",IF($H110="Bloquée","B","P"))),""))</f>
        <v/>
      </c>
      <c r="AT110" s="53">
        <f>IF(OR($F110="",$G110=""),"",IF(AND(AT$5&lt;=$G110,AT$5+6&gt;=$F110),IF($H110="Complétée","F",IF(OR($H110="En cours",$H110="En revue"),"E",IF($H110="Bloquée","B","P"))),""))</f>
        <v/>
      </c>
      <c r="AU110" s="53">
        <f>IF(OR($F110="",$G110=""),"",IF(AND(AU$5&lt;=$G110,AU$5+6&gt;=$F110),IF($H110="Complétée","F",IF(OR($H110="En cours",$H110="En revue"),"E",IF($H110="Bloquée","B","P"))),""))</f>
        <v/>
      </c>
      <c r="AV110" s="53">
        <f>IF(OR($F110="",$G110=""),"",IF(AND(AV$5&lt;=$G110,AV$5+6&gt;=$F110),IF($H110="Complétée","F",IF(OR($H110="En cours",$H110="En revue"),"E",IF($H110="Bloquée","B","P"))),""))</f>
        <v/>
      </c>
      <c r="AW110" s="53">
        <f>IF(OR($F110="",$G110=""),"",IF(AND(AW$5&lt;=$G110,AW$5+6&gt;=$F110),IF($H110="Complétée","F",IF(OR($H110="En cours",$H110="En revue"),"E",IF($H110="Bloquée","B","P"))),""))</f>
        <v/>
      </c>
    </row>
    <row r="111">
      <c r="B111" s="50">
        <f>IF(Taches!B111="","",Taches!B111)</f>
        <v/>
      </c>
      <c r="C111" s="51">
        <f>IF(Taches!B111="","",Taches!F111)</f>
        <v/>
      </c>
      <c r="D111" s="50">
        <f>IF(Taches!B111="","",Taches!C111)</f>
        <v/>
      </c>
      <c r="E111" s="50">
        <f>IF(Taches!B111="","",Taches!D111)</f>
        <v/>
      </c>
      <c r="F111" s="52">
        <f>IF(Taches!P111="","",Taches!P111)</f>
        <v/>
      </c>
      <c r="G111" s="52">
        <f>IF(Taches!Q111="","",Taches!Q111)</f>
        <v/>
      </c>
      <c r="H111" s="50">
        <f>IF(Taches!B111="","",Taches!J111)</f>
        <v/>
      </c>
      <c r="I111" s="53">
        <f>IF(OR($F111="",$G111=""),"",IF(AND(I$5&lt;=$G111,I$5+6&gt;=$F111),IF($H111="Complétée","F",IF(OR($H111="En cours",$H111="En revue"),"E",IF($H111="Bloquée","B","P"))),""))</f>
        <v/>
      </c>
      <c r="J111" s="53">
        <f>IF(OR($F111="",$G111=""),"",IF(AND(J$5&lt;=$G111,J$5+6&gt;=$F111),IF($H111="Complétée","F",IF(OR($H111="En cours",$H111="En revue"),"E",IF($H111="Bloquée","B","P"))),""))</f>
        <v/>
      </c>
      <c r="K111" s="53">
        <f>IF(OR($F111="",$G111=""),"",IF(AND(K$5&lt;=$G111,K$5+6&gt;=$F111),IF($H111="Complétée","F",IF(OR($H111="En cours",$H111="En revue"),"E",IF($H111="Bloquée","B","P"))),""))</f>
        <v/>
      </c>
      <c r="L111" s="53">
        <f>IF(OR($F111="",$G111=""),"",IF(AND(L$5&lt;=$G111,L$5+6&gt;=$F111),IF($H111="Complétée","F",IF(OR($H111="En cours",$H111="En revue"),"E",IF($H111="Bloquée","B","P"))),""))</f>
        <v/>
      </c>
      <c r="M111" s="53">
        <f>IF(OR($F111="",$G111=""),"",IF(AND(M$5&lt;=$G111,M$5+6&gt;=$F111),IF($H111="Complétée","F",IF(OR($H111="En cours",$H111="En revue"),"E",IF($H111="Bloquée","B","P"))),""))</f>
        <v/>
      </c>
      <c r="N111" s="53">
        <f>IF(OR($F111="",$G111=""),"",IF(AND(N$5&lt;=$G111,N$5+6&gt;=$F111),IF($H111="Complétée","F",IF(OR($H111="En cours",$H111="En revue"),"E",IF($H111="Bloquée","B","P"))),""))</f>
        <v/>
      </c>
      <c r="O111" s="53">
        <f>IF(OR($F111="",$G111=""),"",IF(AND(O$5&lt;=$G111,O$5+6&gt;=$F111),IF($H111="Complétée","F",IF(OR($H111="En cours",$H111="En revue"),"E",IF($H111="Bloquée","B","P"))),""))</f>
        <v/>
      </c>
      <c r="P111" s="53">
        <f>IF(OR($F111="",$G111=""),"",IF(AND(P$5&lt;=$G111,P$5+6&gt;=$F111),IF($H111="Complétée","F",IF(OR($H111="En cours",$H111="En revue"),"E",IF($H111="Bloquée","B","P"))),""))</f>
        <v/>
      </c>
      <c r="Q111" s="53">
        <f>IF(OR($F111="",$G111=""),"",IF(AND(Q$5&lt;=$G111,Q$5+6&gt;=$F111),IF($H111="Complétée","F",IF(OR($H111="En cours",$H111="En revue"),"E",IF($H111="Bloquée","B","P"))),""))</f>
        <v/>
      </c>
      <c r="R111" s="53">
        <f>IF(OR($F111="",$G111=""),"",IF(AND(R$5&lt;=$G111,R$5+6&gt;=$F111),IF($H111="Complétée","F",IF(OR($H111="En cours",$H111="En revue"),"E",IF($H111="Bloquée","B","P"))),""))</f>
        <v/>
      </c>
      <c r="S111" s="53">
        <f>IF(OR($F111="",$G111=""),"",IF(AND(S$5&lt;=$G111,S$5+6&gt;=$F111),IF($H111="Complétée","F",IF(OR($H111="En cours",$H111="En revue"),"E",IF($H111="Bloquée","B","P"))),""))</f>
        <v/>
      </c>
      <c r="T111" s="53">
        <f>IF(OR($F111="",$G111=""),"",IF(AND(T$5&lt;=$G111,T$5+6&gt;=$F111),IF($H111="Complétée","F",IF(OR($H111="En cours",$H111="En revue"),"E",IF($H111="Bloquée","B","P"))),""))</f>
        <v/>
      </c>
      <c r="U111" s="53">
        <f>IF(OR($F111="",$G111=""),"",IF(AND(U$5&lt;=$G111,U$5+6&gt;=$F111),IF($H111="Complétée","F",IF(OR($H111="En cours",$H111="En revue"),"E",IF($H111="Bloquée","B","P"))),""))</f>
        <v/>
      </c>
      <c r="V111" s="53">
        <f>IF(OR($F111="",$G111=""),"",IF(AND(V$5&lt;=$G111,V$5+6&gt;=$F111),IF($H111="Complétée","F",IF(OR($H111="En cours",$H111="En revue"),"E",IF($H111="Bloquée","B","P"))),""))</f>
        <v/>
      </c>
      <c r="W111" s="53">
        <f>IF(OR($F111="",$G111=""),"",IF(AND(W$5&lt;=$G111,W$5+6&gt;=$F111),IF($H111="Complétée","F",IF(OR($H111="En cours",$H111="En revue"),"E",IF($H111="Bloquée","B","P"))),""))</f>
        <v/>
      </c>
      <c r="X111" s="53">
        <f>IF(OR($F111="",$G111=""),"",IF(AND(X$5&lt;=$G111,X$5+6&gt;=$F111),IF($H111="Complétée","F",IF(OR($H111="En cours",$H111="En revue"),"E",IF($H111="Bloquée","B","P"))),""))</f>
        <v/>
      </c>
      <c r="Y111" s="53">
        <f>IF(OR($F111="",$G111=""),"",IF(AND(Y$5&lt;=$G111,Y$5+6&gt;=$F111),IF($H111="Complétée","F",IF(OR($H111="En cours",$H111="En revue"),"E",IF($H111="Bloquée","B","P"))),""))</f>
        <v/>
      </c>
      <c r="Z111" s="53">
        <f>IF(OR($F111="",$G111=""),"",IF(AND(Z$5&lt;=$G111,Z$5+6&gt;=$F111),IF($H111="Complétée","F",IF(OR($H111="En cours",$H111="En revue"),"E",IF($H111="Bloquée","B","P"))),""))</f>
        <v/>
      </c>
      <c r="AA111" s="53">
        <f>IF(OR($F111="",$G111=""),"",IF(AND(AA$5&lt;=$G111,AA$5+6&gt;=$F111),IF($H111="Complétée","F",IF(OR($H111="En cours",$H111="En revue"),"E",IF($H111="Bloquée","B","P"))),""))</f>
        <v/>
      </c>
      <c r="AB111" s="53">
        <f>IF(OR($F111="",$G111=""),"",IF(AND(AB$5&lt;=$G111,AB$5+6&gt;=$F111),IF($H111="Complétée","F",IF(OR($H111="En cours",$H111="En revue"),"E",IF($H111="Bloquée","B","P"))),""))</f>
        <v/>
      </c>
      <c r="AC111" s="53">
        <f>IF(OR($F111="",$G111=""),"",IF(AND(AC$5&lt;=$G111,AC$5+6&gt;=$F111),IF($H111="Complétée","F",IF(OR($H111="En cours",$H111="En revue"),"E",IF($H111="Bloquée","B","P"))),""))</f>
        <v/>
      </c>
      <c r="AD111" s="53">
        <f>IF(OR($F111="",$G111=""),"",IF(AND(AD$5&lt;=$G111,AD$5+6&gt;=$F111),IF($H111="Complétée","F",IF(OR($H111="En cours",$H111="En revue"),"E",IF($H111="Bloquée","B","P"))),""))</f>
        <v/>
      </c>
      <c r="AE111" s="53">
        <f>IF(OR($F111="",$G111=""),"",IF(AND(AE$5&lt;=$G111,AE$5+6&gt;=$F111),IF($H111="Complétée","F",IF(OR($H111="En cours",$H111="En revue"),"E",IF($H111="Bloquée","B","P"))),""))</f>
        <v/>
      </c>
      <c r="AF111" s="53">
        <f>IF(OR($F111="",$G111=""),"",IF(AND(AF$5&lt;=$G111,AF$5+6&gt;=$F111),IF($H111="Complétée","F",IF(OR($H111="En cours",$H111="En revue"),"E",IF($H111="Bloquée","B","P"))),""))</f>
        <v/>
      </c>
      <c r="AG111" s="53">
        <f>IF(OR($F111="",$G111=""),"",IF(AND(AG$5&lt;=$G111,AG$5+6&gt;=$F111),IF($H111="Complétée","F",IF(OR($H111="En cours",$H111="En revue"),"E",IF($H111="Bloquée","B","P"))),""))</f>
        <v/>
      </c>
      <c r="AH111" s="53">
        <f>IF(OR($F111="",$G111=""),"",IF(AND(AH$5&lt;=$G111,AH$5+6&gt;=$F111),IF($H111="Complétée","F",IF(OR($H111="En cours",$H111="En revue"),"E",IF($H111="Bloquée","B","P"))),""))</f>
        <v/>
      </c>
      <c r="AI111" s="53">
        <f>IF(OR($F111="",$G111=""),"",IF(AND(AI$5&lt;=$G111,AI$5+6&gt;=$F111),IF($H111="Complétée","F",IF(OR($H111="En cours",$H111="En revue"),"E",IF($H111="Bloquée","B","P"))),""))</f>
        <v/>
      </c>
      <c r="AJ111" s="53">
        <f>IF(OR($F111="",$G111=""),"",IF(AND(AJ$5&lt;=$G111,AJ$5+6&gt;=$F111),IF($H111="Complétée","F",IF(OR($H111="En cours",$H111="En revue"),"E",IF($H111="Bloquée","B","P"))),""))</f>
        <v/>
      </c>
      <c r="AK111" s="53">
        <f>IF(OR($F111="",$G111=""),"",IF(AND(AK$5&lt;=$G111,AK$5+6&gt;=$F111),IF($H111="Complétée","F",IF(OR($H111="En cours",$H111="En revue"),"E",IF($H111="Bloquée","B","P"))),""))</f>
        <v/>
      </c>
      <c r="AL111" s="53">
        <f>IF(OR($F111="",$G111=""),"",IF(AND(AL$5&lt;=$G111,AL$5+6&gt;=$F111),IF($H111="Complétée","F",IF(OR($H111="En cours",$H111="En revue"),"E",IF($H111="Bloquée","B","P"))),""))</f>
        <v/>
      </c>
      <c r="AM111" s="53">
        <f>IF(OR($F111="",$G111=""),"",IF(AND(AM$5&lt;=$G111,AM$5+6&gt;=$F111),IF($H111="Complétée","F",IF(OR($H111="En cours",$H111="En revue"),"E",IF($H111="Bloquée","B","P"))),""))</f>
        <v/>
      </c>
      <c r="AN111" s="53">
        <f>IF(OR($F111="",$G111=""),"",IF(AND(AN$5&lt;=$G111,AN$5+6&gt;=$F111),IF($H111="Complétée","F",IF(OR($H111="En cours",$H111="En revue"),"E",IF($H111="Bloquée","B","P"))),""))</f>
        <v/>
      </c>
      <c r="AO111" s="53">
        <f>IF(OR($F111="",$G111=""),"",IF(AND(AO$5&lt;=$G111,AO$5+6&gt;=$F111),IF($H111="Complétée","F",IF(OR($H111="En cours",$H111="En revue"),"E",IF($H111="Bloquée","B","P"))),""))</f>
        <v/>
      </c>
      <c r="AP111" s="53">
        <f>IF(OR($F111="",$G111=""),"",IF(AND(AP$5&lt;=$G111,AP$5+6&gt;=$F111),IF($H111="Complétée","F",IF(OR($H111="En cours",$H111="En revue"),"E",IF($H111="Bloquée","B","P"))),""))</f>
        <v/>
      </c>
      <c r="AQ111" s="53">
        <f>IF(OR($F111="",$G111=""),"",IF(AND(AQ$5&lt;=$G111,AQ$5+6&gt;=$F111),IF($H111="Complétée","F",IF(OR($H111="En cours",$H111="En revue"),"E",IF($H111="Bloquée","B","P"))),""))</f>
        <v/>
      </c>
      <c r="AR111" s="53">
        <f>IF(OR($F111="",$G111=""),"",IF(AND(AR$5&lt;=$G111,AR$5+6&gt;=$F111),IF($H111="Complétée","F",IF(OR($H111="En cours",$H111="En revue"),"E",IF($H111="Bloquée","B","P"))),""))</f>
        <v/>
      </c>
      <c r="AS111" s="53">
        <f>IF(OR($F111="",$G111=""),"",IF(AND(AS$5&lt;=$G111,AS$5+6&gt;=$F111),IF($H111="Complétée","F",IF(OR($H111="En cours",$H111="En revue"),"E",IF($H111="Bloquée","B","P"))),""))</f>
        <v/>
      </c>
      <c r="AT111" s="53">
        <f>IF(OR($F111="",$G111=""),"",IF(AND(AT$5&lt;=$G111,AT$5+6&gt;=$F111),IF($H111="Complétée","F",IF(OR($H111="En cours",$H111="En revue"),"E",IF($H111="Bloquée","B","P"))),""))</f>
        <v/>
      </c>
      <c r="AU111" s="53">
        <f>IF(OR($F111="",$G111=""),"",IF(AND(AU$5&lt;=$G111,AU$5+6&gt;=$F111),IF($H111="Complétée","F",IF(OR($H111="En cours",$H111="En revue"),"E",IF($H111="Bloquée","B","P"))),""))</f>
        <v/>
      </c>
      <c r="AV111" s="53">
        <f>IF(OR($F111="",$G111=""),"",IF(AND(AV$5&lt;=$G111,AV$5+6&gt;=$F111),IF($H111="Complétée","F",IF(OR($H111="En cours",$H111="En revue"),"E",IF($H111="Bloquée","B","P"))),""))</f>
        <v/>
      </c>
      <c r="AW111" s="53">
        <f>IF(OR($F111="",$G111=""),"",IF(AND(AW$5&lt;=$G111,AW$5+6&gt;=$F111),IF($H111="Complétée","F",IF(OR($H111="En cours",$H111="En revue"),"E",IF($H111="Bloquée","B","P"))),""))</f>
        <v/>
      </c>
    </row>
    <row r="112">
      <c r="B112" s="50">
        <f>IF(Taches!B112="","",Taches!B112)</f>
        <v/>
      </c>
      <c r="C112" s="51">
        <f>IF(Taches!B112="","",Taches!F112)</f>
        <v/>
      </c>
      <c r="D112" s="50">
        <f>IF(Taches!B112="","",Taches!C112)</f>
        <v/>
      </c>
      <c r="E112" s="50">
        <f>IF(Taches!B112="","",Taches!D112)</f>
        <v/>
      </c>
      <c r="F112" s="52">
        <f>IF(Taches!P112="","",Taches!P112)</f>
        <v/>
      </c>
      <c r="G112" s="52">
        <f>IF(Taches!Q112="","",Taches!Q112)</f>
        <v/>
      </c>
      <c r="H112" s="50">
        <f>IF(Taches!B112="","",Taches!J112)</f>
        <v/>
      </c>
      <c r="I112" s="53">
        <f>IF(OR($F112="",$G112=""),"",IF(AND(I$5&lt;=$G112,I$5+6&gt;=$F112),IF($H112="Complétée","F",IF(OR($H112="En cours",$H112="En revue"),"E",IF($H112="Bloquée","B","P"))),""))</f>
        <v/>
      </c>
      <c r="J112" s="53">
        <f>IF(OR($F112="",$G112=""),"",IF(AND(J$5&lt;=$G112,J$5+6&gt;=$F112),IF($H112="Complétée","F",IF(OR($H112="En cours",$H112="En revue"),"E",IF($H112="Bloquée","B","P"))),""))</f>
        <v/>
      </c>
      <c r="K112" s="53">
        <f>IF(OR($F112="",$G112=""),"",IF(AND(K$5&lt;=$G112,K$5+6&gt;=$F112),IF($H112="Complétée","F",IF(OR($H112="En cours",$H112="En revue"),"E",IF($H112="Bloquée","B","P"))),""))</f>
        <v/>
      </c>
      <c r="L112" s="53">
        <f>IF(OR($F112="",$G112=""),"",IF(AND(L$5&lt;=$G112,L$5+6&gt;=$F112),IF($H112="Complétée","F",IF(OR($H112="En cours",$H112="En revue"),"E",IF($H112="Bloquée","B","P"))),""))</f>
        <v/>
      </c>
      <c r="M112" s="53">
        <f>IF(OR($F112="",$G112=""),"",IF(AND(M$5&lt;=$G112,M$5+6&gt;=$F112),IF($H112="Complétée","F",IF(OR($H112="En cours",$H112="En revue"),"E",IF($H112="Bloquée","B","P"))),""))</f>
        <v/>
      </c>
      <c r="N112" s="53">
        <f>IF(OR($F112="",$G112=""),"",IF(AND(N$5&lt;=$G112,N$5+6&gt;=$F112),IF($H112="Complétée","F",IF(OR($H112="En cours",$H112="En revue"),"E",IF($H112="Bloquée","B","P"))),""))</f>
        <v/>
      </c>
      <c r="O112" s="53">
        <f>IF(OR($F112="",$G112=""),"",IF(AND(O$5&lt;=$G112,O$5+6&gt;=$F112),IF($H112="Complétée","F",IF(OR($H112="En cours",$H112="En revue"),"E",IF($H112="Bloquée","B","P"))),""))</f>
        <v/>
      </c>
      <c r="P112" s="53">
        <f>IF(OR($F112="",$G112=""),"",IF(AND(P$5&lt;=$G112,P$5+6&gt;=$F112),IF($H112="Complétée","F",IF(OR($H112="En cours",$H112="En revue"),"E",IF($H112="Bloquée","B","P"))),""))</f>
        <v/>
      </c>
      <c r="Q112" s="53">
        <f>IF(OR($F112="",$G112=""),"",IF(AND(Q$5&lt;=$G112,Q$5+6&gt;=$F112),IF($H112="Complétée","F",IF(OR($H112="En cours",$H112="En revue"),"E",IF($H112="Bloquée","B","P"))),""))</f>
        <v/>
      </c>
      <c r="R112" s="53">
        <f>IF(OR($F112="",$G112=""),"",IF(AND(R$5&lt;=$G112,R$5+6&gt;=$F112),IF($H112="Complétée","F",IF(OR($H112="En cours",$H112="En revue"),"E",IF($H112="Bloquée","B","P"))),""))</f>
        <v/>
      </c>
      <c r="S112" s="53">
        <f>IF(OR($F112="",$G112=""),"",IF(AND(S$5&lt;=$G112,S$5+6&gt;=$F112),IF($H112="Complétée","F",IF(OR($H112="En cours",$H112="En revue"),"E",IF($H112="Bloquée","B","P"))),""))</f>
        <v/>
      </c>
      <c r="T112" s="53">
        <f>IF(OR($F112="",$G112=""),"",IF(AND(T$5&lt;=$G112,T$5+6&gt;=$F112),IF($H112="Complétée","F",IF(OR($H112="En cours",$H112="En revue"),"E",IF($H112="Bloquée","B","P"))),""))</f>
        <v/>
      </c>
      <c r="U112" s="53">
        <f>IF(OR($F112="",$G112=""),"",IF(AND(U$5&lt;=$G112,U$5+6&gt;=$F112),IF($H112="Complétée","F",IF(OR($H112="En cours",$H112="En revue"),"E",IF($H112="Bloquée","B","P"))),""))</f>
        <v/>
      </c>
      <c r="V112" s="53">
        <f>IF(OR($F112="",$G112=""),"",IF(AND(V$5&lt;=$G112,V$5+6&gt;=$F112),IF($H112="Complétée","F",IF(OR($H112="En cours",$H112="En revue"),"E",IF($H112="Bloquée","B","P"))),""))</f>
        <v/>
      </c>
      <c r="W112" s="53">
        <f>IF(OR($F112="",$G112=""),"",IF(AND(W$5&lt;=$G112,W$5+6&gt;=$F112),IF($H112="Complétée","F",IF(OR($H112="En cours",$H112="En revue"),"E",IF($H112="Bloquée","B","P"))),""))</f>
        <v/>
      </c>
      <c r="X112" s="53">
        <f>IF(OR($F112="",$G112=""),"",IF(AND(X$5&lt;=$G112,X$5+6&gt;=$F112),IF($H112="Complétée","F",IF(OR($H112="En cours",$H112="En revue"),"E",IF($H112="Bloquée","B","P"))),""))</f>
        <v/>
      </c>
      <c r="Y112" s="53">
        <f>IF(OR($F112="",$G112=""),"",IF(AND(Y$5&lt;=$G112,Y$5+6&gt;=$F112),IF($H112="Complétée","F",IF(OR($H112="En cours",$H112="En revue"),"E",IF($H112="Bloquée","B","P"))),""))</f>
        <v/>
      </c>
      <c r="Z112" s="53">
        <f>IF(OR($F112="",$G112=""),"",IF(AND(Z$5&lt;=$G112,Z$5+6&gt;=$F112),IF($H112="Complétée","F",IF(OR($H112="En cours",$H112="En revue"),"E",IF($H112="Bloquée","B","P"))),""))</f>
        <v/>
      </c>
      <c r="AA112" s="53">
        <f>IF(OR($F112="",$G112=""),"",IF(AND(AA$5&lt;=$G112,AA$5+6&gt;=$F112),IF($H112="Complétée","F",IF(OR($H112="En cours",$H112="En revue"),"E",IF($H112="Bloquée","B","P"))),""))</f>
        <v/>
      </c>
      <c r="AB112" s="53">
        <f>IF(OR($F112="",$G112=""),"",IF(AND(AB$5&lt;=$G112,AB$5+6&gt;=$F112),IF($H112="Complétée","F",IF(OR($H112="En cours",$H112="En revue"),"E",IF($H112="Bloquée","B","P"))),""))</f>
        <v/>
      </c>
      <c r="AC112" s="53">
        <f>IF(OR($F112="",$G112=""),"",IF(AND(AC$5&lt;=$G112,AC$5+6&gt;=$F112),IF($H112="Complétée","F",IF(OR($H112="En cours",$H112="En revue"),"E",IF($H112="Bloquée","B","P"))),""))</f>
        <v/>
      </c>
      <c r="AD112" s="53">
        <f>IF(OR($F112="",$G112=""),"",IF(AND(AD$5&lt;=$G112,AD$5+6&gt;=$F112),IF($H112="Complétée","F",IF(OR($H112="En cours",$H112="En revue"),"E",IF($H112="Bloquée","B","P"))),""))</f>
        <v/>
      </c>
      <c r="AE112" s="53">
        <f>IF(OR($F112="",$G112=""),"",IF(AND(AE$5&lt;=$G112,AE$5+6&gt;=$F112),IF($H112="Complétée","F",IF(OR($H112="En cours",$H112="En revue"),"E",IF($H112="Bloquée","B","P"))),""))</f>
        <v/>
      </c>
      <c r="AF112" s="53">
        <f>IF(OR($F112="",$G112=""),"",IF(AND(AF$5&lt;=$G112,AF$5+6&gt;=$F112),IF($H112="Complétée","F",IF(OR($H112="En cours",$H112="En revue"),"E",IF($H112="Bloquée","B","P"))),""))</f>
        <v/>
      </c>
      <c r="AG112" s="53">
        <f>IF(OR($F112="",$G112=""),"",IF(AND(AG$5&lt;=$G112,AG$5+6&gt;=$F112),IF($H112="Complétée","F",IF(OR($H112="En cours",$H112="En revue"),"E",IF($H112="Bloquée","B","P"))),""))</f>
        <v/>
      </c>
      <c r="AH112" s="53">
        <f>IF(OR($F112="",$G112=""),"",IF(AND(AH$5&lt;=$G112,AH$5+6&gt;=$F112),IF($H112="Complétée","F",IF(OR($H112="En cours",$H112="En revue"),"E",IF($H112="Bloquée","B","P"))),""))</f>
        <v/>
      </c>
      <c r="AI112" s="53">
        <f>IF(OR($F112="",$G112=""),"",IF(AND(AI$5&lt;=$G112,AI$5+6&gt;=$F112),IF($H112="Complétée","F",IF(OR($H112="En cours",$H112="En revue"),"E",IF($H112="Bloquée","B","P"))),""))</f>
        <v/>
      </c>
      <c r="AJ112" s="53">
        <f>IF(OR($F112="",$G112=""),"",IF(AND(AJ$5&lt;=$G112,AJ$5+6&gt;=$F112),IF($H112="Complétée","F",IF(OR($H112="En cours",$H112="En revue"),"E",IF($H112="Bloquée","B","P"))),""))</f>
        <v/>
      </c>
      <c r="AK112" s="53">
        <f>IF(OR($F112="",$G112=""),"",IF(AND(AK$5&lt;=$G112,AK$5+6&gt;=$F112),IF($H112="Complétée","F",IF(OR($H112="En cours",$H112="En revue"),"E",IF($H112="Bloquée","B","P"))),""))</f>
        <v/>
      </c>
      <c r="AL112" s="53">
        <f>IF(OR($F112="",$G112=""),"",IF(AND(AL$5&lt;=$G112,AL$5+6&gt;=$F112),IF($H112="Complétée","F",IF(OR($H112="En cours",$H112="En revue"),"E",IF($H112="Bloquée","B","P"))),""))</f>
        <v/>
      </c>
      <c r="AM112" s="53">
        <f>IF(OR($F112="",$G112=""),"",IF(AND(AM$5&lt;=$G112,AM$5+6&gt;=$F112),IF($H112="Complétée","F",IF(OR($H112="En cours",$H112="En revue"),"E",IF($H112="Bloquée","B","P"))),""))</f>
        <v/>
      </c>
      <c r="AN112" s="53">
        <f>IF(OR($F112="",$G112=""),"",IF(AND(AN$5&lt;=$G112,AN$5+6&gt;=$F112),IF($H112="Complétée","F",IF(OR($H112="En cours",$H112="En revue"),"E",IF($H112="Bloquée","B","P"))),""))</f>
        <v/>
      </c>
      <c r="AO112" s="53">
        <f>IF(OR($F112="",$G112=""),"",IF(AND(AO$5&lt;=$G112,AO$5+6&gt;=$F112),IF($H112="Complétée","F",IF(OR($H112="En cours",$H112="En revue"),"E",IF($H112="Bloquée","B","P"))),""))</f>
        <v/>
      </c>
      <c r="AP112" s="53">
        <f>IF(OR($F112="",$G112=""),"",IF(AND(AP$5&lt;=$G112,AP$5+6&gt;=$F112),IF($H112="Complétée","F",IF(OR($H112="En cours",$H112="En revue"),"E",IF($H112="Bloquée","B","P"))),""))</f>
        <v/>
      </c>
      <c r="AQ112" s="53">
        <f>IF(OR($F112="",$G112=""),"",IF(AND(AQ$5&lt;=$G112,AQ$5+6&gt;=$F112),IF($H112="Complétée","F",IF(OR($H112="En cours",$H112="En revue"),"E",IF($H112="Bloquée","B","P"))),""))</f>
        <v/>
      </c>
      <c r="AR112" s="53">
        <f>IF(OR($F112="",$G112=""),"",IF(AND(AR$5&lt;=$G112,AR$5+6&gt;=$F112),IF($H112="Complétée","F",IF(OR($H112="En cours",$H112="En revue"),"E",IF($H112="Bloquée","B","P"))),""))</f>
        <v/>
      </c>
      <c r="AS112" s="53">
        <f>IF(OR($F112="",$G112=""),"",IF(AND(AS$5&lt;=$G112,AS$5+6&gt;=$F112),IF($H112="Complétée","F",IF(OR($H112="En cours",$H112="En revue"),"E",IF($H112="Bloquée","B","P"))),""))</f>
        <v/>
      </c>
      <c r="AT112" s="53">
        <f>IF(OR($F112="",$G112=""),"",IF(AND(AT$5&lt;=$G112,AT$5+6&gt;=$F112),IF($H112="Complétée","F",IF(OR($H112="En cours",$H112="En revue"),"E",IF($H112="Bloquée","B","P"))),""))</f>
        <v/>
      </c>
      <c r="AU112" s="53">
        <f>IF(OR($F112="",$G112=""),"",IF(AND(AU$5&lt;=$G112,AU$5+6&gt;=$F112),IF($H112="Complétée","F",IF(OR($H112="En cours",$H112="En revue"),"E",IF($H112="Bloquée","B","P"))),""))</f>
        <v/>
      </c>
      <c r="AV112" s="53">
        <f>IF(OR($F112="",$G112=""),"",IF(AND(AV$5&lt;=$G112,AV$5+6&gt;=$F112),IF($H112="Complétée","F",IF(OR($H112="En cours",$H112="En revue"),"E",IF($H112="Bloquée","B","P"))),""))</f>
        <v/>
      </c>
      <c r="AW112" s="53">
        <f>IF(OR($F112="",$G112=""),"",IF(AND(AW$5&lt;=$G112,AW$5+6&gt;=$F112),IF($H112="Complétée","F",IF(OR($H112="En cours",$H112="En revue"),"E",IF($H112="Bloquée","B","P"))),""))</f>
        <v/>
      </c>
    </row>
    <row r="113">
      <c r="B113" s="50">
        <f>IF(Taches!B113="","",Taches!B113)</f>
        <v/>
      </c>
      <c r="C113" s="51">
        <f>IF(Taches!B113="","",Taches!F113)</f>
        <v/>
      </c>
      <c r="D113" s="50">
        <f>IF(Taches!B113="","",Taches!C113)</f>
        <v/>
      </c>
      <c r="E113" s="50">
        <f>IF(Taches!B113="","",Taches!D113)</f>
        <v/>
      </c>
      <c r="F113" s="52">
        <f>IF(Taches!P113="","",Taches!P113)</f>
        <v/>
      </c>
      <c r="G113" s="52">
        <f>IF(Taches!Q113="","",Taches!Q113)</f>
        <v/>
      </c>
      <c r="H113" s="50">
        <f>IF(Taches!B113="","",Taches!J113)</f>
        <v/>
      </c>
      <c r="I113" s="53">
        <f>IF(OR($F113="",$G113=""),"",IF(AND(I$5&lt;=$G113,I$5+6&gt;=$F113),IF($H113="Complétée","F",IF(OR($H113="En cours",$H113="En revue"),"E",IF($H113="Bloquée","B","P"))),""))</f>
        <v/>
      </c>
      <c r="J113" s="53">
        <f>IF(OR($F113="",$G113=""),"",IF(AND(J$5&lt;=$G113,J$5+6&gt;=$F113),IF($H113="Complétée","F",IF(OR($H113="En cours",$H113="En revue"),"E",IF($H113="Bloquée","B","P"))),""))</f>
        <v/>
      </c>
      <c r="K113" s="53">
        <f>IF(OR($F113="",$G113=""),"",IF(AND(K$5&lt;=$G113,K$5+6&gt;=$F113),IF($H113="Complétée","F",IF(OR($H113="En cours",$H113="En revue"),"E",IF($H113="Bloquée","B","P"))),""))</f>
        <v/>
      </c>
      <c r="L113" s="53">
        <f>IF(OR($F113="",$G113=""),"",IF(AND(L$5&lt;=$G113,L$5+6&gt;=$F113),IF($H113="Complétée","F",IF(OR($H113="En cours",$H113="En revue"),"E",IF($H113="Bloquée","B","P"))),""))</f>
        <v/>
      </c>
      <c r="M113" s="53">
        <f>IF(OR($F113="",$G113=""),"",IF(AND(M$5&lt;=$G113,M$5+6&gt;=$F113),IF($H113="Complétée","F",IF(OR($H113="En cours",$H113="En revue"),"E",IF($H113="Bloquée","B","P"))),""))</f>
        <v/>
      </c>
      <c r="N113" s="53">
        <f>IF(OR($F113="",$G113=""),"",IF(AND(N$5&lt;=$G113,N$5+6&gt;=$F113),IF($H113="Complétée","F",IF(OR($H113="En cours",$H113="En revue"),"E",IF($H113="Bloquée","B","P"))),""))</f>
        <v/>
      </c>
      <c r="O113" s="53">
        <f>IF(OR($F113="",$G113=""),"",IF(AND(O$5&lt;=$G113,O$5+6&gt;=$F113),IF($H113="Complétée","F",IF(OR($H113="En cours",$H113="En revue"),"E",IF($H113="Bloquée","B","P"))),""))</f>
        <v/>
      </c>
      <c r="P113" s="53">
        <f>IF(OR($F113="",$G113=""),"",IF(AND(P$5&lt;=$G113,P$5+6&gt;=$F113),IF($H113="Complétée","F",IF(OR($H113="En cours",$H113="En revue"),"E",IF($H113="Bloquée","B","P"))),""))</f>
        <v/>
      </c>
      <c r="Q113" s="53">
        <f>IF(OR($F113="",$G113=""),"",IF(AND(Q$5&lt;=$G113,Q$5+6&gt;=$F113),IF($H113="Complétée","F",IF(OR($H113="En cours",$H113="En revue"),"E",IF($H113="Bloquée","B","P"))),""))</f>
        <v/>
      </c>
      <c r="R113" s="53">
        <f>IF(OR($F113="",$G113=""),"",IF(AND(R$5&lt;=$G113,R$5+6&gt;=$F113),IF($H113="Complétée","F",IF(OR($H113="En cours",$H113="En revue"),"E",IF($H113="Bloquée","B","P"))),""))</f>
        <v/>
      </c>
      <c r="S113" s="53">
        <f>IF(OR($F113="",$G113=""),"",IF(AND(S$5&lt;=$G113,S$5+6&gt;=$F113),IF($H113="Complétée","F",IF(OR($H113="En cours",$H113="En revue"),"E",IF($H113="Bloquée","B","P"))),""))</f>
        <v/>
      </c>
      <c r="T113" s="53">
        <f>IF(OR($F113="",$G113=""),"",IF(AND(T$5&lt;=$G113,T$5+6&gt;=$F113),IF($H113="Complétée","F",IF(OR($H113="En cours",$H113="En revue"),"E",IF($H113="Bloquée","B","P"))),""))</f>
        <v/>
      </c>
      <c r="U113" s="53">
        <f>IF(OR($F113="",$G113=""),"",IF(AND(U$5&lt;=$G113,U$5+6&gt;=$F113),IF($H113="Complétée","F",IF(OR($H113="En cours",$H113="En revue"),"E",IF($H113="Bloquée","B","P"))),""))</f>
        <v/>
      </c>
      <c r="V113" s="53">
        <f>IF(OR($F113="",$G113=""),"",IF(AND(V$5&lt;=$G113,V$5+6&gt;=$F113),IF($H113="Complétée","F",IF(OR($H113="En cours",$H113="En revue"),"E",IF($H113="Bloquée","B","P"))),""))</f>
        <v/>
      </c>
      <c r="W113" s="53">
        <f>IF(OR($F113="",$G113=""),"",IF(AND(W$5&lt;=$G113,W$5+6&gt;=$F113),IF($H113="Complétée","F",IF(OR($H113="En cours",$H113="En revue"),"E",IF($H113="Bloquée","B","P"))),""))</f>
        <v/>
      </c>
      <c r="X113" s="53">
        <f>IF(OR($F113="",$G113=""),"",IF(AND(X$5&lt;=$G113,X$5+6&gt;=$F113),IF($H113="Complétée","F",IF(OR($H113="En cours",$H113="En revue"),"E",IF($H113="Bloquée","B","P"))),""))</f>
        <v/>
      </c>
      <c r="Y113" s="53">
        <f>IF(OR($F113="",$G113=""),"",IF(AND(Y$5&lt;=$G113,Y$5+6&gt;=$F113),IF($H113="Complétée","F",IF(OR($H113="En cours",$H113="En revue"),"E",IF($H113="Bloquée","B","P"))),""))</f>
        <v/>
      </c>
      <c r="Z113" s="53">
        <f>IF(OR($F113="",$G113=""),"",IF(AND(Z$5&lt;=$G113,Z$5+6&gt;=$F113),IF($H113="Complétée","F",IF(OR($H113="En cours",$H113="En revue"),"E",IF($H113="Bloquée","B","P"))),""))</f>
        <v/>
      </c>
      <c r="AA113" s="53">
        <f>IF(OR($F113="",$G113=""),"",IF(AND(AA$5&lt;=$G113,AA$5+6&gt;=$F113),IF($H113="Complétée","F",IF(OR($H113="En cours",$H113="En revue"),"E",IF($H113="Bloquée","B","P"))),""))</f>
        <v/>
      </c>
      <c r="AB113" s="53">
        <f>IF(OR($F113="",$G113=""),"",IF(AND(AB$5&lt;=$G113,AB$5+6&gt;=$F113),IF($H113="Complétée","F",IF(OR($H113="En cours",$H113="En revue"),"E",IF($H113="Bloquée","B","P"))),""))</f>
        <v/>
      </c>
      <c r="AC113" s="53">
        <f>IF(OR($F113="",$G113=""),"",IF(AND(AC$5&lt;=$G113,AC$5+6&gt;=$F113),IF($H113="Complétée","F",IF(OR($H113="En cours",$H113="En revue"),"E",IF($H113="Bloquée","B","P"))),""))</f>
        <v/>
      </c>
      <c r="AD113" s="53">
        <f>IF(OR($F113="",$G113=""),"",IF(AND(AD$5&lt;=$G113,AD$5+6&gt;=$F113),IF($H113="Complétée","F",IF(OR($H113="En cours",$H113="En revue"),"E",IF($H113="Bloquée","B","P"))),""))</f>
        <v/>
      </c>
      <c r="AE113" s="53">
        <f>IF(OR($F113="",$G113=""),"",IF(AND(AE$5&lt;=$G113,AE$5+6&gt;=$F113),IF($H113="Complétée","F",IF(OR($H113="En cours",$H113="En revue"),"E",IF($H113="Bloquée","B","P"))),""))</f>
        <v/>
      </c>
      <c r="AF113" s="53">
        <f>IF(OR($F113="",$G113=""),"",IF(AND(AF$5&lt;=$G113,AF$5+6&gt;=$F113),IF($H113="Complétée","F",IF(OR($H113="En cours",$H113="En revue"),"E",IF($H113="Bloquée","B","P"))),""))</f>
        <v/>
      </c>
      <c r="AG113" s="53">
        <f>IF(OR($F113="",$G113=""),"",IF(AND(AG$5&lt;=$G113,AG$5+6&gt;=$F113),IF($H113="Complétée","F",IF(OR($H113="En cours",$H113="En revue"),"E",IF($H113="Bloquée","B","P"))),""))</f>
        <v/>
      </c>
      <c r="AH113" s="53">
        <f>IF(OR($F113="",$G113=""),"",IF(AND(AH$5&lt;=$G113,AH$5+6&gt;=$F113),IF($H113="Complétée","F",IF(OR($H113="En cours",$H113="En revue"),"E",IF($H113="Bloquée","B","P"))),""))</f>
        <v/>
      </c>
      <c r="AI113" s="53">
        <f>IF(OR($F113="",$G113=""),"",IF(AND(AI$5&lt;=$G113,AI$5+6&gt;=$F113),IF($H113="Complétée","F",IF(OR($H113="En cours",$H113="En revue"),"E",IF($H113="Bloquée","B","P"))),""))</f>
        <v/>
      </c>
      <c r="AJ113" s="53">
        <f>IF(OR($F113="",$G113=""),"",IF(AND(AJ$5&lt;=$G113,AJ$5+6&gt;=$F113),IF($H113="Complétée","F",IF(OR($H113="En cours",$H113="En revue"),"E",IF($H113="Bloquée","B","P"))),""))</f>
        <v/>
      </c>
      <c r="AK113" s="53">
        <f>IF(OR($F113="",$G113=""),"",IF(AND(AK$5&lt;=$G113,AK$5+6&gt;=$F113),IF($H113="Complétée","F",IF(OR($H113="En cours",$H113="En revue"),"E",IF($H113="Bloquée","B","P"))),""))</f>
        <v/>
      </c>
      <c r="AL113" s="53">
        <f>IF(OR($F113="",$G113=""),"",IF(AND(AL$5&lt;=$G113,AL$5+6&gt;=$F113),IF($H113="Complétée","F",IF(OR($H113="En cours",$H113="En revue"),"E",IF($H113="Bloquée","B","P"))),""))</f>
        <v/>
      </c>
      <c r="AM113" s="53">
        <f>IF(OR($F113="",$G113=""),"",IF(AND(AM$5&lt;=$G113,AM$5+6&gt;=$F113),IF($H113="Complétée","F",IF(OR($H113="En cours",$H113="En revue"),"E",IF($H113="Bloquée","B","P"))),""))</f>
        <v/>
      </c>
      <c r="AN113" s="53">
        <f>IF(OR($F113="",$G113=""),"",IF(AND(AN$5&lt;=$G113,AN$5+6&gt;=$F113),IF($H113="Complétée","F",IF(OR($H113="En cours",$H113="En revue"),"E",IF($H113="Bloquée","B","P"))),""))</f>
        <v/>
      </c>
      <c r="AO113" s="53">
        <f>IF(OR($F113="",$G113=""),"",IF(AND(AO$5&lt;=$G113,AO$5+6&gt;=$F113),IF($H113="Complétée","F",IF(OR($H113="En cours",$H113="En revue"),"E",IF($H113="Bloquée","B","P"))),""))</f>
        <v/>
      </c>
      <c r="AP113" s="53">
        <f>IF(OR($F113="",$G113=""),"",IF(AND(AP$5&lt;=$G113,AP$5+6&gt;=$F113),IF($H113="Complétée","F",IF(OR($H113="En cours",$H113="En revue"),"E",IF($H113="Bloquée","B","P"))),""))</f>
        <v/>
      </c>
      <c r="AQ113" s="53">
        <f>IF(OR($F113="",$G113=""),"",IF(AND(AQ$5&lt;=$G113,AQ$5+6&gt;=$F113),IF($H113="Complétée","F",IF(OR($H113="En cours",$H113="En revue"),"E",IF($H113="Bloquée","B","P"))),""))</f>
        <v/>
      </c>
      <c r="AR113" s="53">
        <f>IF(OR($F113="",$G113=""),"",IF(AND(AR$5&lt;=$G113,AR$5+6&gt;=$F113),IF($H113="Complétée","F",IF(OR($H113="En cours",$H113="En revue"),"E",IF($H113="Bloquée","B","P"))),""))</f>
        <v/>
      </c>
      <c r="AS113" s="53">
        <f>IF(OR($F113="",$G113=""),"",IF(AND(AS$5&lt;=$G113,AS$5+6&gt;=$F113),IF($H113="Complétée","F",IF(OR($H113="En cours",$H113="En revue"),"E",IF($H113="Bloquée","B","P"))),""))</f>
        <v/>
      </c>
      <c r="AT113" s="53">
        <f>IF(OR($F113="",$G113=""),"",IF(AND(AT$5&lt;=$G113,AT$5+6&gt;=$F113),IF($H113="Complétée","F",IF(OR($H113="En cours",$H113="En revue"),"E",IF($H113="Bloquée","B","P"))),""))</f>
        <v/>
      </c>
      <c r="AU113" s="53">
        <f>IF(OR($F113="",$G113=""),"",IF(AND(AU$5&lt;=$G113,AU$5+6&gt;=$F113),IF($H113="Complétée","F",IF(OR($H113="En cours",$H113="En revue"),"E",IF($H113="Bloquée","B","P"))),""))</f>
        <v/>
      </c>
      <c r="AV113" s="53">
        <f>IF(OR($F113="",$G113=""),"",IF(AND(AV$5&lt;=$G113,AV$5+6&gt;=$F113),IF($H113="Complétée","F",IF(OR($H113="En cours",$H113="En revue"),"E",IF($H113="Bloquée","B","P"))),""))</f>
        <v/>
      </c>
      <c r="AW113" s="53">
        <f>IF(OR($F113="",$G113=""),"",IF(AND(AW$5&lt;=$G113,AW$5+6&gt;=$F113),IF($H113="Complétée","F",IF(OR($H113="En cours",$H113="En revue"),"E",IF($H113="Bloquée","B","P"))),""))</f>
        <v/>
      </c>
    </row>
    <row r="114">
      <c r="B114" s="50">
        <f>IF(Taches!B114="","",Taches!B114)</f>
        <v/>
      </c>
      <c r="C114" s="51">
        <f>IF(Taches!B114="","",Taches!F114)</f>
        <v/>
      </c>
      <c r="D114" s="50">
        <f>IF(Taches!B114="","",Taches!C114)</f>
        <v/>
      </c>
      <c r="E114" s="50">
        <f>IF(Taches!B114="","",Taches!D114)</f>
        <v/>
      </c>
      <c r="F114" s="52">
        <f>IF(Taches!P114="","",Taches!P114)</f>
        <v/>
      </c>
      <c r="G114" s="52">
        <f>IF(Taches!Q114="","",Taches!Q114)</f>
        <v/>
      </c>
      <c r="H114" s="50">
        <f>IF(Taches!B114="","",Taches!J114)</f>
        <v/>
      </c>
      <c r="I114" s="53">
        <f>IF(OR($F114="",$G114=""),"",IF(AND(I$5&lt;=$G114,I$5+6&gt;=$F114),IF($H114="Complétée","F",IF(OR($H114="En cours",$H114="En revue"),"E",IF($H114="Bloquée","B","P"))),""))</f>
        <v/>
      </c>
      <c r="J114" s="53">
        <f>IF(OR($F114="",$G114=""),"",IF(AND(J$5&lt;=$G114,J$5+6&gt;=$F114),IF($H114="Complétée","F",IF(OR($H114="En cours",$H114="En revue"),"E",IF($H114="Bloquée","B","P"))),""))</f>
        <v/>
      </c>
      <c r="K114" s="53">
        <f>IF(OR($F114="",$G114=""),"",IF(AND(K$5&lt;=$G114,K$5+6&gt;=$F114),IF($H114="Complétée","F",IF(OR($H114="En cours",$H114="En revue"),"E",IF($H114="Bloquée","B","P"))),""))</f>
        <v/>
      </c>
      <c r="L114" s="53">
        <f>IF(OR($F114="",$G114=""),"",IF(AND(L$5&lt;=$G114,L$5+6&gt;=$F114),IF($H114="Complétée","F",IF(OR($H114="En cours",$H114="En revue"),"E",IF($H114="Bloquée","B","P"))),""))</f>
        <v/>
      </c>
      <c r="M114" s="53">
        <f>IF(OR($F114="",$G114=""),"",IF(AND(M$5&lt;=$G114,M$5+6&gt;=$F114),IF($H114="Complétée","F",IF(OR($H114="En cours",$H114="En revue"),"E",IF($H114="Bloquée","B","P"))),""))</f>
        <v/>
      </c>
      <c r="N114" s="53">
        <f>IF(OR($F114="",$G114=""),"",IF(AND(N$5&lt;=$G114,N$5+6&gt;=$F114),IF($H114="Complétée","F",IF(OR($H114="En cours",$H114="En revue"),"E",IF($H114="Bloquée","B","P"))),""))</f>
        <v/>
      </c>
      <c r="O114" s="53">
        <f>IF(OR($F114="",$G114=""),"",IF(AND(O$5&lt;=$G114,O$5+6&gt;=$F114),IF($H114="Complétée","F",IF(OR($H114="En cours",$H114="En revue"),"E",IF($H114="Bloquée","B","P"))),""))</f>
        <v/>
      </c>
      <c r="P114" s="53">
        <f>IF(OR($F114="",$G114=""),"",IF(AND(P$5&lt;=$G114,P$5+6&gt;=$F114),IF($H114="Complétée","F",IF(OR($H114="En cours",$H114="En revue"),"E",IF($H114="Bloquée","B","P"))),""))</f>
        <v/>
      </c>
      <c r="Q114" s="53">
        <f>IF(OR($F114="",$G114=""),"",IF(AND(Q$5&lt;=$G114,Q$5+6&gt;=$F114),IF($H114="Complétée","F",IF(OR($H114="En cours",$H114="En revue"),"E",IF($H114="Bloquée","B","P"))),""))</f>
        <v/>
      </c>
      <c r="R114" s="53">
        <f>IF(OR($F114="",$G114=""),"",IF(AND(R$5&lt;=$G114,R$5+6&gt;=$F114),IF($H114="Complétée","F",IF(OR($H114="En cours",$H114="En revue"),"E",IF($H114="Bloquée","B","P"))),""))</f>
        <v/>
      </c>
      <c r="S114" s="53">
        <f>IF(OR($F114="",$G114=""),"",IF(AND(S$5&lt;=$G114,S$5+6&gt;=$F114),IF($H114="Complétée","F",IF(OR($H114="En cours",$H114="En revue"),"E",IF($H114="Bloquée","B","P"))),""))</f>
        <v/>
      </c>
      <c r="T114" s="53">
        <f>IF(OR($F114="",$G114=""),"",IF(AND(T$5&lt;=$G114,T$5+6&gt;=$F114),IF($H114="Complétée","F",IF(OR($H114="En cours",$H114="En revue"),"E",IF($H114="Bloquée","B","P"))),""))</f>
        <v/>
      </c>
      <c r="U114" s="53">
        <f>IF(OR($F114="",$G114=""),"",IF(AND(U$5&lt;=$G114,U$5+6&gt;=$F114),IF($H114="Complétée","F",IF(OR($H114="En cours",$H114="En revue"),"E",IF($H114="Bloquée","B","P"))),""))</f>
        <v/>
      </c>
      <c r="V114" s="53">
        <f>IF(OR($F114="",$G114=""),"",IF(AND(V$5&lt;=$G114,V$5+6&gt;=$F114),IF($H114="Complétée","F",IF(OR($H114="En cours",$H114="En revue"),"E",IF($H114="Bloquée","B","P"))),""))</f>
        <v/>
      </c>
      <c r="W114" s="53">
        <f>IF(OR($F114="",$G114=""),"",IF(AND(W$5&lt;=$G114,W$5+6&gt;=$F114),IF($H114="Complétée","F",IF(OR($H114="En cours",$H114="En revue"),"E",IF($H114="Bloquée","B","P"))),""))</f>
        <v/>
      </c>
      <c r="X114" s="53">
        <f>IF(OR($F114="",$G114=""),"",IF(AND(X$5&lt;=$G114,X$5+6&gt;=$F114),IF($H114="Complétée","F",IF(OR($H114="En cours",$H114="En revue"),"E",IF($H114="Bloquée","B","P"))),""))</f>
        <v/>
      </c>
      <c r="Y114" s="53">
        <f>IF(OR($F114="",$G114=""),"",IF(AND(Y$5&lt;=$G114,Y$5+6&gt;=$F114),IF($H114="Complétée","F",IF(OR($H114="En cours",$H114="En revue"),"E",IF($H114="Bloquée","B","P"))),""))</f>
        <v/>
      </c>
      <c r="Z114" s="53">
        <f>IF(OR($F114="",$G114=""),"",IF(AND(Z$5&lt;=$G114,Z$5+6&gt;=$F114),IF($H114="Complétée","F",IF(OR($H114="En cours",$H114="En revue"),"E",IF($H114="Bloquée","B","P"))),""))</f>
        <v/>
      </c>
      <c r="AA114" s="53">
        <f>IF(OR($F114="",$G114=""),"",IF(AND(AA$5&lt;=$G114,AA$5+6&gt;=$F114),IF($H114="Complétée","F",IF(OR($H114="En cours",$H114="En revue"),"E",IF($H114="Bloquée","B","P"))),""))</f>
        <v/>
      </c>
      <c r="AB114" s="53">
        <f>IF(OR($F114="",$G114=""),"",IF(AND(AB$5&lt;=$G114,AB$5+6&gt;=$F114),IF($H114="Complétée","F",IF(OR($H114="En cours",$H114="En revue"),"E",IF($H114="Bloquée","B","P"))),""))</f>
        <v/>
      </c>
      <c r="AC114" s="53">
        <f>IF(OR($F114="",$G114=""),"",IF(AND(AC$5&lt;=$G114,AC$5+6&gt;=$F114),IF($H114="Complétée","F",IF(OR($H114="En cours",$H114="En revue"),"E",IF($H114="Bloquée","B","P"))),""))</f>
        <v/>
      </c>
      <c r="AD114" s="53">
        <f>IF(OR($F114="",$G114=""),"",IF(AND(AD$5&lt;=$G114,AD$5+6&gt;=$F114),IF($H114="Complétée","F",IF(OR($H114="En cours",$H114="En revue"),"E",IF($H114="Bloquée","B","P"))),""))</f>
        <v/>
      </c>
      <c r="AE114" s="53">
        <f>IF(OR($F114="",$G114=""),"",IF(AND(AE$5&lt;=$G114,AE$5+6&gt;=$F114),IF($H114="Complétée","F",IF(OR($H114="En cours",$H114="En revue"),"E",IF($H114="Bloquée","B","P"))),""))</f>
        <v/>
      </c>
      <c r="AF114" s="53">
        <f>IF(OR($F114="",$G114=""),"",IF(AND(AF$5&lt;=$G114,AF$5+6&gt;=$F114),IF($H114="Complétée","F",IF(OR($H114="En cours",$H114="En revue"),"E",IF($H114="Bloquée","B","P"))),""))</f>
        <v/>
      </c>
      <c r="AG114" s="53">
        <f>IF(OR($F114="",$G114=""),"",IF(AND(AG$5&lt;=$G114,AG$5+6&gt;=$F114),IF($H114="Complétée","F",IF(OR($H114="En cours",$H114="En revue"),"E",IF($H114="Bloquée","B","P"))),""))</f>
        <v/>
      </c>
      <c r="AH114" s="53">
        <f>IF(OR($F114="",$G114=""),"",IF(AND(AH$5&lt;=$G114,AH$5+6&gt;=$F114),IF($H114="Complétée","F",IF(OR($H114="En cours",$H114="En revue"),"E",IF($H114="Bloquée","B","P"))),""))</f>
        <v/>
      </c>
      <c r="AI114" s="53">
        <f>IF(OR($F114="",$G114=""),"",IF(AND(AI$5&lt;=$G114,AI$5+6&gt;=$F114),IF($H114="Complétée","F",IF(OR($H114="En cours",$H114="En revue"),"E",IF($H114="Bloquée","B","P"))),""))</f>
        <v/>
      </c>
      <c r="AJ114" s="53">
        <f>IF(OR($F114="",$G114=""),"",IF(AND(AJ$5&lt;=$G114,AJ$5+6&gt;=$F114),IF($H114="Complétée","F",IF(OR($H114="En cours",$H114="En revue"),"E",IF($H114="Bloquée","B","P"))),""))</f>
        <v/>
      </c>
      <c r="AK114" s="53">
        <f>IF(OR($F114="",$G114=""),"",IF(AND(AK$5&lt;=$G114,AK$5+6&gt;=$F114),IF($H114="Complétée","F",IF(OR($H114="En cours",$H114="En revue"),"E",IF($H114="Bloquée","B","P"))),""))</f>
        <v/>
      </c>
      <c r="AL114" s="53">
        <f>IF(OR($F114="",$G114=""),"",IF(AND(AL$5&lt;=$G114,AL$5+6&gt;=$F114),IF($H114="Complétée","F",IF(OR($H114="En cours",$H114="En revue"),"E",IF($H114="Bloquée","B","P"))),""))</f>
        <v/>
      </c>
      <c r="AM114" s="53">
        <f>IF(OR($F114="",$G114=""),"",IF(AND(AM$5&lt;=$G114,AM$5+6&gt;=$F114),IF($H114="Complétée","F",IF(OR($H114="En cours",$H114="En revue"),"E",IF($H114="Bloquée","B","P"))),""))</f>
        <v/>
      </c>
      <c r="AN114" s="53">
        <f>IF(OR($F114="",$G114=""),"",IF(AND(AN$5&lt;=$G114,AN$5+6&gt;=$F114),IF($H114="Complétée","F",IF(OR($H114="En cours",$H114="En revue"),"E",IF($H114="Bloquée","B","P"))),""))</f>
        <v/>
      </c>
      <c r="AO114" s="53">
        <f>IF(OR($F114="",$G114=""),"",IF(AND(AO$5&lt;=$G114,AO$5+6&gt;=$F114),IF($H114="Complétée","F",IF(OR($H114="En cours",$H114="En revue"),"E",IF($H114="Bloquée","B","P"))),""))</f>
        <v/>
      </c>
      <c r="AP114" s="53">
        <f>IF(OR($F114="",$G114=""),"",IF(AND(AP$5&lt;=$G114,AP$5+6&gt;=$F114),IF($H114="Complétée","F",IF(OR($H114="En cours",$H114="En revue"),"E",IF($H114="Bloquée","B","P"))),""))</f>
        <v/>
      </c>
      <c r="AQ114" s="53">
        <f>IF(OR($F114="",$G114=""),"",IF(AND(AQ$5&lt;=$G114,AQ$5+6&gt;=$F114),IF($H114="Complétée","F",IF(OR($H114="En cours",$H114="En revue"),"E",IF($H114="Bloquée","B","P"))),""))</f>
        <v/>
      </c>
      <c r="AR114" s="53">
        <f>IF(OR($F114="",$G114=""),"",IF(AND(AR$5&lt;=$G114,AR$5+6&gt;=$F114),IF($H114="Complétée","F",IF(OR($H114="En cours",$H114="En revue"),"E",IF($H114="Bloquée","B","P"))),""))</f>
        <v/>
      </c>
      <c r="AS114" s="53">
        <f>IF(OR($F114="",$G114=""),"",IF(AND(AS$5&lt;=$G114,AS$5+6&gt;=$F114),IF($H114="Complétée","F",IF(OR($H114="En cours",$H114="En revue"),"E",IF($H114="Bloquée","B","P"))),""))</f>
        <v/>
      </c>
      <c r="AT114" s="53">
        <f>IF(OR($F114="",$G114=""),"",IF(AND(AT$5&lt;=$G114,AT$5+6&gt;=$F114),IF($H114="Complétée","F",IF(OR($H114="En cours",$H114="En revue"),"E",IF($H114="Bloquée","B","P"))),""))</f>
        <v/>
      </c>
      <c r="AU114" s="53">
        <f>IF(OR($F114="",$G114=""),"",IF(AND(AU$5&lt;=$G114,AU$5+6&gt;=$F114),IF($H114="Complétée","F",IF(OR($H114="En cours",$H114="En revue"),"E",IF($H114="Bloquée","B","P"))),""))</f>
        <v/>
      </c>
      <c r="AV114" s="53">
        <f>IF(OR($F114="",$G114=""),"",IF(AND(AV$5&lt;=$G114,AV$5+6&gt;=$F114),IF($H114="Complétée","F",IF(OR($H114="En cours",$H114="En revue"),"E",IF($H114="Bloquée","B","P"))),""))</f>
        <v/>
      </c>
      <c r="AW114" s="53">
        <f>IF(OR($F114="",$G114=""),"",IF(AND(AW$5&lt;=$G114,AW$5+6&gt;=$F114),IF($H114="Complétée","F",IF(OR($H114="En cours",$H114="En revue"),"E",IF($H114="Bloquée","B","P"))),""))</f>
        <v/>
      </c>
    </row>
    <row r="115">
      <c r="B115" s="50">
        <f>IF(Taches!B115="","",Taches!B115)</f>
        <v/>
      </c>
      <c r="C115" s="51">
        <f>IF(Taches!B115="","",Taches!F115)</f>
        <v/>
      </c>
      <c r="D115" s="50">
        <f>IF(Taches!B115="","",Taches!C115)</f>
        <v/>
      </c>
      <c r="E115" s="50">
        <f>IF(Taches!B115="","",Taches!D115)</f>
        <v/>
      </c>
      <c r="F115" s="52">
        <f>IF(Taches!P115="","",Taches!P115)</f>
        <v/>
      </c>
      <c r="G115" s="52">
        <f>IF(Taches!Q115="","",Taches!Q115)</f>
        <v/>
      </c>
      <c r="H115" s="50">
        <f>IF(Taches!B115="","",Taches!J115)</f>
        <v/>
      </c>
      <c r="I115" s="53">
        <f>IF(OR($F115="",$G115=""),"",IF(AND(I$5&lt;=$G115,I$5+6&gt;=$F115),IF($H115="Complétée","F",IF(OR($H115="En cours",$H115="En revue"),"E",IF($H115="Bloquée","B","P"))),""))</f>
        <v/>
      </c>
      <c r="J115" s="53">
        <f>IF(OR($F115="",$G115=""),"",IF(AND(J$5&lt;=$G115,J$5+6&gt;=$F115),IF($H115="Complétée","F",IF(OR($H115="En cours",$H115="En revue"),"E",IF($H115="Bloquée","B","P"))),""))</f>
        <v/>
      </c>
      <c r="K115" s="53">
        <f>IF(OR($F115="",$G115=""),"",IF(AND(K$5&lt;=$G115,K$5+6&gt;=$F115),IF($H115="Complétée","F",IF(OR($H115="En cours",$H115="En revue"),"E",IF($H115="Bloquée","B","P"))),""))</f>
        <v/>
      </c>
      <c r="L115" s="53">
        <f>IF(OR($F115="",$G115=""),"",IF(AND(L$5&lt;=$G115,L$5+6&gt;=$F115),IF($H115="Complétée","F",IF(OR($H115="En cours",$H115="En revue"),"E",IF($H115="Bloquée","B","P"))),""))</f>
        <v/>
      </c>
      <c r="M115" s="53">
        <f>IF(OR($F115="",$G115=""),"",IF(AND(M$5&lt;=$G115,M$5+6&gt;=$F115),IF($H115="Complétée","F",IF(OR($H115="En cours",$H115="En revue"),"E",IF($H115="Bloquée","B","P"))),""))</f>
        <v/>
      </c>
      <c r="N115" s="53">
        <f>IF(OR($F115="",$G115=""),"",IF(AND(N$5&lt;=$G115,N$5+6&gt;=$F115),IF($H115="Complétée","F",IF(OR($H115="En cours",$H115="En revue"),"E",IF($H115="Bloquée","B","P"))),""))</f>
        <v/>
      </c>
      <c r="O115" s="53">
        <f>IF(OR($F115="",$G115=""),"",IF(AND(O$5&lt;=$G115,O$5+6&gt;=$F115),IF($H115="Complétée","F",IF(OR($H115="En cours",$H115="En revue"),"E",IF($H115="Bloquée","B","P"))),""))</f>
        <v/>
      </c>
      <c r="P115" s="53">
        <f>IF(OR($F115="",$G115=""),"",IF(AND(P$5&lt;=$G115,P$5+6&gt;=$F115),IF($H115="Complétée","F",IF(OR($H115="En cours",$H115="En revue"),"E",IF($H115="Bloquée","B","P"))),""))</f>
        <v/>
      </c>
      <c r="Q115" s="53">
        <f>IF(OR($F115="",$G115=""),"",IF(AND(Q$5&lt;=$G115,Q$5+6&gt;=$F115),IF($H115="Complétée","F",IF(OR($H115="En cours",$H115="En revue"),"E",IF($H115="Bloquée","B","P"))),""))</f>
        <v/>
      </c>
      <c r="R115" s="53">
        <f>IF(OR($F115="",$G115=""),"",IF(AND(R$5&lt;=$G115,R$5+6&gt;=$F115),IF($H115="Complétée","F",IF(OR($H115="En cours",$H115="En revue"),"E",IF($H115="Bloquée","B","P"))),""))</f>
        <v/>
      </c>
      <c r="S115" s="53">
        <f>IF(OR($F115="",$G115=""),"",IF(AND(S$5&lt;=$G115,S$5+6&gt;=$F115),IF($H115="Complétée","F",IF(OR($H115="En cours",$H115="En revue"),"E",IF($H115="Bloquée","B","P"))),""))</f>
        <v/>
      </c>
      <c r="T115" s="53">
        <f>IF(OR($F115="",$G115=""),"",IF(AND(T$5&lt;=$G115,T$5+6&gt;=$F115),IF($H115="Complétée","F",IF(OR($H115="En cours",$H115="En revue"),"E",IF($H115="Bloquée","B","P"))),""))</f>
        <v/>
      </c>
      <c r="U115" s="53">
        <f>IF(OR($F115="",$G115=""),"",IF(AND(U$5&lt;=$G115,U$5+6&gt;=$F115),IF($H115="Complétée","F",IF(OR($H115="En cours",$H115="En revue"),"E",IF($H115="Bloquée","B","P"))),""))</f>
        <v/>
      </c>
      <c r="V115" s="53">
        <f>IF(OR($F115="",$G115=""),"",IF(AND(V$5&lt;=$G115,V$5+6&gt;=$F115),IF($H115="Complétée","F",IF(OR($H115="En cours",$H115="En revue"),"E",IF($H115="Bloquée","B","P"))),""))</f>
        <v/>
      </c>
      <c r="W115" s="53">
        <f>IF(OR($F115="",$G115=""),"",IF(AND(W$5&lt;=$G115,W$5+6&gt;=$F115),IF($H115="Complétée","F",IF(OR($H115="En cours",$H115="En revue"),"E",IF($H115="Bloquée","B","P"))),""))</f>
        <v/>
      </c>
      <c r="X115" s="53">
        <f>IF(OR($F115="",$G115=""),"",IF(AND(X$5&lt;=$G115,X$5+6&gt;=$F115),IF($H115="Complétée","F",IF(OR($H115="En cours",$H115="En revue"),"E",IF($H115="Bloquée","B","P"))),""))</f>
        <v/>
      </c>
      <c r="Y115" s="53">
        <f>IF(OR($F115="",$G115=""),"",IF(AND(Y$5&lt;=$G115,Y$5+6&gt;=$F115),IF($H115="Complétée","F",IF(OR($H115="En cours",$H115="En revue"),"E",IF($H115="Bloquée","B","P"))),""))</f>
        <v/>
      </c>
      <c r="Z115" s="53">
        <f>IF(OR($F115="",$G115=""),"",IF(AND(Z$5&lt;=$G115,Z$5+6&gt;=$F115),IF($H115="Complétée","F",IF(OR($H115="En cours",$H115="En revue"),"E",IF($H115="Bloquée","B","P"))),""))</f>
        <v/>
      </c>
      <c r="AA115" s="53">
        <f>IF(OR($F115="",$G115=""),"",IF(AND(AA$5&lt;=$G115,AA$5+6&gt;=$F115),IF($H115="Complétée","F",IF(OR($H115="En cours",$H115="En revue"),"E",IF($H115="Bloquée","B","P"))),""))</f>
        <v/>
      </c>
      <c r="AB115" s="53">
        <f>IF(OR($F115="",$G115=""),"",IF(AND(AB$5&lt;=$G115,AB$5+6&gt;=$F115),IF($H115="Complétée","F",IF(OR($H115="En cours",$H115="En revue"),"E",IF($H115="Bloquée","B","P"))),""))</f>
        <v/>
      </c>
      <c r="AC115" s="53">
        <f>IF(OR($F115="",$G115=""),"",IF(AND(AC$5&lt;=$G115,AC$5+6&gt;=$F115),IF($H115="Complétée","F",IF(OR($H115="En cours",$H115="En revue"),"E",IF($H115="Bloquée","B","P"))),""))</f>
        <v/>
      </c>
      <c r="AD115" s="53">
        <f>IF(OR($F115="",$G115=""),"",IF(AND(AD$5&lt;=$G115,AD$5+6&gt;=$F115),IF($H115="Complétée","F",IF(OR($H115="En cours",$H115="En revue"),"E",IF($H115="Bloquée","B","P"))),""))</f>
        <v/>
      </c>
      <c r="AE115" s="53">
        <f>IF(OR($F115="",$G115=""),"",IF(AND(AE$5&lt;=$G115,AE$5+6&gt;=$F115),IF($H115="Complétée","F",IF(OR($H115="En cours",$H115="En revue"),"E",IF($H115="Bloquée","B","P"))),""))</f>
        <v/>
      </c>
      <c r="AF115" s="53">
        <f>IF(OR($F115="",$G115=""),"",IF(AND(AF$5&lt;=$G115,AF$5+6&gt;=$F115),IF($H115="Complétée","F",IF(OR($H115="En cours",$H115="En revue"),"E",IF($H115="Bloquée","B","P"))),""))</f>
        <v/>
      </c>
      <c r="AG115" s="53">
        <f>IF(OR($F115="",$G115=""),"",IF(AND(AG$5&lt;=$G115,AG$5+6&gt;=$F115),IF($H115="Complétée","F",IF(OR($H115="En cours",$H115="En revue"),"E",IF($H115="Bloquée","B","P"))),""))</f>
        <v/>
      </c>
      <c r="AH115" s="53">
        <f>IF(OR($F115="",$G115=""),"",IF(AND(AH$5&lt;=$G115,AH$5+6&gt;=$F115),IF($H115="Complétée","F",IF(OR($H115="En cours",$H115="En revue"),"E",IF($H115="Bloquée","B","P"))),""))</f>
        <v/>
      </c>
      <c r="AI115" s="53">
        <f>IF(OR($F115="",$G115=""),"",IF(AND(AI$5&lt;=$G115,AI$5+6&gt;=$F115),IF($H115="Complétée","F",IF(OR($H115="En cours",$H115="En revue"),"E",IF($H115="Bloquée","B","P"))),""))</f>
        <v/>
      </c>
      <c r="AJ115" s="53">
        <f>IF(OR($F115="",$G115=""),"",IF(AND(AJ$5&lt;=$G115,AJ$5+6&gt;=$F115),IF($H115="Complétée","F",IF(OR($H115="En cours",$H115="En revue"),"E",IF($H115="Bloquée","B","P"))),""))</f>
        <v/>
      </c>
      <c r="AK115" s="53">
        <f>IF(OR($F115="",$G115=""),"",IF(AND(AK$5&lt;=$G115,AK$5+6&gt;=$F115),IF($H115="Complétée","F",IF(OR($H115="En cours",$H115="En revue"),"E",IF($H115="Bloquée","B","P"))),""))</f>
        <v/>
      </c>
      <c r="AL115" s="53">
        <f>IF(OR($F115="",$G115=""),"",IF(AND(AL$5&lt;=$G115,AL$5+6&gt;=$F115),IF($H115="Complétée","F",IF(OR($H115="En cours",$H115="En revue"),"E",IF($H115="Bloquée","B","P"))),""))</f>
        <v/>
      </c>
      <c r="AM115" s="53">
        <f>IF(OR($F115="",$G115=""),"",IF(AND(AM$5&lt;=$G115,AM$5+6&gt;=$F115),IF($H115="Complétée","F",IF(OR($H115="En cours",$H115="En revue"),"E",IF($H115="Bloquée","B","P"))),""))</f>
        <v/>
      </c>
      <c r="AN115" s="53">
        <f>IF(OR($F115="",$G115=""),"",IF(AND(AN$5&lt;=$G115,AN$5+6&gt;=$F115),IF($H115="Complétée","F",IF(OR($H115="En cours",$H115="En revue"),"E",IF($H115="Bloquée","B","P"))),""))</f>
        <v/>
      </c>
      <c r="AO115" s="53">
        <f>IF(OR($F115="",$G115=""),"",IF(AND(AO$5&lt;=$G115,AO$5+6&gt;=$F115),IF($H115="Complétée","F",IF(OR($H115="En cours",$H115="En revue"),"E",IF($H115="Bloquée","B","P"))),""))</f>
        <v/>
      </c>
      <c r="AP115" s="53">
        <f>IF(OR($F115="",$G115=""),"",IF(AND(AP$5&lt;=$G115,AP$5+6&gt;=$F115),IF($H115="Complétée","F",IF(OR($H115="En cours",$H115="En revue"),"E",IF($H115="Bloquée","B","P"))),""))</f>
        <v/>
      </c>
      <c r="AQ115" s="53">
        <f>IF(OR($F115="",$G115=""),"",IF(AND(AQ$5&lt;=$G115,AQ$5+6&gt;=$F115),IF($H115="Complétée","F",IF(OR($H115="En cours",$H115="En revue"),"E",IF($H115="Bloquée","B","P"))),""))</f>
        <v/>
      </c>
      <c r="AR115" s="53">
        <f>IF(OR($F115="",$G115=""),"",IF(AND(AR$5&lt;=$G115,AR$5+6&gt;=$F115),IF($H115="Complétée","F",IF(OR($H115="En cours",$H115="En revue"),"E",IF($H115="Bloquée","B","P"))),""))</f>
        <v/>
      </c>
      <c r="AS115" s="53">
        <f>IF(OR($F115="",$G115=""),"",IF(AND(AS$5&lt;=$G115,AS$5+6&gt;=$F115),IF($H115="Complétée","F",IF(OR($H115="En cours",$H115="En revue"),"E",IF($H115="Bloquée","B","P"))),""))</f>
        <v/>
      </c>
      <c r="AT115" s="53">
        <f>IF(OR($F115="",$G115=""),"",IF(AND(AT$5&lt;=$G115,AT$5+6&gt;=$F115),IF($H115="Complétée","F",IF(OR($H115="En cours",$H115="En revue"),"E",IF($H115="Bloquée","B","P"))),""))</f>
        <v/>
      </c>
      <c r="AU115" s="53">
        <f>IF(OR($F115="",$G115=""),"",IF(AND(AU$5&lt;=$G115,AU$5+6&gt;=$F115),IF($H115="Complétée","F",IF(OR($H115="En cours",$H115="En revue"),"E",IF($H115="Bloquée","B","P"))),""))</f>
        <v/>
      </c>
      <c r="AV115" s="53">
        <f>IF(OR($F115="",$G115=""),"",IF(AND(AV$5&lt;=$G115,AV$5+6&gt;=$F115),IF($H115="Complétée","F",IF(OR($H115="En cours",$H115="En revue"),"E",IF($H115="Bloquée","B","P"))),""))</f>
        <v/>
      </c>
      <c r="AW115" s="53">
        <f>IF(OR($F115="",$G115=""),"",IF(AND(AW$5&lt;=$G115,AW$5+6&gt;=$F115),IF($H115="Complétée","F",IF(OR($H115="En cours",$H115="En revue"),"E",IF($H115="Bloquée","B","P"))),""))</f>
        <v/>
      </c>
    </row>
    <row r="116">
      <c r="B116" s="50">
        <f>IF(Taches!B116="","",Taches!B116)</f>
        <v/>
      </c>
      <c r="C116" s="51">
        <f>IF(Taches!B116="","",Taches!F116)</f>
        <v/>
      </c>
      <c r="D116" s="50">
        <f>IF(Taches!B116="","",Taches!C116)</f>
        <v/>
      </c>
      <c r="E116" s="50">
        <f>IF(Taches!B116="","",Taches!D116)</f>
        <v/>
      </c>
      <c r="F116" s="52">
        <f>IF(Taches!P116="","",Taches!P116)</f>
        <v/>
      </c>
      <c r="G116" s="52">
        <f>IF(Taches!Q116="","",Taches!Q116)</f>
        <v/>
      </c>
      <c r="H116" s="50">
        <f>IF(Taches!B116="","",Taches!J116)</f>
        <v/>
      </c>
      <c r="I116" s="53">
        <f>IF(OR($F116="",$G116=""),"",IF(AND(I$5&lt;=$G116,I$5+6&gt;=$F116),IF($H116="Complétée","F",IF(OR($H116="En cours",$H116="En revue"),"E",IF($H116="Bloquée","B","P"))),""))</f>
        <v/>
      </c>
      <c r="J116" s="53">
        <f>IF(OR($F116="",$G116=""),"",IF(AND(J$5&lt;=$G116,J$5+6&gt;=$F116),IF($H116="Complétée","F",IF(OR($H116="En cours",$H116="En revue"),"E",IF($H116="Bloquée","B","P"))),""))</f>
        <v/>
      </c>
      <c r="K116" s="53">
        <f>IF(OR($F116="",$G116=""),"",IF(AND(K$5&lt;=$G116,K$5+6&gt;=$F116),IF($H116="Complétée","F",IF(OR($H116="En cours",$H116="En revue"),"E",IF($H116="Bloquée","B","P"))),""))</f>
        <v/>
      </c>
      <c r="L116" s="53">
        <f>IF(OR($F116="",$G116=""),"",IF(AND(L$5&lt;=$G116,L$5+6&gt;=$F116),IF($H116="Complétée","F",IF(OR($H116="En cours",$H116="En revue"),"E",IF($H116="Bloquée","B","P"))),""))</f>
        <v/>
      </c>
      <c r="M116" s="53">
        <f>IF(OR($F116="",$G116=""),"",IF(AND(M$5&lt;=$G116,M$5+6&gt;=$F116),IF($H116="Complétée","F",IF(OR($H116="En cours",$H116="En revue"),"E",IF($H116="Bloquée","B","P"))),""))</f>
        <v/>
      </c>
      <c r="N116" s="53">
        <f>IF(OR($F116="",$G116=""),"",IF(AND(N$5&lt;=$G116,N$5+6&gt;=$F116),IF($H116="Complétée","F",IF(OR($H116="En cours",$H116="En revue"),"E",IF($H116="Bloquée","B","P"))),""))</f>
        <v/>
      </c>
      <c r="O116" s="53">
        <f>IF(OR($F116="",$G116=""),"",IF(AND(O$5&lt;=$G116,O$5+6&gt;=$F116),IF($H116="Complétée","F",IF(OR($H116="En cours",$H116="En revue"),"E",IF($H116="Bloquée","B","P"))),""))</f>
        <v/>
      </c>
      <c r="P116" s="53">
        <f>IF(OR($F116="",$G116=""),"",IF(AND(P$5&lt;=$G116,P$5+6&gt;=$F116),IF($H116="Complétée","F",IF(OR($H116="En cours",$H116="En revue"),"E",IF($H116="Bloquée","B","P"))),""))</f>
        <v/>
      </c>
      <c r="Q116" s="53">
        <f>IF(OR($F116="",$G116=""),"",IF(AND(Q$5&lt;=$G116,Q$5+6&gt;=$F116),IF($H116="Complétée","F",IF(OR($H116="En cours",$H116="En revue"),"E",IF($H116="Bloquée","B","P"))),""))</f>
        <v/>
      </c>
      <c r="R116" s="53">
        <f>IF(OR($F116="",$G116=""),"",IF(AND(R$5&lt;=$G116,R$5+6&gt;=$F116),IF($H116="Complétée","F",IF(OR($H116="En cours",$H116="En revue"),"E",IF($H116="Bloquée","B","P"))),""))</f>
        <v/>
      </c>
      <c r="S116" s="53">
        <f>IF(OR($F116="",$G116=""),"",IF(AND(S$5&lt;=$G116,S$5+6&gt;=$F116),IF($H116="Complétée","F",IF(OR($H116="En cours",$H116="En revue"),"E",IF($H116="Bloquée","B","P"))),""))</f>
        <v/>
      </c>
      <c r="T116" s="53">
        <f>IF(OR($F116="",$G116=""),"",IF(AND(T$5&lt;=$G116,T$5+6&gt;=$F116),IF($H116="Complétée","F",IF(OR($H116="En cours",$H116="En revue"),"E",IF($H116="Bloquée","B","P"))),""))</f>
        <v/>
      </c>
      <c r="U116" s="53">
        <f>IF(OR($F116="",$G116=""),"",IF(AND(U$5&lt;=$G116,U$5+6&gt;=$F116),IF($H116="Complétée","F",IF(OR($H116="En cours",$H116="En revue"),"E",IF($H116="Bloquée","B","P"))),""))</f>
        <v/>
      </c>
      <c r="V116" s="53">
        <f>IF(OR($F116="",$G116=""),"",IF(AND(V$5&lt;=$G116,V$5+6&gt;=$F116),IF($H116="Complétée","F",IF(OR($H116="En cours",$H116="En revue"),"E",IF($H116="Bloquée","B","P"))),""))</f>
        <v/>
      </c>
      <c r="W116" s="53">
        <f>IF(OR($F116="",$G116=""),"",IF(AND(W$5&lt;=$G116,W$5+6&gt;=$F116),IF($H116="Complétée","F",IF(OR($H116="En cours",$H116="En revue"),"E",IF($H116="Bloquée","B","P"))),""))</f>
        <v/>
      </c>
      <c r="X116" s="53">
        <f>IF(OR($F116="",$G116=""),"",IF(AND(X$5&lt;=$G116,X$5+6&gt;=$F116),IF($H116="Complétée","F",IF(OR($H116="En cours",$H116="En revue"),"E",IF($H116="Bloquée","B","P"))),""))</f>
        <v/>
      </c>
      <c r="Y116" s="53">
        <f>IF(OR($F116="",$G116=""),"",IF(AND(Y$5&lt;=$G116,Y$5+6&gt;=$F116),IF($H116="Complétée","F",IF(OR($H116="En cours",$H116="En revue"),"E",IF($H116="Bloquée","B","P"))),""))</f>
        <v/>
      </c>
      <c r="Z116" s="53">
        <f>IF(OR($F116="",$G116=""),"",IF(AND(Z$5&lt;=$G116,Z$5+6&gt;=$F116),IF($H116="Complétée","F",IF(OR($H116="En cours",$H116="En revue"),"E",IF($H116="Bloquée","B","P"))),""))</f>
        <v/>
      </c>
      <c r="AA116" s="53">
        <f>IF(OR($F116="",$G116=""),"",IF(AND(AA$5&lt;=$G116,AA$5+6&gt;=$F116),IF($H116="Complétée","F",IF(OR($H116="En cours",$H116="En revue"),"E",IF($H116="Bloquée","B","P"))),""))</f>
        <v/>
      </c>
      <c r="AB116" s="53">
        <f>IF(OR($F116="",$G116=""),"",IF(AND(AB$5&lt;=$G116,AB$5+6&gt;=$F116),IF($H116="Complétée","F",IF(OR($H116="En cours",$H116="En revue"),"E",IF($H116="Bloquée","B","P"))),""))</f>
        <v/>
      </c>
      <c r="AC116" s="53">
        <f>IF(OR($F116="",$G116=""),"",IF(AND(AC$5&lt;=$G116,AC$5+6&gt;=$F116),IF($H116="Complétée","F",IF(OR($H116="En cours",$H116="En revue"),"E",IF($H116="Bloquée","B","P"))),""))</f>
        <v/>
      </c>
      <c r="AD116" s="53">
        <f>IF(OR($F116="",$G116=""),"",IF(AND(AD$5&lt;=$G116,AD$5+6&gt;=$F116),IF($H116="Complétée","F",IF(OR($H116="En cours",$H116="En revue"),"E",IF($H116="Bloquée","B","P"))),""))</f>
        <v/>
      </c>
      <c r="AE116" s="53">
        <f>IF(OR($F116="",$G116=""),"",IF(AND(AE$5&lt;=$G116,AE$5+6&gt;=$F116),IF($H116="Complétée","F",IF(OR($H116="En cours",$H116="En revue"),"E",IF($H116="Bloquée","B","P"))),""))</f>
        <v/>
      </c>
      <c r="AF116" s="53">
        <f>IF(OR($F116="",$G116=""),"",IF(AND(AF$5&lt;=$G116,AF$5+6&gt;=$F116),IF($H116="Complétée","F",IF(OR($H116="En cours",$H116="En revue"),"E",IF($H116="Bloquée","B","P"))),""))</f>
        <v/>
      </c>
      <c r="AG116" s="53">
        <f>IF(OR($F116="",$G116=""),"",IF(AND(AG$5&lt;=$G116,AG$5+6&gt;=$F116),IF($H116="Complétée","F",IF(OR($H116="En cours",$H116="En revue"),"E",IF($H116="Bloquée","B","P"))),""))</f>
        <v/>
      </c>
      <c r="AH116" s="53">
        <f>IF(OR($F116="",$G116=""),"",IF(AND(AH$5&lt;=$G116,AH$5+6&gt;=$F116),IF($H116="Complétée","F",IF(OR($H116="En cours",$H116="En revue"),"E",IF($H116="Bloquée","B","P"))),""))</f>
        <v/>
      </c>
      <c r="AI116" s="53">
        <f>IF(OR($F116="",$G116=""),"",IF(AND(AI$5&lt;=$G116,AI$5+6&gt;=$F116),IF($H116="Complétée","F",IF(OR($H116="En cours",$H116="En revue"),"E",IF($H116="Bloquée","B","P"))),""))</f>
        <v/>
      </c>
      <c r="AJ116" s="53">
        <f>IF(OR($F116="",$G116=""),"",IF(AND(AJ$5&lt;=$G116,AJ$5+6&gt;=$F116),IF($H116="Complétée","F",IF(OR($H116="En cours",$H116="En revue"),"E",IF($H116="Bloquée","B","P"))),""))</f>
        <v/>
      </c>
      <c r="AK116" s="53">
        <f>IF(OR($F116="",$G116=""),"",IF(AND(AK$5&lt;=$G116,AK$5+6&gt;=$F116),IF($H116="Complétée","F",IF(OR($H116="En cours",$H116="En revue"),"E",IF($H116="Bloquée","B","P"))),""))</f>
        <v/>
      </c>
      <c r="AL116" s="53">
        <f>IF(OR($F116="",$G116=""),"",IF(AND(AL$5&lt;=$G116,AL$5+6&gt;=$F116),IF($H116="Complétée","F",IF(OR($H116="En cours",$H116="En revue"),"E",IF($H116="Bloquée","B","P"))),""))</f>
        <v/>
      </c>
      <c r="AM116" s="53">
        <f>IF(OR($F116="",$G116=""),"",IF(AND(AM$5&lt;=$G116,AM$5+6&gt;=$F116),IF($H116="Complétée","F",IF(OR($H116="En cours",$H116="En revue"),"E",IF($H116="Bloquée","B","P"))),""))</f>
        <v/>
      </c>
      <c r="AN116" s="53">
        <f>IF(OR($F116="",$G116=""),"",IF(AND(AN$5&lt;=$G116,AN$5+6&gt;=$F116),IF($H116="Complétée","F",IF(OR($H116="En cours",$H116="En revue"),"E",IF($H116="Bloquée","B","P"))),""))</f>
        <v/>
      </c>
      <c r="AO116" s="53">
        <f>IF(OR($F116="",$G116=""),"",IF(AND(AO$5&lt;=$G116,AO$5+6&gt;=$F116),IF($H116="Complétée","F",IF(OR($H116="En cours",$H116="En revue"),"E",IF($H116="Bloquée","B","P"))),""))</f>
        <v/>
      </c>
      <c r="AP116" s="53">
        <f>IF(OR($F116="",$G116=""),"",IF(AND(AP$5&lt;=$G116,AP$5+6&gt;=$F116),IF($H116="Complétée","F",IF(OR($H116="En cours",$H116="En revue"),"E",IF($H116="Bloquée","B","P"))),""))</f>
        <v/>
      </c>
      <c r="AQ116" s="53">
        <f>IF(OR($F116="",$G116=""),"",IF(AND(AQ$5&lt;=$G116,AQ$5+6&gt;=$F116),IF($H116="Complétée","F",IF(OR($H116="En cours",$H116="En revue"),"E",IF($H116="Bloquée","B","P"))),""))</f>
        <v/>
      </c>
      <c r="AR116" s="53">
        <f>IF(OR($F116="",$G116=""),"",IF(AND(AR$5&lt;=$G116,AR$5+6&gt;=$F116),IF($H116="Complétée","F",IF(OR($H116="En cours",$H116="En revue"),"E",IF($H116="Bloquée","B","P"))),""))</f>
        <v/>
      </c>
      <c r="AS116" s="53">
        <f>IF(OR($F116="",$G116=""),"",IF(AND(AS$5&lt;=$G116,AS$5+6&gt;=$F116),IF($H116="Complétée","F",IF(OR($H116="En cours",$H116="En revue"),"E",IF($H116="Bloquée","B","P"))),""))</f>
        <v/>
      </c>
      <c r="AT116" s="53">
        <f>IF(OR($F116="",$G116=""),"",IF(AND(AT$5&lt;=$G116,AT$5+6&gt;=$F116),IF($H116="Complétée","F",IF(OR($H116="En cours",$H116="En revue"),"E",IF($H116="Bloquée","B","P"))),""))</f>
        <v/>
      </c>
      <c r="AU116" s="53">
        <f>IF(OR($F116="",$G116=""),"",IF(AND(AU$5&lt;=$G116,AU$5+6&gt;=$F116),IF($H116="Complétée","F",IF(OR($H116="En cours",$H116="En revue"),"E",IF($H116="Bloquée","B","P"))),""))</f>
        <v/>
      </c>
      <c r="AV116" s="53">
        <f>IF(OR($F116="",$G116=""),"",IF(AND(AV$5&lt;=$G116,AV$5+6&gt;=$F116),IF($H116="Complétée","F",IF(OR($H116="En cours",$H116="En revue"),"E",IF($H116="Bloquée","B","P"))),""))</f>
        <v/>
      </c>
      <c r="AW116" s="53">
        <f>IF(OR($F116="",$G116=""),"",IF(AND(AW$5&lt;=$G116,AW$5+6&gt;=$F116),IF($H116="Complétée","F",IF(OR($H116="En cours",$H116="En revue"),"E",IF($H116="Bloquée","B","P"))),""))</f>
        <v/>
      </c>
    </row>
    <row r="117">
      <c r="B117" s="50">
        <f>IF(Taches!B117="","",Taches!B117)</f>
        <v/>
      </c>
      <c r="C117" s="51">
        <f>IF(Taches!B117="","",Taches!F117)</f>
        <v/>
      </c>
      <c r="D117" s="50">
        <f>IF(Taches!B117="","",Taches!C117)</f>
        <v/>
      </c>
      <c r="E117" s="50">
        <f>IF(Taches!B117="","",Taches!D117)</f>
        <v/>
      </c>
      <c r="F117" s="52">
        <f>IF(Taches!P117="","",Taches!P117)</f>
        <v/>
      </c>
      <c r="G117" s="52">
        <f>IF(Taches!Q117="","",Taches!Q117)</f>
        <v/>
      </c>
      <c r="H117" s="50">
        <f>IF(Taches!B117="","",Taches!J117)</f>
        <v/>
      </c>
      <c r="I117" s="53">
        <f>IF(OR($F117="",$G117=""),"",IF(AND(I$5&lt;=$G117,I$5+6&gt;=$F117),IF($H117="Complétée","F",IF(OR($H117="En cours",$H117="En revue"),"E",IF($H117="Bloquée","B","P"))),""))</f>
        <v/>
      </c>
      <c r="J117" s="53">
        <f>IF(OR($F117="",$G117=""),"",IF(AND(J$5&lt;=$G117,J$5+6&gt;=$F117),IF($H117="Complétée","F",IF(OR($H117="En cours",$H117="En revue"),"E",IF($H117="Bloquée","B","P"))),""))</f>
        <v/>
      </c>
      <c r="K117" s="53">
        <f>IF(OR($F117="",$G117=""),"",IF(AND(K$5&lt;=$G117,K$5+6&gt;=$F117),IF($H117="Complétée","F",IF(OR($H117="En cours",$H117="En revue"),"E",IF($H117="Bloquée","B","P"))),""))</f>
        <v/>
      </c>
      <c r="L117" s="53">
        <f>IF(OR($F117="",$G117=""),"",IF(AND(L$5&lt;=$G117,L$5+6&gt;=$F117),IF($H117="Complétée","F",IF(OR($H117="En cours",$H117="En revue"),"E",IF($H117="Bloquée","B","P"))),""))</f>
        <v/>
      </c>
      <c r="M117" s="53">
        <f>IF(OR($F117="",$G117=""),"",IF(AND(M$5&lt;=$G117,M$5+6&gt;=$F117),IF($H117="Complétée","F",IF(OR($H117="En cours",$H117="En revue"),"E",IF($H117="Bloquée","B","P"))),""))</f>
        <v/>
      </c>
      <c r="N117" s="53">
        <f>IF(OR($F117="",$G117=""),"",IF(AND(N$5&lt;=$G117,N$5+6&gt;=$F117),IF($H117="Complétée","F",IF(OR($H117="En cours",$H117="En revue"),"E",IF($H117="Bloquée","B","P"))),""))</f>
        <v/>
      </c>
      <c r="O117" s="53">
        <f>IF(OR($F117="",$G117=""),"",IF(AND(O$5&lt;=$G117,O$5+6&gt;=$F117),IF($H117="Complétée","F",IF(OR($H117="En cours",$H117="En revue"),"E",IF($H117="Bloquée","B","P"))),""))</f>
        <v/>
      </c>
      <c r="P117" s="53">
        <f>IF(OR($F117="",$G117=""),"",IF(AND(P$5&lt;=$G117,P$5+6&gt;=$F117),IF($H117="Complétée","F",IF(OR($H117="En cours",$H117="En revue"),"E",IF($H117="Bloquée","B","P"))),""))</f>
        <v/>
      </c>
      <c r="Q117" s="53">
        <f>IF(OR($F117="",$G117=""),"",IF(AND(Q$5&lt;=$G117,Q$5+6&gt;=$F117),IF($H117="Complétée","F",IF(OR($H117="En cours",$H117="En revue"),"E",IF($H117="Bloquée","B","P"))),""))</f>
        <v/>
      </c>
      <c r="R117" s="53">
        <f>IF(OR($F117="",$G117=""),"",IF(AND(R$5&lt;=$G117,R$5+6&gt;=$F117),IF($H117="Complétée","F",IF(OR($H117="En cours",$H117="En revue"),"E",IF($H117="Bloquée","B","P"))),""))</f>
        <v/>
      </c>
      <c r="S117" s="53">
        <f>IF(OR($F117="",$G117=""),"",IF(AND(S$5&lt;=$G117,S$5+6&gt;=$F117),IF($H117="Complétée","F",IF(OR($H117="En cours",$H117="En revue"),"E",IF($H117="Bloquée","B","P"))),""))</f>
        <v/>
      </c>
      <c r="T117" s="53">
        <f>IF(OR($F117="",$G117=""),"",IF(AND(T$5&lt;=$G117,T$5+6&gt;=$F117),IF($H117="Complétée","F",IF(OR($H117="En cours",$H117="En revue"),"E",IF($H117="Bloquée","B","P"))),""))</f>
        <v/>
      </c>
      <c r="U117" s="53">
        <f>IF(OR($F117="",$G117=""),"",IF(AND(U$5&lt;=$G117,U$5+6&gt;=$F117),IF($H117="Complétée","F",IF(OR($H117="En cours",$H117="En revue"),"E",IF($H117="Bloquée","B","P"))),""))</f>
        <v/>
      </c>
      <c r="V117" s="53">
        <f>IF(OR($F117="",$G117=""),"",IF(AND(V$5&lt;=$G117,V$5+6&gt;=$F117),IF($H117="Complétée","F",IF(OR($H117="En cours",$H117="En revue"),"E",IF($H117="Bloquée","B","P"))),""))</f>
        <v/>
      </c>
      <c r="W117" s="53">
        <f>IF(OR($F117="",$G117=""),"",IF(AND(W$5&lt;=$G117,W$5+6&gt;=$F117),IF($H117="Complétée","F",IF(OR($H117="En cours",$H117="En revue"),"E",IF($H117="Bloquée","B","P"))),""))</f>
        <v/>
      </c>
      <c r="X117" s="53">
        <f>IF(OR($F117="",$G117=""),"",IF(AND(X$5&lt;=$G117,X$5+6&gt;=$F117),IF($H117="Complétée","F",IF(OR($H117="En cours",$H117="En revue"),"E",IF($H117="Bloquée","B","P"))),""))</f>
        <v/>
      </c>
      <c r="Y117" s="53">
        <f>IF(OR($F117="",$G117=""),"",IF(AND(Y$5&lt;=$G117,Y$5+6&gt;=$F117),IF($H117="Complétée","F",IF(OR($H117="En cours",$H117="En revue"),"E",IF($H117="Bloquée","B","P"))),""))</f>
        <v/>
      </c>
      <c r="Z117" s="53">
        <f>IF(OR($F117="",$G117=""),"",IF(AND(Z$5&lt;=$G117,Z$5+6&gt;=$F117),IF($H117="Complétée","F",IF(OR($H117="En cours",$H117="En revue"),"E",IF($H117="Bloquée","B","P"))),""))</f>
        <v/>
      </c>
      <c r="AA117" s="53">
        <f>IF(OR($F117="",$G117=""),"",IF(AND(AA$5&lt;=$G117,AA$5+6&gt;=$F117),IF($H117="Complétée","F",IF(OR($H117="En cours",$H117="En revue"),"E",IF($H117="Bloquée","B","P"))),""))</f>
        <v/>
      </c>
      <c r="AB117" s="53">
        <f>IF(OR($F117="",$G117=""),"",IF(AND(AB$5&lt;=$G117,AB$5+6&gt;=$F117),IF($H117="Complétée","F",IF(OR($H117="En cours",$H117="En revue"),"E",IF($H117="Bloquée","B","P"))),""))</f>
        <v/>
      </c>
      <c r="AC117" s="53">
        <f>IF(OR($F117="",$G117=""),"",IF(AND(AC$5&lt;=$G117,AC$5+6&gt;=$F117),IF($H117="Complétée","F",IF(OR($H117="En cours",$H117="En revue"),"E",IF($H117="Bloquée","B","P"))),""))</f>
        <v/>
      </c>
      <c r="AD117" s="53">
        <f>IF(OR($F117="",$G117=""),"",IF(AND(AD$5&lt;=$G117,AD$5+6&gt;=$F117),IF($H117="Complétée","F",IF(OR($H117="En cours",$H117="En revue"),"E",IF($H117="Bloquée","B","P"))),""))</f>
        <v/>
      </c>
      <c r="AE117" s="53">
        <f>IF(OR($F117="",$G117=""),"",IF(AND(AE$5&lt;=$G117,AE$5+6&gt;=$F117),IF($H117="Complétée","F",IF(OR($H117="En cours",$H117="En revue"),"E",IF($H117="Bloquée","B","P"))),""))</f>
        <v/>
      </c>
      <c r="AF117" s="53">
        <f>IF(OR($F117="",$G117=""),"",IF(AND(AF$5&lt;=$G117,AF$5+6&gt;=$F117),IF($H117="Complétée","F",IF(OR($H117="En cours",$H117="En revue"),"E",IF($H117="Bloquée","B","P"))),""))</f>
        <v/>
      </c>
      <c r="AG117" s="53">
        <f>IF(OR($F117="",$G117=""),"",IF(AND(AG$5&lt;=$G117,AG$5+6&gt;=$F117),IF($H117="Complétée","F",IF(OR($H117="En cours",$H117="En revue"),"E",IF($H117="Bloquée","B","P"))),""))</f>
        <v/>
      </c>
      <c r="AH117" s="53">
        <f>IF(OR($F117="",$G117=""),"",IF(AND(AH$5&lt;=$G117,AH$5+6&gt;=$F117),IF($H117="Complétée","F",IF(OR($H117="En cours",$H117="En revue"),"E",IF($H117="Bloquée","B","P"))),""))</f>
        <v/>
      </c>
      <c r="AI117" s="53">
        <f>IF(OR($F117="",$G117=""),"",IF(AND(AI$5&lt;=$G117,AI$5+6&gt;=$F117),IF($H117="Complétée","F",IF(OR($H117="En cours",$H117="En revue"),"E",IF($H117="Bloquée","B","P"))),""))</f>
        <v/>
      </c>
      <c r="AJ117" s="53">
        <f>IF(OR($F117="",$G117=""),"",IF(AND(AJ$5&lt;=$G117,AJ$5+6&gt;=$F117),IF($H117="Complétée","F",IF(OR($H117="En cours",$H117="En revue"),"E",IF($H117="Bloquée","B","P"))),""))</f>
        <v/>
      </c>
      <c r="AK117" s="53">
        <f>IF(OR($F117="",$G117=""),"",IF(AND(AK$5&lt;=$G117,AK$5+6&gt;=$F117),IF($H117="Complétée","F",IF(OR($H117="En cours",$H117="En revue"),"E",IF($H117="Bloquée","B","P"))),""))</f>
        <v/>
      </c>
      <c r="AL117" s="53">
        <f>IF(OR($F117="",$G117=""),"",IF(AND(AL$5&lt;=$G117,AL$5+6&gt;=$F117),IF($H117="Complétée","F",IF(OR($H117="En cours",$H117="En revue"),"E",IF($H117="Bloquée","B","P"))),""))</f>
        <v/>
      </c>
      <c r="AM117" s="53">
        <f>IF(OR($F117="",$G117=""),"",IF(AND(AM$5&lt;=$G117,AM$5+6&gt;=$F117),IF($H117="Complétée","F",IF(OR($H117="En cours",$H117="En revue"),"E",IF($H117="Bloquée","B","P"))),""))</f>
        <v/>
      </c>
      <c r="AN117" s="53">
        <f>IF(OR($F117="",$G117=""),"",IF(AND(AN$5&lt;=$G117,AN$5+6&gt;=$F117),IF($H117="Complétée","F",IF(OR($H117="En cours",$H117="En revue"),"E",IF($H117="Bloquée","B","P"))),""))</f>
        <v/>
      </c>
      <c r="AO117" s="53">
        <f>IF(OR($F117="",$G117=""),"",IF(AND(AO$5&lt;=$G117,AO$5+6&gt;=$F117),IF($H117="Complétée","F",IF(OR($H117="En cours",$H117="En revue"),"E",IF($H117="Bloquée","B","P"))),""))</f>
        <v/>
      </c>
      <c r="AP117" s="53">
        <f>IF(OR($F117="",$G117=""),"",IF(AND(AP$5&lt;=$G117,AP$5+6&gt;=$F117),IF($H117="Complétée","F",IF(OR($H117="En cours",$H117="En revue"),"E",IF($H117="Bloquée","B","P"))),""))</f>
        <v/>
      </c>
      <c r="AQ117" s="53">
        <f>IF(OR($F117="",$G117=""),"",IF(AND(AQ$5&lt;=$G117,AQ$5+6&gt;=$F117),IF($H117="Complétée","F",IF(OR($H117="En cours",$H117="En revue"),"E",IF($H117="Bloquée","B","P"))),""))</f>
        <v/>
      </c>
      <c r="AR117" s="53">
        <f>IF(OR($F117="",$G117=""),"",IF(AND(AR$5&lt;=$G117,AR$5+6&gt;=$F117),IF($H117="Complétée","F",IF(OR($H117="En cours",$H117="En revue"),"E",IF($H117="Bloquée","B","P"))),""))</f>
        <v/>
      </c>
      <c r="AS117" s="53">
        <f>IF(OR($F117="",$G117=""),"",IF(AND(AS$5&lt;=$G117,AS$5+6&gt;=$F117),IF($H117="Complétée","F",IF(OR($H117="En cours",$H117="En revue"),"E",IF($H117="Bloquée","B","P"))),""))</f>
        <v/>
      </c>
      <c r="AT117" s="53">
        <f>IF(OR($F117="",$G117=""),"",IF(AND(AT$5&lt;=$G117,AT$5+6&gt;=$F117),IF($H117="Complétée","F",IF(OR($H117="En cours",$H117="En revue"),"E",IF($H117="Bloquée","B","P"))),""))</f>
        <v/>
      </c>
      <c r="AU117" s="53">
        <f>IF(OR($F117="",$G117=""),"",IF(AND(AU$5&lt;=$G117,AU$5+6&gt;=$F117),IF($H117="Complétée","F",IF(OR($H117="En cours",$H117="En revue"),"E",IF($H117="Bloquée","B","P"))),""))</f>
        <v/>
      </c>
      <c r="AV117" s="53">
        <f>IF(OR($F117="",$G117=""),"",IF(AND(AV$5&lt;=$G117,AV$5+6&gt;=$F117),IF($H117="Complétée","F",IF(OR($H117="En cours",$H117="En revue"),"E",IF($H117="Bloquée","B","P"))),""))</f>
        <v/>
      </c>
      <c r="AW117" s="53">
        <f>IF(OR($F117="",$G117=""),"",IF(AND(AW$5&lt;=$G117,AW$5+6&gt;=$F117),IF($H117="Complétée","F",IF(OR($H117="En cours",$H117="En revue"),"E",IF($H117="Bloquée","B","P"))),""))</f>
        <v/>
      </c>
    </row>
    <row r="118">
      <c r="B118" s="50">
        <f>IF(Taches!B118="","",Taches!B118)</f>
        <v/>
      </c>
      <c r="C118" s="51">
        <f>IF(Taches!B118="","",Taches!F118)</f>
        <v/>
      </c>
      <c r="D118" s="50">
        <f>IF(Taches!B118="","",Taches!C118)</f>
        <v/>
      </c>
      <c r="E118" s="50">
        <f>IF(Taches!B118="","",Taches!D118)</f>
        <v/>
      </c>
      <c r="F118" s="52">
        <f>IF(Taches!P118="","",Taches!P118)</f>
        <v/>
      </c>
      <c r="G118" s="52">
        <f>IF(Taches!Q118="","",Taches!Q118)</f>
        <v/>
      </c>
      <c r="H118" s="50">
        <f>IF(Taches!B118="","",Taches!J118)</f>
        <v/>
      </c>
      <c r="I118" s="53">
        <f>IF(OR($F118="",$G118=""),"",IF(AND(I$5&lt;=$G118,I$5+6&gt;=$F118),IF($H118="Complétée","F",IF(OR($H118="En cours",$H118="En revue"),"E",IF($H118="Bloquée","B","P"))),""))</f>
        <v/>
      </c>
      <c r="J118" s="53">
        <f>IF(OR($F118="",$G118=""),"",IF(AND(J$5&lt;=$G118,J$5+6&gt;=$F118),IF($H118="Complétée","F",IF(OR($H118="En cours",$H118="En revue"),"E",IF($H118="Bloquée","B","P"))),""))</f>
        <v/>
      </c>
      <c r="K118" s="53">
        <f>IF(OR($F118="",$G118=""),"",IF(AND(K$5&lt;=$G118,K$5+6&gt;=$F118),IF($H118="Complétée","F",IF(OR($H118="En cours",$H118="En revue"),"E",IF($H118="Bloquée","B","P"))),""))</f>
        <v/>
      </c>
      <c r="L118" s="53">
        <f>IF(OR($F118="",$G118=""),"",IF(AND(L$5&lt;=$G118,L$5+6&gt;=$F118),IF($H118="Complétée","F",IF(OR($H118="En cours",$H118="En revue"),"E",IF($H118="Bloquée","B","P"))),""))</f>
        <v/>
      </c>
      <c r="M118" s="53">
        <f>IF(OR($F118="",$G118=""),"",IF(AND(M$5&lt;=$G118,M$5+6&gt;=$F118),IF($H118="Complétée","F",IF(OR($H118="En cours",$H118="En revue"),"E",IF($H118="Bloquée","B","P"))),""))</f>
        <v/>
      </c>
      <c r="N118" s="53">
        <f>IF(OR($F118="",$G118=""),"",IF(AND(N$5&lt;=$G118,N$5+6&gt;=$F118),IF($H118="Complétée","F",IF(OR($H118="En cours",$H118="En revue"),"E",IF($H118="Bloquée","B","P"))),""))</f>
        <v/>
      </c>
      <c r="O118" s="53">
        <f>IF(OR($F118="",$G118=""),"",IF(AND(O$5&lt;=$G118,O$5+6&gt;=$F118),IF($H118="Complétée","F",IF(OR($H118="En cours",$H118="En revue"),"E",IF($H118="Bloquée","B","P"))),""))</f>
        <v/>
      </c>
      <c r="P118" s="53">
        <f>IF(OR($F118="",$G118=""),"",IF(AND(P$5&lt;=$G118,P$5+6&gt;=$F118),IF($H118="Complétée","F",IF(OR($H118="En cours",$H118="En revue"),"E",IF($H118="Bloquée","B","P"))),""))</f>
        <v/>
      </c>
      <c r="Q118" s="53">
        <f>IF(OR($F118="",$G118=""),"",IF(AND(Q$5&lt;=$G118,Q$5+6&gt;=$F118),IF($H118="Complétée","F",IF(OR($H118="En cours",$H118="En revue"),"E",IF($H118="Bloquée","B","P"))),""))</f>
        <v/>
      </c>
      <c r="R118" s="53">
        <f>IF(OR($F118="",$G118=""),"",IF(AND(R$5&lt;=$G118,R$5+6&gt;=$F118),IF($H118="Complétée","F",IF(OR($H118="En cours",$H118="En revue"),"E",IF($H118="Bloquée","B","P"))),""))</f>
        <v/>
      </c>
      <c r="S118" s="53">
        <f>IF(OR($F118="",$G118=""),"",IF(AND(S$5&lt;=$G118,S$5+6&gt;=$F118),IF($H118="Complétée","F",IF(OR($H118="En cours",$H118="En revue"),"E",IF($H118="Bloquée","B","P"))),""))</f>
        <v/>
      </c>
      <c r="T118" s="53">
        <f>IF(OR($F118="",$G118=""),"",IF(AND(T$5&lt;=$G118,T$5+6&gt;=$F118),IF($H118="Complétée","F",IF(OR($H118="En cours",$H118="En revue"),"E",IF($H118="Bloquée","B","P"))),""))</f>
        <v/>
      </c>
      <c r="U118" s="53">
        <f>IF(OR($F118="",$G118=""),"",IF(AND(U$5&lt;=$G118,U$5+6&gt;=$F118),IF($H118="Complétée","F",IF(OR($H118="En cours",$H118="En revue"),"E",IF($H118="Bloquée","B","P"))),""))</f>
        <v/>
      </c>
      <c r="V118" s="53">
        <f>IF(OR($F118="",$G118=""),"",IF(AND(V$5&lt;=$G118,V$5+6&gt;=$F118),IF($H118="Complétée","F",IF(OR($H118="En cours",$H118="En revue"),"E",IF($H118="Bloquée","B","P"))),""))</f>
        <v/>
      </c>
      <c r="W118" s="53">
        <f>IF(OR($F118="",$G118=""),"",IF(AND(W$5&lt;=$G118,W$5+6&gt;=$F118),IF($H118="Complétée","F",IF(OR($H118="En cours",$H118="En revue"),"E",IF($H118="Bloquée","B","P"))),""))</f>
        <v/>
      </c>
      <c r="X118" s="53">
        <f>IF(OR($F118="",$G118=""),"",IF(AND(X$5&lt;=$G118,X$5+6&gt;=$F118),IF($H118="Complétée","F",IF(OR($H118="En cours",$H118="En revue"),"E",IF($H118="Bloquée","B","P"))),""))</f>
        <v/>
      </c>
      <c r="Y118" s="53">
        <f>IF(OR($F118="",$G118=""),"",IF(AND(Y$5&lt;=$G118,Y$5+6&gt;=$F118),IF($H118="Complétée","F",IF(OR($H118="En cours",$H118="En revue"),"E",IF($H118="Bloquée","B","P"))),""))</f>
        <v/>
      </c>
      <c r="Z118" s="53">
        <f>IF(OR($F118="",$G118=""),"",IF(AND(Z$5&lt;=$G118,Z$5+6&gt;=$F118),IF($H118="Complétée","F",IF(OR($H118="En cours",$H118="En revue"),"E",IF($H118="Bloquée","B","P"))),""))</f>
        <v/>
      </c>
      <c r="AA118" s="53">
        <f>IF(OR($F118="",$G118=""),"",IF(AND(AA$5&lt;=$G118,AA$5+6&gt;=$F118),IF($H118="Complétée","F",IF(OR($H118="En cours",$H118="En revue"),"E",IF($H118="Bloquée","B","P"))),""))</f>
        <v/>
      </c>
      <c r="AB118" s="53">
        <f>IF(OR($F118="",$G118=""),"",IF(AND(AB$5&lt;=$G118,AB$5+6&gt;=$F118),IF($H118="Complétée","F",IF(OR($H118="En cours",$H118="En revue"),"E",IF($H118="Bloquée","B","P"))),""))</f>
        <v/>
      </c>
      <c r="AC118" s="53">
        <f>IF(OR($F118="",$G118=""),"",IF(AND(AC$5&lt;=$G118,AC$5+6&gt;=$F118),IF($H118="Complétée","F",IF(OR($H118="En cours",$H118="En revue"),"E",IF($H118="Bloquée","B","P"))),""))</f>
        <v/>
      </c>
      <c r="AD118" s="53">
        <f>IF(OR($F118="",$G118=""),"",IF(AND(AD$5&lt;=$G118,AD$5+6&gt;=$F118),IF($H118="Complétée","F",IF(OR($H118="En cours",$H118="En revue"),"E",IF($H118="Bloquée","B","P"))),""))</f>
        <v/>
      </c>
      <c r="AE118" s="53">
        <f>IF(OR($F118="",$G118=""),"",IF(AND(AE$5&lt;=$G118,AE$5+6&gt;=$F118),IF($H118="Complétée","F",IF(OR($H118="En cours",$H118="En revue"),"E",IF($H118="Bloquée","B","P"))),""))</f>
        <v/>
      </c>
      <c r="AF118" s="53">
        <f>IF(OR($F118="",$G118=""),"",IF(AND(AF$5&lt;=$G118,AF$5+6&gt;=$F118),IF($H118="Complétée","F",IF(OR($H118="En cours",$H118="En revue"),"E",IF($H118="Bloquée","B","P"))),""))</f>
        <v/>
      </c>
      <c r="AG118" s="53">
        <f>IF(OR($F118="",$G118=""),"",IF(AND(AG$5&lt;=$G118,AG$5+6&gt;=$F118),IF($H118="Complétée","F",IF(OR($H118="En cours",$H118="En revue"),"E",IF($H118="Bloquée","B","P"))),""))</f>
        <v/>
      </c>
      <c r="AH118" s="53">
        <f>IF(OR($F118="",$G118=""),"",IF(AND(AH$5&lt;=$G118,AH$5+6&gt;=$F118),IF($H118="Complétée","F",IF(OR($H118="En cours",$H118="En revue"),"E",IF($H118="Bloquée","B","P"))),""))</f>
        <v/>
      </c>
      <c r="AI118" s="53">
        <f>IF(OR($F118="",$G118=""),"",IF(AND(AI$5&lt;=$G118,AI$5+6&gt;=$F118),IF($H118="Complétée","F",IF(OR($H118="En cours",$H118="En revue"),"E",IF($H118="Bloquée","B","P"))),""))</f>
        <v/>
      </c>
      <c r="AJ118" s="53">
        <f>IF(OR($F118="",$G118=""),"",IF(AND(AJ$5&lt;=$G118,AJ$5+6&gt;=$F118),IF($H118="Complétée","F",IF(OR($H118="En cours",$H118="En revue"),"E",IF($H118="Bloquée","B","P"))),""))</f>
        <v/>
      </c>
      <c r="AK118" s="53">
        <f>IF(OR($F118="",$G118=""),"",IF(AND(AK$5&lt;=$G118,AK$5+6&gt;=$F118),IF($H118="Complétée","F",IF(OR($H118="En cours",$H118="En revue"),"E",IF($H118="Bloquée","B","P"))),""))</f>
        <v/>
      </c>
      <c r="AL118" s="53">
        <f>IF(OR($F118="",$G118=""),"",IF(AND(AL$5&lt;=$G118,AL$5+6&gt;=$F118),IF($H118="Complétée","F",IF(OR($H118="En cours",$H118="En revue"),"E",IF($H118="Bloquée","B","P"))),""))</f>
        <v/>
      </c>
      <c r="AM118" s="53">
        <f>IF(OR($F118="",$G118=""),"",IF(AND(AM$5&lt;=$G118,AM$5+6&gt;=$F118),IF($H118="Complétée","F",IF(OR($H118="En cours",$H118="En revue"),"E",IF($H118="Bloquée","B","P"))),""))</f>
        <v/>
      </c>
      <c r="AN118" s="53">
        <f>IF(OR($F118="",$G118=""),"",IF(AND(AN$5&lt;=$G118,AN$5+6&gt;=$F118),IF($H118="Complétée","F",IF(OR($H118="En cours",$H118="En revue"),"E",IF($H118="Bloquée","B","P"))),""))</f>
        <v/>
      </c>
      <c r="AO118" s="53">
        <f>IF(OR($F118="",$G118=""),"",IF(AND(AO$5&lt;=$G118,AO$5+6&gt;=$F118),IF($H118="Complétée","F",IF(OR($H118="En cours",$H118="En revue"),"E",IF($H118="Bloquée","B","P"))),""))</f>
        <v/>
      </c>
      <c r="AP118" s="53">
        <f>IF(OR($F118="",$G118=""),"",IF(AND(AP$5&lt;=$G118,AP$5+6&gt;=$F118),IF($H118="Complétée","F",IF(OR($H118="En cours",$H118="En revue"),"E",IF($H118="Bloquée","B","P"))),""))</f>
        <v/>
      </c>
      <c r="AQ118" s="53">
        <f>IF(OR($F118="",$G118=""),"",IF(AND(AQ$5&lt;=$G118,AQ$5+6&gt;=$F118),IF($H118="Complétée","F",IF(OR($H118="En cours",$H118="En revue"),"E",IF($H118="Bloquée","B","P"))),""))</f>
        <v/>
      </c>
      <c r="AR118" s="53">
        <f>IF(OR($F118="",$G118=""),"",IF(AND(AR$5&lt;=$G118,AR$5+6&gt;=$F118),IF($H118="Complétée","F",IF(OR($H118="En cours",$H118="En revue"),"E",IF($H118="Bloquée","B","P"))),""))</f>
        <v/>
      </c>
      <c r="AS118" s="53">
        <f>IF(OR($F118="",$G118=""),"",IF(AND(AS$5&lt;=$G118,AS$5+6&gt;=$F118),IF($H118="Complétée","F",IF(OR($H118="En cours",$H118="En revue"),"E",IF($H118="Bloquée","B","P"))),""))</f>
        <v/>
      </c>
      <c r="AT118" s="53">
        <f>IF(OR($F118="",$G118=""),"",IF(AND(AT$5&lt;=$G118,AT$5+6&gt;=$F118),IF($H118="Complétée","F",IF(OR($H118="En cours",$H118="En revue"),"E",IF($H118="Bloquée","B","P"))),""))</f>
        <v/>
      </c>
      <c r="AU118" s="53">
        <f>IF(OR($F118="",$G118=""),"",IF(AND(AU$5&lt;=$G118,AU$5+6&gt;=$F118),IF($H118="Complétée","F",IF(OR($H118="En cours",$H118="En revue"),"E",IF($H118="Bloquée","B","P"))),""))</f>
        <v/>
      </c>
      <c r="AV118" s="53">
        <f>IF(OR($F118="",$G118=""),"",IF(AND(AV$5&lt;=$G118,AV$5+6&gt;=$F118),IF($H118="Complétée","F",IF(OR($H118="En cours",$H118="En revue"),"E",IF($H118="Bloquée","B","P"))),""))</f>
        <v/>
      </c>
      <c r="AW118" s="53">
        <f>IF(OR($F118="",$G118=""),"",IF(AND(AW$5&lt;=$G118,AW$5+6&gt;=$F118),IF($H118="Complétée","F",IF(OR($H118="En cours",$H118="En revue"),"E",IF($H118="Bloquée","B","P"))),""))</f>
        <v/>
      </c>
    </row>
    <row r="119">
      <c r="B119" s="50">
        <f>IF(Taches!B119="","",Taches!B119)</f>
        <v/>
      </c>
      <c r="C119" s="51">
        <f>IF(Taches!B119="","",Taches!F119)</f>
        <v/>
      </c>
      <c r="D119" s="50">
        <f>IF(Taches!B119="","",Taches!C119)</f>
        <v/>
      </c>
      <c r="E119" s="50">
        <f>IF(Taches!B119="","",Taches!D119)</f>
        <v/>
      </c>
      <c r="F119" s="52">
        <f>IF(Taches!P119="","",Taches!P119)</f>
        <v/>
      </c>
      <c r="G119" s="52">
        <f>IF(Taches!Q119="","",Taches!Q119)</f>
        <v/>
      </c>
      <c r="H119" s="50">
        <f>IF(Taches!B119="","",Taches!J119)</f>
        <v/>
      </c>
      <c r="I119" s="53">
        <f>IF(OR($F119="",$G119=""),"",IF(AND(I$5&lt;=$G119,I$5+6&gt;=$F119),IF($H119="Complétée","F",IF(OR($H119="En cours",$H119="En revue"),"E",IF($H119="Bloquée","B","P"))),""))</f>
        <v/>
      </c>
      <c r="J119" s="53">
        <f>IF(OR($F119="",$G119=""),"",IF(AND(J$5&lt;=$G119,J$5+6&gt;=$F119),IF($H119="Complétée","F",IF(OR($H119="En cours",$H119="En revue"),"E",IF($H119="Bloquée","B","P"))),""))</f>
        <v/>
      </c>
      <c r="K119" s="53">
        <f>IF(OR($F119="",$G119=""),"",IF(AND(K$5&lt;=$G119,K$5+6&gt;=$F119),IF($H119="Complétée","F",IF(OR($H119="En cours",$H119="En revue"),"E",IF($H119="Bloquée","B","P"))),""))</f>
        <v/>
      </c>
      <c r="L119" s="53">
        <f>IF(OR($F119="",$G119=""),"",IF(AND(L$5&lt;=$G119,L$5+6&gt;=$F119),IF($H119="Complétée","F",IF(OR($H119="En cours",$H119="En revue"),"E",IF($H119="Bloquée","B","P"))),""))</f>
        <v/>
      </c>
      <c r="M119" s="53">
        <f>IF(OR($F119="",$G119=""),"",IF(AND(M$5&lt;=$G119,M$5+6&gt;=$F119),IF($H119="Complétée","F",IF(OR($H119="En cours",$H119="En revue"),"E",IF($H119="Bloquée","B","P"))),""))</f>
        <v/>
      </c>
      <c r="N119" s="53">
        <f>IF(OR($F119="",$G119=""),"",IF(AND(N$5&lt;=$G119,N$5+6&gt;=$F119),IF($H119="Complétée","F",IF(OR($H119="En cours",$H119="En revue"),"E",IF($H119="Bloquée","B","P"))),""))</f>
        <v/>
      </c>
      <c r="O119" s="53">
        <f>IF(OR($F119="",$G119=""),"",IF(AND(O$5&lt;=$G119,O$5+6&gt;=$F119),IF($H119="Complétée","F",IF(OR($H119="En cours",$H119="En revue"),"E",IF($H119="Bloquée","B","P"))),""))</f>
        <v/>
      </c>
      <c r="P119" s="53">
        <f>IF(OR($F119="",$G119=""),"",IF(AND(P$5&lt;=$G119,P$5+6&gt;=$F119),IF($H119="Complétée","F",IF(OR($H119="En cours",$H119="En revue"),"E",IF($H119="Bloquée","B","P"))),""))</f>
        <v/>
      </c>
      <c r="Q119" s="53">
        <f>IF(OR($F119="",$G119=""),"",IF(AND(Q$5&lt;=$G119,Q$5+6&gt;=$F119),IF($H119="Complétée","F",IF(OR($H119="En cours",$H119="En revue"),"E",IF($H119="Bloquée","B","P"))),""))</f>
        <v/>
      </c>
      <c r="R119" s="53">
        <f>IF(OR($F119="",$G119=""),"",IF(AND(R$5&lt;=$G119,R$5+6&gt;=$F119),IF($H119="Complétée","F",IF(OR($H119="En cours",$H119="En revue"),"E",IF($H119="Bloquée","B","P"))),""))</f>
        <v/>
      </c>
      <c r="S119" s="53">
        <f>IF(OR($F119="",$G119=""),"",IF(AND(S$5&lt;=$G119,S$5+6&gt;=$F119),IF($H119="Complétée","F",IF(OR($H119="En cours",$H119="En revue"),"E",IF($H119="Bloquée","B","P"))),""))</f>
        <v/>
      </c>
      <c r="T119" s="53">
        <f>IF(OR($F119="",$G119=""),"",IF(AND(T$5&lt;=$G119,T$5+6&gt;=$F119),IF($H119="Complétée","F",IF(OR($H119="En cours",$H119="En revue"),"E",IF($H119="Bloquée","B","P"))),""))</f>
        <v/>
      </c>
      <c r="U119" s="53">
        <f>IF(OR($F119="",$G119=""),"",IF(AND(U$5&lt;=$G119,U$5+6&gt;=$F119),IF($H119="Complétée","F",IF(OR($H119="En cours",$H119="En revue"),"E",IF($H119="Bloquée","B","P"))),""))</f>
        <v/>
      </c>
      <c r="V119" s="53">
        <f>IF(OR($F119="",$G119=""),"",IF(AND(V$5&lt;=$G119,V$5+6&gt;=$F119),IF($H119="Complétée","F",IF(OR($H119="En cours",$H119="En revue"),"E",IF($H119="Bloquée","B","P"))),""))</f>
        <v/>
      </c>
      <c r="W119" s="53">
        <f>IF(OR($F119="",$G119=""),"",IF(AND(W$5&lt;=$G119,W$5+6&gt;=$F119),IF($H119="Complétée","F",IF(OR($H119="En cours",$H119="En revue"),"E",IF($H119="Bloquée","B","P"))),""))</f>
        <v/>
      </c>
      <c r="X119" s="53">
        <f>IF(OR($F119="",$G119=""),"",IF(AND(X$5&lt;=$G119,X$5+6&gt;=$F119),IF($H119="Complétée","F",IF(OR($H119="En cours",$H119="En revue"),"E",IF($H119="Bloquée","B","P"))),""))</f>
        <v/>
      </c>
      <c r="Y119" s="53">
        <f>IF(OR($F119="",$G119=""),"",IF(AND(Y$5&lt;=$G119,Y$5+6&gt;=$F119),IF($H119="Complétée","F",IF(OR($H119="En cours",$H119="En revue"),"E",IF($H119="Bloquée","B","P"))),""))</f>
        <v/>
      </c>
      <c r="Z119" s="53">
        <f>IF(OR($F119="",$G119=""),"",IF(AND(Z$5&lt;=$G119,Z$5+6&gt;=$F119),IF($H119="Complétée","F",IF(OR($H119="En cours",$H119="En revue"),"E",IF($H119="Bloquée","B","P"))),""))</f>
        <v/>
      </c>
      <c r="AA119" s="53">
        <f>IF(OR($F119="",$G119=""),"",IF(AND(AA$5&lt;=$G119,AA$5+6&gt;=$F119),IF($H119="Complétée","F",IF(OR($H119="En cours",$H119="En revue"),"E",IF($H119="Bloquée","B","P"))),""))</f>
        <v/>
      </c>
      <c r="AB119" s="53">
        <f>IF(OR($F119="",$G119=""),"",IF(AND(AB$5&lt;=$G119,AB$5+6&gt;=$F119),IF($H119="Complétée","F",IF(OR($H119="En cours",$H119="En revue"),"E",IF($H119="Bloquée","B","P"))),""))</f>
        <v/>
      </c>
      <c r="AC119" s="53">
        <f>IF(OR($F119="",$G119=""),"",IF(AND(AC$5&lt;=$G119,AC$5+6&gt;=$F119),IF($H119="Complétée","F",IF(OR($H119="En cours",$H119="En revue"),"E",IF($H119="Bloquée","B","P"))),""))</f>
        <v/>
      </c>
      <c r="AD119" s="53">
        <f>IF(OR($F119="",$G119=""),"",IF(AND(AD$5&lt;=$G119,AD$5+6&gt;=$F119),IF($H119="Complétée","F",IF(OR($H119="En cours",$H119="En revue"),"E",IF($H119="Bloquée","B","P"))),""))</f>
        <v/>
      </c>
      <c r="AE119" s="53">
        <f>IF(OR($F119="",$G119=""),"",IF(AND(AE$5&lt;=$G119,AE$5+6&gt;=$F119),IF($H119="Complétée","F",IF(OR($H119="En cours",$H119="En revue"),"E",IF($H119="Bloquée","B","P"))),""))</f>
        <v/>
      </c>
      <c r="AF119" s="53">
        <f>IF(OR($F119="",$G119=""),"",IF(AND(AF$5&lt;=$G119,AF$5+6&gt;=$F119),IF($H119="Complétée","F",IF(OR($H119="En cours",$H119="En revue"),"E",IF($H119="Bloquée","B","P"))),""))</f>
        <v/>
      </c>
      <c r="AG119" s="53">
        <f>IF(OR($F119="",$G119=""),"",IF(AND(AG$5&lt;=$G119,AG$5+6&gt;=$F119),IF($H119="Complétée","F",IF(OR($H119="En cours",$H119="En revue"),"E",IF($H119="Bloquée","B","P"))),""))</f>
        <v/>
      </c>
      <c r="AH119" s="53">
        <f>IF(OR($F119="",$G119=""),"",IF(AND(AH$5&lt;=$G119,AH$5+6&gt;=$F119),IF($H119="Complétée","F",IF(OR($H119="En cours",$H119="En revue"),"E",IF($H119="Bloquée","B","P"))),""))</f>
        <v/>
      </c>
      <c r="AI119" s="53">
        <f>IF(OR($F119="",$G119=""),"",IF(AND(AI$5&lt;=$G119,AI$5+6&gt;=$F119),IF($H119="Complétée","F",IF(OR($H119="En cours",$H119="En revue"),"E",IF($H119="Bloquée","B","P"))),""))</f>
        <v/>
      </c>
      <c r="AJ119" s="53">
        <f>IF(OR($F119="",$G119=""),"",IF(AND(AJ$5&lt;=$G119,AJ$5+6&gt;=$F119),IF($H119="Complétée","F",IF(OR($H119="En cours",$H119="En revue"),"E",IF($H119="Bloquée","B","P"))),""))</f>
        <v/>
      </c>
      <c r="AK119" s="53">
        <f>IF(OR($F119="",$G119=""),"",IF(AND(AK$5&lt;=$G119,AK$5+6&gt;=$F119),IF($H119="Complétée","F",IF(OR($H119="En cours",$H119="En revue"),"E",IF($H119="Bloquée","B","P"))),""))</f>
        <v/>
      </c>
      <c r="AL119" s="53">
        <f>IF(OR($F119="",$G119=""),"",IF(AND(AL$5&lt;=$G119,AL$5+6&gt;=$F119),IF($H119="Complétée","F",IF(OR($H119="En cours",$H119="En revue"),"E",IF($H119="Bloquée","B","P"))),""))</f>
        <v/>
      </c>
      <c r="AM119" s="53">
        <f>IF(OR($F119="",$G119=""),"",IF(AND(AM$5&lt;=$G119,AM$5+6&gt;=$F119),IF($H119="Complétée","F",IF(OR($H119="En cours",$H119="En revue"),"E",IF($H119="Bloquée","B","P"))),""))</f>
        <v/>
      </c>
      <c r="AN119" s="53">
        <f>IF(OR($F119="",$G119=""),"",IF(AND(AN$5&lt;=$G119,AN$5+6&gt;=$F119),IF($H119="Complétée","F",IF(OR($H119="En cours",$H119="En revue"),"E",IF($H119="Bloquée","B","P"))),""))</f>
        <v/>
      </c>
      <c r="AO119" s="53">
        <f>IF(OR($F119="",$G119=""),"",IF(AND(AO$5&lt;=$G119,AO$5+6&gt;=$F119),IF($H119="Complétée","F",IF(OR($H119="En cours",$H119="En revue"),"E",IF($H119="Bloquée","B","P"))),""))</f>
        <v/>
      </c>
      <c r="AP119" s="53">
        <f>IF(OR($F119="",$G119=""),"",IF(AND(AP$5&lt;=$G119,AP$5+6&gt;=$F119),IF($H119="Complétée","F",IF(OR($H119="En cours",$H119="En revue"),"E",IF($H119="Bloquée","B","P"))),""))</f>
        <v/>
      </c>
      <c r="AQ119" s="53">
        <f>IF(OR($F119="",$G119=""),"",IF(AND(AQ$5&lt;=$G119,AQ$5+6&gt;=$F119),IF($H119="Complétée","F",IF(OR($H119="En cours",$H119="En revue"),"E",IF($H119="Bloquée","B","P"))),""))</f>
        <v/>
      </c>
      <c r="AR119" s="53">
        <f>IF(OR($F119="",$G119=""),"",IF(AND(AR$5&lt;=$G119,AR$5+6&gt;=$F119),IF($H119="Complétée","F",IF(OR($H119="En cours",$H119="En revue"),"E",IF($H119="Bloquée","B","P"))),""))</f>
        <v/>
      </c>
      <c r="AS119" s="53">
        <f>IF(OR($F119="",$G119=""),"",IF(AND(AS$5&lt;=$G119,AS$5+6&gt;=$F119),IF($H119="Complétée","F",IF(OR($H119="En cours",$H119="En revue"),"E",IF($H119="Bloquée","B","P"))),""))</f>
        <v/>
      </c>
      <c r="AT119" s="53">
        <f>IF(OR($F119="",$G119=""),"",IF(AND(AT$5&lt;=$G119,AT$5+6&gt;=$F119),IF($H119="Complétée","F",IF(OR($H119="En cours",$H119="En revue"),"E",IF($H119="Bloquée","B","P"))),""))</f>
        <v/>
      </c>
      <c r="AU119" s="53">
        <f>IF(OR($F119="",$G119=""),"",IF(AND(AU$5&lt;=$G119,AU$5+6&gt;=$F119),IF($H119="Complétée","F",IF(OR($H119="En cours",$H119="En revue"),"E",IF($H119="Bloquée","B","P"))),""))</f>
        <v/>
      </c>
      <c r="AV119" s="53">
        <f>IF(OR($F119="",$G119=""),"",IF(AND(AV$5&lt;=$G119,AV$5+6&gt;=$F119),IF($H119="Complétée","F",IF(OR($H119="En cours",$H119="En revue"),"E",IF($H119="Bloquée","B","P"))),""))</f>
        <v/>
      </c>
      <c r="AW119" s="53">
        <f>IF(OR($F119="",$G119=""),"",IF(AND(AW$5&lt;=$G119,AW$5+6&gt;=$F119),IF($H119="Complétée","F",IF(OR($H119="En cours",$H119="En revue"),"E",IF($H119="Bloquée","B","P"))),""))</f>
        <v/>
      </c>
    </row>
    <row r="120">
      <c r="B120" s="50">
        <f>IF(Taches!B120="","",Taches!B120)</f>
        <v/>
      </c>
      <c r="C120" s="51">
        <f>IF(Taches!B120="","",Taches!F120)</f>
        <v/>
      </c>
      <c r="D120" s="50">
        <f>IF(Taches!B120="","",Taches!C120)</f>
        <v/>
      </c>
      <c r="E120" s="50">
        <f>IF(Taches!B120="","",Taches!D120)</f>
        <v/>
      </c>
      <c r="F120" s="52">
        <f>IF(Taches!P120="","",Taches!P120)</f>
        <v/>
      </c>
      <c r="G120" s="52">
        <f>IF(Taches!Q120="","",Taches!Q120)</f>
        <v/>
      </c>
      <c r="H120" s="50">
        <f>IF(Taches!B120="","",Taches!J120)</f>
        <v/>
      </c>
      <c r="I120" s="53">
        <f>IF(OR($F120="",$G120=""),"",IF(AND(I$5&lt;=$G120,I$5+6&gt;=$F120),IF($H120="Complétée","F",IF(OR($H120="En cours",$H120="En revue"),"E",IF($H120="Bloquée","B","P"))),""))</f>
        <v/>
      </c>
      <c r="J120" s="53">
        <f>IF(OR($F120="",$G120=""),"",IF(AND(J$5&lt;=$G120,J$5+6&gt;=$F120),IF($H120="Complétée","F",IF(OR($H120="En cours",$H120="En revue"),"E",IF($H120="Bloquée","B","P"))),""))</f>
        <v/>
      </c>
      <c r="K120" s="53">
        <f>IF(OR($F120="",$G120=""),"",IF(AND(K$5&lt;=$G120,K$5+6&gt;=$F120),IF($H120="Complétée","F",IF(OR($H120="En cours",$H120="En revue"),"E",IF($H120="Bloquée","B","P"))),""))</f>
        <v/>
      </c>
      <c r="L120" s="53">
        <f>IF(OR($F120="",$G120=""),"",IF(AND(L$5&lt;=$G120,L$5+6&gt;=$F120),IF($H120="Complétée","F",IF(OR($H120="En cours",$H120="En revue"),"E",IF($H120="Bloquée","B","P"))),""))</f>
        <v/>
      </c>
      <c r="M120" s="53">
        <f>IF(OR($F120="",$G120=""),"",IF(AND(M$5&lt;=$G120,M$5+6&gt;=$F120),IF($H120="Complétée","F",IF(OR($H120="En cours",$H120="En revue"),"E",IF($H120="Bloquée","B","P"))),""))</f>
        <v/>
      </c>
      <c r="N120" s="53">
        <f>IF(OR($F120="",$G120=""),"",IF(AND(N$5&lt;=$G120,N$5+6&gt;=$F120),IF($H120="Complétée","F",IF(OR($H120="En cours",$H120="En revue"),"E",IF($H120="Bloquée","B","P"))),""))</f>
        <v/>
      </c>
      <c r="O120" s="53">
        <f>IF(OR($F120="",$G120=""),"",IF(AND(O$5&lt;=$G120,O$5+6&gt;=$F120),IF($H120="Complétée","F",IF(OR($H120="En cours",$H120="En revue"),"E",IF($H120="Bloquée","B","P"))),""))</f>
        <v/>
      </c>
      <c r="P120" s="53">
        <f>IF(OR($F120="",$G120=""),"",IF(AND(P$5&lt;=$G120,P$5+6&gt;=$F120),IF($H120="Complétée","F",IF(OR($H120="En cours",$H120="En revue"),"E",IF($H120="Bloquée","B","P"))),""))</f>
        <v/>
      </c>
      <c r="Q120" s="53">
        <f>IF(OR($F120="",$G120=""),"",IF(AND(Q$5&lt;=$G120,Q$5+6&gt;=$F120),IF($H120="Complétée","F",IF(OR($H120="En cours",$H120="En revue"),"E",IF($H120="Bloquée","B","P"))),""))</f>
        <v/>
      </c>
      <c r="R120" s="53">
        <f>IF(OR($F120="",$G120=""),"",IF(AND(R$5&lt;=$G120,R$5+6&gt;=$F120),IF($H120="Complétée","F",IF(OR($H120="En cours",$H120="En revue"),"E",IF($H120="Bloquée","B","P"))),""))</f>
        <v/>
      </c>
      <c r="S120" s="53">
        <f>IF(OR($F120="",$G120=""),"",IF(AND(S$5&lt;=$G120,S$5+6&gt;=$F120),IF($H120="Complétée","F",IF(OR($H120="En cours",$H120="En revue"),"E",IF($H120="Bloquée","B","P"))),""))</f>
        <v/>
      </c>
      <c r="T120" s="53">
        <f>IF(OR($F120="",$G120=""),"",IF(AND(T$5&lt;=$G120,T$5+6&gt;=$F120),IF($H120="Complétée","F",IF(OR($H120="En cours",$H120="En revue"),"E",IF($H120="Bloquée","B","P"))),""))</f>
        <v/>
      </c>
      <c r="U120" s="53">
        <f>IF(OR($F120="",$G120=""),"",IF(AND(U$5&lt;=$G120,U$5+6&gt;=$F120),IF($H120="Complétée","F",IF(OR($H120="En cours",$H120="En revue"),"E",IF($H120="Bloquée","B","P"))),""))</f>
        <v/>
      </c>
      <c r="V120" s="53">
        <f>IF(OR($F120="",$G120=""),"",IF(AND(V$5&lt;=$G120,V$5+6&gt;=$F120),IF($H120="Complétée","F",IF(OR($H120="En cours",$H120="En revue"),"E",IF($H120="Bloquée","B","P"))),""))</f>
        <v/>
      </c>
      <c r="W120" s="53">
        <f>IF(OR($F120="",$G120=""),"",IF(AND(W$5&lt;=$G120,W$5+6&gt;=$F120),IF($H120="Complétée","F",IF(OR($H120="En cours",$H120="En revue"),"E",IF($H120="Bloquée","B","P"))),""))</f>
        <v/>
      </c>
      <c r="X120" s="53">
        <f>IF(OR($F120="",$G120=""),"",IF(AND(X$5&lt;=$G120,X$5+6&gt;=$F120),IF($H120="Complétée","F",IF(OR($H120="En cours",$H120="En revue"),"E",IF($H120="Bloquée","B","P"))),""))</f>
        <v/>
      </c>
      <c r="Y120" s="53">
        <f>IF(OR($F120="",$G120=""),"",IF(AND(Y$5&lt;=$G120,Y$5+6&gt;=$F120),IF($H120="Complétée","F",IF(OR($H120="En cours",$H120="En revue"),"E",IF($H120="Bloquée","B","P"))),""))</f>
        <v/>
      </c>
      <c r="Z120" s="53">
        <f>IF(OR($F120="",$G120=""),"",IF(AND(Z$5&lt;=$G120,Z$5+6&gt;=$F120),IF($H120="Complétée","F",IF(OR($H120="En cours",$H120="En revue"),"E",IF($H120="Bloquée","B","P"))),""))</f>
        <v/>
      </c>
      <c r="AA120" s="53">
        <f>IF(OR($F120="",$G120=""),"",IF(AND(AA$5&lt;=$G120,AA$5+6&gt;=$F120),IF($H120="Complétée","F",IF(OR($H120="En cours",$H120="En revue"),"E",IF($H120="Bloquée","B","P"))),""))</f>
        <v/>
      </c>
      <c r="AB120" s="53">
        <f>IF(OR($F120="",$G120=""),"",IF(AND(AB$5&lt;=$G120,AB$5+6&gt;=$F120),IF($H120="Complétée","F",IF(OR($H120="En cours",$H120="En revue"),"E",IF($H120="Bloquée","B","P"))),""))</f>
        <v/>
      </c>
      <c r="AC120" s="53">
        <f>IF(OR($F120="",$G120=""),"",IF(AND(AC$5&lt;=$G120,AC$5+6&gt;=$F120),IF($H120="Complétée","F",IF(OR($H120="En cours",$H120="En revue"),"E",IF($H120="Bloquée","B","P"))),""))</f>
        <v/>
      </c>
      <c r="AD120" s="53">
        <f>IF(OR($F120="",$G120=""),"",IF(AND(AD$5&lt;=$G120,AD$5+6&gt;=$F120),IF($H120="Complétée","F",IF(OR($H120="En cours",$H120="En revue"),"E",IF($H120="Bloquée","B","P"))),""))</f>
        <v/>
      </c>
      <c r="AE120" s="53">
        <f>IF(OR($F120="",$G120=""),"",IF(AND(AE$5&lt;=$G120,AE$5+6&gt;=$F120),IF($H120="Complétée","F",IF(OR($H120="En cours",$H120="En revue"),"E",IF($H120="Bloquée","B","P"))),""))</f>
        <v/>
      </c>
      <c r="AF120" s="53">
        <f>IF(OR($F120="",$G120=""),"",IF(AND(AF$5&lt;=$G120,AF$5+6&gt;=$F120),IF($H120="Complétée","F",IF(OR($H120="En cours",$H120="En revue"),"E",IF($H120="Bloquée","B","P"))),""))</f>
        <v/>
      </c>
      <c r="AG120" s="53">
        <f>IF(OR($F120="",$G120=""),"",IF(AND(AG$5&lt;=$G120,AG$5+6&gt;=$F120),IF($H120="Complétée","F",IF(OR($H120="En cours",$H120="En revue"),"E",IF($H120="Bloquée","B","P"))),""))</f>
        <v/>
      </c>
      <c r="AH120" s="53">
        <f>IF(OR($F120="",$G120=""),"",IF(AND(AH$5&lt;=$G120,AH$5+6&gt;=$F120),IF($H120="Complétée","F",IF(OR($H120="En cours",$H120="En revue"),"E",IF($H120="Bloquée","B","P"))),""))</f>
        <v/>
      </c>
      <c r="AI120" s="53">
        <f>IF(OR($F120="",$G120=""),"",IF(AND(AI$5&lt;=$G120,AI$5+6&gt;=$F120),IF($H120="Complétée","F",IF(OR($H120="En cours",$H120="En revue"),"E",IF($H120="Bloquée","B","P"))),""))</f>
        <v/>
      </c>
      <c r="AJ120" s="53">
        <f>IF(OR($F120="",$G120=""),"",IF(AND(AJ$5&lt;=$G120,AJ$5+6&gt;=$F120),IF($H120="Complétée","F",IF(OR($H120="En cours",$H120="En revue"),"E",IF($H120="Bloquée","B","P"))),""))</f>
        <v/>
      </c>
      <c r="AK120" s="53">
        <f>IF(OR($F120="",$G120=""),"",IF(AND(AK$5&lt;=$G120,AK$5+6&gt;=$F120),IF($H120="Complétée","F",IF(OR($H120="En cours",$H120="En revue"),"E",IF($H120="Bloquée","B","P"))),""))</f>
        <v/>
      </c>
      <c r="AL120" s="53">
        <f>IF(OR($F120="",$G120=""),"",IF(AND(AL$5&lt;=$G120,AL$5+6&gt;=$F120),IF($H120="Complétée","F",IF(OR($H120="En cours",$H120="En revue"),"E",IF($H120="Bloquée","B","P"))),""))</f>
        <v/>
      </c>
      <c r="AM120" s="53">
        <f>IF(OR($F120="",$G120=""),"",IF(AND(AM$5&lt;=$G120,AM$5+6&gt;=$F120),IF($H120="Complétée","F",IF(OR($H120="En cours",$H120="En revue"),"E",IF($H120="Bloquée","B","P"))),""))</f>
        <v/>
      </c>
      <c r="AN120" s="53">
        <f>IF(OR($F120="",$G120=""),"",IF(AND(AN$5&lt;=$G120,AN$5+6&gt;=$F120),IF($H120="Complétée","F",IF(OR($H120="En cours",$H120="En revue"),"E",IF($H120="Bloquée","B","P"))),""))</f>
        <v/>
      </c>
      <c r="AO120" s="53">
        <f>IF(OR($F120="",$G120=""),"",IF(AND(AO$5&lt;=$G120,AO$5+6&gt;=$F120),IF($H120="Complétée","F",IF(OR($H120="En cours",$H120="En revue"),"E",IF($H120="Bloquée","B","P"))),""))</f>
        <v/>
      </c>
      <c r="AP120" s="53">
        <f>IF(OR($F120="",$G120=""),"",IF(AND(AP$5&lt;=$G120,AP$5+6&gt;=$F120),IF($H120="Complétée","F",IF(OR($H120="En cours",$H120="En revue"),"E",IF($H120="Bloquée","B","P"))),""))</f>
        <v/>
      </c>
      <c r="AQ120" s="53">
        <f>IF(OR($F120="",$G120=""),"",IF(AND(AQ$5&lt;=$G120,AQ$5+6&gt;=$F120),IF($H120="Complétée","F",IF(OR($H120="En cours",$H120="En revue"),"E",IF($H120="Bloquée","B","P"))),""))</f>
        <v/>
      </c>
      <c r="AR120" s="53">
        <f>IF(OR($F120="",$G120=""),"",IF(AND(AR$5&lt;=$G120,AR$5+6&gt;=$F120),IF($H120="Complétée","F",IF(OR($H120="En cours",$H120="En revue"),"E",IF($H120="Bloquée","B","P"))),""))</f>
        <v/>
      </c>
      <c r="AS120" s="53">
        <f>IF(OR($F120="",$G120=""),"",IF(AND(AS$5&lt;=$G120,AS$5+6&gt;=$F120),IF($H120="Complétée","F",IF(OR($H120="En cours",$H120="En revue"),"E",IF($H120="Bloquée","B","P"))),""))</f>
        <v/>
      </c>
      <c r="AT120" s="53">
        <f>IF(OR($F120="",$G120=""),"",IF(AND(AT$5&lt;=$G120,AT$5+6&gt;=$F120),IF($H120="Complétée","F",IF(OR($H120="En cours",$H120="En revue"),"E",IF($H120="Bloquée","B","P"))),""))</f>
        <v/>
      </c>
      <c r="AU120" s="53">
        <f>IF(OR($F120="",$G120=""),"",IF(AND(AU$5&lt;=$G120,AU$5+6&gt;=$F120),IF($H120="Complétée","F",IF(OR($H120="En cours",$H120="En revue"),"E",IF($H120="Bloquée","B","P"))),""))</f>
        <v/>
      </c>
      <c r="AV120" s="53">
        <f>IF(OR($F120="",$G120=""),"",IF(AND(AV$5&lt;=$G120,AV$5+6&gt;=$F120),IF($H120="Complétée","F",IF(OR($H120="En cours",$H120="En revue"),"E",IF($H120="Bloquée","B","P"))),""))</f>
        <v/>
      </c>
      <c r="AW120" s="53">
        <f>IF(OR($F120="",$G120=""),"",IF(AND(AW$5&lt;=$G120,AW$5+6&gt;=$F120),IF($H120="Complétée","F",IF(OR($H120="En cours",$H120="En revue"),"E",IF($H120="Bloquée","B","P"))),""))</f>
        <v/>
      </c>
    </row>
    <row r="121">
      <c r="B121" s="50">
        <f>IF(Taches!B121="","",Taches!B121)</f>
        <v/>
      </c>
      <c r="C121" s="51">
        <f>IF(Taches!B121="","",Taches!F121)</f>
        <v/>
      </c>
      <c r="D121" s="50">
        <f>IF(Taches!B121="","",Taches!C121)</f>
        <v/>
      </c>
      <c r="E121" s="50">
        <f>IF(Taches!B121="","",Taches!D121)</f>
        <v/>
      </c>
      <c r="F121" s="52">
        <f>IF(Taches!P121="","",Taches!P121)</f>
        <v/>
      </c>
      <c r="G121" s="52">
        <f>IF(Taches!Q121="","",Taches!Q121)</f>
        <v/>
      </c>
      <c r="H121" s="50">
        <f>IF(Taches!B121="","",Taches!J121)</f>
        <v/>
      </c>
      <c r="I121" s="53">
        <f>IF(OR($F121="",$G121=""),"",IF(AND(I$5&lt;=$G121,I$5+6&gt;=$F121),IF($H121="Complétée","F",IF(OR($H121="En cours",$H121="En revue"),"E",IF($H121="Bloquée","B","P"))),""))</f>
        <v/>
      </c>
      <c r="J121" s="53">
        <f>IF(OR($F121="",$G121=""),"",IF(AND(J$5&lt;=$G121,J$5+6&gt;=$F121),IF($H121="Complétée","F",IF(OR($H121="En cours",$H121="En revue"),"E",IF($H121="Bloquée","B","P"))),""))</f>
        <v/>
      </c>
      <c r="K121" s="53">
        <f>IF(OR($F121="",$G121=""),"",IF(AND(K$5&lt;=$G121,K$5+6&gt;=$F121),IF($H121="Complétée","F",IF(OR($H121="En cours",$H121="En revue"),"E",IF($H121="Bloquée","B","P"))),""))</f>
        <v/>
      </c>
      <c r="L121" s="53">
        <f>IF(OR($F121="",$G121=""),"",IF(AND(L$5&lt;=$G121,L$5+6&gt;=$F121),IF($H121="Complétée","F",IF(OR($H121="En cours",$H121="En revue"),"E",IF($H121="Bloquée","B","P"))),""))</f>
        <v/>
      </c>
      <c r="M121" s="53">
        <f>IF(OR($F121="",$G121=""),"",IF(AND(M$5&lt;=$G121,M$5+6&gt;=$F121),IF($H121="Complétée","F",IF(OR($H121="En cours",$H121="En revue"),"E",IF($H121="Bloquée","B","P"))),""))</f>
        <v/>
      </c>
      <c r="N121" s="53">
        <f>IF(OR($F121="",$G121=""),"",IF(AND(N$5&lt;=$G121,N$5+6&gt;=$F121),IF($H121="Complétée","F",IF(OR($H121="En cours",$H121="En revue"),"E",IF($H121="Bloquée","B","P"))),""))</f>
        <v/>
      </c>
      <c r="O121" s="53">
        <f>IF(OR($F121="",$G121=""),"",IF(AND(O$5&lt;=$G121,O$5+6&gt;=$F121),IF($H121="Complétée","F",IF(OR($H121="En cours",$H121="En revue"),"E",IF($H121="Bloquée","B","P"))),""))</f>
        <v/>
      </c>
      <c r="P121" s="53">
        <f>IF(OR($F121="",$G121=""),"",IF(AND(P$5&lt;=$G121,P$5+6&gt;=$F121),IF($H121="Complétée","F",IF(OR($H121="En cours",$H121="En revue"),"E",IF($H121="Bloquée","B","P"))),""))</f>
        <v/>
      </c>
      <c r="Q121" s="53">
        <f>IF(OR($F121="",$G121=""),"",IF(AND(Q$5&lt;=$G121,Q$5+6&gt;=$F121),IF($H121="Complétée","F",IF(OR($H121="En cours",$H121="En revue"),"E",IF($H121="Bloquée","B","P"))),""))</f>
        <v/>
      </c>
      <c r="R121" s="53">
        <f>IF(OR($F121="",$G121=""),"",IF(AND(R$5&lt;=$G121,R$5+6&gt;=$F121),IF($H121="Complétée","F",IF(OR($H121="En cours",$H121="En revue"),"E",IF($H121="Bloquée","B","P"))),""))</f>
        <v/>
      </c>
      <c r="S121" s="53">
        <f>IF(OR($F121="",$G121=""),"",IF(AND(S$5&lt;=$G121,S$5+6&gt;=$F121),IF($H121="Complétée","F",IF(OR($H121="En cours",$H121="En revue"),"E",IF($H121="Bloquée","B","P"))),""))</f>
        <v/>
      </c>
      <c r="T121" s="53">
        <f>IF(OR($F121="",$G121=""),"",IF(AND(T$5&lt;=$G121,T$5+6&gt;=$F121),IF($H121="Complétée","F",IF(OR($H121="En cours",$H121="En revue"),"E",IF($H121="Bloquée","B","P"))),""))</f>
        <v/>
      </c>
      <c r="U121" s="53">
        <f>IF(OR($F121="",$G121=""),"",IF(AND(U$5&lt;=$G121,U$5+6&gt;=$F121),IF($H121="Complétée","F",IF(OR($H121="En cours",$H121="En revue"),"E",IF($H121="Bloquée","B","P"))),""))</f>
        <v/>
      </c>
      <c r="V121" s="53">
        <f>IF(OR($F121="",$G121=""),"",IF(AND(V$5&lt;=$G121,V$5+6&gt;=$F121),IF($H121="Complétée","F",IF(OR($H121="En cours",$H121="En revue"),"E",IF($H121="Bloquée","B","P"))),""))</f>
        <v/>
      </c>
      <c r="W121" s="53">
        <f>IF(OR($F121="",$G121=""),"",IF(AND(W$5&lt;=$G121,W$5+6&gt;=$F121),IF($H121="Complétée","F",IF(OR($H121="En cours",$H121="En revue"),"E",IF($H121="Bloquée","B","P"))),""))</f>
        <v/>
      </c>
      <c r="X121" s="53">
        <f>IF(OR($F121="",$G121=""),"",IF(AND(X$5&lt;=$G121,X$5+6&gt;=$F121),IF($H121="Complétée","F",IF(OR($H121="En cours",$H121="En revue"),"E",IF($H121="Bloquée","B","P"))),""))</f>
        <v/>
      </c>
      <c r="Y121" s="53">
        <f>IF(OR($F121="",$G121=""),"",IF(AND(Y$5&lt;=$G121,Y$5+6&gt;=$F121),IF($H121="Complétée","F",IF(OR($H121="En cours",$H121="En revue"),"E",IF($H121="Bloquée","B","P"))),""))</f>
        <v/>
      </c>
      <c r="Z121" s="53">
        <f>IF(OR($F121="",$G121=""),"",IF(AND(Z$5&lt;=$G121,Z$5+6&gt;=$F121),IF($H121="Complétée","F",IF(OR($H121="En cours",$H121="En revue"),"E",IF($H121="Bloquée","B","P"))),""))</f>
        <v/>
      </c>
      <c r="AA121" s="53">
        <f>IF(OR($F121="",$G121=""),"",IF(AND(AA$5&lt;=$G121,AA$5+6&gt;=$F121),IF($H121="Complétée","F",IF(OR($H121="En cours",$H121="En revue"),"E",IF($H121="Bloquée","B","P"))),""))</f>
        <v/>
      </c>
      <c r="AB121" s="53">
        <f>IF(OR($F121="",$G121=""),"",IF(AND(AB$5&lt;=$G121,AB$5+6&gt;=$F121),IF($H121="Complétée","F",IF(OR($H121="En cours",$H121="En revue"),"E",IF($H121="Bloquée","B","P"))),""))</f>
        <v/>
      </c>
      <c r="AC121" s="53">
        <f>IF(OR($F121="",$G121=""),"",IF(AND(AC$5&lt;=$G121,AC$5+6&gt;=$F121),IF($H121="Complétée","F",IF(OR($H121="En cours",$H121="En revue"),"E",IF($H121="Bloquée","B","P"))),""))</f>
        <v/>
      </c>
      <c r="AD121" s="53">
        <f>IF(OR($F121="",$G121=""),"",IF(AND(AD$5&lt;=$G121,AD$5+6&gt;=$F121),IF($H121="Complétée","F",IF(OR($H121="En cours",$H121="En revue"),"E",IF($H121="Bloquée","B","P"))),""))</f>
        <v/>
      </c>
      <c r="AE121" s="53">
        <f>IF(OR($F121="",$G121=""),"",IF(AND(AE$5&lt;=$G121,AE$5+6&gt;=$F121),IF($H121="Complétée","F",IF(OR($H121="En cours",$H121="En revue"),"E",IF($H121="Bloquée","B","P"))),""))</f>
        <v/>
      </c>
      <c r="AF121" s="53">
        <f>IF(OR($F121="",$G121=""),"",IF(AND(AF$5&lt;=$G121,AF$5+6&gt;=$F121),IF($H121="Complétée","F",IF(OR($H121="En cours",$H121="En revue"),"E",IF($H121="Bloquée","B","P"))),""))</f>
        <v/>
      </c>
      <c r="AG121" s="53">
        <f>IF(OR($F121="",$G121=""),"",IF(AND(AG$5&lt;=$G121,AG$5+6&gt;=$F121),IF($H121="Complétée","F",IF(OR($H121="En cours",$H121="En revue"),"E",IF($H121="Bloquée","B","P"))),""))</f>
        <v/>
      </c>
      <c r="AH121" s="53">
        <f>IF(OR($F121="",$G121=""),"",IF(AND(AH$5&lt;=$G121,AH$5+6&gt;=$F121),IF($H121="Complétée","F",IF(OR($H121="En cours",$H121="En revue"),"E",IF($H121="Bloquée","B","P"))),""))</f>
        <v/>
      </c>
      <c r="AI121" s="53">
        <f>IF(OR($F121="",$G121=""),"",IF(AND(AI$5&lt;=$G121,AI$5+6&gt;=$F121),IF($H121="Complétée","F",IF(OR($H121="En cours",$H121="En revue"),"E",IF($H121="Bloquée","B","P"))),""))</f>
        <v/>
      </c>
      <c r="AJ121" s="53">
        <f>IF(OR($F121="",$G121=""),"",IF(AND(AJ$5&lt;=$G121,AJ$5+6&gt;=$F121),IF($H121="Complétée","F",IF(OR($H121="En cours",$H121="En revue"),"E",IF($H121="Bloquée","B","P"))),""))</f>
        <v/>
      </c>
      <c r="AK121" s="53">
        <f>IF(OR($F121="",$G121=""),"",IF(AND(AK$5&lt;=$G121,AK$5+6&gt;=$F121),IF($H121="Complétée","F",IF(OR($H121="En cours",$H121="En revue"),"E",IF($H121="Bloquée","B","P"))),""))</f>
        <v/>
      </c>
      <c r="AL121" s="53">
        <f>IF(OR($F121="",$G121=""),"",IF(AND(AL$5&lt;=$G121,AL$5+6&gt;=$F121),IF($H121="Complétée","F",IF(OR($H121="En cours",$H121="En revue"),"E",IF($H121="Bloquée","B","P"))),""))</f>
        <v/>
      </c>
      <c r="AM121" s="53">
        <f>IF(OR($F121="",$G121=""),"",IF(AND(AM$5&lt;=$G121,AM$5+6&gt;=$F121),IF($H121="Complétée","F",IF(OR($H121="En cours",$H121="En revue"),"E",IF($H121="Bloquée","B","P"))),""))</f>
        <v/>
      </c>
      <c r="AN121" s="53">
        <f>IF(OR($F121="",$G121=""),"",IF(AND(AN$5&lt;=$G121,AN$5+6&gt;=$F121),IF($H121="Complétée","F",IF(OR($H121="En cours",$H121="En revue"),"E",IF($H121="Bloquée","B","P"))),""))</f>
        <v/>
      </c>
      <c r="AO121" s="53">
        <f>IF(OR($F121="",$G121=""),"",IF(AND(AO$5&lt;=$G121,AO$5+6&gt;=$F121),IF($H121="Complétée","F",IF(OR($H121="En cours",$H121="En revue"),"E",IF($H121="Bloquée","B","P"))),""))</f>
        <v/>
      </c>
      <c r="AP121" s="53">
        <f>IF(OR($F121="",$G121=""),"",IF(AND(AP$5&lt;=$G121,AP$5+6&gt;=$F121),IF($H121="Complétée","F",IF(OR($H121="En cours",$H121="En revue"),"E",IF($H121="Bloquée","B","P"))),""))</f>
        <v/>
      </c>
      <c r="AQ121" s="53">
        <f>IF(OR($F121="",$G121=""),"",IF(AND(AQ$5&lt;=$G121,AQ$5+6&gt;=$F121),IF($H121="Complétée","F",IF(OR($H121="En cours",$H121="En revue"),"E",IF($H121="Bloquée","B","P"))),""))</f>
        <v/>
      </c>
      <c r="AR121" s="53">
        <f>IF(OR($F121="",$G121=""),"",IF(AND(AR$5&lt;=$G121,AR$5+6&gt;=$F121),IF($H121="Complétée","F",IF(OR($H121="En cours",$H121="En revue"),"E",IF($H121="Bloquée","B","P"))),""))</f>
        <v/>
      </c>
      <c r="AS121" s="53">
        <f>IF(OR($F121="",$G121=""),"",IF(AND(AS$5&lt;=$G121,AS$5+6&gt;=$F121),IF($H121="Complétée","F",IF(OR($H121="En cours",$H121="En revue"),"E",IF($H121="Bloquée","B","P"))),""))</f>
        <v/>
      </c>
      <c r="AT121" s="53">
        <f>IF(OR($F121="",$G121=""),"",IF(AND(AT$5&lt;=$G121,AT$5+6&gt;=$F121),IF($H121="Complétée","F",IF(OR($H121="En cours",$H121="En revue"),"E",IF($H121="Bloquée","B","P"))),""))</f>
        <v/>
      </c>
      <c r="AU121" s="53">
        <f>IF(OR($F121="",$G121=""),"",IF(AND(AU$5&lt;=$G121,AU$5+6&gt;=$F121),IF($H121="Complétée","F",IF(OR($H121="En cours",$H121="En revue"),"E",IF($H121="Bloquée","B","P"))),""))</f>
        <v/>
      </c>
      <c r="AV121" s="53">
        <f>IF(OR($F121="",$G121=""),"",IF(AND(AV$5&lt;=$G121,AV$5+6&gt;=$F121),IF($H121="Complétée","F",IF(OR($H121="En cours",$H121="En revue"),"E",IF($H121="Bloquée","B","P"))),""))</f>
        <v/>
      </c>
      <c r="AW121" s="53">
        <f>IF(OR($F121="",$G121=""),"",IF(AND(AW$5&lt;=$G121,AW$5+6&gt;=$F121),IF($H121="Complétée","F",IF(OR($H121="En cours",$H121="En revue"),"E",IF($H121="Bloquée","B","P"))),""))</f>
        <v/>
      </c>
    </row>
    <row r="122">
      <c r="B122" s="50">
        <f>IF(Taches!B122="","",Taches!B122)</f>
        <v/>
      </c>
      <c r="C122" s="51">
        <f>IF(Taches!B122="","",Taches!F122)</f>
        <v/>
      </c>
      <c r="D122" s="50">
        <f>IF(Taches!B122="","",Taches!C122)</f>
        <v/>
      </c>
      <c r="E122" s="50">
        <f>IF(Taches!B122="","",Taches!D122)</f>
        <v/>
      </c>
      <c r="F122" s="52">
        <f>IF(Taches!P122="","",Taches!P122)</f>
        <v/>
      </c>
      <c r="G122" s="52">
        <f>IF(Taches!Q122="","",Taches!Q122)</f>
        <v/>
      </c>
      <c r="H122" s="50">
        <f>IF(Taches!B122="","",Taches!J122)</f>
        <v/>
      </c>
      <c r="I122" s="53">
        <f>IF(OR($F122="",$G122=""),"",IF(AND(I$5&lt;=$G122,I$5+6&gt;=$F122),IF($H122="Complétée","F",IF(OR($H122="En cours",$H122="En revue"),"E",IF($H122="Bloquée","B","P"))),""))</f>
        <v/>
      </c>
      <c r="J122" s="53">
        <f>IF(OR($F122="",$G122=""),"",IF(AND(J$5&lt;=$G122,J$5+6&gt;=$F122),IF($H122="Complétée","F",IF(OR($H122="En cours",$H122="En revue"),"E",IF($H122="Bloquée","B","P"))),""))</f>
        <v/>
      </c>
      <c r="K122" s="53">
        <f>IF(OR($F122="",$G122=""),"",IF(AND(K$5&lt;=$G122,K$5+6&gt;=$F122),IF($H122="Complétée","F",IF(OR($H122="En cours",$H122="En revue"),"E",IF($H122="Bloquée","B","P"))),""))</f>
        <v/>
      </c>
      <c r="L122" s="53">
        <f>IF(OR($F122="",$G122=""),"",IF(AND(L$5&lt;=$G122,L$5+6&gt;=$F122),IF($H122="Complétée","F",IF(OR($H122="En cours",$H122="En revue"),"E",IF($H122="Bloquée","B","P"))),""))</f>
        <v/>
      </c>
      <c r="M122" s="53">
        <f>IF(OR($F122="",$G122=""),"",IF(AND(M$5&lt;=$G122,M$5+6&gt;=$F122),IF($H122="Complétée","F",IF(OR($H122="En cours",$H122="En revue"),"E",IF($H122="Bloquée","B","P"))),""))</f>
        <v/>
      </c>
      <c r="N122" s="53">
        <f>IF(OR($F122="",$G122=""),"",IF(AND(N$5&lt;=$G122,N$5+6&gt;=$F122),IF($H122="Complétée","F",IF(OR($H122="En cours",$H122="En revue"),"E",IF($H122="Bloquée","B","P"))),""))</f>
        <v/>
      </c>
      <c r="O122" s="53">
        <f>IF(OR($F122="",$G122=""),"",IF(AND(O$5&lt;=$G122,O$5+6&gt;=$F122),IF($H122="Complétée","F",IF(OR($H122="En cours",$H122="En revue"),"E",IF($H122="Bloquée","B","P"))),""))</f>
        <v/>
      </c>
      <c r="P122" s="53">
        <f>IF(OR($F122="",$G122=""),"",IF(AND(P$5&lt;=$G122,P$5+6&gt;=$F122),IF($H122="Complétée","F",IF(OR($H122="En cours",$H122="En revue"),"E",IF($H122="Bloquée","B","P"))),""))</f>
        <v/>
      </c>
      <c r="Q122" s="53">
        <f>IF(OR($F122="",$G122=""),"",IF(AND(Q$5&lt;=$G122,Q$5+6&gt;=$F122),IF($H122="Complétée","F",IF(OR($H122="En cours",$H122="En revue"),"E",IF($H122="Bloquée","B","P"))),""))</f>
        <v/>
      </c>
      <c r="R122" s="53">
        <f>IF(OR($F122="",$G122=""),"",IF(AND(R$5&lt;=$G122,R$5+6&gt;=$F122),IF($H122="Complétée","F",IF(OR($H122="En cours",$H122="En revue"),"E",IF($H122="Bloquée","B","P"))),""))</f>
        <v/>
      </c>
      <c r="S122" s="53">
        <f>IF(OR($F122="",$G122=""),"",IF(AND(S$5&lt;=$G122,S$5+6&gt;=$F122),IF($H122="Complétée","F",IF(OR($H122="En cours",$H122="En revue"),"E",IF($H122="Bloquée","B","P"))),""))</f>
        <v/>
      </c>
      <c r="T122" s="53">
        <f>IF(OR($F122="",$G122=""),"",IF(AND(T$5&lt;=$G122,T$5+6&gt;=$F122),IF($H122="Complétée","F",IF(OR($H122="En cours",$H122="En revue"),"E",IF($H122="Bloquée","B","P"))),""))</f>
        <v/>
      </c>
      <c r="U122" s="53">
        <f>IF(OR($F122="",$G122=""),"",IF(AND(U$5&lt;=$G122,U$5+6&gt;=$F122),IF($H122="Complétée","F",IF(OR($H122="En cours",$H122="En revue"),"E",IF($H122="Bloquée","B","P"))),""))</f>
        <v/>
      </c>
      <c r="V122" s="53">
        <f>IF(OR($F122="",$G122=""),"",IF(AND(V$5&lt;=$G122,V$5+6&gt;=$F122),IF($H122="Complétée","F",IF(OR($H122="En cours",$H122="En revue"),"E",IF($H122="Bloquée","B","P"))),""))</f>
        <v/>
      </c>
      <c r="W122" s="53">
        <f>IF(OR($F122="",$G122=""),"",IF(AND(W$5&lt;=$G122,W$5+6&gt;=$F122),IF($H122="Complétée","F",IF(OR($H122="En cours",$H122="En revue"),"E",IF($H122="Bloquée","B","P"))),""))</f>
        <v/>
      </c>
      <c r="X122" s="53">
        <f>IF(OR($F122="",$G122=""),"",IF(AND(X$5&lt;=$G122,X$5+6&gt;=$F122),IF($H122="Complétée","F",IF(OR($H122="En cours",$H122="En revue"),"E",IF($H122="Bloquée","B","P"))),""))</f>
        <v/>
      </c>
      <c r="Y122" s="53">
        <f>IF(OR($F122="",$G122=""),"",IF(AND(Y$5&lt;=$G122,Y$5+6&gt;=$F122),IF($H122="Complétée","F",IF(OR($H122="En cours",$H122="En revue"),"E",IF($H122="Bloquée","B","P"))),""))</f>
        <v/>
      </c>
      <c r="Z122" s="53">
        <f>IF(OR($F122="",$G122=""),"",IF(AND(Z$5&lt;=$G122,Z$5+6&gt;=$F122),IF($H122="Complétée","F",IF(OR($H122="En cours",$H122="En revue"),"E",IF($H122="Bloquée","B","P"))),""))</f>
        <v/>
      </c>
      <c r="AA122" s="53">
        <f>IF(OR($F122="",$G122=""),"",IF(AND(AA$5&lt;=$G122,AA$5+6&gt;=$F122),IF($H122="Complétée","F",IF(OR($H122="En cours",$H122="En revue"),"E",IF($H122="Bloquée","B","P"))),""))</f>
        <v/>
      </c>
      <c r="AB122" s="53">
        <f>IF(OR($F122="",$G122=""),"",IF(AND(AB$5&lt;=$G122,AB$5+6&gt;=$F122),IF($H122="Complétée","F",IF(OR($H122="En cours",$H122="En revue"),"E",IF($H122="Bloquée","B","P"))),""))</f>
        <v/>
      </c>
      <c r="AC122" s="53">
        <f>IF(OR($F122="",$G122=""),"",IF(AND(AC$5&lt;=$G122,AC$5+6&gt;=$F122),IF($H122="Complétée","F",IF(OR($H122="En cours",$H122="En revue"),"E",IF($H122="Bloquée","B","P"))),""))</f>
        <v/>
      </c>
      <c r="AD122" s="53">
        <f>IF(OR($F122="",$G122=""),"",IF(AND(AD$5&lt;=$G122,AD$5+6&gt;=$F122),IF($H122="Complétée","F",IF(OR($H122="En cours",$H122="En revue"),"E",IF($H122="Bloquée","B","P"))),""))</f>
        <v/>
      </c>
      <c r="AE122" s="53">
        <f>IF(OR($F122="",$G122=""),"",IF(AND(AE$5&lt;=$G122,AE$5+6&gt;=$F122),IF($H122="Complétée","F",IF(OR($H122="En cours",$H122="En revue"),"E",IF($H122="Bloquée","B","P"))),""))</f>
        <v/>
      </c>
      <c r="AF122" s="53">
        <f>IF(OR($F122="",$G122=""),"",IF(AND(AF$5&lt;=$G122,AF$5+6&gt;=$F122),IF($H122="Complétée","F",IF(OR($H122="En cours",$H122="En revue"),"E",IF($H122="Bloquée","B","P"))),""))</f>
        <v/>
      </c>
      <c r="AG122" s="53">
        <f>IF(OR($F122="",$G122=""),"",IF(AND(AG$5&lt;=$G122,AG$5+6&gt;=$F122),IF($H122="Complétée","F",IF(OR($H122="En cours",$H122="En revue"),"E",IF($H122="Bloquée","B","P"))),""))</f>
        <v/>
      </c>
      <c r="AH122" s="53">
        <f>IF(OR($F122="",$G122=""),"",IF(AND(AH$5&lt;=$G122,AH$5+6&gt;=$F122),IF($H122="Complétée","F",IF(OR($H122="En cours",$H122="En revue"),"E",IF($H122="Bloquée","B","P"))),""))</f>
        <v/>
      </c>
      <c r="AI122" s="53">
        <f>IF(OR($F122="",$G122=""),"",IF(AND(AI$5&lt;=$G122,AI$5+6&gt;=$F122),IF($H122="Complétée","F",IF(OR($H122="En cours",$H122="En revue"),"E",IF($H122="Bloquée","B","P"))),""))</f>
        <v/>
      </c>
      <c r="AJ122" s="53">
        <f>IF(OR($F122="",$G122=""),"",IF(AND(AJ$5&lt;=$G122,AJ$5+6&gt;=$F122),IF($H122="Complétée","F",IF(OR($H122="En cours",$H122="En revue"),"E",IF($H122="Bloquée","B","P"))),""))</f>
        <v/>
      </c>
      <c r="AK122" s="53">
        <f>IF(OR($F122="",$G122=""),"",IF(AND(AK$5&lt;=$G122,AK$5+6&gt;=$F122),IF($H122="Complétée","F",IF(OR($H122="En cours",$H122="En revue"),"E",IF($H122="Bloquée","B","P"))),""))</f>
        <v/>
      </c>
      <c r="AL122" s="53">
        <f>IF(OR($F122="",$G122=""),"",IF(AND(AL$5&lt;=$G122,AL$5+6&gt;=$F122),IF($H122="Complétée","F",IF(OR($H122="En cours",$H122="En revue"),"E",IF($H122="Bloquée","B","P"))),""))</f>
        <v/>
      </c>
      <c r="AM122" s="53">
        <f>IF(OR($F122="",$G122=""),"",IF(AND(AM$5&lt;=$G122,AM$5+6&gt;=$F122),IF($H122="Complétée","F",IF(OR($H122="En cours",$H122="En revue"),"E",IF($H122="Bloquée","B","P"))),""))</f>
        <v/>
      </c>
      <c r="AN122" s="53">
        <f>IF(OR($F122="",$G122=""),"",IF(AND(AN$5&lt;=$G122,AN$5+6&gt;=$F122),IF($H122="Complétée","F",IF(OR($H122="En cours",$H122="En revue"),"E",IF($H122="Bloquée","B","P"))),""))</f>
        <v/>
      </c>
      <c r="AO122" s="53">
        <f>IF(OR($F122="",$G122=""),"",IF(AND(AO$5&lt;=$G122,AO$5+6&gt;=$F122),IF($H122="Complétée","F",IF(OR($H122="En cours",$H122="En revue"),"E",IF($H122="Bloquée","B","P"))),""))</f>
        <v/>
      </c>
      <c r="AP122" s="53">
        <f>IF(OR($F122="",$G122=""),"",IF(AND(AP$5&lt;=$G122,AP$5+6&gt;=$F122),IF($H122="Complétée","F",IF(OR($H122="En cours",$H122="En revue"),"E",IF($H122="Bloquée","B","P"))),""))</f>
        <v/>
      </c>
      <c r="AQ122" s="53">
        <f>IF(OR($F122="",$G122=""),"",IF(AND(AQ$5&lt;=$G122,AQ$5+6&gt;=$F122),IF($H122="Complétée","F",IF(OR($H122="En cours",$H122="En revue"),"E",IF($H122="Bloquée","B","P"))),""))</f>
        <v/>
      </c>
      <c r="AR122" s="53">
        <f>IF(OR($F122="",$G122=""),"",IF(AND(AR$5&lt;=$G122,AR$5+6&gt;=$F122),IF($H122="Complétée","F",IF(OR($H122="En cours",$H122="En revue"),"E",IF($H122="Bloquée","B","P"))),""))</f>
        <v/>
      </c>
      <c r="AS122" s="53">
        <f>IF(OR($F122="",$G122=""),"",IF(AND(AS$5&lt;=$G122,AS$5+6&gt;=$F122),IF($H122="Complétée","F",IF(OR($H122="En cours",$H122="En revue"),"E",IF($H122="Bloquée","B","P"))),""))</f>
        <v/>
      </c>
      <c r="AT122" s="53">
        <f>IF(OR($F122="",$G122=""),"",IF(AND(AT$5&lt;=$G122,AT$5+6&gt;=$F122),IF($H122="Complétée","F",IF(OR($H122="En cours",$H122="En revue"),"E",IF($H122="Bloquée","B","P"))),""))</f>
        <v/>
      </c>
      <c r="AU122" s="53">
        <f>IF(OR($F122="",$G122=""),"",IF(AND(AU$5&lt;=$G122,AU$5+6&gt;=$F122),IF($H122="Complétée","F",IF(OR($H122="En cours",$H122="En revue"),"E",IF($H122="Bloquée","B","P"))),""))</f>
        <v/>
      </c>
      <c r="AV122" s="53">
        <f>IF(OR($F122="",$G122=""),"",IF(AND(AV$5&lt;=$G122,AV$5+6&gt;=$F122),IF($H122="Complétée","F",IF(OR($H122="En cours",$H122="En revue"),"E",IF($H122="Bloquée","B","P"))),""))</f>
        <v/>
      </c>
      <c r="AW122" s="53">
        <f>IF(OR($F122="",$G122=""),"",IF(AND(AW$5&lt;=$G122,AW$5+6&gt;=$F122),IF($H122="Complétée","F",IF(OR($H122="En cours",$H122="En revue"),"E",IF($H122="Bloquée","B","P"))),""))</f>
        <v/>
      </c>
    </row>
    <row r="123">
      <c r="B123" s="50">
        <f>IF(Taches!B123="","",Taches!B123)</f>
        <v/>
      </c>
      <c r="C123" s="51">
        <f>IF(Taches!B123="","",Taches!F123)</f>
        <v/>
      </c>
      <c r="D123" s="50">
        <f>IF(Taches!B123="","",Taches!C123)</f>
        <v/>
      </c>
      <c r="E123" s="50">
        <f>IF(Taches!B123="","",Taches!D123)</f>
        <v/>
      </c>
      <c r="F123" s="52">
        <f>IF(Taches!P123="","",Taches!P123)</f>
        <v/>
      </c>
      <c r="G123" s="52">
        <f>IF(Taches!Q123="","",Taches!Q123)</f>
        <v/>
      </c>
      <c r="H123" s="50">
        <f>IF(Taches!B123="","",Taches!J123)</f>
        <v/>
      </c>
      <c r="I123" s="53">
        <f>IF(OR($F123="",$G123=""),"",IF(AND(I$5&lt;=$G123,I$5+6&gt;=$F123),IF($H123="Complétée","F",IF(OR($H123="En cours",$H123="En revue"),"E",IF($H123="Bloquée","B","P"))),""))</f>
        <v/>
      </c>
      <c r="J123" s="53">
        <f>IF(OR($F123="",$G123=""),"",IF(AND(J$5&lt;=$G123,J$5+6&gt;=$F123),IF($H123="Complétée","F",IF(OR($H123="En cours",$H123="En revue"),"E",IF($H123="Bloquée","B","P"))),""))</f>
        <v/>
      </c>
      <c r="K123" s="53">
        <f>IF(OR($F123="",$G123=""),"",IF(AND(K$5&lt;=$G123,K$5+6&gt;=$F123),IF($H123="Complétée","F",IF(OR($H123="En cours",$H123="En revue"),"E",IF($H123="Bloquée","B","P"))),""))</f>
        <v/>
      </c>
      <c r="L123" s="53">
        <f>IF(OR($F123="",$G123=""),"",IF(AND(L$5&lt;=$G123,L$5+6&gt;=$F123),IF($H123="Complétée","F",IF(OR($H123="En cours",$H123="En revue"),"E",IF($H123="Bloquée","B","P"))),""))</f>
        <v/>
      </c>
      <c r="M123" s="53">
        <f>IF(OR($F123="",$G123=""),"",IF(AND(M$5&lt;=$G123,M$5+6&gt;=$F123),IF($H123="Complétée","F",IF(OR($H123="En cours",$H123="En revue"),"E",IF($H123="Bloquée","B","P"))),""))</f>
        <v/>
      </c>
      <c r="N123" s="53">
        <f>IF(OR($F123="",$G123=""),"",IF(AND(N$5&lt;=$G123,N$5+6&gt;=$F123),IF($H123="Complétée","F",IF(OR($H123="En cours",$H123="En revue"),"E",IF($H123="Bloquée","B","P"))),""))</f>
        <v/>
      </c>
      <c r="O123" s="53">
        <f>IF(OR($F123="",$G123=""),"",IF(AND(O$5&lt;=$G123,O$5+6&gt;=$F123),IF($H123="Complétée","F",IF(OR($H123="En cours",$H123="En revue"),"E",IF($H123="Bloquée","B","P"))),""))</f>
        <v/>
      </c>
      <c r="P123" s="53">
        <f>IF(OR($F123="",$G123=""),"",IF(AND(P$5&lt;=$G123,P$5+6&gt;=$F123),IF($H123="Complétée","F",IF(OR($H123="En cours",$H123="En revue"),"E",IF($H123="Bloquée","B","P"))),""))</f>
        <v/>
      </c>
      <c r="Q123" s="53">
        <f>IF(OR($F123="",$G123=""),"",IF(AND(Q$5&lt;=$G123,Q$5+6&gt;=$F123),IF($H123="Complétée","F",IF(OR($H123="En cours",$H123="En revue"),"E",IF($H123="Bloquée","B","P"))),""))</f>
        <v/>
      </c>
      <c r="R123" s="53">
        <f>IF(OR($F123="",$G123=""),"",IF(AND(R$5&lt;=$G123,R$5+6&gt;=$F123),IF($H123="Complétée","F",IF(OR($H123="En cours",$H123="En revue"),"E",IF($H123="Bloquée","B","P"))),""))</f>
        <v/>
      </c>
      <c r="S123" s="53">
        <f>IF(OR($F123="",$G123=""),"",IF(AND(S$5&lt;=$G123,S$5+6&gt;=$F123),IF($H123="Complétée","F",IF(OR($H123="En cours",$H123="En revue"),"E",IF($H123="Bloquée","B","P"))),""))</f>
        <v/>
      </c>
      <c r="T123" s="53">
        <f>IF(OR($F123="",$G123=""),"",IF(AND(T$5&lt;=$G123,T$5+6&gt;=$F123),IF($H123="Complétée","F",IF(OR($H123="En cours",$H123="En revue"),"E",IF($H123="Bloquée","B","P"))),""))</f>
        <v/>
      </c>
      <c r="U123" s="53">
        <f>IF(OR($F123="",$G123=""),"",IF(AND(U$5&lt;=$G123,U$5+6&gt;=$F123),IF($H123="Complétée","F",IF(OR($H123="En cours",$H123="En revue"),"E",IF($H123="Bloquée","B","P"))),""))</f>
        <v/>
      </c>
      <c r="V123" s="53">
        <f>IF(OR($F123="",$G123=""),"",IF(AND(V$5&lt;=$G123,V$5+6&gt;=$F123),IF($H123="Complétée","F",IF(OR($H123="En cours",$H123="En revue"),"E",IF($H123="Bloquée","B","P"))),""))</f>
        <v/>
      </c>
      <c r="W123" s="53">
        <f>IF(OR($F123="",$G123=""),"",IF(AND(W$5&lt;=$G123,W$5+6&gt;=$F123),IF($H123="Complétée","F",IF(OR($H123="En cours",$H123="En revue"),"E",IF($H123="Bloquée","B","P"))),""))</f>
        <v/>
      </c>
      <c r="X123" s="53">
        <f>IF(OR($F123="",$G123=""),"",IF(AND(X$5&lt;=$G123,X$5+6&gt;=$F123),IF($H123="Complétée","F",IF(OR($H123="En cours",$H123="En revue"),"E",IF($H123="Bloquée","B","P"))),""))</f>
        <v/>
      </c>
      <c r="Y123" s="53">
        <f>IF(OR($F123="",$G123=""),"",IF(AND(Y$5&lt;=$G123,Y$5+6&gt;=$F123),IF($H123="Complétée","F",IF(OR($H123="En cours",$H123="En revue"),"E",IF($H123="Bloquée","B","P"))),""))</f>
        <v/>
      </c>
      <c r="Z123" s="53">
        <f>IF(OR($F123="",$G123=""),"",IF(AND(Z$5&lt;=$G123,Z$5+6&gt;=$F123),IF($H123="Complétée","F",IF(OR($H123="En cours",$H123="En revue"),"E",IF($H123="Bloquée","B","P"))),""))</f>
        <v/>
      </c>
      <c r="AA123" s="53">
        <f>IF(OR($F123="",$G123=""),"",IF(AND(AA$5&lt;=$G123,AA$5+6&gt;=$F123),IF($H123="Complétée","F",IF(OR($H123="En cours",$H123="En revue"),"E",IF($H123="Bloquée","B","P"))),""))</f>
        <v/>
      </c>
      <c r="AB123" s="53">
        <f>IF(OR($F123="",$G123=""),"",IF(AND(AB$5&lt;=$G123,AB$5+6&gt;=$F123),IF($H123="Complétée","F",IF(OR($H123="En cours",$H123="En revue"),"E",IF($H123="Bloquée","B","P"))),""))</f>
        <v/>
      </c>
      <c r="AC123" s="53">
        <f>IF(OR($F123="",$G123=""),"",IF(AND(AC$5&lt;=$G123,AC$5+6&gt;=$F123),IF($H123="Complétée","F",IF(OR($H123="En cours",$H123="En revue"),"E",IF($H123="Bloquée","B","P"))),""))</f>
        <v/>
      </c>
      <c r="AD123" s="53">
        <f>IF(OR($F123="",$G123=""),"",IF(AND(AD$5&lt;=$G123,AD$5+6&gt;=$F123),IF($H123="Complétée","F",IF(OR($H123="En cours",$H123="En revue"),"E",IF($H123="Bloquée","B","P"))),""))</f>
        <v/>
      </c>
      <c r="AE123" s="53">
        <f>IF(OR($F123="",$G123=""),"",IF(AND(AE$5&lt;=$G123,AE$5+6&gt;=$F123),IF($H123="Complétée","F",IF(OR($H123="En cours",$H123="En revue"),"E",IF($H123="Bloquée","B","P"))),""))</f>
        <v/>
      </c>
      <c r="AF123" s="53">
        <f>IF(OR($F123="",$G123=""),"",IF(AND(AF$5&lt;=$G123,AF$5+6&gt;=$F123),IF($H123="Complétée","F",IF(OR($H123="En cours",$H123="En revue"),"E",IF($H123="Bloquée","B","P"))),""))</f>
        <v/>
      </c>
      <c r="AG123" s="53">
        <f>IF(OR($F123="",$G123=""),"",IF(AND(AG$5&lt;=$G123,AG$5+6&gt;=$F123),IF($H123="Complétée","F",IF(OR($H123="En cours",$H123="En revue"),"E",IF($H123="Bloquée","B","P"))),""))</f>
        <v/>
      </c>
      <c r="AH123" s="53">
        <f>IF(OR($F123="",$G123=""),"",IF(AND(AH$5&lt;=$G123,AH$5+6&gt;=$F123),IF($H123="Complétée","F",IF(OR($H123="En cours",$H123="En revue"),"E",IF($H123="Bloquée","B","P"))),""))</f>
        <v/>
      </c>
      <c r="AI123" s="53">
        <f>IF(OR($F123="",$G123=""),"",IF(AND(AI$5&lt;=$G123,AI$5+6&gt;=$F123),IF($H123="Complétée","F",IF(OR($H123="En cours",$H123="En revue"),"E",IF($H123="Bloquée","B","P"))),""))</f>
        <v/>
      </c>
      <c r="AJ123" s="53">
        <f>IF(OR($F123="",$G123=""),"",IF(AND(AJ$5&lt;=$G123,AJ$5+6&gt;=$F123),IF($H123="Complétée","F",IF(OR($H123="En cours",$H123="En revue"),"E",IF($H123="Bloquée","B","P"))),""))</f>
        <v/>
      </c>
      <c r="AK123" s="53">
        <f>IF(OR($F123="",$G123=""),"",IF(AND(AK$5&lt;=$G123,AK$5+6&gt;=$F123),IF($H123="Complétée","F",IF(OR($H123="En cours",$H123="En revue"),"E",IF($H123="Bloquée","B","P"))),""))</f>
        <v/>
      </c>
      <c r="AL123" s="53">
        <f>IF(OR($F123="",$G123=""),"",IF(AND(AL$5&lt;=$G123,AL$5+6&gt;=$F123),IF($H123="Complétée","F",IF(OR($H123="En cours",$H123="En revue"),"E",IF($H123="Bloquée","B","P"))),""))</f>
        <v/>
      </c>
      <c r="AM123" s="53">
        <f>IF(OR($F123="",$G123=""),"",IF(AND(AM$5&lt;=$G123,AM$5+6&gt;=$F123),IF($H123="Complétée","F",IF(OR($H123="En cours",$H123="En revue"),"E",IF($H123="Bloquée","B","P"))),""))</f>
        <v/>
      </c>
      <c r="AN123" s="53">
        <f>IF(OR($F123="",$G123=""),"",IF(AND(AN$5&lt;=$G123,AN$5+6&gt;=$F123),IF($H123="Complétée","F",IF(OR($H123="En cours",$H123="En revue"),"E",IF($H123="Bloquée","B","P"))),""))</f>
        <v/>
      </c>
      <c r="AO123" s="53">
        <f>IF(OR($F123="",$G123=""),"",IF(AND(AO$5&lt;=$G123,AO$5+6&gt;=$F123),IF($H123="Complétée","F",IF(OR($H123="En cours",$H123="En revue"),"E",IF($H123="Bloquée","B","P"))),""))</f>
        <v/>
      </c>
      <c r="AP123" s="53">
        <f>IF(OR($F123="",$G123=""),"",IF(AND(AP$5&lt;=$G123,AP$5+6&gt;=$F123),IF($H123="Complétée","F",IF(OR($H123="En cours",$H123="En revue"),"E",IF($H123="Bloquée","B","P"))),""))</f>
        <v/>
      </c>
      <c r="AQ123" s="53">
        <f>IF(OR($F123="",$G123=""),"",IF(AND(AQ$5&lt;=$G123,AQ$5+6&gt;=$F123),IF($H123="Complétée","F",IF(OR($H123="En cours",$H123="En revue"),"E",IF($H123="Bloquée","B","P"))),""))</f>
        <v/>
      </c>
      <c r="AR123" s="53">
        <f>IF(OR($F123="",$G123=""),"",IF(AND(AR$5&lt;=$G123,AR$5+6&gt;=$F123),IF($H123="Complétée","F",IF(OR($H123="En cours",$H123="En revue"),"E",IF($H123="Bloquée","B","P"))),""))</f>
        <v/>
      </c>
      <c r="AS123" s="53">
        <f>IF(OR($F123="",$G123=""),"",IF(AND(AS$5&lt;=$G123,AS$5+6&gt;=$F123),IF($H123="Complétée","F",IF(OR($H123="En cours",$H123="En revue"),"E",IF($H123="Bloquée","B","P"))),""))</f>
        <v/>
      </c>
      <c r="AT123" s="53">
        <f>IF(OR($F123="",$G123=""),"",IF(AND(AT$5&lt;=$G123,AT$5+6&gt;=$F123),IF($H123="Complétée","F",IF(OR($H123="En cours",$H123="En revue"),"E",IF($H123="Bloquée","B","P"))),""))</f>
        <v/>
      </c>
      <c r="AU123" s="53">
        <f>IF(OR($F123="",$G123=""),"",IF(AND(AU$5&lt;=$G123,AU$5+6&gt;=$F123),IF($H123="Complétée","F",IF(OR($H123="En cours",$H123="En revue"),"E",IF($H123="Bloquée","B","P"))),""))</f>
        <v/>
      </c>
      <c r="AV123" s="53">
        <f>IF(OR($F123="",$G123=""),"",IF(AND(AV$5&lt;=$G123,AV$5+6&gt;=$F123),IF($H123="Complétée","F",IF(OR($H123="En cours",$H123="En revue"),"E",IF($H123="Bloquée","B","P"))),""))</f>
        <v/>
      </c>
      <c r="AW123" s="53">
        <f>IF(OR($F123="",$G123=""),"",IF(AND(AW$5&lt;=$G123,AW$5+6&gt;=$F123),IF($H123="Complétée","F",IF(OR($H123="En cours",$H123="En revue"),"E",IF($H123="Bloquée","B","P"))),""))</f>
        <v/>
      </c>
    </row>
    <row r="124">
      <c r="B124" s="50">
        <f>IF(Taches!B124="","",Taches!B124)</f>
        <v/>
      </c>
      <c r="C124" s="51">
        <f>IF(Taches!B124="","",Taches!F124)</f>
        <v/>
      </c>
      <c r="D124" s="50">
        <f>IF(Taches!B124="","",Taches!C124)</f>
        <v/>
      </c>
      <c r="E124" s="50">
        <f>IF(Taches!B124="","",Taches!D124)</f>
        <v/>
      </c>
      <c r="F124" s="52">
        <f>IF(Taches!P124="","",Taches!P124)</f>
        <v/>
      </c>
      <c r="G124" s="52">
        <f>IF(Taches!Q124="","",Taches!Q124)</f>
        <v/>
      </c>
      <c r="H124" s="50">
        <f>IF(Taches!B124="","",Taches!J124)</f>
        <v/>
      </c>
      <c r="I124" s="53">
        <f>IF(OR($F124="",$G124=""),"",IF(AND(I$5&lt;=$G124,I$5+6&gt;=$F124),IF($H124="Complétée","F",IF(OR($H124="En cours",$H124="En revue"),"E",IF($H124="Bloquée","B","P"))),""))</f>
        <v/>
      </c>
      <c r="J124" s="53">
        <f>IF(OR($F124="",$G124=""),"",IF(AND(J$5&lt;=$G124,J$5+6&gt;=$F124),IF($H124="Complétée","F",IF(OR($H124="En cours",$H124="En revue"),"E",IF($H124="Bloquée","B","P"))),""))</f>
        <v/>
      </c>
      <c r="K124" s="53">
        <f>IF(OR($F124="",$G124=""),"",IF(AND(K$5&lt;=$G124,K$5+6&gt;=$F124),IF($H124="Complétée","F",IF(OR($H124="En cours",$H124="En revue"),"E",IF($H124="Bloquée","B","P"))),""))</f>
        <v/>
      </c>
      <c r="L124" s="53">
        <f>IF(OR($F124="",$G124=""),"",IF(AND(L$5&lt;=$G124,L$5+6&gt;=$F124),IF($H124="Complétée","F",IF(OR($H124="En cours",$H124="En revue"),"E",IF($H124="Bloquée","B","P"))),""))</f>
        <v/>
      </c>
      <c r="M124" s="53">
        <f>IF(OR($F124="",$G124=""),"",IF(AND(M$5&lt;=$G124,M$5+6&gt;=$F124),IF($H124="Complétée","F",IF(OR($H124="En cours",$H124="En revue"),"E",IF($H124="Bloquée","B","P"))),""))</f>
        <v/>
      </c>
      <c r="N124" s="53">
        <f>IF(OR($F124="",$G124=""),"",IF(AND(N$5&lt;=$G124,N$5+6&gt;=$F124),IF($H124="Complétée","F",IF(OR($H124="En cours",$H124="En revue"),"E",IF($H124="Bloquée","B","P"))),""))</f>
        <v/>
      </c>
      <c r="O124" s="53">
        <f>IF(OR($F124="",$G124=""),"",IF(AND(O$5&lt;=$G124,O$5+6&gt;=$F124),IF($H124="Complétée","F",IF(OR($H124="En cours",$H124="En revue"),"E",IF($H124="Bloquée","B","P"))),""))</f>
        <v/>
      </c>
      <c r="P124" s="53">
        <f>IF(OR($F124="",$G124=""),"",IF(AND(P$5&lt;=$G124,P$5+6&gt;=$F124),IF($H124="Complétée","F",IF(OR($H124="En cours",$H124="En revue"),"E",IF($H124="Bloquée","B","P"))),""))</f>
        <v/>
      </c>
      <c r="Q124" s="53">
        <f>IF(OR($F124="",$G124=""),"",IF(AND(Q$5&lt;=$G124,Q$5+6&gt;=$F124),IF($H124="Complétée","F",IF(OR($H124="En cours",$H124="En revue"),"E",IF($H124="Bloquée","B","P"))),""))</f>
        <v/>
      </c>
      <c r="R124" s="53">
        <f>IF(OR($F124="",$G124=""),"",IF(AND(R$5&lt;=$G124,R$5+6&gt;=$F124),IF($H124="Complétée","F",IF(OR($H124="En cours",$H124="En revue"),"E",IF($H124="Bloquée","B","P"))),""))</f>
        <v/>
      </c>
      <c r="S124" s="53">
        <f>IF(OR($F124="",$G124=""),"",IF(AND(S$5&lt;=$G124,S$5+6&gt;=$F124),IF($H124="Complétée","F",IF(OR($H124="En cours",$H124="En revue"),"E",IF($H124="Bloquée","B","P"))),""))</f>
        <v/>
      </c>
      <c r="T124" s="53">
        <f>IF(OR($F124="",$G124=""),"",IF(AND(T$5&lt;=$G124,T$5+6&gt;=$F124),IF($H124="Complétée","F",IF(OR($H124="En cours",$H124="En revue"),"E",IF($H124="Bloquée","B","P"))),""))</f>
        <v/>
      </c>
      <c r="U124" s="53">
        <f>IF(OR($F124="",$G124=""),"",IF(AND(U$5&lt;=$G124,U$5+6&gt;=$F124),IF($H124="Complétée","F",IF(OR($H124="En cours",$H124="En revue"),"E",IF($H124="Bloquée","B","P"))),""))</f>
        <v/>
      </c>
      <c r="V124" s="53">
        <f>IF(OR($F124="",$G124=""),"",IF(AND(V$5&lt;=$G124,V$5+6&gt;=$F124),IF($H124="Complétée","F",IF(OR($H124="En cours",$H124="En revue"),"E",IF($H124="Bloquée","B","P"))),""))</f>
        <v/>
      </c>
      <c r="W124" s="53">
        <f>IF(OR($F124="",$G124=""),"",IF(AND(W$5&lt;=$G124,W$5+6&gt;=$F124),IF($H124="Complétée","F",IF(OR($H124="En cours",$H124="En revue"),"E",IF($H124="Bloquée","B","P"))),""))</f>
        <v/>
      </c>
      <c r="X124" s="53">
        <f>IF(OR($F124="",$G124=""),"",IF(AND(X$5&lt;=$G124,X$5+6&gt;=$F124),IF($H124="Complétée","F",IF(OR($H124="En cours",$H124="En revue"),"E",IF($H124="Bloquée","B","P"))),""))</f>
        <v/>
      </c>
      <c r="Y124" s="53">
        <f>IF(OR($F124="",$G124=""),"",IF(AND(Y$5&lt;=$G124,Y$5+6&gt;=$F124),IF($H124="Complétée","F",IF(OR($H124="En cours",$H124="En revue"),"E",IF($H124="Bloquée","B","P"))),""))</f>
        <v/>
      </c>
      <c r="Z124" s="53">
        <f>IF(OR($F124="",$G124=""),"",IF(AND(Z$5&lt;=$G124,Z$5+6&gt;=$F124),IF($H124="Complétée","F",IF(OR($H124="En cours",$H124="En revue"),"E",IF($H124="Bloquée","B","P"))),""))</f>
        <v/>
      </c>
      <c r="AA124" s="53">
        <f>IF(OR($F124="",$G124=""),"",IF(AND(AA$5&lt;=$G124,AA$5+6&gt;=$F124),IF($H124="Complétée","F",IF(OR($H124="En cours",$H124="En revue"),"E",IF($H124="Bloquée","B","P"))),""))</f>
        <v/>
      </c>
      <c r="AB124" s="53">
        <f>IF(OR($F124="",$G124=""),"",IF(AND(AB$5&lt;=$G124,AB$5+6&gt;=$F124),IF($H124="Complétée","F",IF(OR($H124="En cours",$H124="En revue"),"E",IF($H124="Bloquée","B","P"))),""))</f>
        <v/>
      </c>
      <c r="AC124" s="53">
        <f>IF(OR($F124="",$G124=""),"",IF(AND(AC$5&lt;=$G124,AC$5+6&gt;=$F124),IF($H124="Complétée","F",IF(OR($H124="En cours",$H124="En revue"),"E",IF($H124="Bloquée","B","P"))),""))</f>
        <v/>
      </c>
      <c r="AD124" s="53">
        <f>IF(OR($F124="",$G124=""),"",IF(AND(AD$5&lt;=$G124,AD$5+6&gt;=$F124),IF($H124="Complétée","F",IF(OR($H124="En cours",$H124="En revue"),"E",IF($H124="Bloquée","B","P"))),""))</f>
        <v/>
      </c>
      <c r="AE124" s="53">
        <f>IF(OR($F124="",$G124=""),"",IF(AND(AE$5&lt;=$G124,AE$5+6&gt;=$F124),IF($H124="Complétée","F",IF(OR($H124="En cours",$H124="En revue"),"E",IF($H124="Bloquée","B","P"))),""))</f>
        <v/>
      </c>
      <c r="AF124" s="53">
        <f>IF(OR($F124="",$G124=""),"",IF(AND(AF$5&lt;=$G124,AF$5+6&gt;=$F124),IF($H124="Complétée","F",IF(OR($H124="En cours",$H124="En revue"),"E",IF($H124="Bloquée","B","P"))),""))</f>
        <v/>
      </c>
      <c r="AG124" s="53">
        <f>IF(OR($F124="",$G124=""),"",IF(AND(AG$5&lt;=$G124,AG$5+6&gt;=$F124),IF($H124="Complétée","F",IF(OR($H124="En cours",$H124="En revue"),"E",IF($H124="Bloquée","B","P"))),""))</f>
        <v/>
      </c>
      <c r="AH124" s="53">
        <f>IF(OR($F124="",$G124=""),"",IF(AND(AH$5&lt;=$G124,AH$5+6&gt;=$F124),IF($H124="Complétée","F",IF(OR($H124="En cours",$H124="En revue"),"E",IF($H124="Bloquée","B","P"))),""))</f>
        <v/>
      </c>
      <c r="AI124" s="53">
        <f>IF(OR($F124="",$G124=""),"",IF(AND(AI$5&lt;=$G124,AI$5+6&gt;=$F124),IF($H124="Complétée","F",IF(OR($H124="En cours",$H124="En revue"),"E",IF($H124="Bloquée","B","P"))),""))</f>
        <v/>
      </c>
      <c r="AJ124" s="53">
        <f>IF(OR($F124="",$G124=""),"",IF(AND(AJ$5&lt;=$G124,AJ$5+6&gt;=$F124),IF($H124="Complétée","F",IF(OR($H124="En cours",$H124="En revue"),"E",IF($H124="Bloquée","B","P"))),""))</f>
        <v/>
      </c>
      <c r="AK124" s="53">
        <f>IF(OR($F124="",$G124=""),"",IF(AND(AK$5&lt;=$G124,AK$5+6&gt;=$F124),IF($H124="Complétée","F",IF(OR($H124="En cours",$H124="En revue"),"E",IF($H124="Bloquée","B","P"))),""))</f>
        <v/>
      </c>
      <c r="AL124" s="53">
        <f>IF(OR($F124="",$G124=""),"",IF(AND(AL$5&lt;=$G124,AL$5+6&gt;=$F124),IF($H124="Complétée","F",IF(OR($H124="En cours",$H124="En revue"),"E",IF($H124="Bloquée","B","P"))),""))</f>
        <v/>
      </c>
      <c r="AM124" s="53">
        <f>IF(OR($F124="",$G124=""),"",IF(AND(AM$5&lt;=$G124,AM$5+6&gt;=$F124),IF($H124="Complétée","F",IF(OR($H124="En cours",$H124="En revue"),"E",IF($H124="Bloquée","B","P"))),""))</f>
        <v/>
      </c>
      <c r="AN124" s="53">
        <f>IF(OR($F124="",$G124=""),"",IF(AND(AN$5&lt;=$G124,AN$5+6&gt;=$F124),IF($H124="Complétée","F",IF(OR($H124="En cours",$H124="En revue"),"E",IF($H124="Bloquée","B","P"))),""))</f>
        <v/>
      </c>
      <c r="AO124" s="53">
        <f>IF(OR($F124="",$G124=""),"",IF(AND(AO$5&lt;=$G124,AO$5+6&gt;=$F124),IF($H124="Complétée","F",IF(OR($H124="En cours",$H124="En revue"),"E",IF($H124="Bloquée","B","P"))),""))</f>
        <v/>
      </c>
      <c r="AP124" s="53">
        <f>IF(OR($F124="",$G124=""),"",IF(AND(AP$5&lt;=$G124,AP$5+6&gt;=$F124),IF($H124="Complétée","F",IF(OR($H124="En cours",$H124="En revue"),"E",IF($H124="Bloquée","B","P"))),""))</f>
        <v/>
      </c>
      <c r="AQ124" s="53">
        <f>IF(OR($F124="",$G124=""),"",IF(AND(AQ$5&lt;=$G124,AQ$5+6&gt;=$F124),IF($H124="Complétée","F",IF(OR($H124="En cours",$H124="En revue"),"E",IF($H124="Bloquée","B","P"))),""))</f>
        <v/>
      </c>
      <c r="AR124" s="53">
        <f>IF(OR($F124="",$G124=""),"",IF(AND(AR$5&lt;=$G124,AR$5+6&gt;=$F124),IF($H124="Complétée","F",IF(OR($H124="En cours",$H124="En revue"),"E",IF($H124="Bloquée","B","P"))),""))</f>
        <v/>
      </c>
      <c r="AS124" s="53">
        <f>IF(OR($F124="",$G124=""),"",IF(AND(AS$5&lt;=$G124,AS$5+6&gt;=$F124),IF($H124="Complétée","F",IF(OR($H124="En cours",$H124="En revue"),"E",IF($H124="Bloquée","B","P"))),""))</f>
        <v/>
      </c>
      <c r="AT124" s="53">
        <f>IF(OR($F124="",$G124=""),"",IF(AND(AT$5&lt;=$G124,AT$5+6&gt;=$F124),IF($H124="Complétée","F",IF(OR($H124="En cours",$H124="En revue"),"E",IF($H124="Bloquée","B","P"))),""))</f>
        <v/>
      </c>
      <c r="AU124" s="53">
        <f>IF(OR($F124="",$G124=""),"",IF(AND(AU$5&lt;=$G124,AU$5+6&gt;=$F124),IF($H124="Complétée","F",IF(OR($H124="En cours",$H124="En revue"),"E",IF($H124="Bloquée","B","P"))),""))</f>
        <v/>
      </c>
      <c r="AV124" s="53">
        <f>IF(OR($F124="",$G124=""),"",IF(AND(AV$5&lt;=$G124,AV$5+6&gt;=$F124),IF($H124="Complétée","F",IF(OR($H124="En cours",$H124="En revue"),"E",IF($H124="Bloquée","B","P"))),""))</f>
        <v/>
      </c>
      <c r="AW124" s="53">
        <f>IF(OR($F124="",$G124=""),"",IF(AND(AW$5&lt;=$G124,AW$5+6&gt;=$F124),IF($H124="Complétée","F",IF(OR($H124="En cours",$H124="En revue"),"E",IF($H124="Bloquée","B","P"))),""))</f>
        <v/>
      </c>
    </row>
    <row r="125">
      <c r="B125" s="50">
        <f>IF(Taches!B125="","",Taches!B125)</f>
        <v/>
      </c>
      <c r="C125" s="51">
        <f>IF(Taches!B125="","",Taches!F125)</f>
        <v/>
      </c>
      <c r="D125" s="50">
        <f>IF(Taches!B125="","",Taches!C125)</f>
        <v/>
      </c>
      <c r="E125" s="50">
        <f>IF(Taches!B125="","",Taches!D125)</f>
        <v/>
      </c>
      <c r="F125" s="52">
        <f>IF(Taches!P125="","",Taches!P125)</f>
        <v/>
      </c>
      <c r="G125" s="52">
        <f>IF(Taches!Q125="","",Taches!Q125)</f>
        <v/>
      </c>
      <c r="H125" s="50">
        <f>IF(Taches!B125="","",Taches!J125)</f>
        <v/>
      </c>
      <c r="I125" s="53">
        <f>IF(OR($F125="",$G125=""),"",IF(AND(I$5&lt;=$G125,I$5+6&gt;=$F125),IF($H125="Complétée","F",IF(OR($H125="En cours",$H125="En revue"),"E",IF($H125="Bloquée","B","P"))),""))</f>
        <v/>
      </c>
      <c r="J125" s="53">
        <f>IF(OR($F125="",$G125=""),"",IF(AND(J$5&lt;=$G125,J$5+6&gt;=$F125),IF($H125="Complétée","F",IF(OR($H125="En cours",$H125="En revue"),"E",IF($H125="Bloquée","B","P"))),""))</f>
        <v/>
      </c>
      <c r="K125" s="53">
        <f>IF(OR($F125="",$G125=""),"",IF(AND(K$5&lt;=$G125,K$5+6&gt;=$F125),IF($H125="Complétée","F",IF(OR($H125="En cours",$H125="En revue"),"E",IF($H125="Bloquée","B","P"))),""))</f>
        <v/>
      </c>
      <c r="L125" s="53">
        <f>IF(OR($F125="",$G125=""),"",IF(AND(L$5&lt;=$G125,L$5+6&gt;=$F125),IF($H125="Complétée","F",IF(OR($H125="En cours",$H125="En revue"),"E",IF($H125="Bloquée","B","P"))),""))</f>
        <v/>
      </c>
      <c r="M125" s="53">
        <f>IF(OR($F125="",$G125=""),"",IF(AND(M$5&lt;=$G125,M$5+6&gt;=$F125),IF($H125="Complétée","F",IF(OR($H125="En cours",$H125="En revue"),"E",IF($H125="Bloquée","B","P"))),""))</f>
        <v/>
      </c>
      <c r="N125" s="53">
        <f>IF(OR($F125="",$G125=""),"",IF(AND(N$5&lt;=$G125,N$5+6&gt;=$F125),IF($H125="Complétée","F",IF(OR($H125="En cours",$H125="En revue"),"E",IF($H125="Bloquée","B","P"))),""))</f>
        <v/>
      </c>
      <c r="O125" s="53">
        <f>IF(OR($F125="",$G125=""),"",IF(AND(O$5&lt;=$G125,O$5+6&gt;=$F125),IF($H125="Complétée","F",IF(OR($H125="En cours",$H125="En revue"),"E",IF($H125="Bloquée","B","P"))),""))</f>
        <v/>
      </c>
      <c r="P125" s="53">
        <f>IF(OR($F125="",$G125=""),"",IF(AND(P$5&lt;=$G125,P$5+6&gt;=$F125),IF($H125="Complétée","F",IF(OR($H125="En cours",$H125="En revue"),"E",IF($H125="Bloquée","B","P"))),""))</f>
        <v/>
      </c>
      <c r="Q125" s="53">
        <f>IF(OR($F125="",$G125=""),"",IF(AND(Q$5&lt;=$G125,Q$5+6&gt;=$F125),IF($H125="Complétée","F",IF(OR($H125="En cours",$H125="En revue"),"E",IF($H125="Bloquée","B","P"))),""))</f>
        <v/>
      </c>
      <c r="R125" s="53">
        <f>IF(OR($F125="",$G125=""),"",IF(AND(R$5&lt;=$G125,R$5+6&gt;=$F125),IF($H125="Complétée","F",IF(OR($H125="En cours",$H125="En revue"),"E",IF($H125="Bloquée","B","P"))),""))</f>
        <v/>
      </c>
      <c r="S125" s="53">
        <f>IF(OR($F125="",$G125=""),"",IF(AND(S$5&lt;=$G125,S$5+6&gt;=$F125),IF($H125="Complétée","F",IF(OR($H125="En cours",$H125="En revue"),"E",IF($H125="Bloquée","B","P"))),""))</f>
        <v/>
      </c>
      <c r="T125" s="53">
        <f>IF(OR($F125="",$G125=""),"",IF(AND(T$5&lt;=$G125,T$5+6&gt;=$F125),IF($H125="Complétée","F",IF(OR($H125="En cours",$H125="En revue"),"E",IF($H125="Bloquée","B","P"))),""))</f>
        <v/>
      </c>
      <c r="U125" s="53">
        <f>IF(OR($F125="",$G125=""),"",IF(AND(U$5&lt;=$G125,U$5+6&gt;=$F125),IF($H125="Complétée","F",IF(OR($H125="En cours",$H125="En revue"),"E",IF($H125="Bloquée","B","P"))),""))</f>
        <v/>
      </c>
      <c r="V125" s="53">
        <f>IF(OR($F125="",$G125=""),"",IF(AND(V$5&lt;=$G125,V$5+6&gt;=$F125),IF($H125="Complétée","F",IF(OR($H125="En cours",$H125="En revue"),"E",IF($H125="Bloquée","B","P"))),""))</f>
        <v/>
      </c>
      <c r="W125" s="53">
        <f>IF(OR($F125="",$G125=""),"",IF(AND(W$5&lt;=$G125,W$5+6&gt;=$F125),IF($H125="Complétée","F",IF(OR($H125="En cours",$H125="En revue"),"E",IF($H125="Bloquée","B","P"))),""))</f>
        <v/>
      </c>
      <c r="X125" s="53">
        <f>IF(OR($F125="",$G125=""),"",IF(AND(X$5&lt;=$G125,X$5+6&gt;=$F125),IF($H125="Complétée","F",IF(OR($H125="En cours",$H125="En revue"),"E",IF($H125="Bloquée","B","P"))),""))</f>
        <v/>
      </c>
      <c r="Y125" s="53">
        <f>IF(OR($F125="",$G125=""),"",IF(AND(Y$5&lt;=$G125,Y$5+6&gt;=$F125),IF($H125="Complétée","F",IF(OR($H125="En cours",$H125="En revue"),"E",IF($H125="Bloquée","B","P"))),""))</f>
        <v/>
      </c>
      <c r="Z125" s="53">
        <f>IF(OR($F125="",$G125=""),"",IF(AND(Z$5&lt;=$G125,Z$5+6&gt;=$F125),IF($H125="Complétée","F",IF(OR($H125="En cours",$H125="En revue"),"E",IF($H125="Bloquée","B","P"))),""))</f>
        <v/>
      </c>
      <c r="AA125" s="53">
        <f>IF(OR($F125="",$G125=""),"",IF(AND(AA$5&lt;=$G125,AA$5+6&gt;=$F125),IF($H125="Complétée","F",IF(OR($H125="En cours",$H125="En revue"),"E",IF($H125="Bloquée","B","P"))),""))</f>
        <v/>
      </c>
      <c r="AB125" s="53">
        <f>IF(OR($F125="",$G125=""),"",IF(AND(AB$5&lt;=$G125,AB$5+6&gt;=$F125),IF($H125="Complétée","F",IF(OR($H125="En cours",$H125="En revue"),"E",IF($H125="Bloquée","B","P"))),""))</f>
        <v/>
      </c>
      <c r="AC125" s="53">
        <f>IF(OR($F125="",$G125=""),"",IF(AND(AC$5&lt;=$G125,AC$5+6&gt;=$F125),IF($H125="Complétée","F",IF(OR($H125="En cours",$H125="En revue"),"E",IF($H125="Bloquée","B","P"))),""))</f>
        <v/>
      </c>
      <c r="AD125" s="53">
        <f>IF(OR($F125="",$G125=""),"",IF(AND(AD$5&lt;=$G125,AD$5+6&gt;=$F125),IF($H125="Complétée","F",IF(OR($H125="En cours",$H125="En revue"),"E",IF($H125="Bloquée","B","P"))),""))</f>
        <v/>
      </c>
      <c r="AE125" s="53">
        <f>IF(OR($F125="",$G125=""),"",IF(AND(AE$5&lt;=$G125,AE$5+6&gt;=$F125),IF($H125="Complétée","F",IF(OR($H125="En cours",$H125="En revue"),"E",IF($H125="Bloquée","B","P"))),""))</f>
        <v/>
      </c>
      <c r="AF125" s="53">
        <f>IF(OR($F125="",$G125=""),"",IF(AND(AF$5&lt;=$G125,AF$5+6&gt;=$F125),IF($H125="Complétée","F",IF(OR($H125="En cours",$H125="En revue"),"E",IF($H125="Bloquée","B","P"))),""))</f>
        <v/>
      </c>
      <c r="AG125" s="53">
        <f>IF(OR($F125="",$G125=""),"",IF(AND(AG$5&lt;=$G125,AG$5+6&gt;=$F125),IF($H125="Complétée","F",IF(OR($H125="En cours",$H125="En revue"),"E",IF($H125="Bloquée","B","P"))),""))</f>
        <v/>
      </c>
      <c r="AH125" s="53">
        <f>IF(OR($F125="",$G125=""),"",IF(AND(AH$5&lt;=$G125,AH$5+6&gt;=$F125),IF($H125="Complétée","F",IF(OR($H125="En cours",$H125="En revue"),"E",IF($H125="Bloquée","B","P"))),""))</f>
        <v/>
      </c>
      <c r="AI125" s="53">
        <f>IF(OR($F125="",$G125=""),"",IF(AND(AI$5&lt;=$G125,AI$5+6&gt;=$F125),IF($H125="Complétée","F",IF(OR($H125="En cours",$H125="En revue"),"E",IF($H125="Bloquée","B","P"))),""))</f>
        <v/>
      </c>
      <c r="AJ125" s="53">
        <f>IF(OR($F125="",$G125=""),"",IF(AND(AJ$5&lt;=$G125,AJ$5+6&gt;=$F125),IF($H125="Complétée","F",IF(OR($H125="En cours",$H125="En revue"),"E",IF($H125="Bloquée","B","P"))),""))</f>
        <v/>
      </c>
      <c r="AK125" s="53">
        <f>IF(OR($F125="",$G125=""),"",IF(AND(AK$5&lt;=$G125,AK$5+6&gt;=$F125),IF($H125="Complétée","F",IF(OR($H125="En cours",$H125="En revue"),"E",IF($H125="Bloquée","B","P"))),""))</f>
        <v/>
      </c>
      <c r="AL125" s="53">
        <f>IF(OR($F125="",$G125=""),"",IF(AND(AL$5&lt;=$G125,AL$5+6&gt;=$F125),IF($H125="Complétée","F",IF(OR($H125="En cours",$H125="En revue"),"E",IF($H125="Bloquée","B","P"))),""))</f>
        <v/>
      </c>
      <c r="AM125" s="53">
        <f>IF(OR($F125="",$G125=""),"",IF(AND(AM$5&lt;=$G125,AM$5+6&gt;=$F125),IF($H125="Complétée","F",IF(OR($H125="En cours",$H125="En revue"),"E",IF($H125="Bloquée","B","P"))),""))</f>
        <v/>
      </c>
      <c r="AN125" s="53">
        <f>IF(OR($F125="",$G125=""),"",IF(AND(AN$5&lt;=$G125,AN$5+6&gt;=$F125),IF($H125="Complétée","F",IF(OR($H125="En cours",$H125="En revue"),"E",IF($H125="Bloquée","B","P"))),""))</f>
        <v/>
      </c>
      <c r="AO125" s="53">
        <f>IF(OR($F125="",$G125=""),"",IF(AND(AO$5&lt;=$G125,AO$5+6&gt;=$F125),IF($H125="Complétée","F",IF(OR($H125="En cours",$H125="En revue"),"E",IF($H125="Bloquée","B","P"))),""))</f>
        <v/>
      </c>
      <c r="AP125" s="53">
        <f>IF(OR($F125="",$G125=""),"",IF(AND(AP$5&lt;=$G125,AP$5+6&gt;=$F125),IF($H125="Complétée","F",IF(OR($H125="En cours",$H125="En revue"),"E",IF($H125="Bloquée","B","P"))),""))</f>
        <v/>
      </c>
      <c r="AQ125" s="53">
        <f>IF(OR($F125="",$G125=""),"",IF(AND(AQ$5&lt;=$G125,AQ$5+6&gt;=$F125),IF($H125="Complétée","F",IF(OR($H125="En cours",$H125="En revue"),"E",IF($H125="Bloquée","B","P"))),""))</f>
        <v/>
      </c>
      <c r="AR125" s="53">
        <f>IF(OR($F125="",$G125=""),"",IF(AND(AR$5&lt;=$G125,AR$5+6&gt;=$F125),IF($H125="Complétée","F",IF(OR($H125="En cours",$H125="En revue"),"E",IF($H125="Bloquée","B","P"))),""))</f>
        <v/>
      </c>
      <c r="AS125" s="53">
        <f>IF(OR($F125="",$G125=""),"",IF(AND(AS$5&lt;=$G125,AS$5+6&gt;=$F125),IF($H125="Complétée","F",IF(OR($H125="En cours",$H125="En revue"),"E",IF($H125="Bloquée","B","P"))),""))</f>
        <v/>
      </c>
      <c r="AT125" s="53">
        <f>IF(OR($F125="",$G125=""),"",IF(AND(AT$5&lt;=$G125,AT$5+6&gt;=$F125),IF($H125="Complétée","F",IF(OR($H125="En cours",$H125="En revue"),"E",IF($H125="Bloquée","B","P"))),""))</f>
        <v/>
      </c>
      <c r="AU125" s="53">
        <f>IF(OR($F125="",$G125=""),"",IF(AND(AU$5&lt;=$G125,AU$5+6&gt;=$F125),IF($H125="Complétée","F",IF(OR($H125="En cours",$H125="En revue"),"E",IF($H125="Bloquée","B","P"))),""))</f>
        <v/>
      </c>
      <c r="AV125" s="53">
        <f>IF(OR($F125="",$G125=""),"",IF(AND(AV$5&lt;=$G125,AV$5+6&gt;=$F125),IF($H125="Complétée","F",IF(OR($H125="En cours",$H125="En revue"),"E",IF($H125="Bloquée","B","P"))),""))</f>
        <v/>
      </c>
      <c r="AW125" s="53">
        <f>IF(OR($F125="",$G125=""),"",IF(AND(AW$5&lt;=$G125,AW$5+6&gt;=$F125),IF($H125="Complétée","F",IF(OR($H125="En cours",$H125="En revue"),"E",IF($H125="Bloquée","B","P"))),""))</f>
        <v/>
      </c>
    </row>
    <row r="126">
      <c r="B126" s="50">
        <f>IF(Taches!B126="","",Taches!B126)</f>
        <v/>
      </c>
      <c r="C126" s="51">
        <f>IF(Taches!B126="","",Taches!F126)</f>
        <v/>
      </c>
      <c r="D126" s="50">
        <f>IF(Taches!B126="","",Taches!C126)</f>
        <v/>
      </c>
      <c r="E126" s="50">
        <f>IF(Taches!B126="","",Taches!D126)</f>
        <v/>
      </c>
      <c r="F126" s="52">
        <f>IF(Taches!P126="","",Taches!P126)</f>
        <v/>
      </c>
      <c r="G126" s="52">
        <f>IF(Taches!Q126="","",Taches!Q126)</f>
        <v/>
      </c>
      <c r="H126" s="50">
        <f>IF(Taches!B126="","",Taches!J126)</f>
        <v/>
      </c>
      <c r="I126" s="53">
        <f>IF(OR($F126="",$G126=""),"",IF(AND(I$5&lt;=$G126,I$5+6&gt;=$F126),IF($H126="Complétée","F",IF(OR($H126="En cours",$H126="En revue"),"E",IF($H126="Bloquée","B","P"))),""))</f>
        <v/>
      </c>
      <c r="J126" s="53">
        <f>IF(OR($F126="",$G126=""),"",IF(AND(J$5&lt;=$G126,J$5+6&gt;=$F126),IF($H126="Complétée","F",IF(OR($H126="En cours",$H126="En revue"),"E",IF($H126="Bloquée","B","P"))),""))</f>
        <v/>
      </c>
      <c r="K126" s="53">
        <f>IF(OR($F126="",$G126=""),"",IF(AND(K$5&lt;=$G126,K$5+6&gt;=$F126),IF($H126="Complétée","F",IF(OR($H126="En cours",$H126="En revue"),"E",IF($H126="Bloquée","B","P"))),""))</f>
        <v/>
      </c>
      <c r="L126" s="53">
        <f>IF(OR($F126="",$G126=""),"",IF(AND(L$5&lt;=$G126,L$5+6&gt;=$F126),IF($H126="Complétée","F",IF(OR($H126="En cours",$H126="En revue"),"E",IF($H126="Bloquée","B","P"))),""))</f>
        <v/>
      </c>
      <c r="M126" s="53">
        <f>IF(OR($F126="",$G126=""),"",IF(AND(M$5&lt;=$G126,M$5+6&gt;=$F126),IF($H126="Complétée","F",IF(OR($H126="En cours",$H126="En revue"),"E",IF($H126="Bloquée","B","P"))),""))</f>
        <v/>
      </c>
      <c r="N126" s="53">
        <f>IF(OR($F126="",$G126=""),"",IF(AND(N$5&lt;=$G126,N$5+6&gt;=$F126),IF($H126="Complétée","F",IF(OR($H126="En cours",$H126="En revue"),"E",IF($H126="Bloquée","B","P"))),""))</f>
        <v/>
      </c>
      <c r="O126" s="53">
        <f>IF(OR($F126="",$G126=""),"",IF(AND(O$5&lt;=$G126,O$5+6&gt;=$F126),IF($H126="Complétée","F",IF(OR($H126="En cours",$H126="En revue"),"E",IF($H126="Bloquée","B","P"))),""))</f>
        <v/>
      </c>
      <c r="P126" s="53">
        <f>IF(OR($F126="",$G126=""),"",IF(AND(P$5&lt;=$G126,P$5+6&gt;=$F126),IF($H126="Complétée","F",IF(OR($H126="En cours",$H126="En revue"),"E",IF($H126="Bloquée","B","P"))),""))</f>
        <v/>
      </c>
      <c r="Q126" s="53">
        <f>IF(OR($F126="",$G126=""),"",IF(AND(Q$5&lt;=$G126,Q$5+6&gt;=$F126),IF($H126="Complétée","F",IF(OR($H126="En cours",$H126="En revue"),"E",IF($H126="Bloquée","B","P"))),""))</f>
        <v/>
      </c>
      <c r="R126" s="53">
        <f>IF(OR($F126="",$G126=""),"",IF(AND(R$5&lt;=$G126,R$5+6&gt;=$F126),IF($H126="Complétée","F",IF(OR($H126="En cours",$H126="En revue"),"E",IF($H126="Bloquée","B","P"))),""))</f>
        <v/>
      </c>
      <c r="S126" s="53">
        <f>IF(OR($F126="",$G126=""),"",IF(AND(S$5&lt;=$G126,S$5+6&gt;=$F126),IF($H126="Complétée","F",IF(OR($H126="En cours",$H126="En revue"),"E",IF($H126="Bloquée","B","P"))),""))</f>
        <v/>
      </c>
      <c r="T126" s="53">
        <f>IF(OR($F126="",$G126=""),"",IF(AND(T$5&lt;=$G126,T$5+6&gt;=$F126),IF($H126="Complétée","F",IF(OR($H126="En cours",$H126="En revue"),"E",IF($H126="Bloquée","B","P"))),""))</f>
        <v/>
      </c>
      <c r="U126" s="53">
        <f>IF(OR($F126="",$G126=""),"",IF(AND(U$5&lt;=$G126,U$5+6&gt;=$F126),IF($H126="Complétée","F",IF(OR($H126="En cours",$H126="En revue"),"E",IF($H126="Bloquée","B","P"))),""))</f>
        <v/>
      </c>
      <c r="V126" s="53">
        <f>IF(OR($F126="",$G126=""),"",IF(AND(V$5&lt;=$G126,V$5+6&gt;=$F126),IF($H126="Complétée","F",IF(OR($H126="En cours",$H126="En revue"),"E",IF($H126="Bloquée","B","P"))),""))</f>
        <v/>
      </c>
      <c r="W126" s="53">
        <f>IF(OR($F126="",$G126=""),"",IF(AND(W$5&lt;=$G126,W$5+6&gt;=$F126),IF($H126="Complétée","F",IF(OR($H126="En cours",$H126="En revue"),"E",IF($H126="Bloquée","B","P"))),""))</f>
        <v/>
      </c>
      <c r="X126" s="53">
        <f>IF(OR($F126="",$G126=""),"",IF(AND(X$5&lt;=$G126,X$5+6&gt;=$F126),IF($H126="Complétée","F",IF(OR($H126="En cours",$H126="En revue"),"E",IF($H126="Bloquée","B","P"))),""))</f>
        <v/>
      </c>
      <c r="Y126" s="53">
        <f>IF(OR($F126="",$G126=""),"",IF(AND(Y$5&lt;=$G126,Y$5+6&gt;=$F126),IF($H126="Complétée","F",IF(OR($H126="En cours",$H126="En revue"),"E",IF($H126="Bloquée","B","P"))),""))</f>
        <v/>
      </c>
      <c r="Z126" s="53">
        <f>IF(OR($F126="",$G126=""),"",IF(AND(Z$5&lt;=$G126,Z$5+6&gt;=$F126),IF($H126="Complétée","F",IF(OR($H126="En cours",$H126="En revue"),"E",IF($H126="Bloquée","B","P"))),""))</f>
        <v/>
      </c>
      <c r="AA126" s="53">
        <f>IF(OR($F126="",$G126=""),"",IF(AND(AA$5&lt;=$G126,AA$5+6&gt;=$F126),IF($H126="Complétée","F",IF(OR($H126="En cours",$H126="En revue"),"E",IF($H126="Bloquée","B","P"))),""))</f>
        <v/>
      </c>
      <c r="AB126" s="53">
        <f>IF(OR($F126="",$G126=""),"",IF(AND(AB$5&lt;=$G126,AB$5+6&gt;=$F126),IF($H126="Complétée","F",IF(OR($H126="En cours",$H126="En revue"),"E",IF($H126="Bloquée","B","P"))),""))</f>
        <v/>
      </c>
      <c r="AC126" s="53">
        <f>IF(OR($F126="",$G126=""),"",IF(AND(AC$5&lt;=$G126,AC$5+6&gt;=$F126),IF($H126="Complétée","F",IF(OR($H126="En cours",$H126="En revue"),"E",IF($H126="Bloquée","B","P"))),""))</f>
        <v/>
      </c>
      <c r="AD126" s="53">
        <f>IF(OR($F126="",$G126=""),"",IF(AND(AD$5&lt;=$G126,AD$5+6&gt;=$F126),IF($H126="Complétée","F",IF(OR($H126="En cours",$H126="En revue"),"E",IF($H126="Bloquée","B","P"))),""))</f>
        <v/>
      </c>
      <c r="AE126" s="53">
        <f>IF(OR($F126="",$G126=""),"",IF(AND(AE$5&lt;=$G126,AE$5+6&gt;=$F126),IF($H126="Complétée","F",IF(OR($H126="En cours",$H126="En revue"),"E",IF($H126="Bloquée","B","P"))),""))</f>
        <v/>
      </c>
      <c r="AF126" s="53">
        <f>IF(OR($F126="",$G126=""),"",IF(AND(AF$5&lt;=$G126,AF$5+6&gt;=$F126),IF($H126="Complétée","F",IF(OR($H126="En cours",$H126="En revue"),"E",IF($H126="Bloquée","B","P"))),""))</f>
        <v/>
      </c>
      <c r="AG126" s="53">
        <f>IF(OR($F126="",$G126=""),"",IF(AND(AG$5&lt;=$G126,AG$5+6&gt;=$F126),IF($H126="Complétée","F",IF(OR($H126="En cours",$H126="En revue"),"E",IF($H126="Bloquée","B","P"))),""))</f>
        <v/>
      </c>
      <c r="AH126" s="53">
        <f>IF(OR($F126="",$G126=""),"",IF(AND(AH$5&lt;=$G126,AH$5+6&gt;=$F126),IF($H126="Complétée","F",IF(OR($H126="En cours",$H126="En revue"),"E",IF($H126="Bloquée","B","P"))),""))</f>
        <v/>
      </c>
      <c r="AI126" s="53">
        <f>IF(OR($F126="",$G126=""),"",IF(AND(AI$5&lt;=$G126,AI$5+6&gt;=$F126),IF($H126="Complétée","F",IF(OR($H126="En cours",$H126="En revue"),"E",IF($H126="Bloquée","B","P"))),""))</f>
        <v/>
      </c>
      <c r="AJ126" s="53">
        <f>IF(OR($F126="",$G126=""),"",IF(AND(AJ$5&lt;=$G126,AJ$5+6&gt;=$F126),IF($H126="Complétée","F",IF(OR($H126="En cours",$H126="En revue"),"E",IF($H126="Bloquée","B","P"))),""))</f>
        <v/>
      </c>
      <c r="AK126" s="53">
        <f>IF(OR($F126="",$G126=""),"",IF(AND(AK$5&lt;=$G126,AK$5+6&gt;=$F126),IF($H126="Complétée","F",IF(OR($H126="En cours",$H126="En revue"),"E",IF($H126="Bloquée","B","P"))),""))</f>
        <v/>
      </c>
      <c r="AL126" s="53">
        <f>IF(OR($F126="",$G126=""),"",IF(AND(AL$5&lt;=$G126,AL$5+6&gt;=$F126),IF($H126="Complétée","F",IF(OR($H126="En cours",$H126="En revue"),"E",IF($H126="Bloquée","B","P"))),""))</f>
        <v/>
      </c>
      <c r="AM126" s="53">
        <f>IF(OR($F126="",$G126=""),"",IF(AND(AM$5&lt;=$G126,AM$5+6&gt;=$F126),IF($H126="Complétée","F",IF(OR($H126="En cours",$H126="En revue"),"E",IF($H126="Bloquée","B","P"))),""))</f>
        <v/>
      </c>
      <c r="AN126" s="53">
        <f>IF(OR($F126="",$G126=""),"",IF(AND(AN$5&lt;=$G126,AN$5+6&gt;=$F126),IF($H126="Complétée","F",IF(OR($H126="En cours",$H126="En revue"),"E",IF($H126="Bloquée","B","P"))),""))</f>
        <v/>
      </c>
      <c r="AO126" s="53">
        <f>IF(OR($F126="",$G126=""),"",IF(AND(AO$5&lt;=$G126,AO$5+6&gt;=$F126),IF($H126="Complétée","F",IF(OR($H126="En cours",$H126="En revue"),"E",IF($H126="Bloquée","B","P"))),""))</f>
        <v/>
      </c>
      <c r="AP126" s="53">
        <f>IF(OR($F126="",$G126=""),"",IF(AND(AP$5&lt;=$G126,AP$5+6&gt;=$F126),IF($H126="Complétée","F",IF(OR($H126="En cours",$H126="En revue"),"E",IF($H126="Bloquée","B","P"))),""))</f>
        <v/>
      </c>
      <c r="AQ126" s="53">
        <f>IF(OR($F126="",$G126=""),"",IF(AND(AQ$5&lt;=$G126,AQ$5+6&gt;=$F126),IF($H126="Complétée","F",IF(OR($H126="En cours",$H126="En revue"),"E",IF($H126="Bloquée","B","P"))),""))</f>
        <v/>
      </c>
      <c r="AR126" s="53">
        <f>IF(OR($F126="",$G126=""),"",IF(AND(AR$5&lt;=$G126,AR$5+6&gt;=$F126),IF($H126="Complétée","F",IF(OR($H126="En cours",$H126="En revue"),"E",IF($H126="Bloquée","B","P"))),""))</f>
        <v/>
      </c>
      <c r="AS126" s="53">
        <f>IF(OR($F126="",$G126=""),"",IF(AND(AS$5&lt;=$G126,AS$5+6&gt;=$F126),IF($H126="Complétée","F",IF(OR($H126="En cours",$H126="En revue"),"E",IF($H126="Bloquée","B","P"))),""))</f>
        <v/>
      </c>
      <c r="AT126" s="53">
        <f>IF(OR($F126="",$G126=""),"",IF(AND(AT$5&lt;=$G126,AT$5+6&gt;=$F126),IF($H126="Complétée","F",IF(OR($H126="En cours",$H126="En revue"),"E",IF($H126="Bloquée","B","P"))),""))</f>
        <v/>
      </c>
      <c r="AU126" s="53">
        <f>IF(OR($F126="",$G126=""),"",IF(AND(AU$5&lt;=$G126,AU$5+6&gt;=$F126),IF($H126="Complétée","F",IF(OR($H126="En cours",$H126="En revue"),"E",IF($H126="Bloquée","B","P"))),""))</f>
        <v/>
      </c>
      <c r="AV126" s="53">
        <f>IF(OR($F126="",$G126=""),"",IF(AND(AV$5&lt;=$G126,AV$5+6&gt;=$F126),IF($H126="Complétée","F",IF(OR($H126="En cours",$H126="En revue"),"E",IF($H126="Bloquée","B","P"))),""))</f>
        <v/>
      </c>
      <c r="AW126" s="53">
        <f>IF(OR($F126="",$G126=""),"",IF(AND(AW$5&lt;=$G126,AW$5+6&gt;=$F126),IF($H126="Complétée","F",IF(OR($H126="En cours",$H126="En revue"),"E",IF($H126="Bloquée","B","P"))),""))</f>
        <v/>
      </c>
    </row>
    <row r="127">
      <c r="B127" s="50">
        <f>IF(Taches!B127="","",Taches!B127)</f>
        <v/>
      </c>
      <c r="C127" s="51">
        <f>IF(Taches!B127="","",Taches!F127)</f>
        <v/>
      </c>
      <c r="D127" s="50">
        <f>IF(Taches!B127="","",Taches!C127)</f>
        <v/>
      </c>
      <c r="E127" s="50">
        <f>IF(Taches!B127="","",Taches!D127)</f>
        <v/>
      </c>
      <c r="F127" s="52">
        <f>IF(Taches!P127="","",Taches!P127)</f>
        <v/>
      </c>
      <c r="G127" s="52">
        <f>IF(Taches!Q127="","",Taches!Q127)</f>
        <v/>
      </c>
      <c r="H127" s="50">
        <f>IF(Taches!B127="","",Taches!J127)</f>
        <v/>
      </c>
      <c r="I127" s="53">
        <f>IF(OR($F127="",$G127=""),"",IF(AND(I$5&lt;=$G127,I$5+6&gt;=$F127),IF($H127="Complétée","F",IF(OR($H127="En cours",$H127="En revue"),"E",IF($H127="Bloquée","B","P"))),""))</f>
        <v/>
      </c>
      <c r="J127" s="53">
        <f>IF(OR($F127="",$G127=""),"",IF(AND(J$5&lt;=$G127,J$5+6&gt;=$F127),IF($H127="Complétée","F",IF(OR($H127="En cours",$H127="En revue"),"E",IF($H127="Bloquée","B","P"))),""))</f>
        <v/>
      </c>
      <c r="K127" s="53">
        <f>IF(OR($F127="",$G127=""),"",IF(AND(K$5&lt;=$G127,K$5+6&gt;=$F127),IF($H127="Complétée","F",IF(OR($H127="En cours",$H127="En revue"),"E",IF($H127="Bloquée","B","P"))),""))</f>
        <v/>
      </c>
      <c r="L127" s="53">
        <f>IF(OR($F127="",$G127=""),"",IF(AND(L$5&lt;=$G127,L$5+6&gt;=$F127),IF($H127="Complétée","F",IF(OR($H127="En cours",$H127="En revue"),"E",IF($H127="Bloquée","B","P"))),""))</f>
        <v/>
      </c>
      <c r="M127" s="53">
        <f>IF(OR($F127="",$G127=""),"",IF(AND(M$5&lt;=$G127,M$5+6&gt;=$F127),IF($H127="Complétée","F",IF(OR($H127="En cours",$H127="En revue"),"E",IF($H127="Bloquée","B","P"))),""))</f>
        <v/>
      </c>
      <c r="N127" s="53">
        <f>IF(OR($F127="",$G127=""),"",IF(AND(N$5&lt;=$G127,N$5+6&gt;=$F127),IF($H127="Complétée","F",IF(OR($H127="En cours",$H127="En revue"),"E",IF($H127="Bloquée","B","P"))),""))</f>
        <v/>
      </c>
      <c r="O127" s="53">
        <f>IF(OR($F127="",$G127=""),"",IF(AND(O$5&lt;=$G127,O$5+6&gt;=$F127),IF($H127="Complétée","F",IF(OR($H127="En cours",$H127="En revue"),"E",IF($H127="Bloquée","B","P"))),""))</f>
        <v/>
      </c>
      <c r="P127" s="53">
        <f>IF(OR($F127="",$G127=""),"",IF(AND(P$5&lt;=$G127,P$5+6&gt;=$F127),IF($H127="Complétée","F",IF(OR($H127="En cours",$H127="En revue"),"E",IF($H127="Bloquée","B","P"))),""))</f>
        <v/>
      </c>
      <c r="Q127" s="53">
        <f>IF(OR($F127="",$G127=""),"",IF(AND(Q$5&lt;=$G127,Q$5+6&gt;=$F127),IF($H127="Complétée","F",IF(OR($H127="En cours",$H127="En revue"),"E",IF($H127="Bloquée","B","P"))),""))</f>
        <v/>
      </c>
      <c r="R127" s="53">
        <f>IF(OR($F127="",$G127=""),"",IF(AND(R$5&lt;=$G127,R$5+6&gt;=$F127),IF($H127="Complétée","F",IF(OR($H127="En cours",$H127="En revue"),"E",IF($H127="Bloquée","B","P"))),""))</f>
        <v/>
      </c>
      <c r="S127" s="53">
        <f>IF(OR($F127="",$G127=""),"",IF(AND(S$5&lt;=$G127,S$5+6&gt;=$F127),IF($H127="Complétée","F",IF(OR($H127="En cours",$H127="En revue"),"E",IF($H127="Bloquée","B","P"))),""))</f>
        <v/>
      </c>
      <c r="T127" s="53">
        <f>IF(OR($F127="",$G127=""),"",IF(AND(T$5&lt;=$G127,T$5+6&gt;=$F127),IF($H127="Complétée","F",IF(OR($H127="En cours",$H127="En revue"),"E",IF($H127="Bloquée","B","P"))),""))</f>
        <v/>
      </c>
      <c r="U127" s="53">
        <f>IF(OR($F127="",$G127=""),"",IF(AND(U$5&lt;=$G127,U$5+6&gt;=$F127),IF($H127="Complétée","F",IF(OR($H127="En cours",$H127="En revue"),"E",IF($H127="Bloquée","B","P"))),""))</f>
        <v/>
      </c>
      <c r="V127" s="53">
        <f>IF(OR($F127="",$G127=""),"",IF(AND(V$5&lt;=$G127,V$5+6&gt;=$F127),IF($H127="Complétée","F",IF(OR($H127="En cours",$H127="En revue"),"E",IF($H127="Bloquée","B","P"))),""))</f>
        <v/>
      </c>
      <c r="W127" s="53">
        <f>IF(OR($F127="",$G127=""),"",IF(AND(W$5&lt;=$G127,W$5+6&gt;=$F127),IF($H127="Complétée","F",IF(OR($H127="En cours",$H127="En revue"),"E",IF($H127="Bloquée","B","P"))),""))</f>
        <v/>
      </c>
      <c r="X127" s="53">
        <f>IF(OR($F127="",$G127=""),"",IF(AND(X$5&lt;=$G127,X$5+6&gt;=$F127),IF($H127="Complétée","F",IF(OR($H127="En cours",$H127="En revue"),"E",IF($H127="Bloquée","B","P"))),""))</f>
        <v/>
      </c>
      <c r="Y127" s="53">
        <f>IF(OR($F127="",$G127=""),"",IF(AND(Y$5&lt;=$G127,Y$5+6&gt;=$F127),IF($H127="Complétée","F",IF(OR($H127="En cours",$H127="En revue"),"E",IF($H127="Bloquée","B","P"))),""))</f>
        <v/>
      </c>
      <c r="Z127" s="53">
        <f>IF(OR($F127="",$G127=""),"",IF(AND(Z$5&lt;=$G127,Z$5+6&gt;=$F127),IF($H127="Complétée","F",IF(OR($H127="En cours",$H127="En revue"),"E",IF($H127="Bloquée","B","P"))),""))</f>
        <v/>
      </c>
      <c r="AA127" s="53">
        <f>IF(OR($F127="",$G127=""),"",IF(AND(AA$5&lt;=$G127,AA$5+6&gt;=$F127),IF($H127="Complétée","F",IF(OR($H127="En cours",$H127="En revue"),"E",IF($H127="Bloquée","B","P"))),""))</f>
        <v/>
      </c>
      <c r="AB127" s="53">
        <f>IF(OR($F127="",$G127=""),"",IF(AND(AB$5&lt;=$G127,AB$5+6&gt;=$F127),IF($H127="Complétée","F",IF(OR($H127="En cours",$H127="En revue"),"E",IF($H127="Bloquée","B","P"))),""))</f>
        <v/>
      </c>
      <c r="AC127" s="53">
        <f>IF(OR($F127="",$G127=""),"",IF(AND(AC$5&lt;=$G127,AC$5+6&gt;=$F127),IF($H127="Complétée","F",IF(OR($H127="En cours",$H127="En revue"),"E",IF($H127="Bloquée","B","P"))),""))</f>
        <v/>
      </c>
      <c r="AD127" s="53">
        <f>IF(OR($F127="",$G127=""),"",IF(AND(AD$5&lt;=$G127,AD$5+6&gt;=$F127),IF($H127="Complétée","F",IF(OR($H127="En cours",$H127="En revue"),"E",IF($H127="Bloquée","B","P"))),""))</f>
        <v/>
      </c>
      <c r="AE127" s="53">
        <f>IF(OR($F127="",$G127=""),"",IF(AND(AE$5&lt;=$G127,AE$5+6&gt;=$F127),IF($H127="Complétée","F",IF(OR($H127="En cours",$H127="En revue"),"E",IF($H127="Bloquée","B","P"))),""))</f>
        <v/>
      </c>
      <c r="AF127" s="53">
        <f>IF(OR($F127="",$G127=""),"",IF(AND(AF$5&lt;=$G127,AF$5+6&gt;=$F127),IF($H127="Complétée","F",IF(OR($H127="En cours",$H127="En revue"),"E",IF($H127="Bloquée","B","P"))),""))</f>
        <v/>
      </c>
      <c r="AG127" s="53">
        <f>IF(OR($F127="",$G127=""),"",IF(AND(AG$5&lt;=$G127,AG$5+6&gt;=$F127),IF($H127="Complétée","F",IF(OR($H127="En cours",$H127="En revue"),"E",IF($H127="Bloquée","B","P"))),""))</f>
        <v/>
      </c>
      <c r="AH127" s="53">
        <f>IF(OR($F127="",$G127=""),"",IF(AND(AH$5&lt;=$G127,AH$5+6&gt;=$F127),IF($H127="Complétée","F",IF(OR($H127="En cours",$H127="En revue"),"E",IF($H127="Bloquée","B","P"))),""))</f>
        <v/>
      </c>
      <c r="AI127" s="53">
        <f>IF(OR($F127="",$G127=""),"",IF(AND(AI$5&lt;=$G127,AI$5+6&gt;=$F127),IF($H127="Complétée","F",IF(OR($H127="En cours",$H127="En revue"),"E",IF($H127="Bloquée","B","P"))),""))</f>
        <v/>
      </c>
      <c r="AJ127" s="53">
        <f>IF(OR($F127="",$G127=""),"",IF(AND(AJ$5&lt;=$G127,AJ$5+6&gt;=$F127),IF($H127="Complétée","F",IF(OR($H127="En cours",$H127="En revue"),"E",IF($H127="Bloquée","B","P"))),""))</f>
        <v/>
      </c>
      <c r="AK127" s="53">
        <f>IF(OR($F127="",$G127=""),"",IF(AND(AK$5&lt;=$G127,AK$5+6&gt;=$F127),IF($H127="Complétée","F",IF(OR($H127="En cours",$H127="En revue"),"E",IF($H127="Bloquée","B","P"))),""))</f>
        <v/>
      </c>
      <c r="AL127" s="53">
        <f>IF(OR($F127="",$G127=""),"",IF(AND(AL$5&lt;=$G127,AL$5+6&gt;=$F127),IF($H127="Complétée","F",IF(OR($H127="En cours",$H127="En revue"),"E",IF($H127="Bloquée","B","P"))),""))</f>
        <v/>
      </c>
      <c r="AM127" s="53">
        <f>IF(OR($F127="",$G127=""),"",IF(AND(AM$5&lt;=$G127,AM$5+6&gt;=$F127),IF($H127="Complétée","F",IF(OR($H127="En cours",$H127="En revue"),"E",IF($H127="Bloquée","B","P"))),""))</f>
        <v/>
      </c>
      <c r="AN127" s="53">
        <f>IF(OR($F127="",$G127=""),"",IF(AND(AN$5&lt;=$G127,AN$5+6&gt;=$F127),IF($H127="Complétée","F",IF(OR($H127="En cours",$H127="En revue"),"E",IF($H127="Bloquée","B","P"))),""))</f>
        <v/>
      </c>
      <c r="AO127" s="53">
        <f>IF(OR($F127="",$G127=""),"",IF(AND(AO$5&lt;=$G127,AO$5+6&gt;=$F127),IF($H127="Complétée","F",IF(OR($H127="En cours",$H127="En revue"),"E",IF($H127="Bloquée","B","P"))),""))</f>
        <v/>
      </c>
      <c r="AP127" s="53">
        <f>IF(OR($F127="",$G127=""),"",IF(AND(AP$5&lt;=$G127,AP$5+6&gt;=$F127),IF($H127="Complétée","F",IF(OR($H127="En cours",$H127="En revue"),"E",IF($H127="Bloquée","B","P"))),""))</f>
        <v/>
      </c>
      <c r="AQ127" s="53">
        <f>IF(OR($F127="",$G127=""),"",IF(AND(AQ$5&lt;=$G127,AQ$5+6&gt;=$F127),IF($H127="Complétée","F",IF(OR($H127="En cours",$H127="En revue"),"E",IF($H127="Bloquée","B","P"))),""))</f>
        <v/>
      </c>
      <c r="AR127" s="53">
        <f>IF(OR($F127="",$G127=""),"",IF(AND(AR$5&lt;=$G127,AR$5+6&gt;=$F127),IF($H127="Complétée","F",IF(OR($H127="En cours",$H127="En revue"),"E",IF($H127="Bloquée","B","P"))),""))</f>
        <v/>
      </c>
      <c r="AS127" s="53">
        <f>IF(OR($F127="",$G127=""),"",IF(AND(AS$5&lt;=$G127,AS$5+6&gt;=$F127),IF($H127="Complétée","F",IF(OR($H127="En cours",$H127="En revue"),"E",IF($H127="Bloquée","B","P"))),""))</f>
        <v/>
      </c>
      <c r="AT127" s="53">
        <f>IF(OR($F127="",$G127=""),"",IF(AND(AT$5&lt;=$G127,AT$5+6&gt;=$F127),IF($H127="Complétée","F",IF(OR($H127="En cours",$H127="En revue"),"E",IF($H127="Bloquée","B","P"))),""))</f>
        <v/>
      </c>
      <c r="AU127" s="53">
        <f>IF(OR($F127="",$G127=""),"",IF(AND(AU$5&lt;=$G127,AU$5+6&gt;=$F127),IF($H127="Complétée","F",IF(OR($H127="En cours",$H127="En revue"),"E",IF($H127="Bloquée","B","P"))),""))</f>
        <v/>
      </c>
      <c r="AV127" s="53">
        <f>IF(OR($F127="",$G127=""),"",IF(AND(AV$5&lt;=$G127,AV$5+6&gt;=$F127),IF($H127="Complétée","F",IF(OR($H127="En cours",$H127="En revue"),"E",IF($H127="Bloquée","B","P"))),""))</f>
        <v/>
      </c>
      <c r="AW127" s="53">
        <f>IF(OR($F127="",$G127=""),"",IF(AND(AW$5&lt;=$G127,AW$5+6&gt;=$F127),IF($H127="Complétée","F",IF(OR($H127="En cours",$H127="En revue"),"E",IF($H127="Bloquée","B","P"))),""))</f>
        <v/>
      </c>
    </row>
    <row r="128">
      <c r="B128" s="50">
        <f>IF(Taches!B128="","",Taches!B128)</f>
        <v/>
      </c>
      <c r="C128" s="51">
        <f>IF(Taches!B128="","",Taches!F128)</f>
        <v/>
      </c>
      <c r="D128" s="50">
        <f>IF(Taches!B128="","",Taches!C128)</f>
        <v/>
      </c>
      <c r="E128" s="50">
        <f>IF(Taches!B128="","",Taches!D128)</f>
        <v/>
      </c>
      <c r="F128" s="52">
        <f>IF(Taches!P128="","",Taches!P128)</f>
        <v/>
      </c>
      <c r="G128" s="52">
        <f>IF(Taches!Q128="","",Taches!Q128)</f>
        <v/>
      </c>
      <c r="H128" s="50">
        <f>IF(Taches!B128="","",Taches!J128)</f>
        <v/>
      </c>
      <c r="I128" s="53">
        <f>IF(OR($F128="",$G128=""),"",IF(AND(I$5&lt;=$G128,I$5+6&gt;=$F128),IF($H128="Complétée","F",IF(OR($H128="En cours",$H128="En revue"),"E",IF($H128="Bloquée","B","P"))),""))</f>
        <v/>
      </c>
      <c r="J128" s="53">
        <f>IF(OR($F128="",$G128=""),"",IF(AND(J$5&lt;=$G128,J$5+6&gt;=$F128),IF($H128="Complétée","F",IF(OR($H128="En cours",$H128="En revue"),"E",IF($H128="Bloquée","B","P"))),""))</f>
        <v/>
      </c>
      <c r="K128" s="53">
        <f>IF(OR($F128="",$G128=""),"",IF(AND(K$5&lt;=$G128,K$5+6&gt;=$F128),IF($H128="Complétée","F",IF(OR($H128="En cours",$H128="En revue"),"E",IF($H128="Bloquée","B","P"))),""))</f>
        <v/>
      </c>
      <c r="L128" s="53">
        <f>IF(OR($F128="",$G128=""),"",IF(AND(L$5&lt;=$G128,L$5+6&gt;=$F128),IF($H128="Complétée","F",IF(OR($H128="En cours",$H128="En revue"),"E",IF($H128="Bloquée","B","P"))),""))</f>
        <v/>
      </c>
      <c r="M128" s="53">
        <f>IF(OR($F128="",$G128=""),"",IF(AND(M$5&lt;=$G128,M$5+6&gt;=$F128),IF($H128="Complétée","F",IF(OR($H128="En cours",$H128="En revue"),"E",IF($H128="Bloquée","B","P"))),""))</f>
        <v/>
      </c>
      <c r="N128" s="53">
        <f>IF(OR($F128="",$G128=""),"",IF(AND(N$5&lt;=$G128,N$5+6&gt;=$F128),IF($H128="Complétée","F",IF(OR($H128="En cours",$H128="En revue"),"E",IF($H128="Bloquée","B","P"))),""))</f>
        <v/>
      </c>
      <c r="O128" s="53">
        <f>IF(OR($F128="",$G128=""),"",IF(AND(O$5&lt;=$G128,O$5+6&gt;=$F128),IF($H128="Complétée","F",IF(OR($H128="En cours",$H128="En revue"),"E",IF($H128="Bloquée","B","P"))),""))</f>
        <v/>
      </c>
      <c r="P128" s="53">
        <f>IF(OR($F128="",$G128=""),"",IF(AND(P$5&lt;=$G128,P$5+6&gt;=$F128),IF($H128="Complétée","F",IF(OR($H128="En cours",$H128="En revue"),"E",IF($H128="Bloquée","B","P"))),""))</f>
        <v/>
      </c>
      <c r="Q128" s="53">
        <f>IF(OR($F128="",$G128=""),"",IF(AND(Q$5&lt;=$G128,Q$5+6&gt;=$F128),IF($H128="Complétée","F",IF(OR($H128="En cours",$H128="En revue"),"E",IF($H128="Bloquée","B","P"))),""))</f>
        <v/>
      </c>
      <c r="R128" s="53">
        <f>IF(OR($F128="",$G128=""),"",IF(AND(R$5&lt;=$G128,R$5+6&gt;=$F128),IF($H128="Complétée","F",IF(OR($H128="En cours",$H128="En revue"),"E",IF($H128="Bloquée","B","P"))),""))</f>
        <v/>
      </c>
      <c r="S128" s="53">
        <f>IF(OR($F128="",$G128=""),"",IF(AND(S$5&lt;=$G128,S$5+6&gt;=$F128),IF($H128="Complétée","F",IF(OR($H128="En cours",$H128="En revue"),"E",IF($H128="Bloquée","B","P"))),""))</f>
        <v/>
      </c>
      <c r="T128" s="53">
        <f>IF(OR($F128="",$G128=""),"",IF(AND(T$5&lt;=$G128,T$5+6&gt;=$F128),IF($H128="Complétée","F",IF(OR($H128="En cours",$H128="En revue"),"E",IF($H128="Bloquée","B","P"))),""))</f>
        <v/>
      </c>
      <c r="U128" s="53">
        <f>IF(OR($F128="",$G128=""),"",IF(AND(U$5&lt;=$G128,U$5+6&gt;=$F128),IF($H128="Complétée","F",IF(OR($H128="En cours",$H128="En revue"),"E",IF($H128="Bloquée","B","P"))),""))</f>
        <v/>
      </c>
      <c r="V128" s="53">
        <f>IF(OR($F128="",$G128=""),"",IF(AND(V$5&lt;=$G128,V$5+6&gt;=$F128),IF($H128="Complétée","F",IF(OR($H128="En cours",$H128="En revue"),"E",IF($H128="Bloquée","B","P"))),""))</f>
        <v/>
      </c>
      <c r="W128" s="53">
        <f>IF(OR($F128="",$G128=""),"",IF(AND(W$5&lt;=$G128,W$5+6&gt;=$F128),IF($H128="Complétée","F",IF(OR($H128="En cours",$H128="En revue"),"E",IF($H128="Bloquée","B","P"))),""))</f>
        <v/>
      </c>
      <c r="X128" s="53">
        <f>IF(OR($F128="",$G128=""),"",IF(AND(X$5&lt;=$G128,X$5+6&gt;=$F128),IF($H128="Complétée","F",IF(OR($H128="En cours",$H128="En revue"),"E",IF($H128="Bloquée","B","P"))),""))</f>
        <v/>
      </c>
      <c r="Y128" s="53">
        <f>IF(OR($F128="",$G128=""),"",IF(AND(Y$5&lt;=$G128,Y$5+6&gt;=$F128),IF($H128="Complétée","F",IF(OR($H128="En cours",$H128="En revue"),"E",IF($H128="Bloquée","B","P"))),""))</f>
        <v/>
      </c>
      <c r="Z128" s="53">
        <f>IF(OR($F128="",$G128=""),"",IF(AND(Z$5&lt;=$G128,Z$5+6&gt;=$F128),IF($H128="Complétée","F",IF(OR($H128="En cours",$H128="En revue"),"E",IF($H128="Bloquée","B","P"))),""))</f>
        <v/>
      </c>
      <c r="AA128" s="53">
        <f>IF(OR($F128="",$G128=""),"",IF(AND(AA$5&lt;=$G128,AA$5+6&gt;=$F128),IF($H128="Complétée","F",IF(OR($H128="En cours",$H128="En revue"),"E",IF($H128="Bloquée","B","P"))),""))</f>
        <v/>
      </c>
      <c r="AB128" s="53">
        <f>IF(OR($F128="",$G128=""),"",IF(AND(AB$5&lt;=$G128,AB$5+6&gt;=$F128),IF($H128="Complétée","F",IF(OR($H128="En cours",$H128="En revue"),"E",IF($H128="Bloquée","B","P"))),""))</f>
        <v/>
      </c>
      <c r="AC128" s="53">
        <f>IF(OR($F128="",$G128=""),"",IF(AND(AC$5&lt;=$G128,AC$5+6&gt;=$F128),IF($H128="Complétée","F",IF(OR($H128="En cours",$H128="En revue"),"E",IF($H128="Bloquée","B","P"))),""))</f>
        <v/>
      </c>
      <c r="AD128" s="53">
        <f>IF(OR($F128="",$G128=""),"",IF(AND(AD$5&lt;=$G128,AD$5+6&gt;=$F128),IF($H128="Complétée","F",IF(OR($H128="En cours",$H128="En revue"),"E",IF($H128="Bloquée","B","P"))),""))</f>
        <v/>
      </c>
      <c r="AE128" s="53">
        <f>IF(OR($F128="",$G128=""),"",IF(AND(AE$5&lt;=$G128,AE$5+6&gt;=$F128),IF($H128="Complétée","F",IF(OR($H128="En cours",$H128="En revue"),"E",IF($H128="Bloquée","B","P"))),""))</f>
        <v/>
      </c>
      <c r="AF128" s="53">
        <f>IF(OR($F128="",$G128=""),"",IF(AND(AF$5&lt;=$G128,AF$5+6&gt;=$F128),IF($H128="Complétée","F",IF(OR($H128="En cours",$H128="En revue"),"E",IF($H128="Bloquée","B","P"))),""))</f>
        <v/>
      </c>
      <c r="AG128" s="53">
        <f>IF(OR($F128="",$G128=""),"",IF(AND(AG$5&lt;=$G128,AG$5+6&gt;=$F128),IF($H128="Complétée","F",IF(OR($H128="En cours",$H128="En revue"),"E",IF($H128="Bloquée","B","P"))),""))</f>
        <v/>
      </c>
      <c r="AH128" s="53">
        <f>IF(OR($F128="",$G128=""),"",IF(AND(AH$5&lt;=$G128,AH$5+6&gt;=$F128),IF($H128="Complétée","F",IF(OR($H128="En cours",$H128="En revue"),"E",IF($H128="Bloquée","B","P"))),""))</f>
        <v/>
      </c>
      <c r="AI128" s="53">
        <f>IF(OR($F128="",$G128=""),"",IF(AND(AI$5&lt;=$G128,AI$5+6&gt;=$F128),IF($H128="Complétée","F",IF(OR($H128="En cours",$H128="En revue"),"E",IF($H128="Bloquée","B","P"))),""))</f>
        <v/>
      </c>
      <c r="AJ128" s="53">
        <f>IF(OR($F128="",$G128=""),"",IF(AND(AJ$5&lt;=$G128,AJ$5+6&gt;=$F128),IF($H128="Complétée","F",IF(OR($H128="En cours",$H128="En revue"),"E",IF($H128="Bloquée","B","P"))),""))</f>
        <v/>
      </c>
      <c r="AK128" s="53">
        <f>IF(OR($F128="",$G128=""),"",IF(AND(AK$5&lt;=$G128,AK$5+6&gt;=$F128),IF($H128="Complétée","F",IF(OR($H128="En cours",$H128="En revue"),"E",IF($H128="Bloquée","B","P"))),""))</f>
        <v/>
      </c>
      <c r="AL128" s="53">
        <f>IF(OR($F128="",$G128=""),"",IF(AND(AL$5&lt;=$G128,AL$5+6&gt;=$F128),IF($H128="Complétée","F",IF(OR($H128="En cours",$H128="En revue"),"E",IF($H128="Bloquée","B","P"))),""))</f>
        <v/>
      </c>
      <c r="AM128" s="53">
        <f>IF(OR($F128="",$G128=""),"",IF(AND(AM$5&lt;=$G128,AM$5+6&gt;=$F128),IF($H128="Complétée","F",IF(OR($H128="En cours",$H128="En revue"),"E",IF($H128="Bloquée","B","P"))),""))</f>
        <v/>
      </c>
      <c r="AN128" s="53">
        <f>IF(OR($F128="",$G128=""),"",IF(AND(AN$5&lt;=$G128,AN$5+6&gt;=$F128),IF($H128="Complétée","F",IF(OR($H128="En cours",$H128="En revue"),"E",IF($H128="Bloquée","B","P"))),""))</f>
        <v/>
      </c>
      <c r="AO128" s="53">
        <f>IF(OR($F128="",$G128=""),"",IF(AND(AO$5&lt;=$G128,AO$5+6&gt;=$F128),IF($H128="Complétée","F",IF(OR($H128="En cours",$H128="En revue"),"E",IF($H128="Bloquée","B","P"))),""))</f>
        <v/>
      </c>
      <c r="AP128" s="53">
        <f>IF(OR($F128="",$G128=""),"",IF(AND(AP$5&lt;=$G128,AP$5+6&gt;=$F128),IF($H128="Complétée","F",IF(OR($H128="En cours",$H128="En revue"),"E",IF($H128="Bloquée","B","P"))),""))</f>
        <v/>
      </c>
      <c r="AQ128" s="53">
        <f>IF(OR($F128="",$G128=""),"",IF(AND(AQ$5&lt;=$G128,AQ$5+6&gt;=$F128),IF($H128="Complétée","F",IF(OR($H128="En cours",$H128="En revue"),"E",IF($H128="Bloquée","B","P"))),""))</f>
        <v/>
      </c>
      <c r="AR128" s="53">
        <f>IF(OR($F128="",$G128=""),"",IF(AND(AR$5&lt;=$G128,AR$5+6&gt;=$F128),IF($H128="Complétée","F",IF(OR($H128="En cours",$H128="En revue"),"E",IF($H128="Bloquée","B","P"))),""))</f>
        <v/>
      </c>
      <c r="AS128" s="53">
        <f>IF(OR($F128="",$G128=""),"",IF(AND(AS$5&lt;=$G128,AS$5+6&gt;=$F128),IF($H128="Complétée","F",IF(OR($H128="En cours",$H128="En revue"),"E",IF($H128="Bloquée","B","P"))),""))</f>
        <v/>
      </c>
      <c r="AT128" s="53">
        <f>IF(OR($F128="",$G128=""),"",IF(AND(AT$5&lt;=$G128,AT$5+6&gt;=$F128),IF($H128="Complétée","F",IF(OR($H128="En cours",$H128="En revue"),"E",IF($H128="Bloquée","B","P"))),""))</f>
        <v/>
      </c>
      <c r="AU128" s="53">
        <f>IF(OR($F128="",$G128=""),"",IF(AND(AU$5&lt;=$G128,AU$5+6&gt;=$F128),IF($H128="Complétée","F",IF(OR($H128="En cours",$H128="En revue"),"E",IF($H128="Bloquée","B","P"))),""))</f>
        <v/>
      </c>
      <c r="AV128" s="53">
        <f>IF(OR($F128="",$G128=""),"",IF(AND(AV$5&lt;=$G128,AV$5+6&gt;=$F128),IF($H128="Complétée","F",IF(OR($H128="En cours",$H128="En revue"),"E",IF($H128="Bloquée","B","P"))),""))</f>
        <v/>
      </c>
      <c r="AW128" s="53">
        <f>IF(OR($F128="",$G128=""),"",IF(AND(AW$5&lt;=$G128,AW$5+6&gt;=$F128),IF($H128="Complétée","F",IF(OR($H128="En cours",$H128="En revue"),"E",IF($H128="Bloquée","B","P"))),""))</f>
        <v/>
      </c>
    </row>
    <row r="129">
      <c r="B129" s="50">
        <f>IF(Taches!B129="","",Taches!B129)</f>
        <v/>
      </c>
      <c r="C129" s="51">
        <f>IF(Taches!B129="","",Taches!F129)</f>
        <v/>
      </c>
      <c r="D129" s="50">
        <f>IF(Taches!B129="","",Taches!C129)</f>
        <v/>
      </c>
      <c r="E129" s="50">
        <f>IF(Taches!B129="","",Taches!D129)</f>
        <v/>
      </c>
      <c r="F129" s="52">
        <f>IF(Taches!P129="","",Taches!P129)</f>
        <v/>
      </c>
      <c r="G129" s="52">
        <f>IF(Taches!Q129="","",Taches!Q129)</f>
        <v/>
      </c>
      <c r="H129" s="50">
        <f>IF(Taches!B129="","",Taches!J129)</f>
        <v/>
      </c>
      <c r="I129" s="53">
        <f>IF(OR($F129="",$G129=""),"",IF(AND(I$5&lt;=$G129,I$5+6&gt;=$F129),IF($H129="Complétée","F",IF(OR($H129="En cours",$H129="En revue"),"E",IF($H129="Bloquée","B","P"))),""))</f>
        <v/>
      </c>
      <c r="J129" s="53">
        <f>IF(OR($F129="",$G129=""),"",IF(AND(J$5&lt;=$G129,J$5+6&gt;=$F129),IF($H129="Complétée","F",IF(OR($H129="En cours",$H129="En revue"),"E",IF($H129="Bloquée","B","P"))),""))</f>
        <v/>
      </c>
      <c r="K129" s="53">
        <f>IF(OR($F129="",$G129=""),"",IF(AND(K$5&lt;=$G129,K$5+6&gt;=$F129),IF($H129="Complétée","F",IF(OR($H129="En cours",$H129="En revue"),"E",IF($H129="Bloquée","B","P"))),""))</f>
        <v/>
      </c>
      <c r="L129" s="53">
        <f>IF(OR($F129="",$G129=""),"",IF(AND(L$5&lt;=$G129,L$5+6&gt;=$F129),IF($H129="Complétée","F",IF(OR($H129="En cours",$H129="En revue"),"E",IF($H129="Bloquée","B","P"))),""))</f>
        <v/>
      </c>
      <c r="M129" s="53">
        <f>IF(OR($F129="",$G129=""),"",IF(AND(M$5&lt;=$G129,M$5+6&gt;=$F129),IF($H129="Complétée","F",IF(OR($H129="En cours",$H129="En revue"),"E",IF($H129="Bloquée","B","P"))),""))</f>
        <v/>
      </c>
      <c r="N129" s="53">
        <f>IF(OR($F129="",$G129=""),"",IF(AND(N$5&lt;=$G129,N$5+6&gt;=$F129),IF($H129="Complétée","F",IF(OR($H129="En cours",$H129="En revue"),"E",IF($H129="Bloquée","B","P"))),""))</f>
        <v/>
      </c>
      <c r="O129" s="53">
        <f>IF(OR($F129="",$G129=""),"",IF(AND(O$5&lt;=$G129,O$5+6&gt;=$F129),IF($H129="Complétée","F",IF(OR($H129="En cours",$H129="En revue"),"E",IF($H129="Bloquée","B","P"))),""))</f>
        <v/>
      </c>
      <c r="P129" s="53">
        <f>IF(OR($F129="",$G129=""),"",IF(AND(P$5&lt;=$G129,P$5+6&gt;=$F129),IF($H129="Complétée","F",IF(OR($H129="En cours",$H129="En revue"),"E",IF($H129="Bloquée","B","P"))),""))</f>
        <v/>
      </c>
      <c r="Q129" s="53">
        <f>IF(OR($F129="",$G129=""),"",IF(AND(Q$5&lt;=$G129,Q$5+6&gt;=$F129),IF($H129="Complétée","F",IF(OR($H129="En cours",$H129="En revue"),"E",IF($H129="Bloquée","B","P"))),""))</f>
        <v/>
      </c>
      <c r="R129" s="53">
        <f>IF(OR($F129="",$G129=""),"",IF(AND(R$5&lt;=$G129,R$5+6&gt;=$F129),IF($H129="Complétée","F",IF(OR($H129="En cours",$H129="En revue"),"E",IF($H129="Bloquée","B","P"))),""))</f>
        <v/>
      </c>
      <c r="S129" s="53">
        <f>IF(OR($F129="",$G129=""),"",IF(AND(S$5&lt;=$G129,S$5+6&gt;=$F129),IF($H129="Complétée","F",IF(OR($H129="En cours",$H129="En revue"),"E",IF($H129="Bloquée","B","P"))),""))</f>
        <v/>
      </c>
      <c r="T129" s="53">
        <f>IF(OR($F129="",$G129=""),"",IF(AND(T$5&lt;=$G129,T$5+6&gt;=$F129),IF($H129="Complétée","F",IF(OR($H129="En cours",$H129="En revue"),"E",IF($H129="Bloquée","B","P"))),""))</f>
        <v/>
      </c>
      <c r="U129" s="53">
        <f>IF(OR($F129="",$G129=""),"",IF(AND(U$5&lt;=$G129,U$5+6&gt;=$F129),IF($H129="Complétée","F",IF(OR($H129="En cours",$H129="En revue"),"E",IF($H129="Bloquée","B","P"))),""))</f>
        <v/>
      </c>
      <c r="V129" s="53">
        <f>IF(OR($F129="",$G129=""),"",IF(AND(V$5&lt;=$G129,V$5+6&gt;=$F129),IF($H129="Complétée","F",IF(OR($H129="En cours",$H129="En revue"),"E",IF($H129="Bloquée","B","P"))),""))</f>
        <v/>
      </c>
      <c r="W129" s="53">
        <f>IF(OR($F129="",$G129=""),"",IF(AND(W$5&lt;=$G129,W$5+6&gt;=$F129),IF($H129="Complétée","F",IF(OR($H129="En cours",$H129="En revue"),"E",IF($H129="Bloquée","B","P"))),""))</f>
        <v/>
      </c>
      <c r="X129" s="53">
        <f>IF(OR($F129="",$G129=""),"",IF(AND(X$5&lt;=$G129,X$5+6&gt;=$F129),IF($H129="Complétée","F",IF(OR($H129="En cours",$H129="En revue"),"E",IF($H129="Bloquée","B","P"))),""))</f>
        <v/>
      </c>
      <c r="Y129" s="53">
        <f>IF(OR($F129="",$G129=""),"",IF(AND(Y$5&lt;=$G129,Y$5+6&gt;=$F129),IF($H129="Complétée","F",IF(OR($H129="En cours",$H129="En revue"),"E",IF($H129="Bloquée","B","P"))),""))</f>
        <v/>
      </c>
      <c r="Z129" s="53">
        <f>IF(OR($F129="",$G129=""),"",IF(AND(Z$5&lt;=$G129,Z$5+6&gt;=$F129),IF($H129="Complétée","F",IF(OR($H129="En cours",$H129="En revue"),"E",IF($H129="Bloquée","B","P"))),""))</f>
        <v/>
      </c>
      <c r="AA129" s="53">
        <f>IF(OR($F129="",$G129=""),"",IF(AND(AA$5&lt;=$G129,AA$5+6&gt;=$F129),IF($H129="Complétée","F",IF(OR($H129="En cours",$H129="En revue"),"E",IF($H129="Bloquée","B","P"))),""))</f>
        <v/>
      </c>
      <c r="AB129" s="53">
        <f>IF(OR($F129="",$G129=""),"",IF(AND(AB$5&lt;=$G129,AB$5+6&gt;=$F129),IF($H129="Complétée","F",IF(OR($H129="En cours",$H129="En revue"),"E",IF($H129="Bloquée","B","P"))),""))</f>
        <v/>
      </c>
      <c r="AC129" s="53">
        <f>IF(OR($F129="",$G129=""),"",IF(AND(AC$5&lt;=$G129,AC$5+6&gt;=$F129),IF($H129="Complétée","F",IF(OR($H129="En cours",$H129="En revue"),"E",IF($H129="Bloquée","B","P"))),""))</f>
        <v/>
      </c>
      <c r="AD129" s="53">
        <f>IF(OR($F129="",$G129=""),"",IF(AND(AD$5&lt;=$G129,AD$5+6&gt;=$F129),IF($H129="Complétée","F",IF(OR($H129="En cours",$H129="En revue"),"E",IF($H129="Bloquée","B","P"))),""))</f>
        <v/>
      </c>
      <c r="AE129" s="53">
        <f>IF(OR($F129="",$G129=""),"",IF(AND(AE$5&lt;=$G129,AE$5+6&gt;=$F129),IF($H129="Complétée","F",IF(OR($H129="En cours",$H129="En revue"),"E",IF($H129="Bloquée","B","P"))),""))</f>
        <v/>
      </c>
      <c r="AF129" s="53">
        <f>IF(OR($F129="",$G129=""),"",IF(AND(AF$5&lt;=$G129,AF$5+6&gt;=$F129),IF($H129="Complétée","F",IF(OR($H129="En cours",$H129="En revue"),"E",IF($H129="Bloquée","B","P"))),""))</f>
        <v/>
      </c>
      <c r="AG129" s="53">
        <f>IF(OR($F129="",$G129=""),"",IF(AND(AG$5&lt;=$G129,AG$5+6&gt;=$F129),IF($H129="Complétée","F",IF(OR($H129="En cours",$H129="En revue"),"E",IF($H129="Bloquée","B","P"))),""))</f>
        <v/>
      </c>
      <c r="AH129" s="53">
        <f>IF(OR($F129="",$G129=""),"",IF(AND(AH$5&lt;=$G129,AH$5+6&gt;=$F129),IF($H129="Complétée","F",IF(OR($H129="En cours",$H129="En revue"),"E",IF($H129="Bloquée","B","P"))),""))</f>
        <v/>
      </c>
      <c r="AI129" s="53">
        <f>IF(OR($F129="",$G129=""),"",IF(AND(AI$5&lt;=$G129,AI$5+6&gt;=$F129),IF($H129="Complétée","F",IF(OR($H129="En cours",$H129="En revue"),"E",IF($H129="Bloquée","B","P"))),""))</f>
        <v/>
      </c>
      <c r="AJ129" s="53">
        <f>IF(OR($F129="",$G129=""),"",IF(AND(AJ$5&lt;=$G129,AJ$5+6&gt;=$F129),IF($H129="Complétée","F",IF(OR($H129="En cours",$H129="En revue"),"E",IF($H129="Bloquée","B","P"))),""))</f>
        <v/>
      </c>
      <c r="AK129" s="53">
        <f>IF(OR($F129="",$G129=""),"",IF(AND(AK$5&lt;=$G129,AK$5+6&gt;=$F129),IF($H129="Complétée","F",IF(OR($H129="En cours",$H129="En revue"),"E",IF($H129="Bloquée","B","P"))),""))</f>
        <v/>
      </c>
      <c r="AL129" s="53">
        <f>IF(OR($F129="",$G129=""),"",IF(AND(AL$5&lt;=$G129,AL$5+6&gt;=$F129),IF($H129="Complétée","F",IF(OR($H129="En cours",$H129="En revue"),"E",IF($H129="Bloquée","B","P"))),""))</f>
        <v/>
      </c>
      <c r="AM129" s="53">
        <f>IF(OR($F129="",$G129=""),"",IF(AND(AM$5&lt;=$G129,AM$5+6&gt;=$F129),IF($H129="Complétée","F",IF(OR($H129="En cours",$H129="En revue"),"E",IF($H129="Bloquée","B","P"))),""))</f>
        <v/>
      </c>
      <c r="AN129" s="53">
        <f>IF(OR($F129="",$G129=""),"",IF(AND(AN$5&lt;=$G129,AN$5+6&gt;=$F129),IF($H129="Complétée","F",IF(OR($H129="En cours",$H129="En revue"),"E",IF($H129="Bloquée","B","P"))),""))</f>
        <v/>
      </c>
      <c r="AO129" s="53">
        <f>IF(OR($F129="",$G129=""),"",IF(AND(AO$5&lt;=$G129,AO$5+6&gt;=$F129),IF($H129="Complétée","F",IF(OR($H129="En cours",$H129="En revue"),"E",IF($H129="Bloquée","B","P"))),""))</f>
        <v/>
      </c>
      <c r="AP129" s="53">
        <f>IF(OR($F129="",$G129=""),"",IF(AND(AP$5&lt;=$G129,AP$5+6&gt;=$F129),IF($H129="Complétée","F",IF(OR($H129="En cours",$H129="En revue"),"E",IF($H129="Bloquée","B","P"))),""))</f>
        <v/>
      </c>
      <c r="AQ129" s="53">
        <f>IF(OR($F129="",$G129=""),"",IF(AND(AQ$5&lt;=$G129,AQ$5+6&gt;=$F129),IF($H129="Complétée","F",IF(OR($H129="En cours",$H129="En revue"),"E",IF($H129="Bloquée","B","P"))),""))</f>
        <v/>
      </c>
      <c r="AR129" s="53">
        <f>IF(OR($F129="",$G129=""),"",IF(AND(AR$5&lt;=$G129,AR$5+6&gt;=$F129),IF($H129="Complétée","F",IF(OR($H129="En cours",$H129="En revue"),"E",IF($H129="Bloquée","B","P"))),""))</f>
        <v/>
      </c>
      <c r="AS129" s="53">
        <f>IF(OR($F129="",$G129=""),"",IF(AND(AS$5&lt;=$G129,AS$5+6&gt;=$F129),IF($H129="Complétée","F",IF(OR($H129="En cours",$H129="En revue"),"E",IF($H129="Bloquée","B","P"))),""))</f>
        <v/>
      </c>
      <c r="AT129" s="53">
        <f>IF(OR($F129="",$G129=""),"",IF(AND(AT$5&lt;=$G129,AT$5+6&gt;=$F129),IF($H129="Complétée","F",IF(OR($H129="En cours",$H129="En revue"),"E",IF($H129="Bloquée","B","P"))),""))</f>
        <v/>
      </c>
      <c r="AU129" s="53">
        <f>IF(OR($F129="",$G129=""),"",IF(AND(AU$5&lt;=$G129,AU$5+6&gt;=$F129),IF($H129="Complétée","F",IF(OR($H129="En cours",$H129="En revue"),"E",IF($H129="Bloquée","B","P"))),""))</f>
        <v/>
      </c>
      <c r="AV129" s="53">
        <f>IF(OR($F129="",$G129=""),"",IF(AND(AV$5&lt;=$G129,AV$5+6&gt;=$F129),IF($H129="Complétée","F",IF(OR($H129="En cours",$H129="En revue"),"E",IF($H129="Bloquée","B","P"))),""))</f>
        <v/>
      </c>
      <c r="AW129" s="53">
        <f>IF(OR($F129="",$G129=""),"",IF(AND(AW$5&lt;=$G129,AW$5+6&gt;=$F129),IF($H129="Complétée","F",IF(OR($H129="En cours",$H129="En revue"),"E",IF($H129="Bloquée","B","P"))),""))</f>
        <v/>
      </c>
    </row>
    <row r="130">
      <c r="B130" s="50">
        <f>IF(Taches!B130="","",Taches!B130)</f>
        <v/>
      </c>
      <c r="C130" s="51">
        <f>IF(Taches!B130="","",Taches!F130)</f>
        <v/>
      </c>
      <c r="D130" s="50">
        <f>IF(Taches!B130="","",Taches!C130)</f>
        <v/>
      </c>
      <c r="E130" s="50">
        <f>IF(Taches!B130="","",Taches!D130)</f>
        <v/>
      </c>
      <c r="F130" s="52">
        <f>IF(Taches!P130="","",Taches!P130)</f>
        <v/>
      </c>
      <c r="G130" s="52">
        <f>IF(Taches!Q130="","",Taches!Q130)</f>
        <v/>
      </c>
      <c r="H130" s="50">
        <f>IF(Taches!B130="","",Taches!J130)</f>
        <v/>
      </c>
      <c r="I130" s="53">
        <f>IF(OR($F130="",$G130=""),"",IF(AND(I$5&lt;=$G130,I$5+6&gt;=$F130),IF($H130="Complétée","F",IF(OR($H130="En cours",$H130="En revue"),"E",IF($H130="Bloquée","B","P"))),""))</f>
        <v/>
      </c>
      <c r="J130" s="53">
        <f>IF(OR($F130="",$G130=""),"",IF(AND(J$5&lt;=$G130,J$5+6&gt;=$F130),IF($H130="Complétée","F",IF(OR($H130="En cours",$H130="En revue"),"E",IF($H130="Bloquée","B","P"))),""))</f>
        <v/>
      </c>
      <c r="K130" s="53">
        <f>IF(OR($F130="",$G130=""),"",IF(AND(K$5&lt;=$G130,K$5+6&gt;=$F130),IF($H130="Complétée","F",IF(OR($H130="En cours",$H130="En revue"),"E",IF($H130="Bloquée","B","P"))),""))</f>
        <v/>
      </c>
      <c r="L130" s="53">
        <f>IF(OR($F130="",$G130=""),"",IF(AND(L$5&lt;=$G130,L$5+6&gt;=$F130),IF($H130="Complétée","F",IF(OR($H130="En cours",$H130="En revue"),"E",IF($H130="Bloquée","B","P"))),""))</f>
        <v/>
      </c>
      <c r="M130" s="53">
        <f>IF(OR($F130="",$G130=""),"",IF(AND(M$5&lt;=$G130,M$5+6&gt;=$F130),IF($H130="Complétée","F",IF(OR($H130="En cours",$H130="En revue"),"E",IF($H130="Bloquée","B","P"))),""))</f>
        <v/>
      </c>
      <c r="N130" s="53">
        <f>IF(OR($F130="",$G130=""),"",IF(AND(N$5&lt;=$G130,N$5+6&gt;=$F130),IF($H130="Complétée","F",IF(OR($H130="En cours",$H130="En revue"),"E",IF($H130="Bloquée","B","P"))),""))</f>
        <v/>
      </c>
      <c r="O130" s="53">
        <f>IF(OR($F130="",$G130=""),"",IF(AND(O$5&lt;=$G130,O$5+6&gt;=$F130),IF($H130="Complétée","F",IF(OR($H130="En cours",$H130="En revue"),"E",IF($H130="Bloquée","B","P"))),""))</f>
        <v/>
      </c>
      <c r="P130" s="53">
        <f>IF(OR($F130="",$G130=""),"",IF(AND(P$5&lt;=$G130,P$5+6&gt;=$F130),IF($H130="Complétée","F",IF(OR($H130="En cours",$H130="En revue"),"E",IF($H130="Bloquée","B","P"))),""))</f>
        <v/>
      </c>
      <c r="Q130" s="53">
        <f>IF(OR($F130="",$G130=""),"",IF(AND(Q$5&lt;=$G130,Q$5+6&gt;=$F130),IF($H130="Complétée","F",IF(OR($H130="En cours",$H130="En revue"),"E",IF($H130="Bloquée","B","P"))),""))</f>
        <v/>
      </c>
      <c r="R130" s="53">
        <f>IF(OR($F130="",$G130=""),"",IF(AND(R$5&lt;=$G130,R$5+6&gt;=$F130),IF($H130="Complétée","F",IF(OR($H130="En cours",$H130="En revue"),"E",IF($H130="Bloquée","B","P"))),""))</f>
        <v/>
      </c>
      <c r="S130" s="53">
        <f>IF(OR($F130="",$G130=""),"",IF(AND(S$5&lt;=$G130,S$5+6&gt;=$F130),IF($H130="Complétée","F",IF(OR($H130="En cours",$H130="En revue"),"E",IF($H130="Bloquée","B","P"))),""))</f>
        <v/>
      </c>
      <c r="T130" s="53">
        <f>IF(OR($F130="",$G130=""),"",IF(AND(T$5&lt;=$G130,T$5+6&gt;=$F130),IF($H130="Complétée","F",IF(OR($H130="En cours",$H130="En revue"),"E",IF($H130="Bloquée","B","P"))),""))</f>
        <v/>
      </c>
      <c r="U130" s="53">
        <f>IF(OR($F130="",$G130=""),"",IF(AND(U$5&lt;=$G130,U$5+6&gt;=$F130),IF($H130="Complétée","F",IF(OR($H130="En cours",$H130="En revue"),"E",IF($H130="Bloquée","B","P"))),""))</f>
        <v/>
      </c>
      <c r="V130" s="53">
        <f>IF(OR($F130="",$G130=""),"",IF(AND(V$5&lt;=$G130,V$5+6&gt;=$F130),IF($H130="Complétée","F",IF(OR($H130="En cours",$H130="En revue"),"E",IF($H130="Bloquée","B","P"))),""))</f>
        <v/>
      </c>
      <c r="W130" s="53">
        <f>IF(OR($F130="",$G130=""),"",IF(AND(W$5&lt;=$G130,W$5+6&gt;=$F130),IF($H130="Complétée","F",IF(OR($H130="En cours",$H130="En revue"),"E",IF($H130="Bloquée","B","P"))),""))</f>
        <v/>
      </c>
      <c r="X130" s="53">
        <f>IF(OR($F130="",$G130=""),"",IF(AND(X$5&lt;=$G130,X$5+6&gt;=$F130),IF($H130="Complétée","F",IF(OR($H130="En cours",$H130="En revue"),"E",IF($H130="Bloquée","B","P"))),""))</f>
        <v/>
      </c>
      <c r="Y130" s="53">
        <f>IF(OR($F130="",$G130=""),"",IF(AND(Y$5&lt;=$G130,Y$5+6&gt;=$F130),IF($H130="Complétée","F",IF(OR($H130="En cours",$H130="En revue"),"E",IF($H130="Bloquée","B","P"))),""))</f>
        <v/>
      </c>
      <c r="Z130" s="53">
        <f>IF(OR($F130="",$G130=""),"",IF(AND(Z$5&lt;=$G130,Z$5+6&gt;=$F130),IF($H130="Complétée","F",IF(OR($H130="En cours",$H130="En revue"),"E",IF($H130="Bloquée","B","P"))),""))</f>
        <v/>
      </c>
      <c r="AA130" s="53">
        <f>IF(OR($F130="",$G130=""),"",IF(AND(AA$5&lt;=$G130,AA$5+6&gt;=$F130),IF($H130="Complétée","F",IF(OR($H130="En cours",$H130="En revue"),"E",IF($H130="Bloquée","B","P"))),""))</f>
        <v/>
      </c>
      <c r="AB130" s="53">
        <f>IF(OR($F130="",$G130=""),"",IF(AND(AB$5&lt;=$G130,AB$5+6&gt;=$F130),IF($H130="Complétée","F",IF(OR($H130="En cours",$H130="En revue"),"E",IF($H130="Bloquée","B","P"))),""))</f>
        <v/>
      </c>
      <c r="AC130" s="53">
        <f>IF(OR($F130="",$G130=""),"",IF(AND(AC$5&lt;=$G130,AC$5+6&gt;=$F130),IF($H130="Complétée","F",IF(OR($H130="En cours",$H130="En revue"),"E",IF($H130="Bloquée","B","P"))),""))</f>
        <v/>
      </c>
      <c r="AD130" s="53">
        <f>IF(OR($F130="",$G130=""),"",IF(AND(AD$5&lt;=$G130,AD$5+6&gt;=$F130),IF($H130="Complétée","F",IF(OR($H130="En cours",$H130="En revue"),"E",IF($H130="Bloquée","B","P"))),""))</f>
        <v/>
      </c>
      <c r="AE130" s="53">
        <f>IF(OR($F130="",$G130=""),"",IF(AND(AE$5&lt;=$G130,AE$5+6&gt;=$F130),IF($H130="Complétée","F",IF(OR($H130="En cours",$H130="En revue"),"E",IF($H130="Bloquée","B","P"))),""))</f>
        <v/>
      </c>
      <c r="AF130" s="53">
        <f>IF(OR($F130="",$G130=""),"",IF(AND(AF$5&lt;=$G130,AF$5+6&gt;=$F130),IF($H130="Complétée","F",IF(OR($H130="En cours",$H130="En revue"),"E",IF($H130="Bloquée","B","P"))),""))</f>
        <v/>
      </c>
      <c r="AG130" s="53">
        <f>IF(OR($F130="",$G130=""),"",IF(AND(AG$5&lt;=$G130,AG$5+6&gt;=$F130),IF($H130="Complétée","F",IF(OR($H130="En cours",$H130="En revue"),"E",IF($H130="Bloquée","B","P"))),""))</f>
        <v/>
      </c>
      <c r="AH130" s="53">
        <f>IF(OR($F130="",$G130=""),"",IF(AND(AH$5&lt;=$G130,AH$5+6&gt;=$F130),IF($H130="Complétée","F",IF(OR($H130="En cours",$H130="En revue"),"E",IF($H130="Bloquée","B","P"))),""))</f>
        <v/>
      </c>
      <c r="AI130" s="53">
        <f>IF(OR($F130="",$G130=""),"",IF(AND(AI$5&lt;=$G130,AI$5+6&gt;=$F130),IF($H130="Complétée","F",IF(OR($H130="En cours",$H130="En revue"),"E",IF($H130="Bloquée","B","P"))),""))</f>
        <v/>
      </c>
      <c r="AJ130" s="53">
        <f>IF(OR($F130="",$G130=""),"",IF(AND(AJ$5&lt;=$G130,AJ$5+6&gt;=$F130),IF($H130="Complétée","F",IF(OR($H130="En cours",$H130="En revue"),"E",IF($H130="Bloquée","B","P"))),""))</f>
        <v/>
      </c>
      <c r="AK130" s="53">
        <f>IF(OR($F130="",$G130=""),"",IF(AND(AK$5&lt;=$G130,AK$5+6&gt;=$F130),IF($H130="Complétée","F",IF(OR($H130="En cours",$H130="En revue"),"E",IF($H130="Bloquée","B","P"))),""))</f>
        <v/>
      </c>
      <c r="AL130" s="53">
        <f>IF(OR($F130="",$G130=""),"",IF(AND(AL$5&lt;=$G130,AL$5+6&gt;=$F130),IF($H130="Complétée","F",IF(OR($H130="En cours",$H130="En revue"),"E",IF($H130="Bloquée","B","P"))),""))</f>
        <v/>
      </c>
      <c r="AM130" s="53">
        <f>IF(OR($F130="",$G130=""),"",IF(AND(AM$5&lt;=$G130,AM$5+6&gt;=$F130),IF($H130="Complétée","F",IF(OR($H130="En cours",$H130="En revue"),"E",IF($H130="Bloquée","B","P"))),""))</f>
        <v/>
      </c>
      <c r="AN130" s="53">
        <f>IF(OR($F130="",$G130=""),"",IF(AND(AN$5&lt;=$G130,AN$5+6&gt;=$F130),IF($H130="Complétée","F",IF(OR($H130="En cours",$H130="En revue"),"E",IF($H130="Bloquée","B","P"))),""))</f>
        <v/>
      </c>
      <c r="AO130" s="53">
        <f>IF(OR($F130="",$G130=""),"",IF(AND(AO$5&lt;=$G130,AO$5+6&gt;=$F130),IF($H130="Complétée","F",IF(OR($H130="En cours",$H130="En revue"),"E",IF($H130="Bloquée","B","P"))),""))</f>
        <v/>
      </c>
      <c r="AP130" s="53">
        <f>IF(OR($F130="",$G130=""),"",IF(AND(AP$5&lt;=$G130,AP$5+6&gt;=$F130),IF($H130="Complétée","F",IF(OR($H130="En cours",$H130="En revue"),"E",IF($H130="Bloquée","B","P"))),""))</f>
        <v/>
      </c>
      <c r="AQ130" s="53">
        <f>IF(OR($F130="",$G130=""),"",IF(AND(AQ$5&lt;=$G130,AQ$5+6&gt;=$F130),IF($H130="Complétée","F",IF(OR($H130="En cours",$H130="En revue"),"E",IF($H130="Bloquée","B","P"))),""))</f>
        <v/>
      </c>
      <c r="AR130" s="53">
        <f>IF(OR($F130="",$G130=""),"",IF(AND(AR$5&lt;=$G130,AR$5+6&gt;=$F130),IF($H130="Complétée","F",IF(OR($H130="En cours",$H130="En revue"),"E",IF($H130="Bloquée","B","P"))),""))</f>
        <v/>
      </c>
      <c r="AS130" s="53">
        <f>IF(OR($F130="",$G130=""),"",IF(AND(AS$5&lt;=$G130,AS$5+6&gt;=$F130),IF($H130="Complétée","F",IF(OR($H130="En cours",$H130="En revue"),"E",IF($H130="Bloquée","B","P"))),""))</f>
        <v/>
      </c>
      <c r="AT130" s="53">
        <f>IF(OR($F130="",$G130=""),"",IF(AND(AT$5&lt;=$G130,AT$5+6&gt;=$F130),IF($H130="Complétée","F",IF(OR($H130="En cours",$H130="En revue"),"E",IF($H130="Bloquée","B","P"))),""))</f>
        <v/>
      </c>
      <c r="AU130" s="53">
        <f>IF(OR($F130="",$G130=""),"",IF(AND(AU$5&lt;=$G130,AU$5+6&gt;=$F130),IF($H130="Complétée","F",IF(OR($H130="En cours",$H130="En revue"),"E",IF($H130="Bloquée","B","P"))),""))</f>
        <v/>
      </c>
      <c r="AV130" s="53">
        <f>IF(OR($F130="",$G130=""),"",IF(AND(AV$5&lt;=$G130,AV$5+6&gt;=$F130),IF($H130="Complétée","F",IF(OR($H130="En cours",$H130="En revue"),"E",IF($H130="Bloquée","B","P"))),""))</f>
        <v/>
      </c>
      <c r="AW130" s="53">
        <f>IF(OR($F130="",$G130=""),"",IF(AND(AW$5&lt;=$G130,AW$5+6&gt;=$F130),IF($H130="Complétée","F",IF(OR($H130="En cours",$H130="En revue"),"E",IF($H130="Bloquée","B","P"))),""))</f>
        <v/>
      </c>
    </row>
    <row r="131">
      <c r="B131" s="50">
        <f>IF(Taches!B131="","",Taches!B131)</f>
        <v/>
      </c>
      <c r="C131" s="51">
        <f>IF(Taches!B131="","",Taches!F131)</f>
        <v/>
      </c>
      <c r="D131" s="50">
        <f>IF(Taches!B131="","",Taches!C131)</f>
        <v/>
      </c>
      <c r="E131" s="50">
        <f>IF(Taches!B131="","",Taches!D131)</f>
        <v/>
      </c>
      <c r="F131" s="52">
        <f>IF(Taches!P131="","",Taches!P131)</f>
        <v/>
      </c>
      <c r="G131" s="52">
        <f>IF(Taches!Q131="","",Taches!Q131)</f>
        <v/>
      </c>
      <c r="H131" s="50">
        <f>IF(Taches!B131="","",Taches!J131)</f>
        <v/>
      </c>
      <c r="I131" s="53">
        <f>IF(OR($F131="",$G131=""),"",IF(AND(I$5&lt;=$G131,I$5+6&gt;=$F131),IF($H131="Complétée","F",IF(OR($H131="En cours",$H131="En revue"),"E",IF($H131="Bloquée","B","P"))),""))</f>
        <v/>
      </c>
      <c r="J131" s="53">
        <f>IF(OR($F131="",$G131=""),"",IF(AND(J$5&lt;=$G131,J$5+6&gt;=$F131),IF($H131="Complétée","F",IF(OR($H131="En cours",$H131="En revue"),"E",IF($H131="Bloquée","B","P"))),""))</f>
        <v/>
      </c>
      <c r="K131" s="53">
        <f>IF(OR($F131="",$G131=""),"",IF(AND(K$5&lt;=$G131,K$5+6&gt;=$F131),IF($H131="Complétée","F",IF(OR($H131="En cours",$H131="En revue"),"E",IF($H131="Bloquée","B","P"))),""))</f>
        <v/>
      </c>
      <c r="L131" s="53">
        <f>IF(OR($F131="",$G131=""),"",IF(AND(L$5&lt;=$G131,L$5+6&gt;=$F131),IF($H131="Complétée","F",IF(OR($H131="En cours",$H131="En revue"),"E",IF($H131="Bloquée","B","P"))),""))</f>
        <v/>
      </c>
      <c r="M131" s="53">
        <f>IF(OR($F131="",$G131=""),"",IF(AND(M$5&lt;=$G131,M$5+6&gt;=$F131),IF($H131="Complétée","F",IF(OR($H131="En cours",$H131="En revue"),"E",IF($H131="Bloquée","B","P"))),""))</f>
        <v/>
      </c>
      <c r="N131" s="53">
        <f>IF(OR($F131="",$G131=""),"",IF(AND(N$5&lt;=$G131,N$5+6&gt;=$F131),IF($H131="Complétée","F",IF(OR($H131="En cours",$H131="En revue"),"E",IF($H131="Bloquée","B","P"))),""))</f>
        <v/>
      </c>
      <c r="O131" s="53">
        <f>IF(OR($F131="",$G131=""),"",IF(AND(O$5&lt;=$G131,O$5+6&gt;=$F131),IF($H131="Complétée","F",IF(OR($H131="En cours",$H131="En revue"),"E",IF($H131="Bloquée","B","P"))),""))</f>
        <v/>
      </c>
      <c r="P131" s="53">
        <f>IF(OR($F131="",$G131=""),"",IF(AND(P$5&lt;=$G131,P$5+6&gt;=$F131),IF($H131="Complétée","F",IF(OR($H131="En cours",$H131="En revue"),"E",IF($H131="Bloquée","B","P"))),""))</f>
        <v/>
      </c>
      <c r="Q131" s="53">
        <f>IF(OR($F131="",$G131=""),"",IF(AND(Q$5&lt;=$G131,Q$5+6&gt;=$F131),IF($H131="Complétée","F",IF(OR($H131="En cours",$H131="En revue"),"E",IF($H131="Bloquée","B","P"))),""))</f>
        <v/>
      </c>
      <c r="R131" s="53">
        <f>IF(OR($F131="",$G131=""),"",IF(AND(R$5&lt;=$G131,R$5+6&gt;=$F131),IF($H131="Complétée","F",IF(OR($H131="En cours",$H131="En revue"),"E",IF($H131="Bloquée","B","P"))),""))</f>
        <v/>
      </c>
      <c r="S131" s="53">
        <f>IF(OR($F131="",$G131=""),"",IF(AND(S$5&lt;=$G131,S$5+6&gt;=$F131),IF($H131="Complétée","F",IF(OR($H131="En cours",$H131="En revue"),"E",IF($H131="Bloquée","B","P"))),""))</f>
        <v/>
      </c>
      <c r="T131" s="53">
        <f>IF(OR($F131="",$G131=""),"",IF(AND(T$5&lt;=$G131,T$5+6&gt;=$F131),IF($H131="Complétée","F",IF(OR($H131="En cours",$H131="En revue"),"E",IF($H131="Bloquée","B","P"))),""))</f>
        <v/>
      </c>
      <c r="U131" s="53">
        <f>IF(OR($F131="",$G131=""),"",IF(AND(U$5&lt;=$G131,U$5+6&gt;=$F131),IF($H131="Complétée","F",IF(OR($H131="En cours",$H131="En revue"),"E",IF($H131="Bloquée","B","P"))),""))</f>
        <v/>
      </c>
      <c r="V131" s="53">
        <f>IF(OR($F131="",$G131=""),"",IF(AND(V$5&lt;=$G131,V$5+6&gt;=$F131),IF($H131="Complétée","F",IF(OR($H131="En cours",$H131="En revue"),"E",IF($H131="Bloquée","B","P"))),""))</f>
        <v/>
      </c>
      <c r="W131" s="53">
        <f>IF(OR($F131="",$G131=""),"",IF(AND(W$5&lt;=$G131,W$5+6&gt;=$F131),IF($H131="Complétée","F",IF(OR($H131="En cours",$H131="En revue"),"E",IF($H131="Bloquée","B","P"))),""))</f>
        <v/>
      </c>
      <c r="X131" s="53">
        <f>IF(OR($F131="",$G131=""),"",IF(AND(X$5&lt;=$G131,X$5+6&gt;=$F131),IF($H131="Complétée","F",IF(OR($H131="En cours",$H131="En revue"),"E",IF($H131="Bloquée","B","P"))),""))</f>
        <v/>
      </c>
      <c r="Y131" s="53">
        <f>IF(OR($F131="",$G131=""),"",IF(AND(Y$5&lt;=$G131,Y$5+6&gt;=$F131),IF($H131="Complétée","F",IF(OR($H131="En cours",$H131="En revue"),"E",IF($H131="Bloquée","B","P"))),""))</f>
        <v/>
      </c>
      <c r="Z131" s="53">
        <f>IF(OR($F131="",$G131=""),"",IF(AND(Z$5&lt;=$G131,Z$5+6&gt;=$F131),IF($H131="Complétée","F",IF(OR($H131="En cours",$H131="En revue"),"E",IF($H131="Bloquée","B","P"))),""))</f>
        <v/>
      </c>
      <c r="AA131" s="53">
        <f>IF(OR($F131="",$G131=""),"",IF(AND(AA$5&lt;=$G131,AA$5+6&gt;=$F131),IF($H131="Complétée","F",IF(OR($H131="En cours",$H131="En revue"),"E",IF($H131="Bloquée","B","P"))),""))</f>
        <v/>
      </c>
      <c r="AB131" s="53">
        <f>IF(OR($F131="",$G131=""),"",IF(AND(AB$5&lt;=$G131,AB$5+6&gt;=$F131),IF($H131="Complétée","F",IF(OR($H131="En cours",$H131="En revue"),"E",IF($H131="Bloquée","B","P"))),""))</f>
        <v/>
      </c>
      <c r="AC131" s="53">
        <f>IF(OR($F131="",$G131=""),"",IF(AND(AC$5&lt;=$G131,AC$5+6&gt;=$F131),IF($H131="Complétée","F",IF(OR($H131="En cours",$H131="En revue"),"E",IF($H131="Bloquée","B","P"))),""))</f>
        <v/>
      </c>
      <c r="AD131" s="53">
        <f>IF(OR($F131="",$G131=""),"",IF(AND(AD$5&lt;=$G131,AD$5+6&gt;=$F131),IF($H131="Complétée","F",IF(OR($H131="En cours",$H131="En revue"),"E",IF($H131="Bloquée","B","P"))),""))</f>
        <v/>
      </c>
      <c r="AE131" s="53">
        <f>IF(OR($F131="",$G131=""),"",IF(AND(AE$5&lt;=$G131,AE$5+6&gt;=$F131),IF($H131="Complétée","F",IF(OR($H131="En cours",$H131="En revue"),"E",IF($H131="Bloquée","B","P"))),""))</f>
        <v/>
      </c>
      <c r="AF131" s="53">
        <f>IF(OR($F131="",$G131=""),"",IF(AND(AF$5&lt;=$G131,AF$5+6&gt;=$F131),IF($H131="Complétée","F",IF(OR($H131="En cours",$H131="En revue"),"E",IF($H131="Bloquée","B","P"))),""))</f>
        <v/>
      </c>
      <c r="AG131" s="53">
        <f>IF(OR($F131="",$G131=""),"",IF(AND(AG$5&lt;=$G131,AG$5+6&gt;=$F131),IF($H131="Complétée","F",IF(OR($H131="En cours",$H131="En revue"),"E",IF($H131="Bloquée","B","P"))),""))</f>
        <v/>
      </c>
      <c r="AH131" s="53">
        <f>IF(OR($F131="",$G131=""),"",IF(AND(AH$5&lt;=$G131,AH$5+6&gt;=$F131),IF($H131="Complétée","F",IF(OR($H131="En cours",$H131="En revue"),"E",IF($H131="Bloquée","B","P"))),""))</f>
        <v/>
      </c>
      <c r="AI131" s="53">
        <f>IF(OR($F131="",$G131=""),"",IF(AND(AI$5&lt;=$G131,AI$5+6&gt;=$F131),IF($H131="Complétée","F",IF(OR($H131="En cours",$H131="En revue"),"E",IF($H131="Bloquée","B","P"))),""))</f>
        <v/>
      </c>
      <c r="AJ131" s="53">
        <f>IF(OR($F131="",$G131=""),"",IF(AND(AJ$5&lt;=$G131,AJ$5+6&gt;=$F131),IF($H131="Complétée","F",IF(OR($H131="En cours",$H131="En revue"),"E",IF($H131="Bloquée","B","P"))),""))</f>
        <v/>
      </c>
      <c r="AK131" s="53">
        <f>IF(OR($F131="",$G131=""),"",IF(AND(AK$5&lt;=$G131,AK$5+6&gt;=$F131),IF($H131="Complétée","F",IF(OR($H131="En cours",$H131="En revue"),"E",IF($H131="Bloquée","B","P"))),""))</f>
        <v/>
      </c>
      <c r="AL131" s="53">
        <f>IF(OR($F131="",$G131=""),"",IF(AND(AL$5&lt;=$G131,AL$5+6&gt;=$F131),IF($H131="Complétée","F",IF(OR($H131="En cours",$H131="En revue"),"E",IF($H131="Bloquée","B","P"))),""))</f>
        <v/>
      </c>
      <c r="AM131" s="53">
        <f>IF(OR($F131="",$G131=""),"",IF(AND(AM$5&lt;=$G131,AM$5+6&gt;=$F131),IF($H131="Complétée","F",IF(OR($H131="En cours",$H131="En revue"),"E",IF($H131="Bloquée","B","P"))),""))</f>
        <v/>
      </c>
      <c r="AN131" s="53">
        <f>IF(OR($F131="",$G131=""),"",IF(AND(AN$5&lt;=$G131,AN$5+6&gt;=$F131),IF($H131="Complétée","F",IF(OR($H131="En cours",$H131="En revue"),"E",IF($H131="Bloquée","B","P"))),""))</f>
        <v/>
      </c>
      <c r="AO131" s="53">
        <f>IF(OR($F131="",$G131=""),"",IF(AND(AO$5&lt;=$G131,AO$5+6&gt;=$F131),IF($H131="Complétée","F",IF(OR($H131="En cours",$H131="En revue"),"E",IF($H131="Bloquée","B","P"))),""))</f>
        <v/>
      </c>
      <c r="AP131" s="53">
        <f>IF(OR($F131="",$G131=""),"",IF(AND(AP$5&lt;=$G131,AP$5+6&gt;=$F131),IF($H131="Complétée","F",IF(OR($H131="En cours",$H131="En revue"),"E",IF($H131="Bloquée","B","P"))),""))</f>
        <v/>
      </c>
      <c r="AQ131" s="53">
        <f>IF(OR($F131="",$G131=""),"",IF(AND(AQ$5&lt;=$G131,AQ$5+6&gt;=$F131),IF($H131="Complétée","F",IF(OR($H131="En cours",$H131="En revue"),"E",IF($H131="Bloquée","B","P"))),""))</f>
        <v/>
      </c>
      <c r="AR131" s="53">
        <f>IF(OR($F131="",$G131=""),"",IF(AND(AR$5&lt;=$G131,AR$5+6&gt;=$F131),IF($H131="Complétée","F",IF(OR($H131="En cours",$H131="En revue"),"E",IF($H131="Bloquée","B","P"))),""))</f>
        <v/>
      </c>
      <c r="AS131" s="53">
        <f>IF(OR($F131="",$G131=""),"",IF(AND(AS$5&lt;=$G131,AS$5+6&gt;=$F131),IF($H131="Complétée","F",IF(OR($H131="En cours",$H131="En revue"),"E",IF($H131="Bloquée","B","P"))),""))</f>
        <v/>
      </c>
      <c r="AT131" s="53">
        <f>IF(OR($F131="",$G131=""),"",IF(AND(AT$5&lt;=$G131,AT$5+6&gt;=$F131),IF($H131="Complétée","F",IF(OR($H131="En cours",$H131="En revue"),"E",IF($H131="Bloquée","B","P"))),""))</f>
        <v/>
      </c>
      <c r="AU131" s="53">
        <f>IF(OR($F131="",$G131=""),"",IF(AND(AU$5&lt;=$G131,AU$5+6&gt;=$F131),IF($H131="Complétée","F",IF(OR($H131="En cours",$H131="En revue"),"E",IF($H131="Bloquée","B","P"))),""))</f>
        <v/>
      </c>
      <c r="AV131" s="53">
        <f>IF(OR($F131="",$G131=""),"",IF(AND(AV$5&lt;=$G131,AV$5+6&gt;=$F131),IF($H131="Complétée","F",IF(OR($H131="En cours",$H131="En revue"),"E",IF($H131="Bloquée","B","P"))),""))</f>
        <v/>
      </c>
      <c r="AW131" s="53">
        <f>IF(OR($F131="",$G131=""),"",IF(AND(AW$5&lt;=$G131,AW$5+6&gt;=$F131),IF($H131="Complétée","F",IF(OR($H131="En cours",$H131="En revue"),"E",IF($H131="Bloquée","B","P"))),""))</f>
        <v/>
      </c>
    </row>
    <row r="132">
      <c r="B132" s="50">
        <f>IF(Taches!B132="","",Taches!B132)</f>
        <v/>
      </c>
      <c r="C132" s="51">
        <f>IF(Taches!B132="","",Taches!F132)</f>
        <v/>
      </c>
      <c r="D132" s="50">
        <f>IF(Taches!B132="","",Taches!C132)</f>
        <v/>
      </c>
      <c r="E132" s="50">
        <f>IF(Taches!B132="","",Taches!D132)</f>
        <v/>
      </c>
      <c r="F132" s="52">
        <f>IF(Taches!P132="","",Taches!P132)</f>
        <v/>
      </c>
      <c r="G132" s="52">
        <f>IF(Taches!Q132="","",Taches!Q132)</f>
        <v/>
      </c>
      <c r="H132" s="50">
        <f>IF(Taches!B132="","",Taches!J132)</f>
        <v/>
      </c>
      <c r="I132" s="53">
        <f>IF(OR($F132="",$G132=""),"",IF(AND(I$5&lt;=$G132,I$5+6&gt;=$F132),IF($H132="Complétée","F",IF(OR($H132="En cours",$H132="En revue"),"E",IF($H132="Bloquée","B","P"))),""))</f>
        <v/>
      </c>
      <c r="J132" s="53">
        <f>IF(OR($F132="",$G132=""),"",IF(AND(J$5&lt;=$G132,J$5+6&gt;=$F132),IF($H132="Complétée","F",IF(OR($H132="En cours",$H132="En revue"),"E",IF($H132="Bloquée","B","P"))),""))</f>
        <v/>
      </c>
      <c r="K132" s="53">
        <f>IF(OR($F132="",$G132=""),"",IF(AND(K$5&lt;=$G132,K$5+6&gt;=$F132),IF($H132="Complétée","F",IF(OR($H132="En cours",$H132="En revue"),"E",IF($H132="Bloquée","B","P"))),""))</f>
        <v/>
      </c>
      <c r="L132" s="53">
        <f>IF(OR($F132="",$G132=""),"",IF(AND(L$5&lt;=$G132,L$5+6&gt;=$F132),IF($H132="Complétée","F",IF(OR($H132="En cours",$H132="En revue"),"E",IF($H132="Bloquée","B","P"))),""))</f>
        <v/>
      </c>
      <c r="M132" s="53">
        <f>IF(OR($F132="",$G132=""),"",IF(AND(M$5&lt;=$G132,M$5+6&gt;=$F132),IF($H132="Complétée","F",IF(OR($H132="En cours",$H132="En revue"),"E",IF($H132="Bloquée","B","P"))),""))</f>
        <v/>
      </c>
      <c r="N132" s="53">
        <f>IF(OR($F132="",$G132=""),"",IF(AND(N$5&lt;=$G132,N$5+6&gt;=$F132),IF($H132="Complétée","F",IF(OR($H132="En cours",$H132="En revue"),"E",IF($H132="Bloquée","B","P"))),""))</f>
        <v/>
      </c>
      <c r="O132" s="53">
        <f>IF(OR($F132="",$G132=""),"",IF(AND(O$5&lt;=$G132,O$5+6&gt;=$F132),IF($H132="Complétée","F",IF(OR($H132="En cours",$H132="En revue"),"E",IF($H132="Bloquée","B","P"))),""))</f>
        <v/>
      </c>
      <c r="P132" s="53">
        <f>IF(OR($F132="",$G132=""),"",IF(AND(P$5&lt;=$G132,P$5+6&gt;=$F132),IF($H132="Complétée","F",IF(OR($H132="En cours",$H132="En revue"),"E",IF($H132="Bloquée","B","P"))),""))</f>
        <v/>
      </c>
      <c r="Q132" s="53">
        <f>IF(OR($F132="",$G132=""),"",IF(AND(Q$5&lt;=$G132,Q$5+6&gt;=$F132),IF($H132="Complétée","F",IF(OR($H132="En cours",$H132="En revue"),"E",IF($H132="Bloquée","B","P"))),""))</f>
        <v/>
      </c>
      <c r="R132" s="53">
        <f>IF(OR($F132="",$G132=""),"",IF(AND(R$5&lt;=$G132,R$5+6&gt;=$F132),IF($H132="Complétée","F",IF(OR($H132="En cours",$H132="En revue"),"E",IF($H132="Bloquée","B","P"))),""))</f>
        <v/>
      </c>
      <c r="S132" s="53">
        <f>IF(OR($F132="",$G132=""),"",IF(AND(S$5&lt;=$G132,S$5+6&gt;=$F132),IF($H132="Complétée","F",IF(OR($H132="En cours",$H132="En revue"),"E",IF($H132="Bloquée","B","P"))),""))</f>
        <v/>
      </c>
      <c r="T132" s="53">
        <f>IF(OR($F132="",$G132=""),"",IF(AND(T$5&lt;=$G132,T$5+6&gt;=$F132),IF($H132="Complétée","F",IF(OR($H132="En cours",$H132="En revue"),"E",IF($H132="Bloquée","B","P"))),""))</f>
        <v/>
      </c>
      <c r="U132" s="53">
        <f>IF(OR($F132="",$G132=""),"",IF(AND(U$5&lt;=$G132,U$5+6&gt;=$F132),IF($H132="Complétée","F",IF(OR($H132="En cours",$H132="En revue"),"E",IF($H132="Bloquée","B","P"))),""))</f>
        <v/>
      </c>
      <c r="V132" s="53">
        <f>IF(OR($F132="",$G132=""),"",IF(AND(V$5&lt;=$G132,V$5+6&gt;=$F132),IF($H132="Complétée","F",IF(OR($H132="En cours",$H132="En revue"),"E",IF($H132="Bloquée","B","P"))),""))</f>
        <v/>
      </c>
      <c r="W132" s="53">
        <f>IF(OR($F132="",$G132=""),"",IF(AND(W$5&lt;=$G132,W$5+6&gt;=$F132),IF($H132="Complétée","F",IF(OR($H132="En cours",$H132="En revue"),"E",IF($H132="Bloquée","B","P"))),""))</f>
        <v/>
      </c>
      <c r="X132" s="53">
        <f>IF(OR($F132="",$G132=""),"",IF(AND(X$5&lt;=$G132,X$5+6&gt;=$F132),IF($H132="Complétée","F",IF(OR($H132="En cours",$H132="En revue"),"E",IF($H132="Bloquée","B","P"))),""))</f>
        <v/>
      </c>
      <c r="Y132" s="53">
        <f>IF(OR($F132="",$G132=""),"",IF(AND(Y$5&lt;=$G132,Y$5+6&gt;=$F132),IF($H132="Complétée","F",IF(OR($H132="En cours",$H132="En revue"),"E",IF($H132="Bloquée","B","P"))),""))</f>
        <v/>
      </c>
      <c r="Z132" s="53">
        <f>IF(OR($F132="",$G132=""),"",IF(AND(Z$5&lt;=$G132,Z$5+6&gt;=$F132),IF($H132="Complétée","F",IF(OR($H132="En cours",$H132="En revue"),"E",IF($H132="Bloquée","B","P"))),""))</f>
        <v/>
      </c>
      <c r="AA132" s="53">
        <f>IF(OR($F132="",$G132=""),"",IF(AND(AA$5&lt;=$G132,AA$5+6&gt;=$F132),IF($H132="Complétée","F",IF(OR($H132="En cours",$H132="En revue"),"E",IF($H132="Bloquée","B","P"))),""))</f>
        <v/>
      </c>
      <c r="AB132" s="53">
        <f>IF(OR($F132="",$G132=""),"",IF(AND(AB$5&lt;=$G132,AB$5+6&gt;=$F132),IF($H132="Complétée","F",IF(OR($H132="En cours",$H132="En revue"),"E",IF($H132="Bloquée","B","P"))),""))</f>
        <v/>
      </c>
      <c r="AC132" s="53">
        <f>IF(OR($F132="",$G132=""),"",IF(AND(AC$5&lt;=$G132,AC$5+6&gt;=$F132),IF($H132="Complétée","F",IF(OR($H132="En cours",$H132="En revue"),"E",IF($H132="Bloquée","B","P"))),""))</f>
        <v/>
      </c>
      <c r="AD132" s="53">
        <f>IF(OR($F132="",$G132=""),"",IF(AND(AD$5&lt;=$G132,AD$5+6&gt;=$F132),IF($H132="Complétée","F",IF(OR($H132="En cours",$H132="En revue"),"E",IF($H132="Bloquée","B","P"))),""))</f>
        <v/>
      </c>
      <c r="AE132" s="53">
        <f>IF(OR($F132="",$G132=""),"",IF(AND(AE$5&lt;=$G132,AE$5+6&gt;=$F132),IF($H132="Complétée","F",IF(OR($H132="En cours",$H132="En revue"),"E",IF($H132="Bloquée","B","P"))),""))</f>
        <v/>
      </c>
      <c r="AF132" s="53">
        <f>IF(OR($F132="",$G132=""),"",IF(AND(AF$5&lt;=$G132,AF$5+6&gt;=$F132),IF($H132="Complétée","F",IF(OR($H132="En cours",$H132="En revue"),"E",IF($H132="Bloquée","B","P"))),""))</f>
        <v/>
      </c>
      <c r="AG132" s="53">
        <f>IF(OR($F132="",$G132=""),"",IF(AND(AG$5&lt;=$G132,AG$5+6&gt;=$F132),IF($H132="Complétée","F",IF(OR($H132="En cours",$H132="En revue"),"E",IF($H132="Bloquée","B","P"))),""))</f>
        <v/>
      </c>
      <c r="AH132" s="53">
        <f>IF(OR($F132="",$G132=""),"",IF(AND(AH$5&lt;=$G132,AH$5+6&gt;=$F132),IF($H132="Complétée","F",IF(OR($H132="En cours",$H132="En revue"),"E",IF($H132="Bloquée","B","P"))),""))</f>
        <v/>
      </c>
      <c r="AI132" s="53">
        <f>IF(OR($F132="",$G132=""),"",IF(AND(AI$5&lt;=$G132,AI$5+6&gt;=$F132),IF($H132="Complétée","F",IF(OR($H132="En cours",$H132="En revue"),"E",IF($H132="Bloquée","B","P"))),""))</f>
        <v/>
      </c>
      <c r="AJ132" s="53">
        <f>IF(OR($F132="",$G132=""),"",IF(AND(AJ$5&lt;=$G132,AJ$5+6&gt;=$F132),IF($H132="Complétée","F",IF(OR($H132="En cours",$H132="En revue"),"E",IF($H132="Bloquée","B","P"))),""))</f>
        <v/>
      </c>
      <c r="AK132" s="53">
        <f>IF(OR($F132="",$G132=""),"",IF(AND(AK$5&lt;=$G132,AK$5+6&gt;=$F132),IF($H132="Complétée","F",IF(OR($H132="En cours",$H132="En revue"),"E",IF($H132="Bloquée","B","P"))),""))</f>
        <v/>
      </c>
      <c r="AL132" s="53">
        <f>IF(OR($F132="",$G132=""),"",IF(AND(AL$5&lt;=$G132,AL$5+6&gt;=$F132),IF($H132="Complétée","F",IF(OR($H132="En cours",$H132="En revue"),"E",IF($H132="Bloquée","B","P"))),""))</f>
        <v/>
      </c>
      <c r="AM132" s="53">
        <f>IF(OR($F132="",$G132=""),"",IF(AND(AM$5&lt;=$G132,AM$5+6&gt;=$F132),IF($H132="Complétée","F",IF(OR($H132="En cours",$H132="En revue"),"E",IF($H132="Bloquée","B","P"))),""))</f>
        <v/>
      </c>
      <c r="AN132" s="53">
        <f>IF(OR($F132="",$G132=""),"",IF(AND(AN$5&lt;=$G132,AN$5+6&gt;=$F132),IF($H132="Complétée","F",IF(OR($H132="En cours",$H132="En revue"),"E",IF($H132="Bloquée","B","P"))),""))</f>
        <v/>
      </c>
      <c r="AO132" s="53">
        <f>IF(OR($F132="",$G132=""),"",IF(AND(AO$5&lt;=$G132,AO$5+6&gt;=$F132),IF($H132="Complétée","F",IF(OR($H132="En cours",$H132="En revue"),"E",IF($H132="Bloquée","B","P"))),""))</f>
        <v/>
      </c>
      <c r="AP132" s="53">
        <f>IF(OR($F132="",$G132=""),"",IF(AND(AP$5&lt;=$G132,AP$5+6&gt;=$F132),IF($H132="Complétée","F",IF(OR($H132="En cours",$H132="En revue"),"E",IF($H132="Bloquée","B","P"))),""))</f>
        <v/>
      </c>
      <c r="AQ132" s="53">
        <f>IF(OR($F132="",$G132=""),"",IF(AND(AQ$5&lt;=$G132,AQ$5+6&gt;=$F132),IF($H132="Complétée","F",IF(OR($H132="En cours",$H132="En revue"),"E",IF($H132="Bloquée","B","P"))),""))</f>
        <v/>
      </c>
      <c r="AR132" s="53">
        <f>IF(OR($F132="",$G132=""),"",IF(AND(AR$5&lt;=$G132,AR$5+6&gt;=$F132),IF($H132="Complétée","F",IF(OR($H132="En cours",$H132="En revue"),"E",IF($H132="Bloquée","B","P"))),""))</f>
        <v/>
      </c>
      <c r="AS132" s="53">
        <f>IF(OR($F132="",$G132=""),"",IF(AND(AS$5&lt;=$G132,AS$5+6&gt;=$F132),IF($H132="Complétée","F",IF(OR($H132="En cours",$H132="En revue"),"E",IF($H132="Bloquée","B","P"))),""))</f>
        <v/>
      </c>
      <c r="AT132" s="53">
        <f>IF(OR($F132="",$G132=""),"",IF(AND(AT$5&lt;=$G132,AT$5+6&gt;=$F132),IF($H132="Complétée","F",IF(OR($H132="En cours",$H132="En revue"),"E",IF($H132="Bloquée","B","P"))),""))</f>
        <v/>
      </c>
      <c r="AU132" s="53">
        <f>IF(OR($F132="",$G132=""),"",IF(AND(AU$5&lt;=$G132,AU$5+6&gt;=$F132),IF($H132="Complétée","F",IF(OR($H132="En cours",$H132="En revue"),"E",IF($H132="Bloquée","B","P"))),""))</f>
        <v/>
      </c>
      <c r="AV132" s="53">
        <f>IF(OR($F132="",$G132=""),"",IF(AND(AV$5&lt;=$G132,AV$5+6&gt;=$F132),IF($H132="Complétée","F",IF(OR($H132="En cours",$H132="En revue"),"E",IF($H132="Bloquée","B","P"))),""))</f>
        <v/>
      </c>
      <c r="AW132" s="53">
        <f>IF(OR($F132="",$G132=""),"",IF(AND(AW$5&lt;=$G132,AW$5+6&gt;=$F132),IF($H132="Complétée","F",IF(OR($H132="En cours",$H132="En revue"),"E",IF($H132="Bloquée","B","P"))),""))</f>
        <v/>
      </c>
    </row>
    <row r="133">
      <c r="B133" s="50">
        <f>IF(Taches!B133="","",Taches!B133)</f>
        <v/>
      </c>
      <c r="C133" s="51">
        <f>IF(Taches!B133="","",Taches!F133)</f>
        <v/>
      </c>
      <c r="D133" s="50">
        <f>IF(Taches!B133="","",Taches!C133)</f>
        <v/>
      </c>
      <c r="E133" s="50">
        <f>IF(Taches!B133="","",Taches!D133)</f>
        <v/>
      </c>
      <c r="F133" s="52">
        <f>IF(Taches!P133="","",Taches!P133)</f>
        <v/>
      </c>
      <c r="G133" s="52">
        <f>IF(Taches!Q133="","",Taches!Q133)</f>
        <v/>
      </c>
      <c r="H133" s="50">
        <f>IF(Taches!B133="","",Taches!J133)</f>
        <v/>
      </c>
      <c r="I133" s="53">
        <f>IF(OR($F133="",$G133=""),"",IF(AND(I$5&lt;=$G133,I$5+6&gt;=$F133),IF($H133="Complétée","F",IF(OR($H133="En cours",$H133="En revue"),"E",IF($H133="Bloquée","B","P"))),""))</f>
        <v/>
      </c>
      <c r="J133" s="53">
        <f>IF(OR($F133="",$G133=""),"",IF(AND(J$5&lt;=$G133,J$5+6&gt;=$F133),IF($H133="Complétée","F",IF(OR($H133="En cours",$H133="En revue"),"E",IF($H133="Bloquée","B","P"))),""))</f>
        <v/>
      </c>
      <c r="K133" s="53">
        <f>IF(OR($F133="",$G133=""),"",IF(AND(K$5&lt;=$G133,K$5+6&gt;=$F133),IF($H133="Complétée","F",IF(OR($H133="En cours",$H133="En revue"),"E",IF($H133="Bloquée","B","P"))),""))</f>
        <v/>
      </c>
      <c r="L133" s="53">
        <f>IF(OR($F133="",$G133=""),"",IF(AND(L$5&lt;=$G133,L$5+6&gt;=$F133),IF($H133="Complétée","F",IF(OR($H133="En cours",$H133="En revue"),"E",IF($H133="Bloquée","B","P"))),""))</f>
        <v/>
      </c>
      <c r="M133" s="53">
        <f>IF(OR($F133="",$G133=""),"",IF(AND(M$5&lt;=$G133,M$5+6&gt;=$F133),IF($H133="Complétée","F",IF(OR($H133="En cours",$H133="En revue"),"E",IF($H133="Bloquée","B","P"))),""))</f>
        <v/>
      </c>
      <c r="N133" s="53">
        <f>IF(OR($F133="",$G133=""),"",IF(AND(N$5&lt;=$G133,N$5+6&gt;=$F133),IF($H133="Complétée","F",IF(OR($H133="En cours",$H133="En revue"),"E",IF($H133="Bloquée","B","P"))),""))</f>
        <v/>
      </c>
      <c r="O133" s="53">
        <f>IF(OR($F133="",$G133=""),"",IF(AND(O$5&lt;=$G133,O$5+6&gt;=$F133),IF($H133="Complétée","F",IF(OR($H133="En cours",$H133="En revue"),"E",IF($H133="Bloquée","B","P"))),""))</f>
        <v/>
      </c>
      <c r="P133" s="53">
        <f>IF(OR($F133="",$G133=""),"",IF(AND(P$5&lt;=$G133,P$5+6&gt;=$F133),IF($H133="Complétée","F",IF(OR($H133="En cours",$H133="En revue"),"E",IF($H133="Bloquée","B","P"))),""))</f>
        <v/>
      </c>
      <c r="Q133" s="53">
        <f>IF(OR($F133="",$G133=""),"",IF(AND(Q$5&lt;=$G133,Q$5+6&gt;=$F133),IF($H133="Complétée","F",IF(OR($H133="En cours",$H133="En revue"),"E",IF($H133="Bloquée","B","P"))),""))</f>
        <v/>
      </c>
      <c r="R133" s="53">
        <f>IF(OR($F133="",$G133=""),"",IF(AND(R$5&lt;=$G133,R$5+6&gt;=$F133),IF($H133="Complétée","F",IF(OR($H133="En cours",$H133="En revue"),"E",IF($H133="Bloquée","B","P"))),""))</f>
        <v/>
      </c>
      <c r="S133" s="53">
        <f>IF(OR($F133="",$G133=""),"",IF(AND(S$5&lt;=$G133,S$5+6&gt;=$F133),IF($H133="Complétée","F",IF(OR($H133="En cours",$H133="En revue"),"E",IF($H133="Bloquée","B","P"))),""))</f>
        <v/>
      </c>
      <c r="T133" s="53">
        <f>IF(OR($F133="",$G133=""),"",IF(AND(T$5&lt;=$G133,T$5+6&gt;=$F133),IF($H133="Complétée","F",IF(OR($H133="En cours",$H133="En revue"),"E",IF($H133="Bloquée","B","P"))),""))</f>
        <v/>
      </c>
      <c r="U133" s="53">
        <f>IF(OR($F133="",$G133=""),"",IF(AND(U$5&lt;=$G133,U$5+6&gt;=$F133),IF($H133="Complétée","F",IF(OR($H133="En cours",$H133="En revue"),"E",IF($H133="Bloquée","B","P"))),""))</f>
        <v/>
      </c>
      <c r="V133" s="53">
        <f>IF(OR($F133="",$G133=""),"",IF(AND(V$5&lt;=$G133,V$5+6&gt;=$F133),IF($H133="Complétée","F",IF(OR($H133="En cours",$H133="En revue"),"E",IF($H133="Bloquée","B","P"))),""))</f>
        <v/>
      </c>
      <c r="W133" s="53">
        <f>IF(OR($F133="",$G133=""),"",IF(AND(W$5&lt;=$G133,W$5+6&gt;=$F133),IF($H133="Complétée","F",IF(OR($H133="En cours",$H133="En revue"),"E",IF($H133="Bloquée","B","P"))),""))</f>
        <v/>
      </c>
      <c r="X133" s="53">
        <f>IF(OR($F133="",$G133=""),"",IF(AND(X$5&lt;=$G133,X$5+6&gt;=$F133),IF($H133="Complétée","F",IF(OR($H133="En cours",$H133="En revue"),"E",IF($H133="Bloquée","B","P"))),""))</f>
        <v/>
      </c>
      <c r="Y133" s="53">
        <f>IF(OR($F133="",$G133=""),"",IF(AND(Y$5&lt;=$G133,Y$5+6&gt;=$F133),IF($H133="Complétée","F",IF(OR($H133="En cours",$H133="En revue"),"E",IF($H133="Bloquée","B","P"))),""))</f>
        <v/>
      </c>
      <c r="Z133" s="53">
        <f>IF(OR($F133="",$G133=""),"",IF(AND(Z$5&lt;=$G133,Z$5+6&gt;=$F133),IF($H133="Complétée","F",IF(OR($H133="En cours",$H133="En revue"),"E",IF($H133="Bloquée","B","P"))),""))</f>
        <v/>
      </c>
      <c r="AA133" s="53">
        <f>IF(OR($F133="",$G133=""),"",IF(AND(AA$5&lt;=$G133,AA$5+6&gt;=$F133),IF($H133="Complétée","F",IF(OR($H133="En cours",$H133="En revue"),"E",IF($H133="Bloquée","B","P"))),""))</f>
        <v/>
      </c>
      <c r="AB133" s="53">
        <f>IF(OR($F133="",$G133=""),"",IF(AND(AB$5&lt;=$G133,AB$5+6&gt;=$F133),IF($H133="Complétée","F",IF(OR($H133="En cours",$H133="En revue"),"E",IF($H133="Bloquée","B","P"))),""))</f>
        <v/>
      </c>
      <c r="AC133" s="53">
        <f>IF(OR($F133="",$G133=""),"",IF(AND(AC$5&lt;=$G133,AC$5+6&gt;=$F133),IF($H133="Complétée","F",IF(OR($H133="En cours",$H133="En revue"),"E",IF($H133="Bloquée","B","P"))),""))</f>
        <v/>
      </c>
      <c r="AD133" s="53">
        <f>IF(OR($F133="",$G133=""),"",IF(AND(AD$5&lt;=$G133,AD$5+6&gt;=$F133),IF($H133="Complétée","F",IF(OR($H133="En cours",$H133="En revue"),"E",IF($H133="Bloquée","B","P"))),""))</f>
        <v/>
      </c>
      <c r="AE133" s="53">
        <f>IF(OR($F133="",$G133=""),"",IF(AND(AE$5&lt;=$G133,AE$5+6&gt;=$F133),IF($H133="Complétée","F",IF(OR($H133="En cours",$H133="En revue"),"E",IF($H133="Bloquée","B","P"))),""))</f>
        <v/>
      </c>
      <c r="AF133" s="53">
        <f>IF(OR($F133="",$G133=""),"",IF(AND(AF$5&lt;=$G133,AF$5+6&gt;=$F133),IF($H133="Complétée","F",IF(OR($H133="En cours",$H133="En revue"),"E",IF($H133="Bloquée","B","P"))),""))</f>
        <v/>
      </c>
      <c r="AG133" s="53">
        <f>IF(OR($F133="",$G133=""),"",IF(AND(AG$5&lt;=$G133,AG$5+6&gt;=$F133),IF($H133="Complétée","F",IF(OR($H133="En cours",$H133="En revue"),"E",IF($H133="Bloquée","B","P"))),""))</f>
        <v/>
      </c>
      <c r="AH133" s="53">
        <f>IF(OR($F133="",$G133=""),"",IF(AND(AH$5&lt;=$G133,AH$5+6&gt;=$F133),IF($H133="Complétée","F",IF(OR($H133="En cours",$H133="En revue"),"E",IF($H133="Bloquée","B","P"))),""))</f>
        <v/>
      </c>
      <c r="AI133" s="53">
        <f>IF(OR($F133="",$G133=""),"",IF(AND(AI$5&lt;=$G133,AI$5+6&gt;=$F133),IF($H133="Complétée","F",IF(OR($H133="En cours",$H133="En revue"),"E",IF($H133="Bloquée","B","P"))),""))</f>
        <v/>
      </c>
      <c r="AJ133" s="53">
        <f>IF(OR($F133="",$G133=""),"",IF(AND(AJ$5&lt;=$G133,AJ$5+6&gt;=$F133),IF($H133="Complétée","F",IF(OR($H133="En cours",$H133="En revue"),"E",IF($H133="Bloquée","B","P"))),""))</f>
        <v/>
      </c>
      <c r="AK133" s="53">
        <f>IF(OR($F133="",$G133=""),"",IF(AND(AK$5&lt;=$G133,AK$5+6&gt;=$F133),IF($H133="Complétée","F",IF(OR($H133="En cours",$H133="En revue"),"E",IF($H133="Bloquée","B","P"))),""))</f>
        <v/>
      </c>
      <c r="AL133" s="53">
        <f>IF(OR($F133="",$G133=""),"",IF(AND(AL$5&lt;=$G133,AL$5+6&gt;=$F133),IF($H133="Complétée","F",IF(OR($H133="En cours",$H133="En revue"),"E",IF($H133="Bloquée","B","P"))),""))</f>
        <v/>
      </c>
      <c r="AM133" s="53">
        <f>IF(OR($F133="",$G133=""),"",IF(AND(AM$5&lt;=$G133,AM$5+6&gt;=$F133),IF($H133="Complétée","F",IF(OR($H133="En cours",$H133="En revue"),"E",IF($H133="Bloquée","B","P"))),""))</f>
        <v/>
      </c>
      <c r="AN133" s="53">
        <f>IF(OR($F133="",$G133=""),"",IF(AND(AN$5&lt;=$G133,AN$5+6&gt;=$F133),IF($H133="Complétée","F",IF(OR($H133="En cours",$H133="En revue"),"E",IF($H133="Bloquée","B","P"))),""))</f>
        <v/>
      </c>
      <c r="AO133" s="53">
        <f>IF(OR($F133="",$G133=""),"",IF(AND(AO$5&lt;=$G133,AO$5+6&gt;=$F133),IF($H133="Complétée","F",IF(OR($H133="En cours",$H133="En revue"),"E",IF($H133="Bloquée","B","P"))),""))</f>
        <v/>
      </c>
      <c r="AP133" s="53">
        <f>IF(OR($F133="",$G133=""),"",IF(AND(AP$5&lt;=$G133,AP$5+6&gt;=$F133),IF($H133="Complétée","F",IF(OR($H133="En cours",$H133="En revue"),"E",IF($H133="Bloquée","B","P"))),""))</f>
        <v/>
      </c>
      <c r="AQ133" s="53">
        <f>IF(OR($F133="",$G133=""),"",IF(AND(AQ$5&lt;=$G133,AQ$5+6&gt;=$F133),IF($H133="Complétée","F",IF(OR($H133="En cours",$H133="En revue"),"E",IF($H133="Bloquée","B","P"))),""))</f>
        <v/>
      </c>
      <c r="AR133" s="53">
        <f>IF(OR($F133="",$G133=""),"",IF(AND(AR$5&lt;=$G133,AR$5+6&gt;=$F133),IF($H133="Complétée","F",IF(OR($H133="En cours",$H133="En revue"),"E",IF($H133="Bloquée","B","P"))),""))</f>
        <v/>
      </c>
      <c r="AS133" s="53">
        <f>IF(OR($F133="",$G133=""),"",IF(AND(AS$5&lt;=$G133,AS$5+6&gt;=$F133),IF($H133="Complétée","F",IF(OR($H133="En cours",$H133="En revue"),"E",IF($H133="Bloquée","B","P"))),""))</f>
        <v/>
      </c>
      <c r="AT133" s="53">
        <f>IF(OR($F133="",$G133=""),"",IF(AND(AT$5&lt;=$G133,AT$5+6&gt;=$F133),IF($H133="Complétée","F",IF(OR($H133="En cours",$H133="En revue"),"E",IF($H133="Bloquée","B","P"))),""))</f>
        <v/>
      </c>
      <c r="AU133" s="53">
        <f>IF(OR($F133="",$G133=""),"",IF(AND(AU$5&lt;=$G133,AU$5+6&gt;=$F133),IF($H133="Complétée","F",IF(OR($H133="En cours",$H133="En revue"),"E",IF($H133="Bloquée","B","P"))),""))</f>
        <v/>
      </c>
      <c r="AV133" s="53">
        <f>IF(OR($F133="",$G133=""),"",IF(AND(AV$5&lt;=$G133,AV$5+6&gt;=$F133),IF($H133="Complétée","F",IF(OR($H133="En cours",$H133="En revue"),"E",IF($H133="Bloquée","B","P"))),""))</f>
        <v/>
      </c>
      <c r="AW133" s="53">
        <f>IF(OR($F133="",$G133=""),"",IF(AND(AW$5&lt;=$G133,AW$5+6&gt;=$F133),IF($H133="Complétée","F",IF(OR($H133="En cours",$H133="En revue"),"E",IF($H133="Bloquée","B","P"))),""))</f>
        <v/>
      </c>
    </row>
    <row r="134">
      <c r="B134" s="50">
        <f>IF(Taches!B134="","",Taches!B134)</f>
        <v/>
      </c>
      <c r="C134" s="51">
        <f>IF(Taches!B134="","",Taches!F134)</f>
        <v/>
      </c>
      <c r="D134" s="50">
        <f>IF(Taches!B134="","",Taches!C134)</f>
        <v/>
      </c>
      <c r="E134" s="50">
        <f>IF(Taches!B134="","",Taches!D134)</f>
        <v/>
      </c>
      <c r="F134" s="52">
        <f>IF(Taches!P134="","",Taches!P134)</f>
        <v/>
      </c>
      <c r="G134" s="52">
        <f>IF(Taches!Q134="","",Taches!Q134)</f>
        <v/>
      </c>
      <c r="H134" s="50">
        <f>IF(Taches!B134="","",Taches!J134)</f>
        <v/>
      </c>
      <c r="I134" s="53">
        <f>IF(OR($F134="",$G134=""),"",IF(AND(I$5&lt;=$G134,I$5+6&gt;=$F134),IF($H134="Complétée","F",IF(OR($H134="En cours",$H134="En revue"),"E",IF($H134="Bloquée","B","P"))),""))</f>
        <v/>
      </c>
      <c r="J134" s="53">
        <f>IF(OR($F134="",$G134=""),"",IF(AND(J$5&lt;=$G134,J$5+6&gt;=$F134),IF($H134="Complétée","F",IF(OR($H134="En cours",$H134="En revue"),"E",IF($H134="Bloquée","B","P"))),""))</f>
        <v/>
      </c>
      <c r="K134" s="53">
        <f>IF(OR($F134="",$G134=""),"",IF(AND(K$5&lt;=$G134,K$5+6&gt;=$F134),IF($H134="Complétée","F",IF(OR($H134="En cours",$H134="En revue"),"E",IF($H134="Bloquée","B","P"))),""))</f>
        <v/>
      </c>
      <c r="L134" s="53">
        <f>IF(OR($F134="",$G134=""),"",IF(AND(L$5&lt;=$G134,L$5+6&gt;=$F134),IF($H134="Complétée","F",IF(OR($H134="En cours",$H134="En revue"),"E",IF($H134="Bloquée","B","P"))),""))</f>
        <v/>
      </c>
      <c r="M134" s="53">
        <f>IF(OR($F134="",$G134=""),"",IF(AND(M$5&lt;=$G134,M$5+6&gt;=$F134),IF($H134="Complétée","F",IF(OR($H134="En cours",$H134="En revue"),"E",IF($H134="Bloquée","B","P"))),""))</f>
        <v/>
      </c>
      <c r="N134" s="53">
        <f>IF(OR($F134="",$G134=""),"",IF(AND(N$5&lt;=$G134,N$5+6&gt;=$F134),IF($H134="Complétée","F",IF(OR($H134="En cours",$H134="En revue"),"E",IF($H134="Bloquée","B","P"))),""))</f>
        <v/>
      </c>
      <c r="O134" s="53">
        <f>IF(OR($F134="",$G134=""),"",IF(AND(O$5&lt;=$G134,O$5+6&gt;=$F134),IF($H134="Complétée","F",IF(OR($H134="En cours",$H134="En revue"),"E",IF($H134="Bloquée","B","P"))),""))</f>
        <v/>
      </c>
      <c r="P134" s="53">
        <f>IF(OR($F134="",$G134=""),"",IF(AND(P$5&lt;=$G134,P$5+6&gt;=$F134),IF($H134="Complétée","F",IF(OR($H134="En cours",$H134="En revue"),"E",IF($H134="Bloquée","B","P"))),""))</f>
        <v/>
      </c>
      <c r="Q134" s="53">
        <f>IF(OR($F134="",$G134=""),"",IF(AND(Q$5&lt;=$G134,Q$5+6&gt;=$F134),IF($H134="Complétée","F",IF(OR($H134="En cours",$H134="En revue"),"E",IF($H134="Bloquée","B","P"))),""))</f>
        <v/>
      </c>
      <c r="R134" s="53">
        <f>IF(OR($F134="",$G134=""),"",IF(AND(R$5&lt;=$G134,R$5+6&gt;=$F134),IF($H134="Complétée","F",IF(OR($H134="En cours",$H134="En revue"),"E",IF($H134="Bloquée","B","P"))),""))</f>
        <v/>
      </c>
      <c r="S134" s="53">
        <f>IF(OR($F134="",$G134=""),"",IF(AND(S$5&lt;=$G134,S$5+6&gt;=$F134),IF($H134="Complétée","F",IF(OR($H134="En cours",$H134="En revue"),"E",IF($H134="Bloquée","B","P"))),""))</f>
        <v/>
      </c>
      <c r="T134" s="53">
        <f>IF(OR($F134="",$G134=""),"",IF(AND(T$5&lt;=$G134,T$5+6&gt;=$F134),IF($H134="Complétée","F",IF(OR($H134="En cours",$H134="En revue"),"E",IF($H134="Bloquée","B","P"))),""))</f>
        <v/>
      </c>
      <c r="U134" s="53">
        <f>IF(OR($F134="",$G134=""),"",IF(AND(U$5&lt;=$G134,U$5+6&gt;=$F134),IF($H134="Complétée","F",IF(OR($H134="En cours",$H134="En revue"),"E",IF($H134="Bloquée","B","P"))),""))</f>
        <v/>
      </c>
      <c r="V134" s="53">
        <f>IF(OR($F134="",$G134=""),"",IF(AND(V$5&lt;=$G134,V$5+6&gt;=$F134),IF($H134="Complétée","F",IF(OR($H134="En cours",$H134="En revue"),"E",IF($H134="Bloquée","B","P"))),""))</f>
        <v/>
      </c>
      <c r="W134" s="53">
        <f>IF(OR($F134="",$G134=""),"",IF(AND(W$5&lt;=$G134,W$5+6&gt;=$F134),IF($H134="Complétée","F",IF(OR($H134="En cours",$H134="En revue"),"E",IF($H134="Bloquée","B","P"))),""))</f>
        <v/>
      </c>
      <c r="X134" s="53">
        <f>IF(OR($F134="",$G134=""),"",IF(AND(X$5&lt;=$G134,X$5+6&gt;=$F134),IF($H134="Complétée","F",IF(OR($H134="En cours",$H134="En revue"),"E",IF($H134="Bloquée","B","P"))),""))</f>
        <v/>
      </c>
      <c r="Y134" s="53">
        <f>IF(OR($F134="",$G134=""),"",IF(AND(Y$5&lt;=$G134,Y$5+6&gt;=$F134),IF($H134="Complétée","F",IF(OR($H134="En cours",$H134="En revue"),"E",IF($H134="Bloquée","B","P"))),""))</f>
        <v/>
      </c>
      <c r="Z134" s="53">
        <f>IF(OR($F134="",$G134=""),"",IF(AND(Z$5&lt;=$G134,Z$5+6&gt;=$F134),IF($H134="Complétée","F",IF(OR($H134="En cours",$H134="En revue"),"E",IF($H134="Bloquée","B","P"))),""))</f>
        <v/>
      </c>
      <c r="AA134" s="53">
        <f>IF(OR($F134="",$G134=""),"",IF(AND(AA$5&lt;=$G134,AA$5+6&gt;=$F134),IF($H134="Complétée","F",IF(OR($H134="En cours",$H134="En revue"),"E",IF($H134="Bloquée","B","P"))),""))</f>
        <v/>
      </c>
      <c r="AB134" s="53">
        <f>IF(OR($F134="",$G134=""),"",IF(AND(AB$5&lt;=$G134,AB$5+6&gt;=$F134),IF($H134="Complétée","F",IF(OR($H134="En cours",$H134="En revue"),"E",IF($H134="Bloquée","B","P"))),""))</f>
        <v/>
      </c>
      <c r="AC134" s="53">
        <f>IF(OR($F134="",$G134=""),"",IF(AND(AC$5&lt;=$G134,AC$5+6&gt;=$F134),IF($H134="Complétée","F",IF(OR($H134="En cours",$H134="En revue"),"E",IF($H134="Bloquée","B","P"))),""))</f>
        <v/>
      </c>
      <c r="AD134" s="53">
        <f>IF(OR($F134="",$G134=""),"",IF(AND(AD$5&lt;=$G134,AD$5+6&gt;=$F134),IF($H134="Complétée","F",IF(OR($H134="En cours",$H134="En revue"),"E",IF($H134="Bloquée","B","P"))),""))</f>
        <v/>
      </c>
      <c r="AE134" s="53">
        <f>IF(OR($F134="",$G134=""),"",IF(AND(AE$5&lt;=$G134,AE$5+6&gt;=$F134),IF($H134="Complétée","F",IF(OR($H134="En cours",$H134="En revue"),"E",IF($H134="Bloquée","B","P"))),""))</f>
        <v/>
      </c>
      <c r="AF134" s="53">
        <f>IF(OR($F134="",$G134=""),"",IF(AND(AF$5&lt;=$G134,AF$5+6&gt;=$F134),IF($H134="Complétée","F",IF(OR($H134="En cours",$H134="En revue"),"E",IF($H134="Bloquée","B","P"))),""))</f>
        <v/>
      </c>
      <c r="AG134" s="53">
        <f>IF(OR($F134="",$G134=""),"",IF(AND(AG$5&lt;=$G134,AG$5+6&gt;=$F134),IF($H134="Complétée","F",IF(OR($H134="En cours",$H134="En revue"),"E",IF($H134="Bloquée","B","P"))),""))</f>
        <v/>
      </c>
      <c r="AH134" s="53">
        <f>IF(OR($F134="",$G134=""),"",IF(AND(AH$5&lt;=$G134,AH$5+6&gt;=$F134),IF($H134="Complétée","F",IF(OR($H134="En cours",$H134="En revue"),"E",IF($H134="Bloquée","B","P"))),""))</f>
        <v/>
      </c>
      <c r="AI134" s="53">
        <f>IF(OR($F134="",$G134=""),"",IF(AND(AI$5&lt;=$G134,AI$5+6&gt;=$F134),IF($H134="Complétée","F",IF(OR($H134="En cours",$H134="En revue"),"E",IF($H134="Bloquée","B","P"))),""))</f>
        <v/>
      </c>
      <c r="AJ134" s="53">
        <f>IF(OR($F134="",$G134=""),"",IF(AND(AJ$5&lt;=$G134,AJ$5+6&gt;=$F134),IF($H134="Complétée","F",IF(OR($H134="En cours",$H134="En revue"),"E",IF($H134="Bloquée","B","P"))),""))</f>
        <v/>
      </c>
      <c r="AK134" s="53">
        <f>IF(OR($F134="",$G134=""),"",IF(AND(AK$5&lt;=$G134,AK$5+6&gt;=$F134),IF($H134="Complétée","F",IF(OR($H134="En cours",$H134="En revue"),"E",IF($H134="Bloquée","B","P"))),""))</f>
        <v/>
      </c>
      <c r="AL134" s="53">
        <f>IF(OR($F134="",$G134=""),"",IF(AND(AL$5&lt;=$G134,AL$5+6&gt;=$F134),IF($H134="Complétée","F",IF(OR($H134="En cours",$H134="En revue"),"E",IF($H134="Bloquée","B","P"))),""))</f>
        <v/>
      </c>
      <c r="AM134" s="53">
        <f>IF(OR($F134="",$G134=""),"",IF(AND(AM$5&lt;=$G134,AM$5+6&gt;=$F134),IF($H134="Complétée","F",IF(OR($H134="En cours",$H134="En revue"),"E",IF($H134="Bloquée","B","P"))),""))</f>
        <v/>
      </c>
      <c r="AN134" s="53">
        <f>IF(OR($F134="",$G134=""),"",IF(AND(AN$5&lt;=$G134,AN$5+6&gt;=$F134),IF($H134="Complétée","F",IF(OR($H134="En cours",$H134="En revue"),"E",IF($H134="Bloquée","B","P"))),""))</f>
        <v/>
      </c>
      <c r="AO134" s="53">
        <f>IF(OR($F134="",$G134=""),"",IF(AND(AO$5&lt;=$G134,AO$5+6&gt;=$F134),IF($H134="Complétée","F",IF(OR($H134="En cours",$H134="En revue"),"E",IF($H134="Bloquée","B","P"))),""))</f>
        <v/>
      </c>
      <c r="AP134" s="53">
        <f>IF(OR($F134="",$G134=""),"",IF(AND(AP$5&lt;=$G134,AP$5+6&gt;=$F134),IF($H134="Complétée","F",IF(OR($H134="En cours",$H134="En revue"),"E",IF($H134="Bloquée","B","P"))),""))</f>
        <v/>
      </c>
      <c r="AQ134" s="53">
        <f>IF(OR($F134="",$G134=""),"",IF(AND(AQ$5&lt;=$G134,AQ$5+6&gt;=$F134),IF($H134="Complétée","F",IF(OR($H134="En cours",$H134="En revue"),"E",IF($H134="Bloquée","B","P"))),""))</f>
        <v/>
      </c>
      <c r="AR134" s="53">
        <f>IF(OR($F134="",$G134=""),"",IF(AND(AR$5&lt;=$G134,AR$5+6&gt;=$F134),IF($H134="Complétée","F",IF(OR($H134="En cours",$H134="En revue"),"E",IF($H134="Bloquée","B","P"))),""))</f>
        <v/>
      </c>
      <c r="AS134" s="53">
        <f>IF(OR($F134="",$G134=""),"",IF(AND(AS$5&lt;=$G134,AS$5+6&gt;=$F134),IF($H134="Complétée","F",IF(OR($H134="En cours",$H134="En revue"),"E",IF($H134="Bloquée","B","P"))),""))</f>
        <v/>
      </c>
      <c r="AT134" s="53">
        <f>IF(OR($F134="",$G134=""),"",IF(AND(AT$5&lt;=$G134,AT$5+6&gt;=$F134),IF($H134="Complétée","F",IF(OR($H134="En cours",$H134="En revue"),"E",IF($H134="Bloquée","B","P"))),""))</f>
        <v/>
      </c>
      <c r="AU134" s="53">
        <f>IF(OR($F134="",$G134=""),"",IF(AND(AU$5&lt;=$G134,AU$5+6&gt;=$F134),IF($H134="Complétée","F",IF(OR($H134="En cours",$H134="En revue"),"E",IF($H134="Bloquée","B","P"))),""))</f>
        <v/>
      </c>
      <c r="AV134" s="53">
        <f>IF(OR($F134="",$G134=""),"",IF(AND(AV$5&lt;=$G134,AV$5+6&gt;=$F134),IF($H134="Complétée","F",IF(OR($H134="En cours",$H134="En revue"),"E",IF($H134="Bloquée","B","P"))),""))</f>
        <v/>
      </c>
      <c r="AW134" s="53">
        <f>IF(OR($F134="",$G134=""),"",IF(AND(AW$5&lt;=$G134,AW$5+6&gt;=$F134),IF($H134="Complétée","F",IF(OR($H134="En cours",$H134="En revue"),"E",IF($H134="Bloquée","B","P"))),""))</f>
        <v/>
      </c>
    </row>
    <row r="135">
      <c r="B135" s="50">
        <f>IF(Taches!B135="","",Taches!B135)</f>
        <v/>
      </c>
      <c r="C135" s="51">
        <f>IF(Taches!B135="","",Taches!F135)</f>
        <v/>
      </c>
      <c r="D135" s="50">
        <f>IF(Taches!B135="","",Taches!C135)</f>
        <v/>
      </c>
      <c r="E135" s="50">
        <f>IF(Taches!B135="","",Taches!D135)</f>
        <v/>
      </c>
      <c r="F135" s="52">
        <f>IF(Taches!P135="","",Taches!P135)</f>
        <v/>
      </c>
      <c r="G135" s="52">
        <f>IF(Taches!Q135="","",Taches!Q135)</f>
        <v/>
      </c>
      <c r="H135" s="50">
        <f>IF(Taches!B135="","",Taches!J135)</f>
        <v/>
      </c>
      <c r="I135" s="53">
        <f>IF(OR($F135="",$G135=""),"",IF(AND(I$5&lt;=$G135,I$5+6&gt;=$F135),IF($H135="Complétée","F",IF(OR($H135="En cours",$H135="En revue"),"E",IF($H135="Bloquée","B","P"))),""))</f>
        <v/>
      </c>
      <c r="J135" s="53">
        <f>IF(OR($F135="",$G135=""),"",IF(AND(J$5&lt;=$G135,J$5+6&gt;=$F135),IF($H135="Complétée","F",IF(OR($H135="En cours",$H135="En revue"),"E",IF($H135="Bloquée","B","P"))),""))</f>
        <v/>
      </c>
      <c r="K135" s="53">
        <f>IF(OR($F135="",$G135=""),"",IF(AND(K$5&lt;=$G135,K$5+6&gt;=$F135),IF($H135="Complétée","F",IF(OR($H135="En cours",$H135="En revue"),"E",IF($H135="Bloquée","B","P"))),""))</f>
        <v/>
      </c>
      <c r="L135" s="53">
        <f>IF(OR($F135="",$G135=""),"",IF(AND(L$5&lt;=$G135,L$5+6&gt;=$F135),IF($H135="Complétée","F",IF(OR($H135="En cours",$H135="En revue"),"E",IF($H135="Bloquée","B","P"))),""))</f>
        <v/>
      </c>
      <c r="M135" s="53">
        <f>IF(OR($F135="",$G135=""),"",IF(AND(M$5&lt;=$G135,M$5+6&gt;=$F135),IF($H135="Complétée","F",IF(OR($H135="En cours",$H135="En revue"),"E",IF($H135="Bloquée","B","P"))),""))</f>
        <v/>
      </c>
      <c r="N135" s="53">
        <f>IF(OR($F135="",$G135=""),"",IF(AND(N$5&lt;=$G135,N$5+6&gt;=$F135),IF($H135="Complétée","F",IF(OR($H135="En cours",$H135="En revue"),"E",IF($H135="Bloquée","B","P"))),""))</f>
        <v/>
      </c>
      <c r="O135" s="53">
        <f>IF(OR($F135="",$G135=""),"",IF(AND(O$5&lt;=$G135,O$5+6&gt;=$F135),IF($H135="Complétée","F",IF(OR($H135="En cours",$H135="En revue"),"E",IF($H135="Bloquée","B","P"))),""))</f>
        <v/>
      </c>
      <c r="P135" s="53">
        <f>IF(OR($F135="",$G135=""),"",IF(AND(P$5&lt;=$G135,P$5+6&gt;=$F135),IF($H135="Complétée","F",IF(OR($H135="En cours",$H135="En revue"),"E",IF($H135="Bloquée","B","P"))),""))</f>
        <v/>
      </c>
      <c r="Q135" s="53">
        <f>IF(OR($F135="",$G135=""),"",IF(AND(Q$5&lt;=$G135,Q$5+6&gt;=$F135),IF($H135="Complétée","F",IF(OR($H135="En cours",$H135="En revue"),"E",IF($H135="Bloquée","B","P"))),""))</f>
        <v/>
      </c>
      <c r="R135" s="53">
        <f>IF(OR($F135="",$G135=""),"",IF(AND(R$5&lt;=$G135,R$5+6&gt;=$F135),IF($H135="Complétée","F",IF(OR($H135="En cours",$H135="En revue"),"E",IF($H135="Bloquée","B","P"))),""))</f>
        <v/>
      </c>
      <c r="S135" s="53">
        <f>IF(OR($F135="",$G135=""),"",IF(AND(S$5&lt;=$G135,S$5+6&gt;=$F135),IF($H135="Complétée","F",IF(OR($H135="En cours",$H135="En revue"),"E",IF($H135="Bloquée","B","P"))),""))</f>
        <v/>
      </c>
      <c r="T135" s="53">
        <f>IF(OR($F135="",$G135=""),"",IF(AND(T$5&lt;=$G135,T$5+6&gt;=$F135),IF($H135="Complétée","F",IF(OR($H135="En cours",$H135="En revue"),"E",IF($H135="Bloquée","B","P"))),""))</f>
        <v/>
      </c>
      <c r="U135" s="53">
        <f>IF(OR($F135="",$G135=""),"",IF(AND(U$5&lt;=$G135,U$5+6&gt;=$F135),IF($H135="Complétée","F",IF(OR($H135="En cours",$H135="En revue"),"E",IF($H135="Bloquée","B","P"))),""))</f>
        <v/>
      </c>
      <c r="V135" s="53">
        <f>IF(OR($F135="",$G135=""),"",IF(AND(V$5&lt;=$G135,V$5+6&gt;=$F135),IF($H135="Complétée","F",IF(OR($H135="En cours",$H135="En revue"),"E",IF($H135="Bloquée","B","P"))),""))</f>
        <v/>
      </c>
      <c r="W135" s="53">
        <f>IF(OR($F135="",$G135=""),"",IF(AND(W$5&lt;=$G135,W$5+6&gt;=$F135),IF($H135="Complétée","F",IF(OR($H135="En cours",$H135="En revue"),"E",IF($H135="Bloquée","B","P"))),""))</f>
        <v/>
      </c>
      <c r="X135" s="53">
        <f>IF(OR($F135="",$G135=""),"",IF(AND(X$5&lt;=$G135,X$5+6&gt;=$F135),IF($H135="Complétée","F",IF(OR($H135="En cours",$H135="En revue"),"E",IF($H135="Bloquée","B","P"))),""))</f>
        <v/>
      </c>
      <c r="Y135" s="53">
        <f>IF(OR($F135="",$G135=""),"",IF(AND(Y$5&lt;=$G135,Y$5+6&gt;=$F135),IF($H135="Complétée","F",IF(OR($H135="En cours",$H135="En revue"),"E",IF($H135="Bloquée","B","P"))),""))</f>
        <v/>
      </c>
      <c r="Z135" s="53">
        <f>IF(OR($F135="",$G135=""),"",IF(AND(Z$5&lt;=$G135,Z$5+6&gt;=$F135),IF($H135="Complétée","F",IF(OR($H135="En cours",$H135="En revue"),"E",IF($H135="Bloquée","B","P"))),""))</f>
        <v/>
      </c>
      <c r="AA135" s="53">
        <f>IF(OR($F135="",$G135=""),"",IF(AND(AA$5&lt;=$G135,AA$5+6&gt;=$F135),IF($H135="Complétée","F",IF(OR($H135="En cours",$H135="En revue"),"E",IF($H135="Bloquée","B","P"))),""))</f>
        <v/>
      </c>
      <c r="AB135" s="53">
        <f>IF(OR($F135="",$G135=""),"",IF(AND(AB$5&lt;=$G135,AB$5+6&gt;=$F135),IF($H135="Complétée","F",IF(OR($H135="En cours",$H135="En revue"),"E",IF($H135="Bloquée","B","P"))),""))</f>
        <v/>
      </c>
      <c r="AC135" s="53">
        <f>IF(OR($F135="",$G135=""),"",IF(AND(AC$5&lt;=$G135,AC$5+6&gt;=$F135),IF($H135="Complétée","F",IF(OR($H135="En cours",$H135="En revue"),"E",IF($H135="Bloquée","B","P"))),""))</f>
        <v/>
      </c>
      <c r="AD135" s="53">
        <f>IF(OR($F135="",$G135=""),"",IF(AND(AD$5&lt;=$G135,AD$5+6&gt;=$F135),IF($H135="Complétée","F",IF(OR($H135="En cours",$H135="En revue"),"E",IF($H135="Bloquée","B","P"))),""))</f>
        <v/>
      </c>
      <c r="AE135" s="53">
        <f>IF(OR($F135="",$G135=""),"",IF(AND(AE$5&lt;=$G135,AE$5+6&gt;=$F135),IF($H135="Complétée","F",IF(OR($H135="En cours",$H135="En revue"),"E",IF($H135="Bloquée","B","P"))),""))</f>
        <v/>
      </c>
      <c r="AF135" s="53">
        <f>IF(OR($F135="",$G135=""),"",IF(AND(AF$5&lt;=$G135,AF$5+6&gt;=$F135),IF($H135="Complétée","F",IF(OR($H135="En cours",$H135="En revue"),"E",IF($H135="Bloquée","B","P"))),""))</f>
        <v/>
      </c>
      <c r="AG135" s="53">
        <f>IF(OR($F135="",$G135=""),"",IF(AND(AG$5&lt;=$G135,AG$5+6&gt;=$F135),IF($H135="Complétée","F",IF(OR($H135="En cours",$H135="En revue"),"E",IF($H135="Bloquée","B","P"))),""))</f>
        <v/>
      </c>
      <c r="AH135" s="53">
        <f>IF(OR($F135="",$G135=""),"",IF(AND(AH$5&lt;=$G135,AH$5+6&gt;=$F135),IF($H135="Complétée","F",IF(OR($H135="En cours",$H135="En revue"),"E",IF($H135="Bloquée","B","P"))),""))</f>
        <v/>
      </c>
      <c r="AI135" s="53">
        <f>IF(OR($F135="",$G135=""),"",IF(AND(AI$5&lt;=$G135,AI$5+6&gt;=$F135),IF($H135="Complétée","F",IF(OR($H135="En cours",$H135="En revue"),"E",IF($H135="Bloquée","B","P"))),""))</f>
        <v/>
      </c>
      <c r="AJ135" s="53">
        <f>IF(OR($F135="",$G135=""),"",IF(AND(AJ$5&lt;=$G135,AJ$5+6&gt;=$F135),IF($H135="Complétée","F",IF(OR($H135="En cours",$H135="En revue"),"E",IF($H135="Bloquée","B","P"))),""))</f>
        <v/>
      </c>
      <c r="AK135" s="53">
        <f>IF(OR($F135="",$G135=""),"",IF(AND(AK$5&lt;=$G135,AK$5+6&gt;=$F135),IF($H135="Complétée","F",IF(OR($H135="En cours",$H135="En revue"),"E",IF($H135="Bloquée","B","P"))),""))</f>
        <v/>
      </c>
      <c r="AL135" s="53">
        <f>IF(OR($F135="",$G135=""),"",IF(AND(AL$5&lt;=$G135,AL$5+6&gt;=$F135),IF($H135="Complétée","F",IF(OR($H135="En cours",$H135="En revue"),"E",IF($H135="Bloquée","B","P"))),""))</f>
        <v/>
      </c>
      <c r="AM135" s="53">
        <f>IF(OR($F135="",$G135=""),"",IF(AND(AM$5&lt;=$G135,AM$5+6&gt;=$F135),IF($H135="Complétée","F",IF(OR($H135="En cours",$H135="En revue"),"E",IF($H135="Bloquée","B","P"))),""))</f>
        <v/>
      </c>
      <c r="AN135" s="53">
        <f>IF(OR($F135="",$G135=""),"",IF(AND(AN$5&lt;=$G135,AN$5+6&gt;=$F135),IF($H135="Complétée","F",IF(OR($H135="En cours",$H135="En revue"),"E",IF($H135="Bloquée","B","P"))),""))</f>
        <v/>
      </c>
      <c r="AO135" s="53">
        <f>IF(OR($F135="",$G135=""),"",IF(AND(AO$5&lt;=$G135,AO$5+6&gt;=$F135),IF($H135="Complétée","F",IF(OR($H135="En cours",$H135="En revue"),"E",IF($H135="Bloquée","B","P"))),""))</f>
        <v/>
      </c>
      <c r="AP135" s="53">
        <f>IF(OR($F135="",$G135=""),"",IF(AND(AP$5&lt;=$G135,AP$5+6&gt;=$F135),IF($H135="Complétée","F",IF(OR($H135="En cours",$H135="En revue"),"E",IF($H135="Bloquée","B","P"))),""))</f>
        <v/>
      </c>
      <c r="AQ135" s="53">
        <f>IF(OR($F135="",$G135=""),"",IF(AND(AQ$5&lt;=$G135,AQ$5+6&gt;=$F135),IF($H135="Complétée","F",IF(OR($H135="En cours",$H135="En revue"),"E",IF($H135="Bloquée","B","P"))),""))</f>
        <v/>
      </c>
      <c r="AR135" s="53">
        <f>IF(OR($F135="",$G135=""),"",IF(AND(AR$5&lt;=$G135,AR$5+6&gt;=$F135),IF($H135="Complétée","F",IF(OR($H135="En cours",$H135="En revue"),"E",IF($H135="Bloquée","B","P"))),""))</f>
        <v/>
      </c>
      <c r="AS135" s="53">
        <f>IF(OR($F135="",$G135=""),"",IF(AND(AS$5&lt;=$G135,AS$5+6&gt;=$F135),IF($H135="Complétée","F",IF(OR($H135="En cours",$H135="En revue"),"E",IF($H135="Bloquée","B","P"))),""))</f>
        <v/>
      </c>
      <c r="AT135" s="53">
        <f>IF(OR($F135="",$G135=""),"",IF(AND(AT$5&lt;=$G135,AT$5+6&gt;=$F135),IF($H135="Complétée","F",IF(OR($H135="En cours",$H135="En revue"),"E",IF($H135="Bloquée","B","P"))),""))</f>
        <v/>
      </c>
      <c r="AU135" s="53">
        <f>IF(OR($F135="",$G135=""),"",IF(AND(AU$5&lt;=$G135,AU$5+6&gt;=$F135),IF($H135="Complétée","F",IF(OR($H135="En cours",$H135="En revue"),"E",IF($H135="Bloquée","B","P"))),""))</f>
        <v/>
      </c>
      <c r="AV135" s="53">
        <f>IF(OR($F135="",$G135=""),"",IF(AND(AV$5&lt;=$G135,AV$5+6&gt;=$F135),IF($H135="Complétée","F",IF(OR($H135="En cours",$H135="En revue"),"E",IF($H135="Bloquée","B","P"))),""))</f>
        <v/>
      </c>
      <c r="AW135" s="53">
        <f>IF(OR($F135="",$G135=""),"",IF(AND(AW$5&lt;=$G135,AW$5+6&gt;=$F135),IF($H135="Complétée","F",IF(OR($H135="En cours",$H135="En revue"),"E",IF($H135="Bloquée","B","P"))),""))</f>
        <v/>
      </c>
    </row>
    <row r="136">
      <c r="B136" s="50">
        <f>IF(Taches!B136="","",Taches!B136)</f>
        <v/>
      </c>
      <c r="C136" s="51">
        <f>IF(Taches!B136="","",Taches!F136)</f>
        <v/>
      </c>
      <c r="D136" s="50">
        <f>IF(Taches!B136="","",Taches!C136)</f>
        <v/>
      </c>
      <c r="E136" s="50">
        <f>IF(Taches!B136="","",Taches!D136)</f>
        <v/>
      </c>
      <c r="F136" s="52">
        <f>IF(Taches!P136="","",Taches!P136)</f>
        <v/>
      </c>
      <c r="G136" s="52">
        <f>IF(Taches!Q136="","",Taches!Q136)</f>
        <v/>
      </c>
      <c r="H136" s="50">
        <f>IF(Taches!B136="","",Taches!J136)</f>
        <v/>
      </c>
      <c r="I136" s="53">
        <f>IF(OR($F136="",$G136=""),"",IF(AND(I$5&lt;=$G136,I$5+6&gt;=$F136),IF($H136="Complétée","F",IF(OR($H136="En cours",$H136="En revue"),"E",IF($H136="Bloquée","B","P"))),""))</f>
        <v/>
      </c>
      <c r="J136" s="53">
        <f>IF(OR($F136="",$G136=""),"",IF(AND(J$5&lt;=$G136,J$5+6&gt;=$F136),IF($H136="Complétée","F",IF(OR($H136="En cours",$H136="En revue"),"E",IF($H136="Bloquée","B","P"))),""))</f>
        <v/>
      </c>
      <c r="K136" s="53">
        <f>IF(OR($F136="",$G136=""),"",IF(AND(K$5&lt;=$G136,K$5+6&gt;=$F136),IF($H136="Complétée","F",IF(OR($H136="En cours",$H136="En revue"),"E",IF($H136="Bloquée","B","P"))),""))</f>
        <v/>
      </c>
      <c r="L136" s="53">
        <f>IF(OR($F136="",$G136=""),"",IF(AND(L$5&lt;=$G136,L$5+6&gt;=$F136),IF($H136="Complétée","F",IF(OR($H136="En cours",$H136="En revue"),"E",IF($H136="Bloquée","B","P"))),""))</f>
        <v/>
      </c>
      <c r="M136" s="53">
        <f>IF(OR($F136="",$G136=""),"",IF(AND(M$5&lt;=$G136,M$5+6&gt;=$F136),IF($H136="Complétée","F",IF(OR($H136="En cours",$H136="En revue"),"E",IF($H136="Bloquée","B","P"))),""))</f>
        <v/>
      </c>
      <c r="N136" s="53">
        <f>IF(OR($F136="",$G136=""),"",IF(AND(N$5&lt;=$G136,N$5+6&gt;=$F136),IF($H136="Complétée","F",IF(OR($H136="En cours",$H136="En revue"),"E",IF($H136="Bloquée","B","P"))),""))</f>
        <v/>
      </c>
      <c r="O136" s="53">
        <f>IF(OR($F136="",$G136=""),"",IF(AND(O$5&lt;=$G136,O$5+6&gt;=$F136),IF($H136="Complétée","F",IF(OR($H136="En cours",$H136="En revue"),"E",IF($H136="Bloquée","B","P"))),""))</f>
        <v/>
      </c>
      <c r="P136" s="53">
        <f>IF(OR($F136="",$G136=""),"",IF(AND(P$5&lt;=$G136,P$5+6&gt;=$F136),IF($H136="Complétée","F",IF(OR($H136="En cours",$H136="En revue"),"E",IF($H136="Bloquée","B","P"))),""))</f>
        <v/>
      </c>
      <c r="Q136" s="53">
        <f>IF(OR($F136="",$G136=""),"",IF(AND(Q$5&lt;=$G136,Q$5+6&gt;=$F136),IF($H136="Complétée","F",IF(OR($H136="En cours",$H136="En revue"),"E",IF($H136="Bloquée","B","P"))),""))</f>
        <v/>
      </c>
      <c r="R136" s="53">
        <f>IF(OR($F136="",$G136=""),"",IF(AND(R$5&lt;=$G136,R$5+6&gt;=$F136),IF($H136="Complétée","F",IF(OR($H136="En cours",$H136="En revue"),"E",IF($H136="Bloquée","B","P"))),""))</f>
        <v/>
      </c>
      <c r="S136" s="53">
        <f>IF(OR($F136="",$G136=""),"",IF(AND(S$5&lt;=$G136,S$5+6&gt;=$F136),IF($H136="Complétée","F",IF(OR($H136="En cours",$H136="En revue"),"E",IF($H136="Bloquée","B","P"))),""))</f>
        <v/>
      </c>
      <c r="T136" s="53">
        <f>IF(OR($F136="",$G136=""),"",IF(AND(T$5&lt;=$G136,T$5+6&gt;=$F136),IF($H136="Complétée","F",IF(OR($H136="En cours",$H136="En revue"),"E",IF($H136="Bloquée","B","P"))),""))</f>
        <v/>
      </c>
      <c r="U136" s="53">
        <f>IF(OR($F136="",$G136=""),"",IF(AND(U$5&lt;=$G136,U$5+6&gt;=$F136),IF($H136="Complétée","F",IF(OR($H136="En cours",$H136="En revue"),"E",IF($H136="Bloquée","B","P"))),""))</f>
        <v/>
      </c>
      <c r="V136" s="53">
        <f>IF(OR($F136="",$G136=""),"",IF(AND(V$5&lt;=$G136,V$5+6&gt;=$F136),IF($H136="Complétée","F",IF(OR($H136="En cours",$H136="En revue"),"E",IF($H136="Bloquée","B","P"))),""))</f>
        <v/>
      </c>
      <c r="W136" s="53">
        <f>IF(OR($F136="",$G136=""),"",IF(AND(W$5&lt;=$G136,W$5+6&gt;=$F136),IF($H136="Complétée","F",IF(OR($H136="En cours",$H136="En revue"),"E",IF($H136="Bloquée","B","P"))),""))</f>
        <v/>
      </c>
      <c r="X136" s="53">
        <f>IF(OR($F136="",$G136=""),"",IF(AND(X$5&lt;=$G136,X$5+6&gt;=$F136),IF($H136="Complétée","F",IF(OR($H136="En cours",$H136="En revue"),"E",IF($H136="Bloquée","B","P"))),""))</f>
        <v/>
      </c>
      <c r="Y136" s="53">
        <f>IF(OR($F136="",$G136=""),"",IF(AND(Y$5&lt;=$G136,Y$5+6&gt;=$F136),IF($H136="Complétée","F",IF(OR($H136="En cours",$H136="En revue"),"E",IF($H136="Bloquée","B","P"))),""))</f>
        <v/>
      </c>
      <c r="Z136" s="53">
        <f>IF(OR($F136="",$G136=""),"",IF(AND(Z$5&lt;=$G136,Z$5+6&gt;=$F136),IF($H136="Complétée","F",IF(OR($H136="En cours",$H136="En revue"),"E",IF($H136="Bloquée","B","P"))),""))</f>
        <v/>
      </c>
      <c r="AA136" s="53">
        <f>IF(OR($F136="",$G136=""),"",IF(AND(AA$5&lt;=$G136,AA$5+6&gt;=$F136),IF($H136="Complétée","F",IF(OR($H136="En cours",$H136="En revue"),"E",IF($H136="Bloquée","B","P"))),""))</f>
        <v/>
      </c>
      <c r="AB136" s="53">
        <f>IF(OR($F136="",$G136=""),"",IF(AND(AB$5&lt;=$G136,AB$5+6&gt;=$F136),IF($H136="Complétée","F",IF(OR($H136="En cours",$H136="En revue"),"E",IF($H136="Bloquée","B","P"))),""))</f>
        <v/>
      </c>
      <c r="AC136" s="53">
        <f>IF(OR($F136="",$G136=""),"",IF(AND(AC$5&lt;=$G136,AC$5+6&gt;=$F136),IF($H136="Complétée","F",IF(OR($H136="En cours",$H136="En revue"),"E",IF($H136="Bloquée","B","P"))),""))</f>
        <v/>
      </c>
      <c r="AD136" s="53">
        <f>IF(OR($F136="",$G136=""),"",IF(AND(AD$5&lt;=$G136,AD$5+6&gt;=$F136),IF($H136="Complétée","F",IF(OR($H136="En cours",$H136="En revue"),"E",IF($H136="Bloquée","B","P"))),""))</f>
        <v/>
      </c>
      <c r="AE136" s="53">
        <f>IF(OR($F136="",$G136=""),"",IF(AND(AE$5&lt;=$G136,AE$5+6&gt;=$F136),IF($H136="Complétée","F",IF(OR($H136="En cours",$H136="En revue"),"E",IF($H136="Bloquée","B","P"))),""))</f>
        <v/>
      </c>
      <c r="AF136" s="53">
        <f>IF(OR($F136="",$G136=""),"",IF(AND(AF$5&lt;=$G136,AF$5+6&gt;=$F136),IF($H136="Complétée","F",IF(OR($H136="En cours",$H136="En revue"),"E",IF($H136="Bloquée","B","P"))),""))</f>
        <v/>
      </c>
      <c r="AG136" s="53">
        <f>IF(OR($F136="",$G136=""),"",IF(AND(AG$5&lt;=$G136,AG$5+6&gt;=$F136),IF($H136="Complétée","F",IF(OR($H136="En cours",$H136="En revue"),"E",IF($H136="Bloquée","B","P"))),""))</f>
        <v/>
      </c>
      <c r="AH136" s="53">
        <f>IF(OR($F136="",$G136=""),"",IF(AND(AH$5&lt;=$G136,AH$5+6&gt;=$F136),IF($H136="Complétée","F",IF(OR($H136="En cours",$H136="En revue"),"E",IF($H136="Bloquée","B","P"))),""))</f>
        <v/>
      </c>
      <c r="AI136" s="53">
        <f>IF(OR($F136="",$G136=""),"",IF(AND(AI$5&lt;=$G136,AI$5+6&gt;=$F136),IF($H136="Complétée","F",IF(OR($H136="En cours",$H136="En revue"),"E",IF($H136="Bloquée","B","P"))),""))</f>
        <v/>
      </c>
      <c r="AJ136" s="53">
        <f>IF(OR($F136="",$G136=""),"",IF(AND(AJ$5&lt;=$G136,AJ$5+6&gt;=$F136),IF($H136="Complétée","F",IF(OR($H136="En cours",$H136="En revue"),"E",IF($H136="Bloquée","B","P"))),""))</f>
        <v/>
      </c>
      <c r="AK136" s="53">
        <f>IF(OR($F136="",$G136=""),"",IF(AND(AK$5&lt;=$G136,AK$5+6&gt;=$F136),IF($H136="Complétée","F",IF(OR($H136="En cours",$H136="En revue"),"E",IF($H136="Bloquée","B","P"))),""))</f>
        <v/>
      </c>
      <c r="AL136" s="53">
        <f>IF(OR($F136="",$G136=""),"",IF(AND(AL$5&lt;=$G136,AL$5+6&gt;=$F136),IF($H136="Complétée","F",IF(OR($H136="En cours",$H136="En revue"),"E",IF($H136="Bloquée","B","P"))),""))</f>
        <v/>
      </c>
      <c r="AM136" s="53">
        <f>IF(OR($F136="",$G136=""),"",IF(AND(AM$5&lt;=$G136,AM$5+6&gt;=$F136),IF($H136="Complétée","F",IF(OR($H136="En cours",$H136="En revue"),"E",IF($H136="Bloquée","B","P"))),""))</f>
        <v/>
      </c>
      <c r="AN136" s="53">
        <f>IF(OR($F136="",$G136=""),"",IF(AND(AN$5&lt;=$G136,AN$5+6&gt;=$F136),IF($H136="Complétée","F",IF(OR($H136="En cours",$H136="En revue"),"E",IF($H136="Bloquée","B","P"))),""))</f>
        <v/>
      </c>
      <c r="AO136" s="53">
        <f>IF(OR($F136="",$G136=""),"",IF(AND(AO$5&lt;=$G136,AO$5+6&gt;=$F136),IF($H136="Complétée","F",IF(OR($H136="En cours",$H136="En revue"),"E",IF($H136="Bloquée","B","P"))),""))</f>
        <v/>
      </c>
      <c r="AP136" s="53">
        <f>IF(OR($F136="",$G136=""),"",IF(AND(AP$5&lt;=$G136,AP$5+6&gt;=$F136),IF($H136="Complétée","F",IF(OR($H136="En cours",$H136="En revue"),"E",IF($H136="Bloquée","B","P"))),""))</f>
        <v/>
      </c>
      <c r="AQ136" s="53">
        <f>IF(OR($F136="",$G136=""),"",IF(AND(AQ$5&lt;=$G136,AQ$5+6&gt;=$F136),IF($H136="Complétée","F",IF(OR($H136="En cours",$H136="En revue"),"E",IF($H136="Bloquée","B","P"))),""))</f>
        <v/>
      </c>
      <c r="AR136" s="53">
        <f>IF(OR($F136="",$G136=""),"",IF(AND(AR$5&lt;=$G136,AR$5+6&gt;=$F136),IF($H136="Complétée","F",IF(OR($H136="En cours",$H136="En revue"),"E",IF($H136="Bloquée","B","P"))),""))</f>
        <v/>
      </c>
      <c r="AS136" s="53">
        <f>IF(OR($F136="",$G136=""),"",IF(AND(AS$5&lt;=$G136,AS$5+6&gt;=$F136),IF($H136="Complétée","F",IF(OR($H136="En cours",$H136="En revue"),"E",IF($H136="Bloquée","B","P"))),""))</f>
        <v/>
      </c>
      <c r="AT136" s="53">
        <f>IF(OR($F136="",$G136=""),"",IF(AND(AT$5&lt;=$G136,AT$5+6&gt;=$F136),IF($H136="Complétée","F",IF(OR($H136="En cours",$H136="En revue"),"E",IF($H136="Bloquée","B","P"))),""))</f>
        <v/>
      </c>
      <c r="AU136" s="53">
        <f>IF(OR($F136="",$G136=""),"",IF(AND(AU$5&lt;=$G136,AU$5+6&gt;=$F136),IF($H136="Complétée","F",IF(OR($H136="En cours",$H136="En revue"),"E",IF($H136="Bloquée","B","P"))),""))</f>
        <v/>
      </c>
      <c r="AV136" s="53">
        <f>IF(OR($F136="",$G136=""),"",IF(AND(AV$5&lt;=$G136,AV$5+6&gt;=$F136),IF($H136="Complétée","F",IF(OR($H136="En cours",$H136="En revue"),"E",IF($H136="Bloquée","B","P"))),""))</f>
        <v/>
      </c>
      <c r="AW136" s="53">
        <f>IF(OR($F136="",$G136=""),"",IF(AND(AW$5&lt;=$G136,AW$5+6&gt;=$F136),IF($H136="Complétée","F",IF(OR($H136="En cours",$H136="En revue"),"E",IF($H136="Bloquée","B","P"))),""))</f>
        <v/>
      </c>
    </row>
    <row r="137">
      <c r="B137" s="50">
        <f>IF(Taches!B137="","",Taches!B137)</f>
        <v/>
      </c>
      <c r="C137" s="51">
        <f>IF(Taches!B137="","",Taches!F137)</f>
        <v/>
      </c>
      <c r="D137" s="50">
        <f>IF(Taches!B137="","",Taches!C137)</f>
        <v/>
      </c>
      <c r="E137" s="50">
        <f>IF(Taches!B137="","",Taches!D137)</f>
        <v/>
      </c>
      <c r="F137" s="52">
        <f>IF(Taches!P137="","",Taches!P137)</f>
        <v/>
      </c>
      <c r="G137" s="52">
        <f>IF(Taches!Q137="","",Taches!Q137)</f>
        <v/>
      </c>
      <c r="H137" s="50">
        <f>IF(Taches!B137="","",Taches!J137)</f>
        <v/>
      </c>
      <c r="I137" s="53">
        <f>IF(OR($F137="",$G137=""),"",IF(AND(I$5&lt;=$G137,I$5+6&gt;=$F137),IF($H137="Complétée","F",IF(OR($H137="En cours",$H137="En revue"),"E",IF($H137="Bloquée","B","P"))),""))</f>
        <v/>
      </c>
      <c r="J137" s="53">
        <f>IF(OR($F137="",$G137=""),"",IF(AND(J$5&lt;=$G137,J$5+6&gt;=$F137),IF($H137="Complétée","F",IF(OR($H137="En cours",$H137="En revue"),"E",IF($H137="Bloquée","B","P"))),""))</f>
        <v/>
      </c>
      <c r="K137" s="53">
        <f>IF(OR($F137="",$G137=""),"",IF(AND(K$5&lt;=$G137,K$5+6&gt;=$F137),IF($H137="Complétée","F",IF(OR($H137="En cours",$H137="En revue"),"E",IF($H137="Bloquée","B","P"))),""))</f>
        <v/>
      </c>
      <c r="L137" s="53">
        <f>IF(OR($F137="",$G137=""),"",IF(AND(L$5&lt;=$G137,L$5+6&gt;=$F137),IF($H137="Complétée","F",IF(OR($H137="En cours",$H137="En revue"),"E",IF($H137="Bloquée","B","P"))),""))</f>
        <v/>
      </c>
      <c r="M137" s="53">
        <f>IF(OR($F137="",$G137=""),"",IF(AND(M$5&lt;=$G137,M$5+6&gt;=$F137),IF($H137="Complétée","F",IF(OR($H137="En cours",$H137="En revue"),"E",IF($H137="Bloquée","B","P"))),""))</f>
        <v/>
      </c>
      <c r="N137" s="53">
        <f>IF(OR($F137="",$G137=""),"",IF(AND(N$5&lt;=$G137,N$5+6&gt;=$F137),IF($H137="Complétée","F",IF(OR($H137="En cours",$H137="En revue"),"E",IF($H137="Bloquée","B","P"))),""))</f>
        <v/>
      </c>
      <c r="O137" s="53">
        <f>IF(OR($F137="",$G137=""),"",IF(AND(O$5&lt;=$G137,O$5+6&gt;=$F137),IF($H137="Complétée","F",IF(OR($H137="En cours",$H137="En revue"),"E",IF($H137="Bloquée","B","P"))),""))</f>
        <v/>
      </c>
      <c r="P137" s="53">
        <f>IF(OR($F137="",$G137=""),"",IF(AND(P$5&lt;=$G137,P$5+6&gt;=$F137),IF($H137="Complétée","F",IF(OR($H137="En cours",$H137="En revue"),"E",IF($H137="Bloquée","B","P"))),""))</f>
        <v/>
      </c>
      <c r="Q137" s="53">
        <f>IF(OR($F137="",$G137=""),"",IF(AND(Q$5&lt;=$G137,Q$5+6&gt;=$F137),IF($H137="Complétée","F",IF(OR($H137="En cours",$H137="En revue"),"E",IF($H137="Bloquée","B","P"))),""))</f>
        <v/>
      </c>
      <c r="R137" s="53">
        <f>IF(OR($F137="",$G137=""),"",IF(AND(R$5&lt;=$G137,R$5+6&gt;=$F137),IF($H137="Complétée","F",IF(OR($H137="En cours",$H137="En revue"),"E",IF($H137="Bloquée","B","P"))),""))</f>
        <v/>
      </c>
      <c r="S137" s="53">
        <f>IF(OR($F137="",$G137=""),"",IF(AND(S$5&lt;=$G137,S$5+6&gt;=$F137),IF($H137="Complétée","F",IF(OR($H137="En cours",$H137="En revue"),"E",IF($H137="Bloquée","B","P"))),""))</f>
        <v/>
      </c>
      <c r="T137" s="53">
        <f>IF(OR($F137="",$G137=""),"",IF(AND(T$5&lt;=$G137,T$5+6&gt;=$F137),IF($H137="Complétée","F",IF(OR($H137="En cours",$H137="En revue"),"E",IF($H137="Bloquée","B","P"))),""))</f>
        <v/>
      </c>
      <c r="U137" s="53">
        <f>IF(OR($F137="",$G137=""),"",IF(AND(U$5&lt;=$G137,U$5+6&gt;=$F137),IF($H137="Complétée","F",IF(OR($H137="En cours",$H137="En revue"),"E",IF($H137="Bloquée","B","P"))),""))</f>
        <v/>
      </c>
      <c r="V137" s="53">
        <f>IF(OR($F137="",$G137=""),"",IF(AND(V$5&lt;=$G137,V$5+6&gt;=$F137),IF($H137="Complétée","F",IF(OR($H137="En cours",$H137="En revue"),"E",IF($H137="Bloquée","B","P"))),""))</f>
        <v/>
      </c>
      <c r="W137" s="53">
        <f>IF(OR($F137="",$G137=""),"",IF(AND(W$5&lt;=$G137,W$5+6&gt;=$F137),IF($H137="Complétée","F",IF(OR($H137="En cours",$H137="En revue"),"E",IF($H137="Bloquée","B","P"))),""))</f>
        <v/>
      </c>
      <c r="X137" s="53">
        <f>IF(OR($F137="",$G137=""),"",IF(AND(X$5&lt;=$G137,X$5+6&gt;=$F137),IF($H137="Complétée","F",IF(OR($H137="En cours",$H137="En revue"),"E",IF($H137="Bloquée","B","P"))),""))</f>
        <v/>
      </c>
      <c r="Y137" s="53">
        <f>IF(OR($F137="",$G137=""),"",IF(AND(Y$5&lt;=$G137,Y$5+6&gt;=$F137),IF($H137="Complétée","F",IF(OR($H137="En cours",$H137="En revue"),"E",IF($H137="Bloquée","B","P"))),""))</f>
        <v/>
      </c>
      <c r="Z137" s="53">
        <f>IF(OR($F137="",$G137=""),"",IF(AND(Z$5&lt;=$G137,Z$5+6&gt;=$F137),IF($H137="Complétée","F",IF(OR($H137="En cours",$H137="En revue"),"E",IF($H137="Bloquée","B","P"))),""))</f>
        <v/>
      </c>
      <c r="AA137" s="53">
        <f>IF(OR($F137="",$G137=""),"",IF(AND(AA$5&lt;=$G137,AA$5+6&gt;=$F137),IF($H137="Complétée","F",IF(OR($H137="En cours",$H137="En revue"),"E",IF($H137="Bloquée","B","P"))),""))</f>
        <v/>
      </c>
      <c r="AB137" s="53">
        <f>IF(OR($F137="",$G137=""),"",IF(AND(AB$5&lt;=$G137,AB$5+6&gt;=$F137),IF($H137="Complétée","F",IF(OR($H137="En cours",$H137="En revue"),"E",IF($H137="Bloquée","B","P"))),""))</f>
        <v/>
      </c>
      <c r="AC137" s="53">
        <f>IF(OR($F137="",$G137=""),"",IF(AND(AC$5&lt;=$G137,AC$5+6&gt;=$F137),IF($H137="Complétée","F",IF(OR($H137="En cours",$H137="En revue"),"E",IF($H137="Bloquée","B","P"))),""))</f>
        <v/>
      </c>
      <c r="AD137" s="53">
        <f>IF(OR($F137="",$G137=""),"",IF(AND(AD$5&lt;=$G137,AD$5+6&gt;=$F137),IF($H137="Complétée","F",IF(OR($H137="En cours",$H137="En revue"),"E",IF($H137="Bloquée","B","P"))),""))</f>
        <v/>
      </c>
      <c r="AE137" s="53">
        <f>IF(OR($F137="",$G137=""),"",IF(AND(AE$5&lt;=$G137,AE$5+6&gt;=$F137),IF($H137="Complétée","F",IF(OR($H137="En cours",$H137="En revue"),"E",IF($H137="Bloquée","B","P"))),""))</f>
        <v/>
      </c>
      <c r="AF137" s="53">
        <f>IF(OR($F137="",$G137=""),"",IF(AND(AF$5&lt;=$G137,AF$5+6&gt;=$F137),IF($H137="Complétée","F",IF(OR($H137="En cours",$H137="En revue"),"E",IF($H137="Bloquée","B","P"))),""))</f>
        <v/>
      </c>
      <c r="AG137" s="53">
        <f>IF(OR($F137="",$G137=""),"",IF(AND(AG$5&lt;=$G137,AG$5+6&gt;=$F137),IF($H137="Complétée","F",IF(OR($H137="En cours",$H137="En revue"),"E",IF($H137="Bloquée","B","P"))),""))</f>
        <v/>
      </c>
      <c r="AH137" s="53">
        <f>IF(OR($F137="",$G137=""),"",IF(AND(AH$5&lt;=$G137,AH$5+6&gt;=$F137),IF($H137="Complétée","F",IF(OR($H137="En cours",$H137="En revue"),"E",IF($H137="Bloquée","B","P"))),""))</f>
        <v/>
      </c>
      <c r="AI137" s="53">
        <f>IF(OR($F137="",$G137=""),"",IF(AND(AI$5&lt;=$G137,AI$5+6&gt;=$F137),IF($H137="Complétée","F",IF(OR($H137="En cours",$H137="En revue"),"E",IF($H137="Bloquée","B","P"))),""))</f>
        <v/>
      </c>
      <c r="AJ137" s="53">
        <f>IF(OR($F137="",$G137=""),"",IF(AND(AJ$5&lt;=$G137,AJ$5+6&gt;=$F137),IF($H137="Complétée","F",IF(OR($H137="En cours",$H137="En revue"),"E",IF($H137="Bloquée","B","P"))),""))</f>
        <v/>
      </c>
      <c r="AK137" s="53">
        <f>IF(OR($F137="",$G137=""),"",IF(AND(AK$5&lt;=$G137,AK$5+6&gt;=$F137),IF($H137="Complétée","F",IF(OR($H137="En cours",$H137="En revue"),"E",IF($H137="Bloquée","B","P"))),""))</f>
        <v/>
      </c>
      <c r="AL137" s="53">
        <f>IF(OR($F137="",$G137=""),"",IF(AND(AL$5&lt;=$G137,AL$5+6&gt;=$F137),IF($H137="Complétée","F",IF(OR($H137="En cours",$H137="En revue"),"E",IF($H137="Bloquée","B","P"))),""))</f>
        <v/>
      </c>
      <c r="AM137" s="53">
        <f>IF(OR($F137="",$G137=""),"",IF(AND(AM$5&lt;=$G137,AM$5+6&gt;=$F137),IF($H137="Complétée","F",IF(OR($H137="En cours",$H137="En revue"),"E",IF($H137="Bloquée","B","P"))),""))</f>
        <v/>
      </c>
      <c r="AN137" s="53">
        <f>IF(OR($F137="",$G137=""),"",IF(AND(AN$5&lt;=$G137,AN$5+6&gt;=$F137),IF($H137="Complétée","F",IF(OR($H137="En cours",$H137="En revue"),"E",IF($H137="Bloquée","B","P"))),""))</f>
        <v/>
      </c>
      <c r="AO137" s="53">
        <f>IF(OR($F137="",$G137=""),"",IF(AND(AO$5&lt;=$G137,AO$5+6&gt;=$F137),IF($H137="Complétée","F",IF(OR($H137="En cours",$H137="En revue"),"E",IF($H137="Bloquée","B","P"))),""))</f>
        <v/>
      </c>
      <c r="AP137" s="53">
        <f>IF(OR($F137="",$G137=""),"",IF(AND(AP$5&lt;=$G137,AP$5+6&gt;=$F137),IF($H137="Complétée","F",IF(OR($H137="En cours",$H137="En revue"),"E",IF($H137="Bloquée","B","P"))),""))</f>
        <v/>
      </c>
      <c r="AQ137" s="53">
        <f>IF(OR($F137="",$G137=""),"",IF(AND(AQ$5&lt;=$G137,AQ$5+6&gt;=$F137),IF($H137="Complétée","F",IF(OR($H137="En cours",$H137="En revue"),"E",IF($H137="Bloquée","B","P"))),""))</f>
        <v/>
      </c>
      <c r="AR137" s="53">
        <f>IF(OR($F137="",$G137=""),"",IF(AND(AR$5&lt;=$G137,AR$5+6&gt;=$F137),IF($H137="Complétée","F",IF(OR($H137="En cours",$H137="En revue"),"E",IF($H137="Bloquée","B","P"))),""))</f>
        <v/>
      </c>
      <c r="AS137" s="53">
        <f>IF(OR($F137="",$G137=""),"",IF(AND(AS$5&lt;=$G137,AS$5+6&gt;=$F137),IF($H137="Complétée","F",IF(OR($H137="En cours",$H137="En revue"),"E",IF($H137="Bloquée","B","P"))),""))</f>
        <v/>
      </c>
      <c r="AT137" s="53">
        <f>IF(OR($F137="",$G137=""),"",IF(AND(AT$5&lt;=$G137,AT$5+6&gt;=$F137),IF($H137="Complétée","F",IF(OR($H137="En cours",$H137="En revue"),"E",IF($H137="Bloquée","B","P"))),""))</f>
        <v/>
      </c>
      <c r="AU137" s="53">
        <f>IF(OR($F137="",$G137=""),"",IF(AND(AU$5&lt;=$G137,AU$5+6&gt;=$F137),IF($H137="Complétée","F",IF(OR($H137="En cours",$H137="En revue"),"E",IF($H137="Bloquée","B","P"))),""))</f>
        <v/>
      </c>
      <c r="AV137" s="53">
        <f>IF(OR($F137="",$G137=""),"",IF(AND(AV$5&lt;=$G137,AV$5+6&gt;=$F137),IF($H137="Complétée","F",IF(OR($H137="En cours",$H137="En revue"),"E",IF($H137="Bloquée","B","P"))),""))</f>
        <v/>
      </c>
      <c r="AW137" s="53">
        <f>IF(OR($F137="",$G137=""),"",IF(AND(AW$5&lt;=$G137,AW$5+6&gt;=$F137),IF($H137="Complétée","F",IF(OR($H137="En cours",$H137="En revue"),"E",IF($H137="Bloquée","B","P"))),""))</f>
        <v/>
      </c>
    </row>
    <row r="138">
      <c r="B138" s="50">
        <f>IF(Taches!B138="","",Taches!B138)</f>
        <v/>
      </c>
      <c r="C138" s="51">
        <f>IF(Taches!B138="","",Taches!F138)</f>
        <v/>
      </c>
      <c r="D138" s="50">
        <f>IF(Taches!B138="","",Taches!C138)</f>
        <v/>
      </c>
      <c r="E138" s="50">
        <f>IF(Taches!B138="","",Taches!D138)</f>
        <v/>
      </c>
      <c r="F138" s="52">
        <f>IF(Taches!P138="","",Taches!P138)</f>
        <v/>
      </c>
      <c r="G138" s="52">
        <f>IF(Taches!Q138="","",Taches!Q138)</f>
        <v/>
      </c>
      <c r="H138" s="50">
        <f>IF(Taches!B138="","",Taches!J138)</f>
        <v/>
      </c>
      <c r="I138" s="53">
        <f>IF(OR($F138="",$G138=""),"",IF(AND(I$5&lt;=$G138,I$5+6&gt;=$F138),IF($H138="Complétée","F",IF(OR($H138="En cours",$H138="En revue"),"E",IF($H138="Bloquée","B","P"))),""))</f>
        <v/>
      </c>
      <c r="J138" s="53">
        <f>IF(OR($F138="",$G138=""),"",IF(AND(J$5&lt;=$G138,J$5+6&gt;=$F138),IF($H138="Complétée","F",IF(OR($H138="En cours",$H138="En revue"),"E",IF($H138="Bloquée","B","P"))),""))</f>
        <v/>
      </c>
      <c r="K138" s="53">
        <f>IF(OR($F138="",$G138=""),"",IF(AND(K$5&lt;=$G138,K$5+6&gt;=$F138),IF($H138="Complétée","F",IF(OR($H138="En cours",$H138="En revue"),"E",IF($H138="Bloquée","B","P"))),""))</f>
        <v/>
      </c>
      <c r="L138" s="53">
        <f>IF(OR($F138="",$G138=""),"",IF(AND(L$5&lt;=$G138,L$5+6&gt;=$F138),IF($H138="Complétée","F",IF(OR($H138="En cours",$H138="En revue"),"E",IF($H138="Bloquée","B","P"))),""))</f>
        <v/>
      </c>
      <c r="M138" s="53">
        <f>IF(OR($F138="",$G138=""),"",IF(AND(M$5&lt;=$G138,M$5+6&gt;=$F138),IF($H138="Complétée","F",IF(OR($H138="En cours",$H138="En revue"),"E",IF($H138="Bloquée","B","P"))),""))</f>
        <v/>
      </c>
      <c r="N138" s="53">
        <f>IF(OR($F138="",$G138=""),"",IF(AND(N$5&lt;=$G138,N$5+6&gt;=$F138),IF($H138="Complétée","F",IF(OR($H138="En cours",$H138="En revue"),"E",IF($H138="Bloquée","B","P"))),""))</f>
        <v/>
      </c>
      <c r="O138" s="53">
        <f>IF(OR($F138="",$G138=""),"",IF(AND(O$5&lt;=$G138,O$5+6&gt;=$F138),IF($H138="Complétée","F",IF(OR($H138="En cours",$H138="En revue"),"E",IF($H138="Bloquée","B","P"))),""))</f>
        <v/>
      </c>
      <c r="P138" s="53">
        <f>IF(OR($F138="",$G138=""),"",IF(AND(P$5&lt;=$G138,P$5+6&gt;=$F138),IF($H138="Complétée","F",IF(OR($H138="En cours",$H138="En revue"),"E",IF($H138="Bloquée","B","P"))),""))</f>
        <v/>
      </c>
      <c r="Q138" s="53">
        <f>IF(OR($F138="",$G138=""),"",IF(AND(Q$5&lt;=$G138,Q$5+6&gt;=$F138),IF($H138="Complétée","F",IF(OR($H138="En cours",$H138="En revue"),"E",IF($H138="Bloquée","B","P"))),""))</f>
        <v/>
      </c>
      <c r="R138" s="53">
        <f>IF(OR($F138="",$G138=""),"",IF(AND(R$5&lt;=$G138,R$5+6&gt;=$F138),IF($H138="Complétée","F",IF(OR($H138="En cours",$H138="En revue"),"E",IF($H138="Bloquée","B","P"))),""))</f>
        <v/>
      </c>
      <c r="S138" s="53">
        <f>IF(OR($F138="",$G138=""),"",IF(AND(S$5&lt;=$G138,S$5+6&gt;=$F138),IF($H138="Complétée","F",IF(OR($H138="En cours",$H138="En revue"),"E",IF($H138="Bloquée","B","P"))),""))</f>
        <v/>
      </c>
      <c r="T138" s="53">
        <f>IF(OR($F138="",$G138=""),"",IF(AND(T$5&lt;=$G138,T$5+6&gt;=$F138),IF($H138="Complétée","F",IF(OR($H138="En cours",$H138="En revue"),"E",IF($H138="Bloquée","B","P"))),""))</f>
        <v/>
      </c>
      <c r="U138" s="53">
        <f>IF(OR($F138="",$G138=""),"",IF(AND(U$5&lt;=$G138,U$5+6&gt;=$F138),IF($H138="Complétée","F",IF(OR($H138="En cours",$H138="En revue"),"E",IF($H138="Bloquée","B","P"))),""))</f>
        <v/>
      </c>
      <c r="V138" s="53">
        <f>IF(OR($F138="",$G138=""),"",IF(AND(V$5&lt;=$G138,V$5+6&gt;=$F138),IF($H138="Complétée","F",IF(OR($H138="En cours",$H138="En revue"),"E",IF($H138="Bloquée","B","P"))),""))</f>
        <v/>
      </c>
      <c r="W138" s="53">
        <f>IF(OR($F138="",$G138=""),"",IF(AND(W$5&lt;=$G138,W$5+6&gt;=$F138),IF($H138="Complétée","F",IF(OR($H138="En cours",$H138="En revue"),"E",IF($H138="Bloquée","B","P"))),""))</f>
        <v/>
      </c>
      <c r="X138" s="53">
        <f>IF(OR($F138="",$G138=""),"",IF(AND(X$5&lt;=$G138,X$5+6&gt;=$F138),IF($H138="Complétée","F",IF(OR($H138="En cours",$H138="En revue"),"E",IF($H138="Bloquée","B","P"))),""))</f>
        <v/>
      </c>
      <c r="Y138" s="53">
        <f>IF(OR($F138="",$G138=""),"",IF(AND(Y$5&lt;=$G138,Y$5+6&gt;=$F138),IF($H138="Complétée","F",IF(OR($H138="En cours",$H138="En revue"),"E",IF($H138="Bloquée","B","P"))),""))</f>
        <v/>
      </c>
      <c r="Z138" s="53">
        <f>IF(OR($F138="",$G138=""),"",IF(AND(Z$5&lt;=$G138,Z$5+6&gt;=$F138),IF($H138="Complétée","F",IF(OR($H138="En cours",$H138="En revue"),"E",IF($H138="Bloquée","B","P"))),""))</f>
        <v/>
      </c>
      <c r="AA138" s="53">
        <f>IF(OR($F138="",$G138=""),"",IF(AND(AA$5&lt;=$G138,AA$5+6&gt;=$F138),IF($H138="Complétée","F",IF(OR($H138="En cours",$H138="En revue"),"E",IF($H138="Bloquée","B","P"))),""))</f>
        <v/>
      </c>
      <c r="AB138" s="53">
        <f>IF(OR($F138="",$G138=""),"",IF(AND(AB$5&lt;=$G138,AB$5+6&gt;=$F138),IF($H138="Complétée","F",IF(OR($H138="En cours",$H138="En revue"),"E",IF($H138="Bloquée","B","P"))),""))</f>
        <v/>
      </c>
      <c r="AC138" s="53">
        <f>IF(OR($F138="",$G138=""),"",IF(AND(AC$5&lt;=$G138,AC$5+6&gt;=$F138),IF($H138="Complétée","F",IF(OR($H138="En cours",$H138="En revue"),"E",IF($H138="Bloquée","B","P"))),""))</f>
        <v/>
      </c>
      <c r="AD138" s="53">
        <f>IF(OR($F138="",$G138=""),"",IF(AND(AD$5&lt;=$G138,AD$5+6&gt;=$F138),IF($H138="Complétée","F",IF(OR($H138="En cours",$H138="En revue"),"E",IF($H138="Bloquée","B","P"))),""))</f>
        <v/>
      </c>
      <c r="AE138" s="53">
        <f>IF(OR($F138="",$G138=""),"",IF(AND(AE$5&lt;=$G138,AE$5+6&gt;=$F138),IF($H138="Complétée","F",IF(OR($H138="En cours",$H138="En revue"),"E",IF($H138="Bloquée","B","P"))),""))</f>
        <v/>
      </c>
      <c r="AF138" s="53">
        <f>IF(OR($F138="",$G138=""),"",IF(AND(AF$5&lt;=$G138,AF$5+6&gt;=$F138),IF($H138="Complétée","F",IF(OR($H138="En cours",$H138="En revue"),"E",IF($H138="Bloquée","B","P"))),""))</f>
        <v/>
      </c>
      <c r="AG138" s="53">
        <f>IF(OR($F138="",$G138=""),"",IF(AND(AG$5&lt;=$G138,AG$5+6&gt;=$F138),IF($H138="Complétée","F",IF(OR($H138="En cours",$H138="En revue"),"E",IF($H138="Bloquée","B","P"))),""))</f>
        <v/>
      </c>
      <c r="AH138" s="53">
        <f>IF(OR($F138="",$G138=""),"",IF(AND(AH$5&lt;=$G138,AH$5+6&gt;=$F138),IF($H138="Complétée","F",IF(OR($H138="En cours",$H138="En revue"),"E",IF($H138="Bloquée","B","P"))),""))</f>
        <v/>
      </c>
      <c r="AI138" s="53">
        <f>IF(OR($F138="",$G138=""),"",IF(AND(AI$5&lt;=$G138,AI$5+6&gt;=$F138),IF($H138="Complétée","F",IF(OR($H138="En cours",$H138="En revue"),"E",IF($H138="Bloquée","B","P"))),""))</f>
        <v/>
      </c>
      <c r="AJ138" s="53">
        <f>IF(OR($F138="",$G138=""),"",IF(AND(AJ$5&lt;=$G138,AJ$5+6&gt;=$F138),IF($H138="Complétée","F",IF(OR($H138="En cours",$H138="En revue"),"E",IF($H138="Bloquée","B","P"))),""))</f>
        <v/>
      </c>
      <c r="AK138" s="53">
        <f>IF(OR($F138="",$G138=""),"",IF(AND(AK$5&lt;=$G138,AK$5+6&gt;=$F138),IF($H138="Complétée","F",IF(OR($H138="En cours",$H138="En revue"),"E",IF($H138="Bloquée","B","P"))),""))</f>
        <v/>
      </c>
      <c r="AL138" s="53">
        <f>IF(OR($F138="",$G138=""),"",IF(AND(AL$5&lt;=$G138,AL$5+6&gt;=$F138),IF($H138="Complétée","F",IF(OR($H138="En cours",$H138="En revue"),"E",IF($H138="Bloquée","B","P"))),""))</f>
        <v/>
      </c>
      <c r="AM138" s="53">
        <f>IF(OR($F138="",$G138=""),"",IF(AND(AM$5&lt;=$G138,AM$5+6&gt;=$F138),IF($H138="Complétée","F",IF(OR($H138="En cours",$H138="En revue"),"E",IF($H138="Bloquée","B","P"))),""))</f>
        <v/>
      </c>
      <c r="AN138" s="53">
        <f>IF(OR($F138="",$G138=""),"",IF(AND(AN$5&lt;=$G138,AN$5+6&gt;=$F138),IF($H138="Complétée","F",IF(OR($H138="En cours",$H138="En revue"),"E",IF($H138="Bloquée","B","P"))),""))</f>
        <v/>
      </c>
      <c r="AO138" s="53">
        <f>IF(OR($F138="",$G138=""),"",IF(AND(AO$5&lt;=$G138,AO$5+6&gt;=$F138),IF($H138="Complétée","F",IF(OR($H138="En cours",$H138="En revue"),"E",IF($H138="Bloquée","B","P"))),""))</f>
        <v/>
      </c>
      <c r="AP138" s="53">
        <f>IF(OR($F138="",$G138=""),"",IF(AND(AP$5&lt;=$G138,AP$5+6&gt;=$F138),IF($H138="Complétée","F",IF(OR($H138="En cours",$H138="En revue"),"E",IF($H138="Bloquée","B","P"))),""))</f>
        <v/>
      </c>
      <c r="AQ138" s="53">
        <f>IF(OR($F138="",$G138=""),"",IF(AND(AQ$5&lt;=$G138,AQ$5+6&gt;=$F138),IF($H138="Complétée","F",IF(OR($H138="En cours",$H138="En revue"),"E",IF($H138="Bloquée","B","P"))),""))</f>
        <v/>
      </c>
      <c r="AR138" s="53">
        <f>IF(OR($F138="",$G138=""),"",IF(AND(AR$5&lt;=$G138,AR$5+6&gt;=$F138),IF($H138="Complétée","F",IF(OR($H138="En cours",$H138="En revue"),"E",IF($H138="Bloquée","B","P"))),""))</f>
        <v/>
      </c>
      <c r="AS138" s="53">
        <f>IF(OR($F138="",$G138=""),"",IF(AND(AS$5&lt;=$G138,AS$5+6&gt;=$F138),IF($H138="Complétée","F",IF(OR($H138="En cours",$H138="En revue"),"E",IF($H138="Bloquée","B","P"))),""))</f>
        <v/>
      </c>
      <c r="AT138" s="53">
        <f>IF(OR($F138="",$G138=""),"",IF(AND(AT$5&lt;=$G138,AT$5+6&gt;=$F138),IF($H138="Complétée","F",IF(OR($H138="En cours",$H138="En revue"),"E",IF($H138="Bloquée","B","P"))),""))</f>
        <v/>
      </c>
      <c r="AU138" s="53">
        <f>IF(OR($F138="",$G138=""),"",IF(AND(AU$5&lt;=$G138,AU$5+6&gt;=$F138),IF($H138="Complétée","F",IF(OR($H138="En cours",$H138="En revue"),"E",IF($H138="Bloquée","B","P"))),""))</f>
        <v/>
      </c>
      <c r="AV138" s="53">
        <f>IF(OR($F138="",$G138=""),"",IF(AND(AV$5&lt;=$G138,AV$5+6&gt;=$F138),IF($H138="Complétée","F",IF(OR($H138="En cours",$H138="En revue"),"E",IF($H138="Bloquée","B","P"))),""))</f>
        <v/>
      </c>
      <c r="AW138" s="53">
        <f>IF(OR($F138="",$G138=""),"",IF(AND(AW$5&lt;=$G138,AW$5+6&gt;=$F138),IF($H138="Complétée","F",IF(OR($H138="En cours",$H138="En revue"),"E",IF($H138="Bloquée","B","P"))),""))</f>
        <v/>
      </c>
    </row>
    <row r="139">
      <c r="B139" s="50">
        <f>IF(Taches!B139="","",Taches!B139)</f>
        <v/>
      </c>
      <c r="C139" s="51">
        <f>IF(Taches!B139="","",Taches!F139)</f>
        <v/>
      </c>
      <c r="D139" s="50">
        <f>IF(Taches!B139="","",Taches!C139)</f>
        <v/>
      </c>
      <c r="E139" s="50">
        <f>IF(Taches!B139="","",Taches!D139)</f>
        <v/>
      </c>
      <c r="F139" s="52">
        <f>IF(Taches!P139="","",Taches!P139)</f>
        <v/>
      </c>
      <c r="G139" s="52">
        <f>IF(Taches!Q139="","",Taches!Q139)</f>
        <v/>
      </c>
      <c r="H139" s="50">
        <f>IF(Taches!B139="","",Taches!J139)</f>
        <v/>
      </c>
      <c r="I139" s="53">
        <f>IF(OR($F139="",$G139=""),"",IF(AND(I$5&lt;=$G139,I$5+6&gt;=$F139),IF($H139="Complétée","F",IF(OR($H139="En cours",$H139="En revue"),"E",IF($H139="Bloquée","B","P"))),""))</f>
        <v/>
      </c>
      <c r="J139" s="53">
        <f>IF(OR($F139="",$G139=""),"",IF(AND(J$5&lt;=$G139,J$5+6&gt;=$F139),IF($H139="Complétée","F",IF(OR($H139="En cours",$H139="En revue"),"E",IF($H139="Bloquée","B","P"))),""))</f>
        <v/>
      </c>
      <c r="K139" s="53">
        <f>IF(OR($F139="",$G139=""),"",IF(AND(K$5&lt;=$G139,K$5+6&gt;=$F139),IF($H139="Complétée","F",IF(OR($H139="En cours",$H139="En revue"),"E",IF($H139="Bloquée","B","P"))),""))</f>
        <v/>
      </c>
      <c r="L139" s="53">
        <f>IF(OR($F139="",$G139=""),"",IF(AND(L$5&lt;=$G139,L$5+6&gt;=$F139),IF($H139="Complétée","F",IF(OR($H139="En cours",$H139="En revue"),"E",IF($H139="Bloquée","B","P"))),""))</f>
        <v/>
      </c>
      <c r="M139" s="53">
        <f>IF(OR($F139="",$G139=""),"",IF(AND(M$5&lt;=$G139,M$5+6&gt;=$F139),IF($H139="Complétée","F",IF(OR($H139="En cours",$H139="En revue"),"E",IF($H139="Bloquée","B","P"))),""))</f>
        <v/>
      </c>
      <c r="N139" s="53">
        <f>IF(OR($F139="",$G139=""),"",IF(AND(N$5&lt;=$G139,N$5+6&gt;=$F139),IF($H139="Complétée","F",IF(OR($H139="En cours",$H139="En revue"),"E",IF($H139="Bloquée","B","P"))),""))</f>
        <v/>
      </c>
      <c r="O139" s="53">
        <f>IF(OR($F139="",$G139=""),"",IF(AND(O$5&lt;=$G139,O$5+6&gt;=$F139),IF($H139="Complétée","F",IF(OR($H139="En cours",$H139="En revue"),"E",IF($H139="Bloquée","B","P"))),""))</f>
        <v/>
      </c>
      <c r="P139" s="53">
        <f>IF(OR($F139="",$G139=""),"",IF(AND(P$5&lt;=$G139,P$5+6&gt;=$F139),IF($H139="Complétée","F",IF(OR($H139="En cours",$H139="En revue"),"E",IF($H139="Bloquée","B","P"))),""))</f>
        <v/>
      </c>
      <c r="Q139" s="53">
        <f>IF(OR($F139="",$G139=""),"",IF(AND(Q$5&lt;=$G139,Q$5+6&gt;=$F139),IF($H139="Complétée","F",IF(OR($H139="En cours",$H139="En revue"),"E",IF($H139="Bloquée","B","P"))),""))</f>
        <v/>
      </c>
      <c r="R139" s="53">
        <f>IF(OR($F139="",$G139=""),"",IF(AND(R$5&lt;=$G139,R$5+6&gt;=$F139),IF($H139="Complétée","F",IF(OR($H139="En cours",$H139="En revue"),"E",IF($H139="Bloquée","B","P"))),""))</f>
        <v/>
      </c>
      <c r="S139" s="53">
        <f>IF(OR($F139="",$G139=""),"",IF(AND(S$5&lt;=$G139,S$5+6&gt;=$F139),IF($H139="Complétée","F",IF(OR($H139="En cours",$H139="En revue"),"E",IF($H139="Bloquée","B","P"))),""))</f>
        <v/>
      </c>
      <c r="T139" s="53">
        <f>IF(OR($F139="",$G139=""),"",IF(AND(T$5&lt;=$G139,T$5+6&gt;=$F139),IF($H139="Complétée","F",IF(OR($H139="En cours",$H139="En revue"),"E",IF($H139="Bloquée","B","P"))),""))</f>
        <v/>
      </c>
      <c r="U139" s="53">
        <f>IF(OR($F139="",$G139=""),"",IF(AND(U$5&lt;=$G139,U$5+6&gt;=$F139),IF($H139="Complétée","F",IF(OR($H139="En cours",$H139="En revue"),"E",IF($H139="Bloquée","B","P"))),""))</f>
        <v/>
      </c>
      <c r="V139" s="53">
        <f>IF(OR($F139="",$G139=""),"",IF(AND(V$5&lt;=$G139,V$5+6&gt;=$F139),IF($H139="Complétée","F",IF(OR($H139="En cours",$H139="En revue"),"E",IF($H139="Bloquée","B","P"))),""))</f>
        <v/>
      </c>
      <c r="W139" s="53">
        <f>IF(OR($F139="",$G139=""),"",IF(AND(W$5&lt;=$G139,W$5+6&gt;=$F139),IF($H139="Complétée","F",IF(OR($H139="En cours",$H139="En revue"),"E",IF($H139="Bloquée","B","P"))),""))</f>
        <v/>
      </c>
      <c r="X139" s="53">
        <f>IF(OR($F139="",$G139=""),"",IF(AND(X$5&lt;=$G139,X$5+6&gt;=$F139),IF($H139="Complétée","F",IF(OR($H139="En cours",$H139="En revue"),"E",IF($H139="Bloquée","B","P"))),""))</f>
        <v/>
      </c>
      <c r="Y139" s="53">
        <f>IF(OR($F139="",$G139=""),"",IF(AND(Y$5&lt;=$G139,Y$5+6&gt;=$F139),IF($H139="Complétée","F",IF(OR($H139="En cours",$H139="En revue"),"E",IF($H139="Bloquée","B","P"))),""))</f>
        <v/>
      </c>
      <c r="Z139" s="53">
        <f>IF(OR($F139="",$G139=""),"",IF(AND(Z$5&lt;=$G139,Z$5+6&gt;=$F139),IF($H139="Complétée","F",IF(OR($H139="En cours",$H139="En revue"),"E",IF($H139="Bloquée","B","P"))),""))</f>
        <v/>
      </c>
      <c r="AA139" s="53">
        <f>IF(OR($F139="",$G139=""),"",IF(AND(AA$5&lt;=$G139,AA$5+6&gt;=$F139),IF($H139="Complétée","F",IF(OR($H139="En cours",$H139="En revue"),"E",IF($H139="Bloquée","B","P"))),""))</f>
        <v/>
      </c>
      <c r="AB139" s="53">
        <f>IF(OR($F139="",$G139=""),"",IF(AND(AB$5&lt;=$G139,AB$5+6&gt;=$F139),IF($H139="Complétée","F",IF(OR($H139="En cours",$H139="En revue"),"E",IF($H139="Bloquée","B","P"))),""))</f>
        <v/>
      </c>
      <c r="AC139" s="53">
        <f>IF(OR($F139="",$G139=""),"",IF(AND(AC$5&lt;=$G139,AC$5+6&gt;=$F139),IF($H139="Complétée","F",IF(OR($H139="En cours",$H139="En revue"),"E",IF($H139="Bloquée","B","P"))),""))</f>
        <v/>
      </c>
      <c r="AD139" s="53">
        <f>IF(OR($F139="",$G139=""),"",IF(AND(AD$5&lt;=$G139,AD$5+6&gt;=$F139),IF($H139="Complétée","F",IF(OR($H139="En cours",$H139="En revue"),"E",IF($H139="Bloquée","B","P"))),""))</f>
        <v/>
      </c>
      <c r="AE139" s="53">
        <f>IF(OR($F139="",$G139=""),"",IF(AND(AE$5&lt;=$G139,AE$5+6&gt;=$F139),IF($H139="Complétée","F",IF(OR($H139="En cours",$H139="En revue"),"E",IF($H139="Bloquée","B","P"))),""))</f>
        <v/>
      </c>
      <c r="AF139" s="53">
        <f>IF(OR($F139="",$G139=""),"",IF(AND(AF$5&lt;=$G139,AF$5+6&gt;=$F139),IF($H139="Complétée","F",IF(OR($H139="En cours",$H139="En revue"),"E",IF($H139="Bloquée","B","P"))),""))</f>
        <v/>
      </c>
      <c r="AG139" s="53">
        <f>IF(OR($F139="",$G139=""),"",IF(AND(AG$5&lt;=$G139,AG$5+6&gt;=$F139),IF($H139="Complétée","F",IF(OR($H139="En cours",$H139="En revue"),"E",IF($H139="Bloquée","B","P"))),""))</f>
        <v/>
      </c>
      <c r="AH139" s="53">
        <f>IF(OR($F139="",$G139=""),"",IF(AND(AH$5&lt;=$G139,AH$5+6&gt;=$F139),IF($H139="Complétée","F",IF(OR($H139="En cours",$H139="En revue"),"E",IF($H139="Bloquée","B","P"))),""))</f>
        <v/>
      </c>
      <c r="AI139" s="53">
        <f>IF(OR($F139="",$G139=""),"",IF(AND(AI$5&lt;=$G139,AI$5+6&gt;=$F139),IF($H139="Complétée","F",IF(OR($H139="En cours",$H139="En revue"),"E",IF($H139="Bloquée","B","P"))),""))</f>
        <v/>
      </c>
      <c r="AJ139" s="53">
        <f>IF(OR($F139="",$G139=""),"",IF(AND(AJ$5&lt;=$G139,AJ$5+6&gt;=$F139),IF($H139="Complétée","F",IF(OR($H139="En cours",$H139="En revue"),"E",IF($H139="Bloquée","B","P"))),""))</f>
        <v/>
      </c>
      <c r="AK139" s="53">
        <f>IF(OR($F139="",$G139=""),"",IF(AND(AK$5&lt;=$G139,AK$5+6&gt;=$F139),IF($H139="Complétée","F",IF(OR($H139="En cours",$H139="En revue"),"E",IF($H139="Bloquée","B","P"))),""))</f>
        <v/>
      </c>
      <c r="AL139" s="53">
        <f>IF(OR($F139="",$G139=""),"",IF(AND(AL$5&lt;=$G139,AL$5+6&gt;=$F139),IF($H139="Complétée","F",IF(OR($H139="En cours",$H139="En revue"),"E",IF($H139="Bloquée","B","P"))),""))</f>
        <v/>
      </c>
      <c r="AM139" s="53">
        <f>IF(OR($F139="",$G139=""),"",IF(AND(AM$5&lt;=$G139,AM$5+6&gt;=$F139),IF($H139="Complétée","F",IF(OR($H139="En cours",$H139="En revue"),"E",IF($H139="Bloquée","B","P"))),""))</f>
        <v/>
      </c>
      <c r="AN139" s="53">
        <f>IF(OR($F139="",$G139=""),"",IF(AND(AN$5&lt;=$G139,AN$5+6&gt;=$F139),IF($H139="Complétée","F",IF(OR($H139="En cours",$H139="En revue"),"E",IF($H139="Bloquée","B","P"))),""))</f>
        <v/>
      </c>
      <c r="AO139" s="53">
        <f>IF(OR($F139="",$G139=""),"",IF(AND(AO$5&lt;=$G139,AO$5+6&gt;=$F139),IF($H139="Complétée","F",IF(OR($H139="En cours",$H139="En revue"),"E",IF($H139="Bloquée","B","P"))),""))</f>
        <v/>
      </c>
      <c r="AP139" s="53">
        <f>IF(OR($F139="",$G139=""),"",IF(AND(AP$5&lt;=$G139,AP$5+6&gt;=$F139),IF($H139="Complétée","F",IF(OR($H139="En cours",$H139="En revue"),"E",IF($H139="Bloquée","B","P"))),""))</f>
        <v/>
      </c>
      <c r="AQ139" s="53">
        <f>IF(OR($F139="",$G139=""),"",IF(AND(AQ$5&lt;=$G139,AQ$5+6&gt;=$F139),IF($H139="Complétée","F",IF(OR($H139="En cours",$H139="En revue"),"E",IF($H139="Bloquée","B","P"))),""))</f>
        <v/>
      </c>
      <c r="AR139" s="53">
        <f>IF(OR($F139="",$G139=""),"",IF(AND(AR$5&lt;=$G139,AR$5+6&gt;=$F139),IF($H139="Complétée","F",IF(OR($H139="En cours",$H139="En revue"),"E",IF($H139="Bloquée","B","P"))),""))</f>
        <v/>
      </c>
      <c r="AS139" s="53">
        <f>IF(OR($F139="",$G139=""),"",IF(AND(AS$5&lt;=$G139,AS$5+6&gt;=$F139),IF($H139="Complétée","F",IF(OR($H139="En cours",$H139="En revue"),"E",IF($H139="Bloquée","B","P"))),""))</f>
        <v/>
      </c>
      <c r="AT139" s="53">
        <f>IF(OR($F139="",$G139=""),"",IF(AND(AT$5&lt;=$G139,AT$5+6&gt;=$F139),IF($H139="Complétée","F",IF(OR($H139="En cours",$H139="En revue"),"E",IF($H139="Bloquée","B","P"))),""))</f>
        <v/>
      </c>
      <c r="AU139" s="53">
        <f>IF(OR($F139="",$G139=""),"",IF(AND(AU$5&lt;=$G139,AU$5+6&gt;=$F139),IF($H139="Complétée","F",IF(OR($H139="En cours",$H139="En revue"),"E",IF($H139="Bloquée","B","P"))),""))</f>
        <v/>
      </c>
      <c r="AV139" s="53">
        <f>IF(OR($F139="",$G139=""),"",IF(AND(AV$5&lt;=$G139,AV$5+6&gt;=$F139),IF($H139="Complétée","F",IF(OR($H139="En cours",$H139="En revue"),"E",IF($H139="Bloquée","B","P"))),""))</f>
        <v/>
      </c>
      <c r="AW139" s="53">
        <f>IF(OR($F139="",$G139=""),"",IF(AND(AW$5&lt;=$G139,AW$5+6&gt;=$F139),IF($H139="Complétée","F",IF(OR($H139="En cours",$H139="En revue"),"E",IF($H139="Bloquée","B","P"))),""))</f>
        <v/>
      </c>
    </row>
    <row r="140">
      <c r="B140" s="50">
        <f>IF(Taches!B140="","",Taches!B140)</f>
        <v/>
      </c>
      <c r="C140" s="51">
        <f>IF(Taches!B140="","",Taches!F140)</f>
        <v/>
      </c>
      <c r="D140" s="50">
        <f>IF(Taches!B140="","",Taches!C140)</f>
        <v/>
      </c>
      <c r="E140" s="50">
        <f>IF(Taches!B140="","",Taches!D140)</f>
        <v/>
      </c>
      <c r="F140" s="52">
        <f>IF(Taches!P140="","",Taches!P140)</f>
        <v/>
      </c>
      <c r="G140" s="52">
        <f>IF(Taches!Q140="","",Taches!Q140)</f>
        <v/>
      </c>
      <c r="H140" s="50">
        <f>IF(Taches!B140="","",Taches!J140)</f>
        <v/>
      </c>
      <c r="I140" s="53">
        <f>IF(OR($F140="",$G140=""),"",IF(AND(I$5&lt;=$G140,I$5+6&gt;=$F140),IF($H140="Complétée","F",IF(OR($H140="En cours",$H140="En revue"),"E",IF($H140="Bloquée","B","P"))),""))</f>
        <v/>
      </c>
      <c r="J140" s="53">
        <f>IF(OR($F140="",$G140=""),"",IF(AND(J$5&lt;=$G140,J$5+6&gt;=$F140),IF($H140="Complétée","F",IF(OR($H140="En cours",$H140="En revue"),"E",IF($H140="Bloquée","B","P"))),""))</f>
        <v/>
      </c>
      <c r="K140" s="53">
        <f>IF(OR($F140="",$G140=""),"",IF(AND(K$5&lt;=$G140,K$5+6&gt;=$F140),IF($H140="Complétée","F",IF(OR($H140="En cours",$H140="En revue"),"E",IF($H140="Bloquée","B","P"))),""))</f>
        <v/>
      </c>
      <c r="L140" s="53">
        <f>IF(OR($F140="",$G140=""),"",IF(AND(L$5&lt;=$G140,L$5+6&gt;=$F140),IF($H140="Complétée","F",IF(OR($H140="En cours",$H140="En revue"),"E",IF($H140="Bloquée","B","P"))),""))</f>
        <v/>
      </c>
      <c r="M140" s="53">
        <f>IF(OR($F140="",$G140=""),"",IF(AND(M$5&lt;=$G140,M$5+6&gt;=$F140),IF($H140="Complétée","F",IF(OR($H140="En cours",$H140="En revue"),"E",IF($H140="Bloquée","B","P"))),""))</f>
        <v/>
      </c>
      <c r="N140" s="53">
        <f>IF(OR($F140="",$G140=""),"",IF(AND(N$5&lt;=$G140,N$5+6&gt;=$F140),IF($H140="Complétée","F",IF(OR($H140="En cours",$H140="En revue"),"E",IF($H140="Bloquée","B","P"))),""))</f>
        <v/>
      </c>
      <c r="O140" s="53">
        <f>IF(OR($F140="",$G140=""),"",IF(AND(O$5&lt;=$G140,O$5+6&gt;=$F140),IF($H140="Complétée","F",IF(OR($H140="En cours",$H140="En revue"),"E",IF($H140="Bloquée","B","P"))),""))</f>
        <v/>
      </c>
      <c r="P140" s="53">
        <f>IF(OR($F140="",$G140=""),"",IF(AND(P$5&lt;=$G140,P$5+6&gt;=$F140),IF($H140="Complétée","F",IF(OR($H140="En cours",$H140="En revue"),"E",IF($H140="Bloquée","B","P"))),""))</f>
        <v/>
      </c>
      <c r="Q140" s="53">
        <f>IF(OR($F140="",$G140=""),"",IF(AND(Q$5&lt;=$G140,Q$5+6&gt;=$F140),IF($H140="Complétée","F",IF(OR($H140="En cours",$H140="En revue"),"E",IF($H140="Bloquée","B","P"))),""))</f>
        <v/>
      </c>
      <c r="R140" s="53">
        <f>IF(OR($F140="",$G140=""),"",IF(AND(R$5&lt;=$G140,R$5+6&gt;=$F140),IF($H140="Complétée","F",IF(OR($H140="En cours",$H140="En revue"),"E",IF($H140="Bloquée","B","P"))),""))</f>
        <v/>
      </c>
      <c r="S140" s="53">
        <f>IF(OR($F140="",$G140=""),"",IF(AND(S$5&lt;=$G140,S$5+6&gt;=$F140),IF($H140="Complétée","F",IF(OR($H140="En cours",$H140="En revue"),"E",IF($H140="Bloquée","B","P"))),""))</f>
        <v/>
      </c>
      <c r="T140" s="53">
        <f>IF(OR($F140="",$G140=""),"",IF(AND(T$5&lt;=$G140,T$5+6&gt;=$F140),IF($H140="Complétée","F",IF(OR($H140="En cours",$H140="En revue"),"E",IF($H140="Bloquée","B","P"))),""))</f>
        <v/>
      </c>
      <c r="U140" s="53">
        <f>IF(OR($F140="",$G140=""),"",IF(AND(U$5&lt;=$G140,U$5+6&gt;=$F140),IF($H140="Complétée","F",IF(OR($H140="En cours",$H140="En revue"),"E",IF($H140="Bloquée","B","P"))),""))</f>
        <v/>
      </c>
      <c r="V140" s="53">
        <f>IF(OR($F140="",$G140=""),"",IF(AND(V$5&lt;=$G140,V$5+6&gt;=$F140),IF($H140="Complétée","F",IF(OR($H140="En cours",$H140="En revue"),"E",IF($H140="Bloquée","B","P"))),""))</f>
        <v/>
      </c>
      <c r="W140" s="53">
        <f>IF(OR($F140="",$G140=""),"",IF(AND(W$5&lt;=$G140,W$5+6&gt;=$F140),IF($H140="Complétée","F",IF(OR($H140="En cours",$H140="En revue"),"E",IF($H140="Bloquée","B","P"))),""))</f>
        <v/>
      </c>
      <c r="X140" s="53">
        <f>IF(OR($F140="",$G140=""),"",IF(AND(X$5&lt;=$G140,X$5+6&gt;=$F140),IF($H140="Complétée","F",IF(OR($H140="En cours",$H140="En revue"),"E",IF($H140="Bloquée","B","P"))),""))</f>
        <v/>
      </c>
      <c r="Y140" s="53">
        <f>IF(OR($F140="",$G140=""),"",IF(AND(Y$5&lt;=$G140,Y$5+6&gt;=$F140),IF($H140="Complétée","F",IF(OR($H140="En cours",$H140="En revue"),"E",IF($H140="Bloquée","B","P"))),""))</f>
        <v/>
      </c>
      <c r="Z140" s="53">
        <f>IF(OR($F140="",$G140=""),"",IF(AND(Z$5&lt;=$G140,Z$5+6&gt;=$F140),IF($H140="Complétée","F",IF(OR($H140="En cours",$H140="En revue"),"E",IF($H140="Bloquée","B","P"))),""))</f>
        <v/>
      </c>
      <c r="AA140" s="53">
        <f>IF(OR($F140="",$G140=""),"",IF(AND(AA$5&lt;=$G140,AA$5+6&gt;=$F140),IF($H140="Complétée","F",IF(OR($H140="En cours",$H140="En revue"),"E",IF($H140="Bloquée","B","P"))),""))</f>
        <v/>
      </c>
      <c r="AB140" s="53">
        <f>IF(OR($F140="",$G140=""),"",IF(AND(AB$5&lt;=$G140,AB$5+6&gt;=$F140),IF($H140="Complétée","F",IF(OR($H140="En cours",$H140="En revue"),"E",IF($H140="Bloquée","B","P"))),""))</f>
        <v/>
      </c>
      <c r="AC140" s="53">
        <f>IF(OR($F140="",$G140=""),"",IF(AND(AC$5&lt;=$G140,AC$5+6&gt;=$F140),IF($H140="Complétée","F",IF(OR($H140="En cours",$H140="En revue"),"E",IF($H140="Bloquée","B","P"))),""))</f>
        <v/>
      </c>
      <c r="AD140" s="53">
        <f>IF(OR($F140="",$G140=""),"",IF(AND(AD$5&lt;=$G140,AD$5+6&gt;=$F140),IF($H140="Complétée","F",IF(OR($H140="En cours",$H140="En revue"),"E",IF($H140="Bloquée","B","P"))),""))</f>
        <v/>
      </c>
      <c r="AE140" s="53">
        <f>IF(OR($F140="",$G140=""),"",IF(AND(AE$5&lt;=$G140,AE$5+6&gt;=$F140),IF($H140="Complétée","F",IF(OR($H140="En cours",$H140="En revue"),"E",IF($H140="Bloquée","B","P"))),""))</f>
        <v/>
      </c>
      <c r="AF140" s="53">
        <f>IF(OR($F140="",$G140=""),"",IF(AND(AF$5&lt;=$G140,AF$5+6&gt;=$F140),IF($H140="Complétée","F",IF(OR($H140="En cours",$H140="En revue"),"E",IF($H140="Bloquée","B","P"))),""))</f>
        <v/>
      </c>
      <c r="AG140" s="53">
        <f>IF(OR($F140="",$G140=""),"",IF(AND(AG$5&lt;=$G140,AG$5+6&gt;=$F140),IF($H140="Complétée","F",IF(OR($H140="En cours",$H140="En revue"),"E",IF($H140="Bloquée","B","P"))),""))</f>
        <v/>
      </c>
      <c r="AH140" s="53">
        <f>IF(OR($F140="",$G140=""),"",IF(AND(AH$5&lt;=$G140,AH$5+6&gt;=$F140),IF($H140="Complétée","F",IF(OR($H140="En cours",$H140="En revue"),"E",IF($H140="Bloquée","B","P"))),""))</f>
        <v/>
      </c>
      <c r="AI140" s="53">
        <f>IF(OR($F140="",$G140=""),"",IF(AND(AI$5&lt;=$G140,AI$5+6&gt;=$F140),IF($H140="Complétée","F",IF(OR($H140="En cours",$H140="En revue"),"E",IF($H140="Bloquée","B","P"))),""))</f>
        <v/>
      </c>
      <c r="AJ140" s="53">
        <f>IF(OR($F140="",$G140=""),"",IF(AND(AJ$5&lt;=$G140,AJ$5+6&gt;=$F140),IF($H140="Complétée","F",IF(OR($H140="En cours",$H140="En revue"),"E",IF($H140="Bloquée","B","P"))),""))</f>
        <v/>
      </c>
      <c r="AK140" s="53">
        <f>IF(OR($F140="",$G140=""),"",IF(AND(AK$5&lt;=$G140,AK$5+6&gt;=$F140),IF($H140="Complétée","F",IF(OR($H140="En cours",$H140="En revue"),"E",IF($H140="Bloquée","B","P"))),""))</f>
        <v/>
      </c>
      <c r="AL140" s="53">
        <f>IF(OR($F140="",$G140=""),"",IF(AND(AL$5&lt;=$G140,AL$5+6&gt;=$F140),IF($H140="Complétée","F",IF(OR($H140="En cours",$H140="En revue"),"E",IF($H140="Bloquée","B","P"))),""))</f>
        <v/>
      </c>
      <c r="AM140" s="53">
        <f>IF(OR($F140="",$G140=""),"",IF(AND(AM$5&lt;=$G140,AM$5+6&gt;=$F140),IF($H140="Complétée","F",IF(OR($H140="En cours",$H140="En revue"),"E",IF($H140="Bloquée","B","P"))),""))</f>
        <v/>
      </c>
      <c r="AN140" s="53">
        <f>IF(OR($F140="",$G140=""),"",IF(AND(AN$5&lt;=$G140,AN$5+6&gt;=$F140),IF($H140="Complétée","F",IF(OR($H140="En cours",$H140="En revue"),"E",IF($H140="Bloquée","B","P"))),""))</f>
        <v/>
      </c>
      <c r="AO140" s="53">
        <f>IF(OR($F140="",$G140=""),"",IF(AND(AO$5&lt;=$G140,AO$5+6&gt;=$F140),IF($H140="Complétée","F",IF(OR($H140="En cours",$H140="En revue"),"E",IF($H140="Bloquée","B","P"))),""))</f>
        <v/>
      </c>
      <c r="AP140" s="53">
        <f>IF(OR($F140="",$G140=""),"",IF(AND(AP$5&lt;=$G140,AP$5+6&gt;=$F140),IF($H140="Complétée","F",IF(OR($H140="En cours",$H140="En revue"),"E",IF($H140="Bloquée","B","P"))),""))</f>
        <v/>
      </c>
      <c r="AQ140" s="53">
        <f>IF(OR($F140="",$G140=""),"",IF(AND(AQ$5&lt;=$G140,AQ$5+6&gt;=$F140),IF($H140="Complétée","F",IF(OR($H140="En cours",$H140="En revue"),"E",IF($H140="Bloquée","B","P"))),""))</f>
        <v/>
      </c>
      <c r="AR140" s="53">
        <f>IF(OR($F140="",$G140=""),"",IF(AND(AR$5&lt;=$G140,AR$5+6&gt;=$F140),IF($H140="Complétée","F",IF(OR($H140="En cours",$H140="En revue"),"E",IF($H140="Bloquée","B","P"))),""))</f>
        <v/>
      </c>
      <c r="AS140" s="53">
        <f>IF(OR($F140="",$G140=""),"",IF(AND(AS$5&lt;=$G140,AS$5+6&gt;=$F140),IF($H140="Complétée","F",IF(OR($H140="En cours",$H140="En revue"),"E",IF($H140="Bloquée","B","P"))),""))</f>
        <v/>
      </c>
      <c r="AT140" s="53">
        <f>IF(OR($F140="",$G140=""),"",IF(AND(AT$5&lt;=$G140,AT$5+6&gt;=$F140),IF($H140="Complétée","F",IF(OR($H140="En cours",$H140="En revue"),"E",IF($H140="Bloquée","B","P"))),""))</f>
        <v/>
      </c>
      <c r="AU140" s="53">
        <f>IF(OR($F140="",$G140=""),"",IF(AND(AU$5&lt;=$G140,AU$5+6&gt;=$F140),IF($H140="Complétée","F",IF(OR($H140="En cours",$H140="En revue"),"E",IF($H140="Bloquée","B","P"))),""))</f>
        <v/>
      </c>
      <c r="AV140" s="53">
        <f>IF(OR($F140="",$G140=""),"",IF(AND(AV$5&lt;=$G140,AV$5+6&gt;=$F140),IF($H140="Complétée","F",IF(OR($H140="En cours",$H140="En revue"),"E",IF($H140="Bloquée","B","P"))),""))</f>
        <v/>
      </c>
      <c r="AW140" s="53">
        <f>IF(OR($F140="",$G140=""),"",IF(AND(AW$5&lt;=$G140,AW$5+6&gt;=$F140),IF($H140="Complétée","F",IF(OR($H140="En cours",$H140="En revue"),"E",IF($H140="Bloquée","B","P"))),""))</f>
        <v/>
      </c>
    </row>
    <row r="141">
      <c r="B141" s="50">
        <f>IF(Taches!B141="","",Taches!B141)</f>
        <v/>
      </c>
      <c r="C141" s="51">
        <f>IF(Taches!B141="","",Taches!F141)</f>
        <v/>
      </c>
      <c r="D141" s="50">
        <f>IF(Taches!B141="","",Taches!C141)</f>
        <v/>
      </c>
      <c r="E141" s="50">
        <f>IF(Taches!B141="","",Taches!D141)</f>
        <v/>
      </c>
      <c r="F141" s="52">
        <f>IF(Taches!P141="","",Taches!P141)</f>
        <v/>
      </c>
      <c r="G141" s="52">
        <f>IF(Taches!Q141="","",Taches!Q141)</f>
        <v/>
      </c>
      <c r="H141" s="50">
        <f>IF(Taches!B141="","",Taches!J141)</f>
        <v/>
      </c>
      <c r="I141" s="53">
        <f>IF(OR($F141="",$G141=""),"",IF(AND(I$5&lt;=$G141,I$5+6&gt;=$F141),IF($H141="Complétée","F",IF(OR($H141="En cours",$H141="En revue"),"E",IF($H141="Bloquée","B","P"))),""))</f>
        <v/>
      </c>
      <c r="J141" s="53">
        <f>IF(OR($F141="",$G141=""),"",IF(AND(J$5&lt;=$G141,J$5+6&gt;=$F141),IF($H141="Complétée","F",IF(OR($H141="En cours",$H141="En revue"),"E",IF($H141="Bloquée","B","P"))),""))</f>
        <v/>
      </c>
      <c r="K141" s="53">
        <f>IF(OR($F141="",$G141=""),"",IF(AND(K$5&lt;=$G141,K$5+6&gt;=$F141),IF($H141="Complétée","F",IF(OR($H141="En cours",$H141="En revue"),"E",IF($H141="Bloquée","B","P"))),""))</f>
        <v/>
      </c>
      <c r="L141" s="53">
        <f>IF(OR($F141="",$G141=""),"",IF(AND(L$5&lt;=$G141,L$5+6&gt;=$F141),IF($H141="Complétée","F",IF(OR($H141="En cours",$H141="En revue"),"E",IF($H141="Bloquée","B","P"))),""))</f>
        <v/>
      </c>
      <c r="M141" s="53">
        <f>IF(OR($F141="",$G141=""),"",IF(AND(M$5&lt;=$G141,M$5+6&gt;=$F141),IF($H141="Complétée","F",IF(OR($H141="En cours",$H141="En revue"),"E",IF($H141="Bloquée","B","P"))),""))</f>
        <v/>
      </c>
      <c r="N141" s="53">
        <f>IF(OR($F141="",$G141=""),"",IF(AND(N$5&lt;=$G141,N$5+6&gt;=$F141),IF($H141="Complétée","F",IF(OR($H141="En cours",$H141="En revue"),"E",IF($H141="Bloquée","B","P"))),""))</f>
        <v/>
      </c>
      <c r="O141" s="53">
        <f>IF(OR($F141="",$G141=""),"",IF(AND(O$5&lt;=$G141,O$5+6&gt;=$F141),IF($H141="Complétée","F",IF(OR($H141="En cours",$H141="En revue"),"E",IF($H141="Bloquée","B","P"))),""))</f>
        <v/>
      </c>
      <c r="P141" s="53">
        <f>IF(OR($F141="",$G141=""),"",IF(AND(P$5&lt;=$G141,P$5+6&gt;=$F141),IF($H141="Complétée","F",IF(OR($H141="En cours",$H141="En revue"),"E",IF($H141="Bloquée","B","P"))),""))</f>
        <v/>
      </c>
      <c r="Q141" s="53">
        <f>IF(OR($F141="",$G141=""),"",IF(AND(Q$5&lt;=$G141,Q$5+6&gt;=$F141),IF($H141="Complétée","F",IF(OR($H141="En cours",$H141="En revue"),"E",IF($H141="Bloquée","B","P"))),""))</f>
        <v/>
      </c>
      <c r="R141" s="53">
        <f>IF(OR($F141="",$G141=""),"",IF(AND(R$5&lt;=$G141,R$5+6&gt;=$F141),IF($H141="Complétée","F",IF(OR($H141="En cours",$H141="En revue"),"E",IF($H141="Bloquée","B","P"))),""))</f>
        <v/>
      </c>
      <c r="S141" s="53">
        <f>IF(OR($F141="",$G141=""),"",IF(AND(S$5&lt;=$G141,S$5+6&gt;=$F141),IF($H141="Complétée","F",IF(OR($H141="En cours",$H141="En revue"),"E",IF($H141="Bloquée","B","P"))),""))</f>
        <v/>
      </c>
      <c r="T141" s="53">
        <f>IF(OR($F141="",$G141=""),"",IF(AND(T$5&lt;=$G141,T$5+6&gt;=$F141),IF($H141="Complétée","F",IF(OR($H141="En cours",$H141="En revue"),"E",IF($H141="Bloquée","B","P"))),""))</f>
        <v/>
      </c>
      <c r="U141" s="53">
        <f>IF(OR($F141="",$G141=""),"",IF(AND(U$5&lt;=$G141,U$5+6&gt;=$F141),IF($H141="Complétée","F",IF(OR($H141="En cours",$H141="En revue"),"E",IF($H141="Bloquée","B","P"))),""))</f>
        <v/>
      </c>
      <c r="V141" s="53">
        <f>IF(OR($F141="",$G141=""),"",IF(AND(V$5&lt;=$G141,V$5+6&gt;=$F141),IF($H141="Complétée","F",IF(OR($H141="En cours",$H141="En revue"),"E",IF($H141="Bloquée","B","P"))),""))</f>
        <v/>
      </c>
      <c r="W141" s="53">
        <f>IF(OR($F141="",$G141=""),"",IF(AND(W$5&lt;=$G141,W$5+6&gt;=$F141),IF($H141="Complétée","F",IF(OR($H141="En cours",$H141="En revue"),"E",IF($H141="Bloquée","B","P"))),""))</f>
        <v/>
      </c>
      <c r="X141" s="53">
        <f>IF(OR($F141="",$G141=""),"",IF(AND(X$5&lt;=$G141,X$5+6&gt;=$F141),IF($H141="Complétée","F",IF(OR($H141="En cours",$H141="En revue"),"E",IF($H141="Bloquée","B","P"))),""))</f>
        <v/>
      </c>
      <c r="Y141" s="53">
        <f>IF(OR($F141="",$G141=""),"",IF(AND(Y$5&lt;=$G141,Y$5+6&gt;=$F141),IF($H141="Complétée","F",IF(OR($H141="En cours",$H141="En revue"),"E",IF($H141="Bloquée","B","P"))),""))</f>
        <v/>
      </c>
      <c r="Z141" s="53">
        <f>IF(OR($F141="",$G141=""),"",IF(AND(Z$5&lt;=$G141,Z$5+6&gt;=$F141),IF($H141="Complétée","F",IF(OR($H141="En cours",$H141="En revue"),"E",IF($H141="Bloquée","B","P"))),""))</f>
        <v/>
      </c>
      <c r="AA141" s="53">
        <f>IF(OR($F141="",$G141=""),"",IF(AND(AA$5&lt;=$G141,AA$5+6&gt;=$F141),IF($H141="Complétée","F",IF(OR($H141="En cours",$H141="En revue"),"E",IF($H141="Bloquée","B","P"))),""))</f>
        <v/>
      </c>
      <c r="AB141" s="53">
        <f>IF(OR($F141="",$G141=""),"",IF(AND(AB$5&lt;=$G141,AB$5+6&gt;=$F141),IF($H141="Complétée","F",IF(OR($H141="En cours",$H141="En revue"),"E",IF($H141="Bloquée","B","P"))),""))</f>
        <v/>
      </c>
      <c r="AC141" s="53">
        <f>IF(OR($F141="",$G141=""),"",IF(AND(AC$5&lt;=$G141,AC$5+6&gt;=$F141),IF($H141="Complétée","F",IF(OR($H141="En cours",$H141="En revue"),"E",IF($H141="Bloquée","B","P"))),""))</f>
        <v/>
      </c>
      <c r="AD141" s="53">
        <f>IF(OR($F141="",$G141=""),"",IF(AND(AD$5&lt;=$G141,AD$5+6&gt;=$F141),IF($H141="Complétée","F",IF(OR($H141="En cours",$H141="En revue"),"E",IF($H141="Bloquée","B","P"))),""))</f>
        <v/>
      </c>
      <c r="AE141" s="53">
        <f>IF(OR($F141="",$G141=""),"",IF(AND(AE$5&lt;=$G141,AE$5+6&gt;=$F141),IF($H141="Complétée","F",IF(OR($H141="En cours",$H141="En revue"),"E",IF($H141="Bloquée","B","P"))),""))</f>
        <v/>
      </c>
      <c r="AF141" s="53">
        <f>IF(OR($F141="",$G141=""),"",IF(AND(AF$5&lt;=$G141,AF$5+6&gt;=$F141),IF($H141="Complétée","F",IF(OR($H141="En cours",$H141="En revue"),"E",IF($H141="Bloquée","B","P"))),""))</f>
        <v/>
      </c>
      <c r="AG141" s="53">
        <f>IF(OR($F141="",$G141=""),"",IF(AND(AG$5&lt;=$G141,AG$5+6&gt;=$F141),IF($H141="Complétée","F",IF(OR($H141="En cours",$H141="En revue"),"E",IF($H141="Bloquée","B","P"))),""))</f>
        <v/>
      </c>
      <c r="AH141" s="53">
        <f>IF(OR($F141="",$G141=""),"",IF(AND(AH$5&lt;=$G141,AH$5+6&gt;=$F141),IF($H141="Complétée","F",IF(OR($H141="En cours",$H141="En revue"),"E",IF($H141="Bloquée","B","P"))),""))</f>
        <v/>
      </c>
      <c r="AI141" s="53">
        <f>IF(OR($F141="",$G141=""),"",IF(AND(AI$5&lt;=$G141,AI$5+6&gt;=$F141),IF($H141="Complétée","F",IF(OR($H141="En cours",$H141="En revue"),"E",IF($H141="Bloquée","B","P"))),""))</f>
        <v/>
      </c>
      <c r="AJ141" s="53">
        <f>IF(OR($F141="",$G141=""),"",IF(AND(AJ$5&lt;=$G141,AJ$5+6&gt;=$F141),IF($H141="Complétée","F",IF(OR($H141="En cours",$H141="En revue"),"E",IF($H141="Bloquée","B","P"))),""))</f>
        <v/>
      </c>
      <c r="AK141" s="53">
        <f>IF(OR($F141="",$G141=""),"",IF(AND(AK$5&lt;=$G141,AK$5+6&gt;=$F141),IF($H141="Complétée","F",IF(OR($H141="En cours",$H141="En revue"),"E",IF($H141="Bloquée","B","P"))),""))</f>
        <v/>
      </c>
      <c r="AL141" s="53">
        <f>IF(OR($F141="",$G141=""),"",IF(AND(AL$5&lt;=$G141,AL$5+6&gt;=$F141),IF($H141="Complétée","F",IF(OR($H141="En cours",$H141="En revue"),"E",IF($H141="Bloquée","B","P"))),""))</f>
        <v/>
      </c>
      <c r="AM141" s="53">
        <f>IF(OR($F141="",$G141=""),"",IF(AND(AM$5&lt;=$G141,AM$5+6&gt;=$F141),IF($H141="Complétée","F",IF(OR($H141="En cours",$H141="En revue"),"E",IF($H141="Bloquée","B","P"))),""))</f>
        <v/>
      </c>
      <c r="AN141" s="53">
        <f>IF(OR($F141="",$G141=""),"",IF(AND(AN$5&lt;=$G141,AN$5+6&gt;=$F141),IF($H141="Complétée","F",IF(OR($H141="En cours",$H141="En revue"),"E",IF($H141="Bloquée","B","P"))),""))</f>
        <v/>
      </c>
      <c r="AO141" s="53">
        <f>IF(OR($F141="",$G141=""),"",IF(AND(AO$5&lt;=$G141,AO$5+6&gt;=$F141),IF($H141="Complétée","F",IF(OR($H141="En cours",$H141="En revue"),"E",IF($H141="Bloquée","B","P"))),""))</f>
        <v/>
      </c>
      <c r="AP141" s="53">
        <f>IF(OR($F141="",$G141=""),"",IF(AND(AP$5&lt;=$G141,AP$5+6&gt;=$F141),IF($H141="Complétée","F",IF(OR($H141="En cours",$H141="En revue"),"E",IF($H141="Bloquée","B","P"))),""))</f>
        <v/>
      </c>
      <c r="AQ141" s="53">
        <f>IF(OR($F141="",$G141=""),"",IF(AND(AQ$5&lt;=$G141,AQ$5+6&gt;=$F141),IF($H141="Complétée","F",IF(OR($H141="En cours",$H141="En revue"),"E",IF($H141="Bloquée","B","P"))),""))</f>
        <v/>
      </c>
      <c r="AR141" s="53">
        <f>IF(OR($F141="",$G141=""),"",IF(AND(AR$5&lt;=$G141,AR$5+6&gt;=$F141),IF($H141="Complétée","F",IF(OR($H141="En cours",$H141="En revue"),"E",IF($H141="Bloquée","B","P"))),""))</f>
        <v/>
      </c>
      <c r="AS141" s="53">
        <f>IF(OR($F141="",$G141=""),"",IF(AND(AS$5&lt;=$G141,AS$5+6&gt;=$F141),IF($H141="Complétée","F",IF(OR($H141="En cours",$H141="En revue"),"E",IF($H141="Bloquée","B","P"))),""))</f>
        <v/>
      </c>
      <c r="AT141" s="53">
        <f>IF(OR($F141="",$G141=""),"",IF(AND(AT$5&lt;=$G141,AT$5+6&gt;=$F141),IF($H141="Complétée","F",IF(OR($H141="En cours",$H141="En revue"),"E",IF($H141="Bloquée","B","P"))),""))</f>
        <v/>
      </c>
      <c r="AU141" s="53">
        <f>IF(OR($F141="",$G141=""),"",IF(AND(AU$5&lt;=$G141,AU$5+6&gt;=$F141),IF($H141="Complétée","F",IF(OR($H141="En cours",$H141="En revue"),"E",IF($H141="Bloquée","B","P"))),""))</f>
        <v/>
      </c>
      <c r="AV141" s="53">
        <f>IF(OR($F141="",$G141=""),"",IF(AND(AV$5&lt;=$G141,AV$5+6&gt;=$F141),IF($H141="Complétée","F",IF(OR($H141="En cours",$H141="En revue"),"E",IF($H141="Bloquée","B","P"))),""))</f>
        <v/>
      </c>
      <c r="AW141" s="53">
        <f>IF(OR($F141="",$G141=""),"",IF(AND(AW$5&lt;=$G141,AW$5+6&gt;=$F141),IF($H141="Complétée","F",IF(OR($H141="En cours",$H141="En revue"),"E",IF($H141="Bloquée","B","P"))),""))</f>
        <v/>
      </c>
    </row>
    <row r="142">
      <c r="B142" s="50">
        <f>IF(Taches!B142="","",Taches!B142)</f>
        <v/>
      </c>
      <c r="C142" s="51">
        <f>IF(Taches!B142="","",Taches!F142)</f>
        <v/>
      </c>
      <c r="D142" s="50">
        <f>IF(Taches!B142="","",Taches!C142)</f>
        <v/>
      </c>
      <c r="E142" s="50">
        <f>IF(Taches!B142="","",Taches!D142)</f>
        <v/>
      </c>
      <c r="F142" s="52">
        <f>IF(Taches!P142="","",Taches!P142)</f>
        <v/>
      </c>
      <c r="G142" s="52">
        <f>IF(Taches!Q142="","",Taches!Q142)</f>
        <v/>
      </c>
      <c r="H142" s="50">
        <f>IF(Taches!B142="","",Taches!J142)</f>
        <v/>
      </c>
      <c r="I142" s="53">
        <f>IF(OR($F142="",$G142=""),"",IF(AND(I$5&lt;=$G142,I$5+6&gt;=$F142),IF($H142="Complétée","F",IF(OR($H142="En cours",$H142="En revue"),"E",IF($H142="Bloquée","B","P"))),""))</f>
        <v/>
      </c>
      <c r="J142" s="53">
        <f>IF(OR($F142="",$G142=""),"",IF(AND(J$5&lt;=$G142,J$5+6&gt;=$F142),IF($H142="Complétée","F",IF(OR($H142="En cours",$H142="En revue"),"E",IF($H142="Bloquée","B","P"))),""))</f>
        <v/>
      </c>
      <c r="K142" s="53">
        <f>IF(OR($F142="",$G142=""),"",IF(AND(K$5&lt;=$G142,K$5+6&gt;=$F142),IF($H142="Complétée","F",IF(OR($H142="En cours",$H142="En revue"),"E",IF($H142="Bloquée","B","P"))),""))</f>
        <v/>
      </c>
      <c r="L142" s="53">
        <f>IF(OR($F142="",$G142=""),"",IF(AND(L$5&lt;=$G142,L$5+6&gt;=$F142),IF($H142="Complétée","F",IF(OR($H142="En cours",$H142="En revue"),"E",IF($H142="Bloquée","B","P"))),""))</f>
        <v/>
      </c>
      <c r="M142" s="53">
        <f>IF(OR($F142="",$G142=""),"",IF(AND(M$5&lt;=$G142,M$5+6&gt;=$F142),IF($H142="Complétée","F",IF(OR($H142="En cours",$H142="En revue"),"E",IF($H142="Bloquée","B","P"))),""))</f>
        <v/>
      </c>
      <c r="N142" s="53">
        <f>IF(OR($F142="",$G142=""),"",IF(AND(N$5&lt;=$G142,N$5+6&gt;=$F142),IF($H142="Complétée","F",IF(OR($H142="En cours",$H142="En revue"),"E",IF($H142="Bloquée","B","P"))),""))</f>
        <v/>
      </c>
      <c r="O142" s="53">
        <f>IF(OR($F142="",$G142=""),"",IF(AND(O$5&lt;=$G142,O$5+6&gt;=$F142),IF($H142="Complétée","F",IF(OR($H142="En cours",$H142="En revue"),"E",IF($H142="Bloquée","B","P"))),""))</f>
        <v/>
      </c>
      <c r="P142" s="53">
        <f>IF(OR($F142="",$G142=""),"",IF(AND(P$5&lt;=$G142,P$5+6&gt;=$F142),IF($H142="Complétée","F",IF(OR($H142="En cours",$H142="En revue"),"E",IF($H142="Bloquée","B","P"))),""))</f>
        <v/>
      </c>
      <c r="Q142" s="53">
        <f>IF(OR($F142="",$G142=""),"",IF(AND(Q$5&lt;=$G142,Q$5+6&gt;=$F142),IF($H142="Complétée","F",IF(OR($H142="En cours",$H142="En revue"),"E",IF($H142="Bloquée","B","P"))),""))</f>
        <v/>
      </c>
      <c r="R142" s="53">
        <f>IF(OR($F142="",$G142=""),"",IF(AND(R$5&lt;=$G142,R$5+6&gt;=$F142),IF($H142="Complétée","F",IF(OR($H142="En cours",$H142="En revue"),"E",IF($H142="Bloquée","B","P"))),""))</f>
        <v/>
      </c>
      <c r="S142" s="53">
        <f>IF(OR($F142="",$G142=""),"",IF(AND(S$5&lt;=$G142,S$5+6&gt;=$F142),IF($H142="Complétée","F",IF(OR($H142="En cours",$H142="En revue"),"E",IF($H142="Bloquée","B","P"))),""))</f>
        <v/>
      </c>
      <c r="T142" s="53">
        <f>IF(OR($F142="",$G142=""),"",IF(AND(T$5&lt;=$G142,T$5+6&gt;=$F142),IF($H142="Complétée","F",IF(OR($H142="En cours",$H142="En revue"),"E",IF($H142="Bloquée","B","P"))),""))</f>
        <v/>
      </c>
      <c r="U142" s="53">
        <f>IF(OR($F142="",$G142=""),"",IF(AND(U$5&lt;=$G142,U$5+6&gt;=$F142),IF($H142="Complétée","F",IF(OR($H142="En cours",$H142="En revue"),"E",IF($H142="Bloquée","B","P"))),""))</f>
        <v/>
      </c>
      <c r="V142" s="53">
        <f>IF(OR($F142="",$G142=""),"",IF(AND(V$5&lt;=$G142,V$5+6&gt;=$F142),IF($H142="Complétée","F",IF(OR($H142="En cours",$H142="En revue"),"E",IF($H142="Bloquée","B","P"))),""))</f>
        <v/>
      </c>
      <c r="W142" s="53">
        <f>IF(OR($F142="",$G142=""),"",IF(AND(W$5&lt;=$G142,W$5+6&gt;=$F142),IF($H142="Complétée","F",IF(OR($H142="En cours",$H142="En revue"),"E",IF($H142="Bloquée","B","P"))),""))</f>
        <v/>
      </c>
      <c r="X142" s="53">
        <f>IF(OR($F142="",$G142=""),"",IF(AND(X$5&lt;=$G142,X$5+6&gt;=$F142),IF($H142="Complétée","F",IF(OR($H142="En cours",$H142="En revue"),"E",IF($H142="Bloquée","B","P"))),""))</f>
        <v/>
      </c>
      <c r="Y142" s="53">
        <f>IF(OR($F142="",$G142=""),"",IF(AND(Y$5&lt;=$G142,Y$5+6&gt;=$F142),IF($H142="Complétée","F",IF(OR($H142="En cours",$H142="En revue"),"E",IF($H142="Bloquée","B","P"))),""))</f>
        <v/>
      </c>
      <c r="Z142" s="53">
        <f>IF(OR($F142="",$G142=""),"",IF(AND(Z$5&lt;=$G142,Z$5+6&gt;=$F142),IF($H142="Complétée","F",IF(OR($H142="En cours",$H142="En revue"),"E",IF($H142="Bloquée","B","P"))),""))</f>
        <v/>
      </c>
      <c r="AA142" s="53">
        <f>IF(OR($F142="",$G142=""),"",IF(AND(AA$5&lt;=$G142,AA$5+6&gt;=$F142),IF($H142="Complétée","F",IF(OR($H142="En cours",$H142="En revue"),"E",IF($H142="Bloquée","B","P"))),""))</f>
        <v/>
      </c>
      <c r="AB142" s="53">
        <f>IF(OR($F142="",$G142=""),"",IF(AND(AB$5&lt;=$G142,AB$5+6&gt;=$F142),IF($H142="Complétée","F",IF(OR($H142="En cours",$H142="En revue"),"E",IF($H142="Bloquée","B","P"))),""))</f>
        <v/>
      </c>
      <c r="AC142" s="53">
        <f>IF(OR($F142="",$G142=""),"",IF(AND(AC$5&lt;=$G142,AC$5+6&gt;=$F142),IF($H142="Complétée","F",IF(OR($H142="En cours",$H142="En revue"),"E",IF($H142="Bloquée","B","P"))),""))</f>
        <v/>
      </c>
      <c r="AD142" s="53">
        <f>IF(OR($F142="",$G142=""),"",IF(AND(AD$5&lt;=$G142,AD$5+6&gt;=$F142),IF($H142="Complétée","F",IF(OR($H142="En cours",$H142="En revue"),"E",IF($H142="Bloquée","B","P"))),""))</f>
        <v/>
      </c>
      <c r="AE142" s="53">
        <f>IF(OR($F142="",$G142=""),"",IF(AND(AE$5&lt;=$G142,AE$5+6&gt;=$F142),IF($H142="Complétée","F",IF(OR($H142="En cours",$H142="En revue"),"E",IF($H142="Bloquée","B","P"))),""))</f>
        <v/>
      </c>
      <c r="AF142" s="53">
        <f>IF(OR($F142="",$G142=""),"",IF(AND(AF$5&lt;=$G142,AF$5+6&gt;=$F142),IF($H142="Complétée","F",IF(OR($H142="En cours",$H142="En revue"),"E",IF($H142="Bloquée","B","P"))),""))</f>
        <v/>
      </c>
      <c r="AG142" s="53">
        <f>IF(OR($F142="",$G142=""),"",IF(AND(AG$5&lt;=$G142,AG$5+6&gt;=$F142),IF($H142="Complétée","F",IF(OR($H142="En cours",$H142="En revue"),"E",IF($H142="Bloquée","B","P"))),""))</f>
        <v/>
      </c>
      <c r="AH142" s="53">
        <f>IF(OR($F142="",$G142=""),"",IF(AND(AH$5&lt;=$G142,AH$5+6&gt;=$F142),IF($H142="Complétée","F",IF(OR($H142="En cours",$H142="En revue"),"E",IF($H142="Bloquée","B","P"))),""))</f>
        <v/>
      </c>
      <c r="AI142" s="53">
        <f>IF(OR($F142="",$G142=""),"",IF(AND(AI$5&lt;=$G142,AI$5+6&gt;=$F142),IF($H142="Complétée","F",IF(OR($H142="En cours",$H142="En revue"),"E",IF($H142="Bloquée","B","P"))),""))</f>
        <v/>
      </c>
      <c r="AJ142" s="53">
        <f>IF(OR($F142="",$G142=""),"",IF(AND(AJ$5&lt;=$G142,AJ$5+6&gt;=$F142),IF($H142="Complétée","F",IF(OR($H142="En cours",$H142="En revue"),"E",IF($H142="Bloquée","B","P"))),""))</f>
        <v/>
      </c>
      <c r="AK142" s="53">
        <f>IF(OR($F142="",$G142=""),"",IF(AND(AK$5&lt;=$G142,AK$5+6&gt;=$F142),IF($H142="Complétée","F",IF(OR($H142="En cours",$H142="En revue"),"E",IF($H142="Bloquée","B","P"))),""))</f>
        <v/>
      </c>
      <c r="AL142" s="53">
        <f>IF(OR($F142="",$G142=""),"",IF(AND(AL$5&lt;=$G142,AL$5+6&gt;=$F142),IF($H142="Complétée","F",IF(OR($H142="En cours",$H142="En revue"),"E",IF($H142="Bloquée","B","P"))),""))</f>
        <v/>
      </c>
      <c r="AM142" s="53">
        <f>IF(OR($F142="",$G142=""),"",IF(AND(AM$5&lt;=$G142,AM$5+6&gt;=$F142),IF($H142="Complétée","F",IF(OR($H142="En cours",$H142="En revue"),"E",IF($H142="Bloquée","B","P"))),""))</f>
        <v/>
      </c>
      <c r="AN142" s="53">
        <f>IF(OR($F142="",$G142=""),"",IF(AND(AN$5&lt;=$G142,AN$5+6&gt;=$F142),IF($H142="Complétée","F",IF(OR($H142="En cours",$H142="En revue"),"E",IF($H142="Bloquée","B","P"))),""))</f>
        <v/>
      </c>
      <c r="AO142" s="53">
        <f>IF(OR($F142="",$G142=""),"",IF(AND(AO$5&lt;=$G142,AO$5+6&gt;=$F142),IF($H142="Complétée","F",IF(OR($H142="En cours",$H142="En revue"),"E",IF($H142="Bloquée","B","P"))),""))</f>
        <v/>
      </c>
      <c r="AP142" s="53">
        <f>IF(OR($F142="",$G142=""),"",IF(AND(AP$5&lt;=$G142,AP$5+6&gt;=$F142),IF($H142="Complétée","F",IF(OR($H142="En cours",$H142="En revue"),"E",IF($H142="Bloquée","B","P"))),""))</f>
        <v/>
      </c>
      <c r="AQ142" s="53">
        <f>IF(OR($F142="",$G142=""),"",IF(AND(AQ$5&lt;=$G142,AQ$5+6&gt;=$F142),IF($H142="Complétée","F",IF(OR($H142="En cours",$H142="En revue"),"E",IF($H142="Bloquée","B","P"))),""))</f>
        <v/>
      </c>
      <c r="AR142" s="53">
        <f>IF(OR($F142="",$G142=""),"",IF(AND(AR$5&lt;=$G142,AR$5+6&gt;=$F142),IF($H142="Complétée","F",IF(OR($H142="En cours",$H142="En revue"),"E",IF($H142="Bloquée","B","P"))),""))</f>
        <v/>
      </c>
      <c r="AS142" s="53">
        <f>IF(OR($F142="",$G142=""),"",IF(AND(AS$5&lt;=$G142,AS$5+6&gt;=$F142),IF($H142="Complétée","F",IF(OR($H142="En cours",$H142="En revue"),"E",IF($H142="Bloquée","B","P"))),""))</f>
        <v/>
      </c>
      <c r="AT142" s="53">
        <f>IF(OR($F142="",$G142=""),"",IF(AND(AT$5&lt;=$G142,AT$5+6&gt;=$F142),IF($H142="Complétée","F",IF(OR($H142="En cours",$H142="En revue"),"E",IF($H142="Bloquée","B","P"))),""))</f>
        <v/>
      </c>
      <c r="AU142" s="53">
        <f>IF(OR($F142="",$G142=""),"",IF(AND(AU$5&lt;=$G142,AU$5+6&gt;=$F142),IF($H142="Complétée","F",IF(OR($H142="En cours",$H142="En revue"),"E",IF($H142="Bloquée","B","P"))),""))</f>
        <v/>
      </c>
      <c r="AV142" s="53">
        <f>IF(OR($F142="",$G142=""),"",IF(AND(AV$5&lt;=$G142,AV$5+6&gt;=$F142),IF($H142="Complétée","F",IF(OR($H142="En cours",$H142="En revue"),"E",IF($H142="Bloquée","B","P"))),""))</f>
        <v/>
      </c>
      <c r="AW142" s="53">
        <f>IF(OR($F142="",$G142=""),"",IF(AND(AW$5&lt;=$G142,AW$5+6&gt;=$F142),IF($H142="Complétée","F",IF(OR($H142="En cours",$H142="En revue"),"E",IF($H142="Bloquée","B","P"))),""))</f>
        <v/>
      </c>
    </row>
    <row r="143">
      <c r="B143" s="50">
        <f>IF(Taches!B143="","",Taches!B143)</f>
        <v/>
      </c>
      <c r="C143" s="51">
        <f>IF(Taches!B143="","",Taches!F143)</f>
        <v/>
      </c>
      <c r="D143" s="50">
        <f>IF(Taches!B143="","",Taches!C143)</f>
        <v/>
      </c>
      <c r="E143" s="50">
        <f>IF(Taches!B143="","",Taches!D143)</f>
        <v/>
      </c>
      <c r="F143" s="52">
        <f>IF(Taches!P143="","",Taches!P143)</f>
        <v/>
      </c>
      <c r="G143" s="52">
        <f>IF(Taches!Q143="","",Taches!Q143)</f>
        <v/>
      </c>
      <c r="H143" s="50">
        <f>IF(Taches!B143="","",Taches!J143)</f>
        <v/>
      </c>
      <c r="I143" s="53">
        <f>IF(OR($F143="",$G143=""),"",IF(AND(I$5&lt;=$G143,I$5+6&gt;=$F143),IF($H143="Complétée","F",IF(OR($H143="En cours",$H143="En revue"),"E",IF($H143="Bloquée","B","P"))),""))</f>
        <v/>
      </c>
      <c r="J143" s="53">
        <f>IF(OR($F143="",$G143=""),"",IF(AND(J$5&lt;=$G143,J$5+6&gt;=$F143),IF($H143="Complétée","F",IF(OR($H143="En cours",$H143="En revue"),"E",IF($H143="Bloquée","B","P"))),""))</f>
        <v/>
      </c>
      <c r="K143" s="53">
        <f>IF(OR($F143="",$G143=""),"",IF(AND(K$5&lt;=$G143,K$5+6&gt;=$F143),IF($H143="Complétée","F",IF(OR($H143="En cours",$H143="En revue"),"E",IF($H143="Bloquée","B","P"))),""))</f>
        <v/>
      </c>
      <c r="L143" s="53">
        <f>IF(OR($F143="",$G143=""),"",IF(AND(L$5&lt;=$G143,L$5+6&gt;=$F143),IF($H143="Complétée","F",IF(OR($H143="En cours",$H143="En revue"),"E",IF($H143="Bloquée","B","P"))),""))</f>
        <v/>
      </c>
      <c r="M143" s="53">
        <f>IF(OR($F143="",$G143=""),"",IF(AND(M$5&lt;=$G143,M$5+6&gt;=$F143),IF($H143="Complétée","F",IF(OR($H143="En cours",$H143="En revue"),"E",IF($H143="Bloquée","B","P"))),""))</f>
        <v/>
      </c>
      <c r="N143" s="53">
        <f>IF(OR($F143="",$G143=""),"",IF(AND(N$5&lt;=$G143,N$5+6&gt;=$F143),IF($H143="Complétée","F",IF(OR($H143="En cours",$H143="En revue"),"E",IF($H143="Bloquée","B","P"))),""))</f>
        <v/>
      </c>
      <c r="O143" s="53">
        <f>IF(OR($F143="",$G143=""),"",IF(AND(O$5&lt;=$G143,O$5+6&gt;=$F143),IF($H143="Complétée","F",IF(OR($H143="En cours",$H143="En revue"),"E",IF($H143="Bloquée","B","P"))),""))</f>
        <v/>
      </c>
      <c r="P143" s="53">
        <f>IF(OR($F143="",$G143=""),"",IF(AND(P$5&lt;=$G143,P$5+6&gt;=$F143),IF($H143="Complétée","F",IF(OR($H143="En cours",$H143="En revue"),"E",IF($H143="Bloquée","B","P"))),""))</f>
        <v/>
      </c>
      <c r="Q143" s="53">
        <f>IF(OR($F143="",$G143=""),"",IF(AND(Q$5&lt;=$G143,Q$5+6&gt;=$F143),IF($H143="Complétée","F",IF(OR($H143="En cours",$H143="En revue"),"E",IF($H143="Bloquée","B","P"))),""))</f>
        <v/>
      </c>
      <c r="R143" s="53">
        <f>IF(OR($F143="",$G143=""),"",IF(AND(R$5&lt;=$G143,R$5+6&gt;=$F143),IF($H143="Complétée","F",IF(OR($H143="En cours",$H143="En revue"),"E",IF($H143="Bloquée","B","P"))),""))</f>
        <v/>
      </c>
      <c r="S143" s="53">
        <f>IF(OR($F143="",$G143=""),"",IF(AND(S$5&lt;=$G143,S$5+6&gt;=$F143),IF($H143="Complétée","F",IF(OR($H143="En cours",$H143="En revue"),"E",IF($H143="Bloquée","B","P"))),""))</f>
        <v/>
      </c>
      <c r="T143" s="53">
        <f>IF(OR($F143="",$G143=""),"",IF(AND(T$5&lt;=$G143,T$5+6&gt;=$F143),IF($H143="Complétée","F",IF(OR($H143="En cours",$H143="En revue"),"E",IF($H143="Bloquée","B","P"))),""))</f>
        <v/>
      </c>
      <c r="U143" s="53">
        <f>IF(OR($F143="",$G143=""),"",IF(AND(U$5&lt;=$G143,U$5+6&gt;=$F143),IF($H143="Complétée","F",IF(OR($H143="En cours",$H143="En revue"),"E",IF($H143="Bloquée","B","P"))),""))</f>
        <v/>
      </c>
      <c r="V143" s="53">
        <f>IF(OR($F143="",$G143=""),"",IF(AND(V$5&lt;=$G143,V$5+6&gt;=$F143),IF($H143="Complétée","F",IF(OR($H143="En cours",$H143="En revue"),"E",IF($H143="Bloquée","B","P"))),""))</f>
        <v/>
      </c>
      <c r="W143" s="53">
        <f>IF(OR($F143="",$G143=""),"",IF(AND(W$5&lt;=$G143,W$5+6&gt;=$F143),IF($H143="Complétée","F",IF(OR($H143="En cours",$H143="En revue"),"E",IF($H143="Bloquée","B","P"))),""))</f>
        <v/>
      </c>
      <c r="X143" s="53">
        <f>IF(OR($F143="",$G143=""),"",IF(AND(X$5&lt;=$G143,X$5+6&gt;=$F143),IF($H143="Complétée","F",IF(OR($H143="En cours",$H143="En revue"),"E",IF($H143="Bloquée","B","P"))),""))</f>
        <v/>
      </c>
      <c r="Y143" s="53">
        <f>IF(OR($F143="",$G143=""),"",IF(AND(Y$5&lt;=$G143,Y$5+6&gt;=$F143),IF($H143="Complétée","F",IF(OR($H143="En cours",$H143="En revue"),"E",IF($H143="Bloquée","B","P"))),""))</f>
        <v/>
      </c>
      <c r="Z143" s="53">
        <f>IF(OR($F143="",$G143=""),"",IF(AND(Z$5&lt;=$G143,Z$5+6&gt;=$F143),IF($H143="Complétée","F",IF(OR($H143="En cours",$H143="En revue"),"E",IF($H143="Bloquée","B","P"))),""))</f>
        <v/>
      </c>
      <c r="AA143" s="53">
        <f>IF(OR($F143="",$G143=""),"",IF(AND(AA$5&lt;=$G143,AA$5+6&gt;=$F143),IF($H143="Complétée","F",IF(OR($H143="En cours",$H143="En revue"),"E",IF($H143="Bloquée","B","P"))),""))</f>
        <v/>
      </c>
      <c r="AB143" s="53">
        <f>IF(OR($F143="",$G143=""),"",IF(AND(AB$5&lt;=$G143,AB$5+6&gt;=$F143),IF($H143="Complétée","F",IF(OR($H143="En cours",$H143="En revue"),"E",IF($H143="Bloquée","B","P"))),""))</f>
        <v/>
      </c>
      <c r="AC143" s="53">
        <f>IF(OR($F143="",$G143=""),"",IF(AND(AC$5&lt;=$G143,AC$5+6&gt;=$F143),IF($H143="Complétée","F",IF(OR($H143="En cours",$H143="En revue"),"E",IF($H143="Bloquée","B","P"))),""))</f>
        <v/>
      </c>
      <c r="AD143" s="53">
        <f>IF(OR($F143="",$G143=""),"",IF(AND(AD$5&lt;=$G143,AD$5+6&gt;=$F143),IF($H143="Complétée","F",IF(OR($H143="En cours",$H143="En revue"),"E",IF($H143="Bloquée","B","P"))),""))</f>
        <v/>
      </c>
      <c r="AE143" s="53">
        <f>IF(OR($F143="",$G143=""),"",IF(AND(AE$5&lt;=$G143,AE$5+6&gt;=$F143),IF($H143="Complétée","F",IF(OR($H143="En cours",$H143="En revue"),"E",IF($H143="Bloquée","B","P"))),""))</f>
        <v/>
      </c>
      <c r="AF143" s="53">
        <f>IF(OR($F143="",$G143=""),"",IF(AND(AF$5&lt;=$G143,AF$5+6&gt;=$F143),IF($H143="Complétée","F",IF(OR($H143="En cours",$H143="En revue"),"E",IF($H143="Bloquée","B","P"))),""))</f>
        <v/>
      </c>
      <c r="AG143" s="53">
        <f>IF(OR($F143="",$G143=""),"",IF(AND(AG$5&lt;=$G143,AG$5+6&gt;=$F143),IF($H143="Complétée","F",IF(OR($H143="En cours",$H143="En revue"),"E",IF($H143="Bloquée","B","P"))),""))</f>
        <v/>
      </c>
      <c r="AH143" s="53">
        <f>IF(OR($F143="",$G143=""),"",IF(AND(AH$5&lt;=$G143,AH$5+6&gt;=$F143),IF($H143="Complétée","F",IF(OR($H143="En cours",$H143="En revue"),"E",IF($H143="Bloquée","B","P"))),""))</f>
        <v/>
      </c>
      <c r="AI143" s="53">
        <f>IF(OR($F143="",$G143=""),"",IF(AND(AI$5&lt;=$G143,AI$5+6&gt;=$F143),IF($H143="Complétée","F",IF(OR($H143="En cours",$H143="En revue"),"E",IF($H143="Bloquée","B","P"))),""))</f>
        <v/>
      </c>
      <c r="AJ143" s="53">
        <f>IF(OR($F143="",$G143=""),"",IF(AND(AJ$5&lt;=$G143,AJ$5+6&gt;=$F143),IF($H143="Complétée","F",IF(OR($H143="En cours",$H143="En revue"),"E",IF($H143="Bloquée","B","P"))),""))</f>
        <v/>
      </c>
      <c r="AK143" s="53">
        <f>IF(OR($F143="",$G143=""),"",IF(AND(AK$5&lt;=$G143,AK$5+6&gt;=$F143),IF($H143="Complétée","F",IF(OR($H143="En cours",$H143="En revue"),"E",IF($H143="Bloquée","B","P"))),""))</f>
        <v/>
      </c>
      <c r="AL143" s="53">
        <f>IF(OR($F143="",$G143=""),"",IF(AND(AL$5&lt;=$G143,AL$5+6&gt;=$F143),IF($H143="Complétée","F",IF(OR($H143="En cours",$H143="En revue"),"E",IF($H143="Bloquée","B","P"))),""))</f>
        <v/>
      </c>
      <c r="AM143" s="53">
        <f>IF(OR($F143="",$G143=""),"",IF(AND(AM$5&lt;=$G143,AM$5+6&gt;=$F143),IF($H143="Complétée","F",IF(OR($H143="En cours",$H143="En revue"),"E",IF($H143="Bloquée","B","P"))),""))</f>
        <v/>
      </c>
      <c r="AN143" s="53">
        <f>IF(OR($F143="",$G143=""),"",IF(AND(AN$5&lt;=$G143,AN$5+6&gt;=$F143),IF($H143="Complétée","F",IF(OR($H143="En cours",$H143="En revue"),"E",IF($H143="Bloquée","B","P"))),""))</f>
        <v/>
      </c>
      <c r="AO143" s="53">
        <f>IF(OR($F143="",$G143=""),"",IF(AND(AO$5&lt;=$G143,AO$5+6&gt;=$F143),IF($H143="Complétée","F",IF(OR($H143="En cours",$H143="En revue"),"E",IF($H143="Bloquée","B","P"))),""))</f>
        <v/>
      </c>
      <c r="AP143" s="53">
        <f>IF(OR($F143="",$G143=""),"",IF(AND(AP$5&lt;=$G143,AP$5+6&gt;=$F143),IF($H143="Complétée","F",IF(OR($H143="En cours",$H143="En revue"),"E",IF($H143="Bloquée","B","P"))),""))</f>
        <v/>
      </c>
      <c r="AQ143" s="53">
        <f>IF(OR($F143="",$G143=""),"",IF(AND(AQ$5&lt;=$G143,AQ$5+6&gt;=$F143),IF($H143="Complétée","F",IF(OR($H143="En cours",$H143="En revue"),"E",IF($H143="Bloquée","B","P"))),""))</f>
        <v/>
      </c>
      <c r="AR143" s="53">
        <f>IF(OR($F143="",$G143=""),"",IF(AND(AR$5&lt;=$G143,AR$5+6&gt;=$F143),IF($H143="Complétée","F",IF(OR($H143="En cours",$H143="En revue"),"E",IF($H143="Bloquée","B","P"))),""))</f>
        <v/>
      </c>
      <c r="AS143" s="53">
        <f>IF(OR($F143="",$G143=""),"",IF(AND(AS$5&lt;=$G143,AS$5+6&gt;=$F143),IF($H143="Complétée","F",IF(OR($H143="En cours",$H143="En revue"),"E",IF($H143="Bloquée","B","P"))),""))</f>
        <v/>
      </c>
      <c r="AT143" s="53">
        <f>IF(OR($F143="",$G143=""),"",IF(AND(AT$5&lt;=$G143,AT$5+6&gt;=$F143),IF($H143="Complétée","F",IF(OR($H143="En cours",$H143="En revue"),"E",IF($H143="Bloquée","B","P"))),""))</f>
        <v/>
      </c>
      <c r="AU143" s="53">
        <f>IF(OR($F143="",$G143=""),"",IF(AND(AU$5&lt;=$G143,AU$5+6&gt;=$F143),IF($H143="Complétée","F",IF(OR($H143="En cours",$H143="En revue"),"E",IF($H143="Bloquée","B","P"))),""))</f>
        <v/>
      </c>
      <c r="AV143" s="53">
        <f>IF(OR($F143="",$G143=""),"",IF(AND(AV$5&lt;=$G143,AV$5+6&gt;=$F143),IF($H143="Complétée","F",IF(OR($H143="En cours",$H143="En revue"),"E",IF($H143="Bloquée","B","P"))),""))</f>
        <v/>
      </c>
      <c r="AW143" s="53">
        <f>IF(OR($F143="",$G143=""),"",IF(AND(AW$5&lt;=$G143,AW$5+6&gt;=$F143),IF($H143="Complétée","F",IF(OR($H143="En cours",$H143="En revue"),"E",IF($H143="Bloquée","B","P"))),""))</f>
        <v/>
      </c>
    </row>
    <row r="144">
      <c r="B144" s="50">
        <f>IF(Taches!B144="","",Taches!B144)</f>
        <v/>
      </c>
      <c r="C144" s="51">
        <f>IF(Taches!B144="","",Taches!F144)</f>
        <v/>
      </c>
      <c r="D144" s="50">
        <f>IF(Taches!B144="","",Taches!C144)</f>
        <v/>
      </c>
      <c r="E144" s="50">
        <f>IF(Taches!B144="","",Taches!D144)</f>
        <v/>
      </c>
      <c r="F144" s="52">
        <f>IF(Taches!P144="","",Taches!P144)</f>
        <v/>
      </c>
      <c r="G144" s="52">
        <f>IF(Taches!Q144="","",Taches!Q144)</f>
        <v/>
      </c>
      <c r="H144" s="50">
        <f>IF(Taches!B144="","",Taches!J144)</f>
        <v/>
      </c>
      <c r="I144" s="53">
        <f>IF(OR($F144="",$G144=""),"",IF(AND(I$5&lt;=$G144,I$5+6&gt;=$F144),IF($H144="Complétée","F",IF(OR($H144="En cours",$H144="En revue"),"E",IF($H144="Bloquée","B","P"))),""))</f>
        <v/>
      </c>
      <c r="J144" s="53">
        <f>IF(OR($F144="",$G144=""),"",IF(AND(J$5&lt;=$G144,J$5+6&gt;=$F144),IF($H144="Complétée","F",IF(OR($H144="En cours",$H144="En revue"),"E",IF($H144="Bloquée","B","P"))),""))</f>
        <v/>
      </c>
      <c r="K144" s="53">
        <f>IF(OR($F144="",$G144=""),"",IF(AND(K$5&lt;=$G144,K$5+6&gt;=$F144),IF($H144="Complétée","F",IF(OR($H144="En cours",$H144="En revue"),"E",IF($H144="Bloquée","B","P"))),""))</f>
        <v/>
      </c>
      <c r="L144" s="53">
        <f>IF(OR($F144="",$G144=""),"",IF(AND(L$5&lt;=$G144,L$5+6&gt;=$F144),IF($H144="Complétée","F",IF(OR($H144="En cours",$H144="En revue"),"E",IF($H144="Bloquée","B","P"))),""))</f>
        <v/>
      </c>
      <c r="M144" s="53">
        <f>IF(OR($F144="",$G144=""),"",IF(AND(M$5&lt;=$G144,M$5+6&gt;=$F144),IF($H144="Complétée","F",IF(OR($H144="En cours",$H144="En revue"),"E",IF($H144="Bloquée","B","P"))),""))</f>
        <v/>
      </c>
      <c r="N144" s="53">
        <f>IF(OR($F144="",$G144=""),"",IF(AND(N$5&lt;=$G144,N$5+6&gt;=$F144),IF($H144="Complétée","F",IF(OR($H144="En cours",$H144="En revue"),"E",IF($H144="Bloquée","B","P"))),""))</f>
        <v/>
      </c>
      <c r="O144" s="53">
        <f>IF(OR($F144="",$G144=""),"",IF(AND(O$5&lt;=$G144,O$5+6&gt;=$F144),IF($H144="Complétée","F",IF(OR($H144="En cours",$H144="En revue"),"E",IF($H144="Bloquée","B","P"))),""))</f>
        <v/>
      </c>
      <c r="P144" s="53">
        <f>IF(OR($F144="",$G144=""),"",IF(AND(P$5&lt;=$G144,P$5+6&gt;=$F144),IF($H144="Complétée","F",IF(OR($H144="En cours",$H144="En revue"),"E",IF($H144="Bloquée","B","P"))),""))</f>
        <v/>
      </c>
      <c r="Q144" s="53">
        <f>IF(OR($F144="",$G144=""),"",IF(AND(Q$5&lt;=$G144,Q$5+6&gt;=$F144),IF($H144="Complétée","F",IF(OR($H144="En cours",$H144="En revue"),"E",IF($H144="Bloquée","B","P"))),""))</f>
        <v/>
      </c>
      <c r="R144" s="53">
        <f>IF(OR($F144="",$G144=""),"",IF(AND(R$5&lt;=$G144,R$5+6&gt;=$F144),IF($H144="Complétée","F",IF(OR($H144="En cours",$H144="En revue"),"E",IF($H144="Bloquée","B","P"))),""))</f>
        <v/>
      </c>
      <c r="S144" s="53">
        <f>IF(OR($F144="",$G144=""),"",IF(AND(S$5&lt;=$G144,S$5+6&gt;=$F144),IF($H144="Complétée","F",IF(OR($H144="En cours",$H144="En revue"),"E",IF($H144="Bloquée","B","P"))),""))</f>
        <v/>
      </c>
      <c r="T144" s="53">
        <f>IF(OR($F144="",$G144=""),"",IF(AND(T$5&lt;=$G144,T$5+6&gt;=$F144),IF($H144="Complétée","F",IF(OR($H144="En cours",$H144="En revue"),"E",IF($H144="Bloquée","B","P"))),""))</f>
        <v/>
      </c>
      <c r="U144" s="53">
        <f>IF(OR($F144="",$G144=""),"",IF(AND(U$5&lt;=$G144,U$5+6&gt;=$F144),IF($H144="Complétée","F",IF(OR($H144="En cours",$H144="En revue"),"E",IF($H144="Bloquée","B","P"))),""))</f>
        <v/>
      </c>
      <c r="V144" s="53">
        <f>IF(OR($F144="",$G144=""),"",IF(AND(V$5&lt;=$G144,V$5+6&gt;=$F144),IF($H144="Complétée","F",IF(OR($H144="En cours",$H144="En revue"),"E",IF($H144="Bloquée","B","P"))),""))</f>
        <v/>
      </c>
      <c r="W144" s="53">
        <f>IF(OR($F144="",$G144=""),"",IF(AND(W$5&lt;=$G144,W$5+6&gt;=$F144),IF($H144="Complétée","F",IF(OR($H144="En cours",$H144="En revue"),"E",IF($H144="Bloquée","B","P"))),""))</f>
        <v/>
      </c>
      <c r="X144" s="53">
        <f>IF(OR($F144="",$G144=""),"",IF(AND(X$5&lt;=$G144,X$5+6&gt;=$F144),IF($H144="Complétée","F",IF(OR($H144="En cours",$H144="En revue"),"E",IF($H144="Bloquée","B","P"))),""))</f>
        <v/>
      </c>
      <c r="Y144" s="53">
        <f>IF(OR($F144="",$G144=""),"",IF(AND(Y$5&lt;=$G144,Y$5+6&gt;=$F144),IF($H144="Complétée","F",IF(OR($H144="En cours",$H144="En revue"),"E",IF($H144="Bloquée","B","P"))),""))</f>
        <v/>
      </c>
      <c r="Z144" s="53">
        <f>IF(OR($F144="",$G144=""),"",IF(AND(Z$5&lt;=$G144,Z$5+6&gt;=$F144),IF($H144="Complétée","F",IF(OR($H144="En cours",$H144="En revue"),"E",IF($H144="Bloquée","B","P"))),""))</f>
        <v/>
      </c>
      <c r="AA144" s="53">
        <f>IF(OR($F144="",$G144=""),"",IF(AND(AA$5&lt;=$G144,AA$5+6&gt;=$F144),IF($H144="Complétée","F",IF(OR($H144="En cours",$H144="En revue"),"E",IF($H144="Bloquée","B","P"))),""))</f>
        <v/>
      </c>
      <c r="AB144" s="53">
        <f>IF(OR($F144="",$G144=""),"",IF(AND(AB$5&lt;=$G144,AB$5+6&gt;=$F144),IF($H144="Complétée","F",IF(OR($H144="En cours",$H144="En revue"),"E",IF($H144="Bloquée","B","P"))),""))</f>
        <v/>
      </c>
      <c r="AC144" s="53">
        <f>IF(OR($F144="",$G144=""),"",IF(AND(AC$5&lt;=$G144,AC$5+6&gt;=$F144),IF($H144="Complétée","F",IF(OR($H144="En cours",$H144="En revue"),"E",IF($H144="Bloquée","B","P"))),""))</f>
        <v/>
      </c>
      <c r="AD144" s="53">
        <f>IF(OR($F144="",$G144=""),"",IF(AND(AD$5&lt;=$G144,AD$5+6&gt;=$F144),IF($H144="Complétée","F",IF(OR($H144="En cours",$H144="En revue"),"E",IF($H144="Bloquée","B","P"))),""))</f>
        <v/>
      </c>
      <c r="AE144" s="53">
        <f>IF(OR($F144="",$G144=""),"",IF(AND(AE$5&lt;=$G144,AE$5+6&gt;=$F144),IF($H144="Complétée","F",IF(OR($H144="En cours",$H144="En revue"),"E",IF($H144="Bloquée","B","P"))),""))</f>
        <v/>
      </c>
      <c r="AF144" s="53">
        <f>IF(OR($F144="",$G144=""),"",IF(AND(AF$5&lt;=$G144,AF$5+6&gt;=$F144),IF($H144="Complétée","F",IF(OR($H144="En cours",$H144="En revue"),"E",IF($H144="Bloquée","B","P"))),""))</f>
        <v/>
      </c>
      <c r="AG144" s="53">
        <f>IF(OR($F144="",$G144=""),"",IF(AND(AG$5&lt;=$G144,AG$5+6&gt;=$F144),IF($H144="Complétée","F",IF(OR($H144="En cours",$H144="En revue"),"E",IF($H144="Bloquée","B","P"))),""))</f>
        <v/>
      </c>
      <c r="AH144" s="53">
        <f>IF(OR($F144="",$G144=""),"",IF(AND(AH$5&lt;=$G144,AH$5+6&gt;=$F144),IF($H144="Complétée","F",IF(OR($H144="En cours",$H144="En revue"),"E",IF($H144="Bloquée","B","P"))),""))</f>
        <v/>
      </c>
      <c r="AI144" s="53">
        <f>IF(OR($F144="",$G144=""),"",IF(AND(AI$5&lt;=$G144,AI$5+6&gt;=$F144),IF($H144="Complétée","F",IF(OR($H144="En cours",$H144="En revue"),"E",IF($H144="Bloquée","B","P"))),""))</f>
        <v/>
      </c>
      <c r="AJ144" s="53">
        <f>IF(OR($F144="",$G144=""),"",IF(AND(AJ$5&lt;=$G144,AJ$5+6&gt;=$F144),IF($H144="Complétée","F",IF(OR($H144="En cours",$H144="En revue"),"E",IF($H144="Bloquée","B","P"))),""))</f>
        <v/>
      </c>
      <c r="AK144" s="53">
        <f>IF(OR($F144="",$G144=""),"",IF(AND(AK$5&lt;=$G144,AK$5+6&gt;=$F144),IF($H144="Complétée","F",IF(OR($H144="En cours",$H144="En revue"),"E",IF($H144="Bloquée","B","P"))),""))</f>
        <v/>
      </c>
      <c r="AL144" s="53">
        <f>IF(OR($F144="",$G144=""),"",IF(AND(AL$5&lt;=$G144,AL$5+6&gt;=$F144),IF($H144="Complétée","F",IF(OR($H144="En cours",$H144="En revue"),"E",IF($H144="Bloquée","B","P"))),""))</f>
        <v/>
      </c>
      <c r="AM144" s="53">
        <f>IF(OR($F144="",$G144=""),"",IF(AND(AM$5&lt;=$G144,AM$5+6&gt;=$F144),IF($H144="Complétée","F",IF(OR($H144="En cours",$H144="En revue"),"E",IF($H144="Bloquée","B","P"))),""))</f>
        <v/>
      </c>
      <c r="AN144" s="53">
        <f>IF(OR($F144="",$G144=""),"",IF(AND(AN$5&lt;=$G144,AN$5+6&gt;=$F144),IF($H144="Complétée","F",IF(OR($H144="En cours",$H144="En revue"),"E",IF($H144="Bloquée","B","P"))),""))</f>
        <v/>
      </c>
      <c r="AO144" s="53">
        <f>IF(OR($F144="",$G144=""),"",IF(AND(AO$5&lt;=$G144,AO$5+6&gt;=$F144),IF($H144="Complétée","F",IF(OR($H144="En cours",$H144="En revue"),"E",IF($H144="Bloquée","B","P"))),""))</f>
        <v/>
      </c>
      <c r="AP144" s="53">
        <f>IF(OR($F144="",$G144=""),"",IF(AND(AP$5&lt;=$G144,AP$5+6&gt;=$F144),IF($H144="Complétée","F",IF(OR($H144="En cours",$H144="En revue"),"E",IF($H144="Bloquée","B","P"))),""))</f>
        <v/>
      </c>
      <c r="AQ144" s="53">
        <f>IF(OR($F144="",$G144=""),"",IF(AND(AQ$5&lt;=$G144,AQ$5+6&gt;=$F144),IF($H144="Complétée","F",IF(OR($H144="En cours",$H144="En revue"),"E",IF($H144="Bloquée","B","P"))),""))</f>
        <v/>
      </c>
      <c r="AR144" s="53">
        <f>IF(OR($F144="",$G144=""),"",IF(AND(AR$5&lt;=$G144,AR$5+6&gt;=$F144),IF($H144="Complétée","F",IF(OR($H144="En cours",$H144="En revue"),"E",IF($H144="Bloquée","B","P"))),""))</f>
        <v/>
      </c>
      <c r="AS144" s="53">
        <f>IF(OR($F144="",$G144=""),"",IF(AND(AS$5&lt;=$G144,AS$5+6&gt;=$F144),IF($H144="Complétée","F",IF(OR($H144="En cours",$H144="En revue"),"E",IF($H144="Bloquée","B","P"))),""))</f>
        <v/>
      </c>
      <c r="AT144" s="53">
        <f>IF(OR($F144="",$G144=""),"",IF(AND(AT$5&lt;=$G144,AT$5+6&gt;=$F144),IF($H144="Complétée","F",IF(OR($H144="En cours",$H144="En revue"),"E",IF($H144="Bloquée","B","P"))),""))</f>
        <v/>
      </c>
      <c r="AU144" s="53">
        <f>IF(OR($F144="",$G144=""),"",IF(AND(AU$5&lt;=$G144,AU$5+6&gt;=$F144),IF($H144="Complétée","F",IF(OR($H144="En cours",$H144="En revue"),"E",IF($H144="Bloquée","B","P"))),""))</f>
        <v/>
      </c>
      <c r="AV144" s="53">
        <f>IF(OR($F144="",$G144=""),"",IF(AND(AV$5&lt;=$G144,AV$5+6&gt;=$F144),IF($H144="Complétée","F",IF(OR($H144="En cours",$H144="En revue"),"E",IF($H144="Bloquée","B","P"))),""))</f>
        <v/>
      </c>
      <c r="AW144" s="53">
        <f>IF(OR($F144="",$G144=""),"",IF(AND(AW$5&lt;=$G144,AW$5+6&gt;=$F144),IF($H144="Complétée","F",IF(OR($H144="En cours",$H144="En revue"),"E",IF($H144="Bloquée","B","P"))),""))</f>
        <v/>
      </c>
    </row>
    <row r="145">
      <c r="B145" s="50">
        <f>IF(Taches!B145="","",Taches!B145)</f>
        <v/>
      </c>
      <c r="C145" s="51">
        <f>IF(Taches!B145="","",Taches!F145)</f>
        <v/>
      </c>
      <c r="D145" s="50">
        <f>IF(Taches!B145="","",Taches!C145)</f>
        <v/>
      </c>
      <c r="E145" s="50">
        <f>IF(Taches!B145="","",Taches!D145)</f>
        <v/>
      </c>
      <c r="F145" s="52">
        <f>IF(Taches!P145="","",Taches!P145)</f>
        <v/>
      </c>
      <c r="G145" s="52">
        <f>IF(Taches!Q145="","",Taches!Q145)</f>
        <v/>
      </c>
      <c r="H145" s="50">
        <f>IF(Taches!B145="","",Taches!J145)</f>
        <v/>
      </c>
      <c r="I145" s="53">
        <f>IF(OR($F145="",$G145=""),"",IF(AND(I$5&lt;=$G145,I$5+6&gt;=$F145),IF($H145="Complétée","F",IF(OR($H145="En cours",$H145="En revue"),"E",IF($H145="Bloquée","B","P"))),""))</f>
        <v/>
      </c>
      <c r="J145" s="53">
        <f>IF(OR($F145="",$G145=""),"",IF(AND(J$5&lt;=$G145,J$5+6&gt;=$F145),IF($H145="Complétée","F",IF(OR($H145="En cours",$H145="En revue"),"E",IF($H145="Bloquée","B","P"))),""))</f>
        <v/>
      </c>
      <c r="K145" s="53">
        <f>IF(OR($F145="",$G145=""),"",IF(AND(K$5&lt;=$G145,K$5+6&gt;=$F145),IF($H145="Complétée","F",IF(OR($H145="En cours",$H145="En revue"),"E",IF($H145="Bloquée","B","P"))),""))</f>
        <v/>
      </c>
      <c r="L145" s="53">
        <f>IF(OR($F145="",$G145=""),"",IF(AND(L$5&lt;=$G145,L$5+6&gt;=$F145),IF($H145="Complétée","F",IF(OR($H145="En cours",$H145="En revue"),"E",IF($H145="Bloquée","B","P"))),""))</f>
        <v/>
      </c>
      <c r="M145" s="53">
        <f>IF(OR($F145="",$G145=""),"",IF(AND(M$5&lt;=$G145,M$5+6&gt;=$F145),IF($H145="Complétée","F",IF(OR($H145="En cours",$H145="En revue"),"E",IF($H145="Bloquée","B","P"))),""))</f>
        <v/>
      </c>
      <c r="N145" s="53">
        <f>IF(OR($F145="",$G145=""),"",IF(AND(N$5&lt;=$G145,N$5+6&gt;=$F145),IF($H145="Complétée","F",IF(OR($H145="En cours",$H145="En revue"),"E",IF($H145="Bloquée","B","P"))),""))</f>
        <v/>
      </c>
      <c r="O145" s="53">
        <f>IF(OR($F145="",$G145=""),"",IF(AND(O$5&lt;=$G145,O$5+6&gt;=$F145),IF($H145="Complétée","F",IF(OR($H145="En cours",$H145="En revue"),"E",IF($H145="Bloquée","B","P"))),""))</f>
        <v/>
      </c>
      <c r="P145" s="53">
        <f>IF(OR($F145="",$G145=""),"",IF(AND(P$5&lt;=$G145,P$5+6&gt;=$F145),IF($H145="Complétée","F",IF(OR($H145="En cours",$H145="En revue"),"E",IF($H145="Bloquée","B","P"))),""))</f>
        <v/>
      </c>
      <c r="Q145" s="53">
        <f>IF(OR($F145="",$G145=""),"",IF(AND(Q$5&lt;=$G145,Q$5+6&gt;=$F145),IF($H145="Complétée","F",IF(OR($H145="En cours",$H145="En revue"),"E",IF($H145="Bloquée","B","P"))),""))</f>
        <v/>
      </c>
      <c r="R145" s="53">
        <f>IF(OR($F145="",$G145=""),"",IF(AND(R$5&lt;=$G145,R$5+6&gt;=$F145),IF($H145="Complétée","F",IF(OR($H145="En cours",$H145="En revue"),"E",IF($H145="Bloquée","B","P"))),""))</f>
        <v/>
      </c>
      <c r="S145" s="53">
        <f>IF(OR($F145="",$G145=""),"",IF(AND(S$5&lt;=$G145,S$5+6&gt;=$F145),IF($H145="Complétée","F",IF(OR($H145="En cours",$H145="En revue"),"E",IF($H145="Bloquée","B","P"))),""))</f>
        <v/>
      </c>
      <c r="T145" s="53">
        <f>IF(OR($F145="",$G145=""),"",IF(AND(T$5&lt;=$G145,T$5+6&gt;=$F145),IF($H145="Complétée","F",IF(OR($H145="En cours",$H145="En revue"),"E",IF($H145="Bloquée","B","P"))),""))</f>
        <v/>
      </c>
      <c r="U145" s="53">
        <f>IF(OR($F145="",$G145=""),"",IF(AND(U$5&lt;=$G145,U$5+6&gt;=$F145),IF($H145="Complétée","F",IF(OR($H145="En cours",$H145="En revue"),"E",IF($H145="Bloquée","B","P"))),""))</f>
        <v/>
      </c>
      <c r="V145" s="53">
        <f>IF(OR($F145="",$G145=""),"",IF(AND(V$5&lt;=$G145,V$5+6&gt;=$F145),IF($H145="Complétée","F",IF(OR($H145="En cours",$H145="En revue"),"E",IF($H145="Bloquée","B","P"))),""))</f>
        <v/>
      </c>
      <c r="W145" s="53">
        <f>IF(OR($F145="",$G145=""),"",IF(AND(W$5&lt;=$G145,W$5+6&gt;=$F145),IF($H145="Complétée","F",IF(OR($H145="En cours",$H145="En revue"),"E",IF($H145="Bloquée","B","P"))),""))</f>
        <v/>
      </c>
      <c r="X145" s="53">
        <f>IF(OR($F145="",$G145=""),"",IF(AND(X$5&lt;=$G145,X$5+6&gt;=$F145),IF($H145="Complétée","F",IF(OR($H145="En cours",$H145="En revue"),"E",IF($H145="Bloquée","B","P"))),""))</f>
        <v/>
      </c>
      <c r="Y145" s="53">
        <f>IF(OR($F145="",$G145=""),"",IF(AND(Y$5&lt;=$G145,Y$5+6&gt;=$F145),IF($H145="Complétée","F",IF(OR($H145="En cours",$H145="En revue"),"E",IF($H145="Bloquée","B","P"))),""))</f>
        <v/>
      </c>
      <c r="Z145" s="53">
        <f>IF(OR($F145="",$G145=""),"",IF(AND(Z$5&lt;=$G145,Z$5+6&gt;=$F145),IF($H145="Complétée","F",IF(OR($H145="En cours",$H145="En revue"),"E",IF($H145="Bloquée","B","P"))),""))</f>
        <v/>
      </c>
      <c r="AA145" s="53">
        <f>IF(OR($F145="",$G145=""),"",IF(AND(AA$5&lt;=$G145,AA$5+6&gt;=$F145),IF($H145="Complétée","F",IF(OR($H145="En cours",$H145="En revue"),"E",IF($H145="Bloquée","B","P"))),""))</f>
        <v/>
      </c>
      <c r="AB145" s="53">
        <f>IF(OR($F145="",$G145=""),"",IF(AND(AB$5&lt;=$G145,AB$5+6&gt;=$F145),IF($H145="Complétée","F",IF(OR($H145="En cours",$H145="En revue"),"E",IF($H145="Bloquée","B","P"))),""))</f>
        <v/>
      </c>
      <c r="AC145" s="53">
        <f>IF(OR($F145="",$G145=""),"",IF(AND(AC$5&lt;=$G145,AC$5+6&gt;=$F145),IF($H145="Complétée","F",IF(OR($H145="En cours",$H145="En revue"),"E",IF($H145="Bloquée","B","P"))),""))</f>
        <v/>
      </c>
      <c r="AD145" s="53">
        <f>IF(OR($F145="",$G145=""),"",IF(AND(AD$5&lt;=$G145,AD$5+6&gt;=$F145),IF($H145="Complétée","F",IF(OR($H145="En cours",$H145="En revue"),"E",IF($H145="Bloquée","B","P"))),""))</f>
        <v/>
      </c>
      <c r="AE145" s="53">
        <f>IF(OR($F145="",$G145=""),"",IF(AND(AE$5&lt;=$G145,AE$5+6&gt;=$F145),IF($H145="Complétée","F",IF(OR($H145="En cours",$H145="En revue"),"E",IF($H145="Bloquée","B","P"))),""))</f>
        <v/>
      </c>
      <c r="AF145" s="53">
        <f>IF(OR($F145="",$G145=""),"",IF(AND(AF$5&lt;=$G145,AF$5+6&gt;=$F145),IF($H145="Complétée","F",IF(OR($H145="En cours",$H145="En revue"),"E",IF($H145="Bloquée","B","P"))),""))</f>
        <v/>
      </c>
      <c r="AG145" s="53">
        <f>IF(OR($F145="",$G145=""),"",IF(AND(AG$5&lt;=$G145,AG$5+6&gt;=$F145),IF($H145="Complétée","F",IF(OR($H145="En cours",$H145="En revue"),"E",IF($H145="Bloquée","B","P"))),""))</f>
        <v/>
      </c>
      <c r="AH145" s="53">
        <f>IF(OR($F145="",$G145=""),"",IF(AND(AH$5&lt;=$G145,AH$5+6&gt;=$F145),IF($H145="Complétée","F",IF(OR($H145="En cours",$H145="En revue"),"E",IF($H145="Bloquée","B","P"))),""))</f>
        <v/>
      </c>
      <c r="AI145" s="53">
        <f>IF(OR($F145="",$G145=""),"",IF(AND(AI$5&lt;=$G145,AI$5+6&gt;=$F145),IF($H145="Complétée","F",IF(OR($H145="En cours",$H145="En revue"),"E",IF($H145="Bloquée","B","P"))),""))</f>
        <v/>
      </c>
      <c r="AJ145" s="53">
        <f>IF(OR($F145="",$G145=""),"",IF(AND(AJ$5&lt;=$G145,AJ$5+6&gt;=$F145),IF($H145="Complétée","F",IF(OR($H145="En cours",$H145="En revue"),"E",IF($H145="Bloquée","B","P"))),""))</f>
        <v/>
      </c>
      <c r="AK145" s="53">
        <f>IF(OR($F145="",$G145=""),"",IF(AND(AK$5&lt;=$G145,AK$5+6&gt;=$F145),IF($H145="Complétée","F",IF(OR($H145="En cours",$H145="En revue"),"E",IF($H145="Bloquée","B","P"))),""))</f>
        <v/>
      </c>
      <c r="AL145" s="53">
        <f>IF(OR($F145="",$G145=""),"",IF(AND(AL$5&lt;=$G145,AL$5+6&gt;=$F145),IF($H145="Complétée","F",IF(OR($H145="En cours",$H145="En revue"),"E",IF($H145="Bloquée","B","P"))),""))</f>
        <v/>
      </c>
      <c r="AM145" s="53">
        <f>IF(OR($F145="",$G145=""),"",IF(AND(AM$5&lt;=$G145,AM$5+6&gt;=$F145),IF($H145="Complétée","F",IF(OR($H145="En cours",$H145="En revue"),"E",IF($H145="Bloquée","B","P"))),""))</f>
        <v/>
      </c>
      <c r="AN145" s="53">
        <f>IF(OR($F145="",$G145=""),"",IF(AND(AN$5&lt;=$G145,AN$5+6&gt;=$F145),IF($H145="Complétée","F",IF(OR($H145="En cours",$H145="En revue"),"E",IF($H145="Bloquée","B","P"))),""))</f>
        <v/>
      </c>
      <c r="AO145" s="53">
        <f>IF(OR($F145="",$G145=""),"",IF(AND(AO$5&lt;=$G145,AO$5+6&gt;=$F145),IF($H145="Complétée","F",IF(OR($H145="En cours",$H145="En revue"),"E",IF($H145="Bloquée","B","P"))),""))</f>
        <v/>
      </c>
      <c r="AP145" s="53">
        <f>IF(OR($F145="",$G145=""),"",IF(AND(AP$5&lt;=$G145,AP$5+6&gt;=$F145),IF($H145="Complétée","F",IF(OR($H145="En cours",$H145="En revue"),"E",IF($H145="Bloquée","B","P"))),""))</f>
        <v/>
      </c>
      <c r="AQ145" s="53">
        <f>IF(OR($F145="",$G145=""),"",IF(AND(AQ$5&lt;=$G145,AQ$5+6&gt;=$F145),IF($H145="Complétée","F",IF(OR($H145="En cours",$H145="En revue"),"E",IF($H145="Bloquée","B","P"))),""))</f>
        <v/>
      </c>
      <c r="AR145" s="53">
        <f>IF(OR($F145="",$G145=""),"",IF(AND(AR$5&lt;=$G145,AR$5+6&gt;=$F145),IF($H145="Complétée","F",IF(OR($H145="En cours",$H145="En revue"),"E",IF($H145="Bloquée","B","P"))),""))</f>
        <v/>
      </c>
      <c r="AS145" s="53">
        <f>IF(OR($F145="",$G145=""),"",IF(AND(AS$5&lt;=$G145,AS$5+6&gt;=$F145),IF($H145="Complétée","F",IF(OR($H145="En cours",$H145="En revue"),"E",IF($H145="Bloquée","B","P"))),""))</f>
        <v/>
      </c>
      <c r="AT145" s="53">
        <f>IF(OR($F145="",$G145=""),"",IF(AND(AT$5&lt;=$G145,AT$5+6&gt;=$F145),IF($H145="Complétée","F",IF(OR($H145="En cours",$H145="En revue"),"E",IF($H145="Bloquée","B","P"))),""))</f>
        <v/>
      </c>
      <c r="AU145" s="53">
        <f>IF(OR($F145="",$G145=""),"",IF(AND(AU$5&lt;=$G145,AU$5+6&gt;=$F145),IF($H145="Complétée","F",IF(OR($H145="En cours",$H145="En revue"),"E",IF($H145="Bloquée","B","P"))),""))</f>
        <v/>
      </c>
      <c r="AV145" s="53">
        <f>IF(OR($F145="",$G145=""),"",IF(AND(AV$5&lt;=$G145,AV$5+6&gt;=$F145),IF($H145="Complétée","F",IF(OR($H145="En cours",$H145="En revue"),"E",IF($H145="Bloquée","B","P"))),""))</f>
        <v/>
      </c>
      <c r="AW145" s="53">
        <f>IF(OR($F145="",$G145=""),"",IF(AND(AW$5&lt;=$G145,AW$5+6&gt;=$F145),IF($H145="Complétée","F",IF(OR($H145="En cours",$H145="En revue"),"E",IF($H145="Bloquée","B","P"))),""))</f>
        <v/>
      </c>
    </row>
    <row r="146">
      <c r="B146" s="50">
        <f>IF(Taches!B146="","",Taches!B146)</f>
        <v/>
      </c>
      <c r="C146" s="51">
        <f>IF(Taches!B146="","",Taches!F146)</f>
        <v/>
      </c>
      <c r="D146" s="50">
        <f>IF(Taches!B146="","",Taches!C146)</f>
        <v/>
      </c>
      <c r="E146" s="50">
        <f>IF(Taches!B146="","",Taches!D146)</f>
        <v/>
      </c>
      <c r="F146" s="52">
        <f>IF(Taches!P146="","",Taches!P146)</f>
        <v/>
      </c>
      <c r="G146" s="52">
        <f>IF(Taches!Q146="","",Taches!Q146)</f>
        <v/>
      </c>
      <c r="H146" s="50">
        <f>IF(Taches!B146="","",Taches!J146)</f>
        <v/>
      </c>
      <c r="I146" s="53">
        <f>IF(OR($F146="",$G146=""),"",IF(AND(I$5&lt;=$G146,I$5+6&gt;=$F146),IF($H146="Complétée","F",IF(OR($H146="En cours",$H146="En revue"),"E",IF($H146="Bloquée","B","P"))),""))</f>
        <v/>
      </c>
      <c r="J146" s="53">
        <f>IF(OR($F146="",$G146=""),"",IF(AND(J$5&lt;=$G146,J$5+6&gt;=$F146),IF($H146="Complétée","F",IF(OR($H146="En cours",$H146="En revue"),"E",IF($H146="Bloquée","B","P"))),""))</f>
        <v/>
      </c>
      <c r="K146" s="53">
        <f>IF(OR($F146="",$G146=""),"",IF(AND(K$5&lt;=$G146,K$5+6&gt;=$F146),IF($H146="Complétée","F",IF(OR($H146="En cours",$H146="En revue"),"E",IF($H146="Bloquée","B","P"))),""))</f>
        <v/>
      </c>
      <c r="L146" s="53">
        <f>IF(OR($F146="",$G146=""),"",IF(AND(L$5&lt;=$G146,L$5+6&gt;=$F146),IF($H146="Complétée","F",IF(OR($H146="En cours",$H146="En revue"),"E",IF($H146="Bloquée","B","P"))),""))</f>
        <v/>
      </c>
      <c r="M146" s="53">
        <f>IF(OR($F146="",$G146=""),"",IF(AND(M$5&lt;=$G146,M$5+6&gt;=$F146),IF($H146="Complétée","F",IF(OR($H146="En cours",$H146="En revue"),"E",IF($H146="Bloquée","B","P"))),""))</f>
        <v/>
      </c>
      <c r="N146" s="53">
        <f>IF(OR($F146="",$G146=""),"",IF(AND(N$5&lt;=$G146,N$5+6&gt;=$F146),IF($H146="Complétée","F",IF(OR($H146="En cours",$H146="En revue"),"E",IF($H146="Bloquée","B","P"))),""))</f>
        <v/>
      </c>
      <c r="O146" s="53">
        <f>IF(OR($F146="",$G146=""),"",IF(AND(O$5&lt;=$G146,O$5+6&gt;=$F146),IF($H146="Complétée","F",IF(OR($H146="En cours",$H146="En revue"),"E",IF($H146="Bloquée","B","P"))),""))</f>
        <v/>
      </c>
      <c r="P146" s="53">
        <f>IF(OR($F146="",$G146=""),"",IF(AND(P$5&lt;=$G146,P$5+6&gt;=$F146),IF($H146="Complétée","F",IF(OR($H146="En cours",$H146="En revue"),"E",IF($H146="Bloquée","B","P"))),""))</f>
        <v/>
      </c>
      <c r="Q146" s="53">
        <f>IF(OR($F146="",$G146=""),"",IF(AND(Q$5&lt;=$G146,Q$5+6&gt;=$F146),IF($H146="Complétée","F",IF(OR($H146="En cours",$H146="En revue"),"E",IF($H146="Bloquée","B","P"))),""))</f>
        <v/>
      </c>
      <c r="R146" s="53">
        <f>IF(OR($F146="",$G146=""),"",IF(AND(R$5&lt;=$G146,R$5+6&gt;=$F146),IF($H146="Complétée","F",IF(OR($H146="En cours",$H146="En revue"),"E",IF($H146="Bloquée","B","P"))),""))</f>
        <v/>
      </c>
      <c r="S146" s="53">
        <f>IF(OR($F146="",$G146=""),"",IF(AND(S$5&lt;=$G146,S$5+6&gt;=$F146),IF($H146="Complétée","F",IF(OR($H146="En cours",$H146="En revue"),"E",IF($H146="Bloquée","B","P"))),""))</f>
        <v/>
      </c>
      <c r="T146" s="53">
        <f>IF(OR($F146="",$G146=""),"",IF(AND(T$5&lt;=$G146,T$5+6&gt;=$F146),IF($H146="Complétée","F",IF(OR($H146="En cours",$H146="En revue"),"E",IF($H146="Bloquée","B","P"))),""))</f>
        <v/>
      </c>
      <c r="U146" s="53">
        <f>IF(OR($F146="",$G146=""),"",IF(AND(U$5&lt;=$G146,U$5+6&gt;=$F146),IF($H146="Complétée","F",IF(OR($H146="En cours",$H146="En revue"),"E",IF($H146="Bloquée","B","P"))),""))</f>
        <v/>
      </c>
      <c r="V146" s="53">
        <f>IF(OR($F146="",$G146=""),"",IF(AND(V$5&lt;=$G146,V$5+6&gt;=$F146),IF($H146="Complétée","F",IF(OR($H146="En cours",$H146="En revue"),"E",IF($H146="Bloquée","B","P"))),""))</f>
        <v/>
      </c>
      <c r="W146" s="53">
        <f>IF(OR($F146="",$G146=""),"",IF(AND(W$5&lt;=$G146,W$5+6&gt;=$F146),IF($H146="Complétée","F",IF(OR($H146="En cours",$H146="En revue"),"E",IF($H146="Bloquée","B","P"))),""))</f>
        <v/>
      </c>
      <c r="X146" s="53">
        <f>IF(OR($F146="",$G146=""),"",IF(AND(X$5&lt;=$G146,X$5+6&gt;=$F146),IF($H146="Complétée","F",IF(OR($H146="En cours",$H146="En revue"),"E",IF($H146="Bloquée","B","P"))),""))</f>
        <v/>
      </c>
      <c r="Y146" s="53">
        <f>IF(OR($F146="",$G146=""),"",IF(AND(Y$5&lt;=$G146,Y$5+6&gt;=$F146),IF($H146="Complétée","F",IF(OR($H146="En cours",$H146="En revue"),"E",IF($H146="Bloquée","B","P"))),""))</f>
        <v/>
      </c>
      <c r="Z146" s="53">
        <f>IF(OR($F146="",$G146=""),"",IF(AND(Z$5&lt;=$G146,Z$5+6&gt;=$F146),IF($H146="Complétée","F",IF(OR($H146="En cours",$H146="En revue"),"E",IF($H146="Bloquée","B","P"))),""))</f>
        <v/>
      </c>
      <c r="AA146" s="53">
        <f>IF(OR($F146="",$G146=""),"",IF(AND(AA$5&lt;=$G146,AA$5+6&gt;=$F146),IF($H146="Complétée","F",IF(OR($H146="En cours",$H146="En revue"),"E",IF($H146="Bloquée","B","P"))),""))</f>
        <v/>
      </c>
      <c r="AB146" s="53">
        <f>IF(OR($F146="",$G146=""),"",IF(AND(AB$5&lt;=$G146,AB$5+6&gt;=$F146),IF($H146="Complétée","F",IF(OR($H146="En cours",$H146="En revue"),"E",IF($H146="Bloquée","B","P"))),""))</f>
        <v/>
      </c>
      <c r="AC146" s="53">
        <f>IF(OR($F146="",$G146=""),"",IF(AND(AC$5&lt;=$G146,AC$5+6&gt;=$F146),IF($H146="Complétée","F",IF(OR($H146="En cours",$H146="En revue"),"E",IF($H146="Bloquée","B","P"))),""))</f>
        <v/>
      </c>
      <c r="AD146" s="53">
        <f>IF(OR($F146="",$G146=""),"",IF(AND(AD$5&lt;=$G146,AD$5+6&gt;=$F146),IF($H146="Complétée","F",IF(OR($H146="En cours",$H146="En revue"),"E",IF($H146="Bloquée","B","P"))),""))</f>
        <v/>
      </c>
      <c r="AE146" s="53">
        <f>IF(OR($F146="",$G146=""),"",IF(AND(AE$5&lt;=$G146,AE$5+6&gt;=$F146),IF($H146="Complétée","F",IF(OR($H146="En cours",$H146="En revue"),"E",IF($H146="Bloquée","B","P"))),""))</f>
        <v/>
      </c>
      <c r="AF146" s="53">
        <f>IF(OR($F146="",$G146=""),"",IF(AND(AF$5&lt;=$G146,AF$5+6&gt;=$F146),IF($H146="Complétée","F",IF(OR($H146="En cours",$H146="En revue"),"E",IF($H146="Bloquée","B","P"))),""))</f>
        <v/>
      </c>
      <c r="AG146" s="53">
        <f>IF(OR($F146="",$G146=""),"",IF(AND(AG$5&lt;=$G146,AG$5+6&gt;=$F146),IF($H146="Complétée","F",IF(OR($H146="En cours",$H146="En revue"),"E",IF($H146="Bloquée","B","P"))),""))</f>
        <v/>
      </c>
      <c r="AH146" s="53">
        <f>IF(OR($F146="",$G146=""),"",IF(AND(AH$5&lt;=$G146,AH$5+6&gt;=$F146),IF($H146="Complétée","F",IF(OR($H146="En cours",$H146="En revue"),"E",IF($H146="Bloquée","B","P"))),""))</f>
        <v/>
      </c>
      <c r="AI146" s="53">
        <f>IF(OR($F146="",$G146=""),"",IF(AND(AI$5&lt;=$G146,AI$5+6&gt;=$F146),IF($H146="Complétée","F",IF(OR($H146="En cours",$H146="En revue"),"E",IF($H146="Bloquée","B","P"))),""))</f>
        <v/>
      </c>
      <c r="AJ146" s="53">
        <f>IF(OR($F146="",$G146=""),"",IF(AND(AJ$5&lt;=$G146,AJ$5+6&gt;=$F146),IF($H146="Complétée","F",IF(OR($H146="En cours",$H146="En revue"),"E",IF($H146="Bloquée","B","P"))),""))</f>
        <v/>
      </c>
      <c r="AK146" s="53">
        <f>IF(OR($F146="",$G146=""),"",IF(AND(AK$5&lt;=$G146,AK$5+6&gt;=$F146),IF($H146="Complétée","F",IF(OR($H146="En cours",$H146="En revue"),"E",IF($H146="Bloquée","B","P"))),""))</f>
        <v/>
      </c>
      <c r="AL146" s="53">
        <f>IF(OR($F146="",$G146=""),"",IF(AND(AL$5&lt;=$G146,AL$5+6&gt;=$F146),IF($H146="Complétée","F",IF(OR($H146="En cours",$H146="En revue"),"E",IF($H146="Bloquée","B","P"))),""))</f>
        <v/>
      </c>
      <c r="AM146" s="53">
        <f>IF(OR($F146="",$G146=""),"",IF(AND(AM$5&lt;=$G146,AM$5+6&gt;=$F146),IF($H146="Complétée","F",IF(OR($H146="En cours",$H146="En revue"),"E",IF($H146="Bloquée","B","P"))),""))</f>
        <v/>
      </c>
      <c r="AN146" s="53">
        <f>IF(OR($F146="",$G146=""),"",IF(AND(AN$5&lt;=$G146,AN$5+6&gt;=$F146),IF($H146="Complétée","F",IF(OR($H146="En cours",$H146="En revue"),"E",IF($H146="Bloquée","B","P"))),""))</f>
        <v/>
      </c>
      <c r="AO146" s="53">
        <f>IF(OR($F146="",$G146=""),"",IF(AND(AO$5&lt;=$G146,AO$5+6&gt;=$F146),IF($H146="Complétée","F",IF(OR($H146="En cours",$H146="En revue"),"E",IF($H146="Bloquée","B","P"))),""))</f>
        <v/>
      </c>
      <c r="AP146" s="53">
        <f>IF(OR($F146="",$G146=""),"",IF(AND(AP$5&lt;=$G146,AP$5+6&gt;=$F146),IF($H146="Complétée","F",IF(OR($H146="En cours",$H146="En revue"),"E",IF($H146="Bloquée","B","P"))),""))</f>
        <v/>
      </c>
      <c r="AQ146" s="53">
        <f>IF(OR($F146="",$G146=""),"",IF(AND(AQ$5&lt;=$G146,AQ$5+6&gt;=$F146),IF($H146="Complétée","F",IF(OR($H146="En cours",$H146="En revue"),"E",IF($H146="Bloquée","B","P"))),""))</f>
        <v/>
      </c>
      <c r="AR146" s="53">
        <f>IF(OR($F146="",$G146=""),"",IF(AND(AR$5&lt;=$G146,AR$5+6&gt;=$F146),IF($H146="Complétée","F",IF(OR($H146="En cours",$H146="En revue"),"E",IF($H146="Bloquée","B","P"))),""))</f>
        <v/>
      </c>
      <c r="AS146" s="53">
        <f>IF(OR($F146="",$G146=""),"",IF(AND(AS$5&lt;=$G146,AS$5+6&gt;=$F146),IF($H146="Complétée","F",IF(OR($H146="En cours",$H146="En revue"),"E",IF($H146="Bloquée","B","P"))),""))</f>
        <v/>
      </c>
      <c r="AT146" s="53">
        <f>IF(OR($F146="",$G146=""),"",IF(AND(AT$5&lt;=$G146,AT$5+6&gt;=$F146),IF($H146="Complétée","F",IF(OR($H146="En cours",$H146="En revue"),"E",IF($H146="Bloquée","B","P"))),""))</f>
        <v/>
      </c>
      <c r="AU146" s="53">
        <f>IF(OR($F146="",$G146=""),"",IF(AND(AU$5&lt;=$G146,AU$5+6&gt;=$F146),IF($H146="Complétée","F",IF(OR($H146="En cours",$H146="En revue"),"E",IF($H146="Bloquée","B","P"))),""))</f>
        <v/>
      </c>
      <c r="AV146" s="53">
        <f>IF(OR($F146="",$G146=""),"",IF(AND(AV$5&lt;=$G146,AV$5+6&gt;=$F146),IF($H146="Complétée","F",IF(OR($H146="En cours",$H146="En revue"),"E",IF($H146="Bloquée","B","P"))),""))</f>
        <v/>
      </c>
      <c r="AW146" s="53">
        <f>IF(OR($F146="",$G146=""),"",IF(AND(AW$5&lt;=$G146,AW$5+6&gt;=$F146),IF($H146="Complétée","F",IF(OR($H146="En cours",$H146="En revue"),"E",IF($H146="Bloquée","B","P"))),""))</f>
        <v/>
      </c>
    </row>
    <row r="147">
      <c r="B147" s="50">
        <f>IF(Taches!B147="","",Taches!B147)</f>
        <v/>
      </c>
      <c r="C147" s="51">
        <f>IF(Taches!B147="","",Taches!F147)</f>
        <v/>
      </c>
      <c r="D147" s="50">
        <f>IF(Taches!B147="","",Taches!C147)</f>
        <v/>
      </c>
      <c r="E147" s="50">
        <f>IF(Taches!B147="","",Taches!D147)</f>
        <v/>
      </c>
      <c r="F147" s="52">
        <f>IF(Taches!P147="","",Taches!P147)</f>
        <v/>
      </c>
      <c r="G147" s="52">
        <f>IF(Taches!Q147="","",Taches!Q147)</f>
        <v/>
      </c>
      <c r="H147" s="50">
        <f>IF(Taches!B147="","",Taches!J147)</f>
        <v/>
      </c>
      <c r="I147" s="53">
        <f>IF(OR($F147="",$G147=""),"",IF(AND(I$5&lt;=$G147,I$5+6&gt;=$F147),IF($H147="Complétée","F",IF(OR($H147="En cours",$H147="En revue"),"E",IF($H147="Bloquée","B","P"))),""))</f>
        <v/>
      </c>
      <c r="J147" s="53">
        <f>IF(OR($F147="",$G147=""),"",IF(AND(J$5&lt;=$G147,J$5+6&gt;=$F147),IF($H147="Complétée","F",IF(OR($H147="En cours",$H147="En revue"),"E",IF($H147="Bloquée","B","P"))),""))</f>
        <v/>
      </c>
      <c r="K147" s="53">
        <f>IF(OR($F147="",$G147=""),"",IF(AND(K$5&lt;=$G147,K$5+6&gt;=$F147),IF($H147="Complétée","F",IF(OR($H147="En cours",$H147="En revue"),"E",IF($H147="Bloquée","B","P"))),""))</f>
        <v/>
      </c>
      <c r="L147" s="53">
        <f>IF(OR($F147="",$G147=""),"",IF(AND(L$5&lt;=$G147,L$5+6&gt;=$F147),IF($H147="Complétée","F",IF(OR($H147="En cours",$H147="En revue"),"E",IF($H147="Bloquée","B","P"))),""))</f>
        <v/>
      </c>
      <c r="M147" s="53">
        <f>IF(OR($F147="",$G147=""),"",IF(AND(M$5&lt;=$G147,M$5+6&gt;=$F147),IF($H147="Complétée","F",IF(OR($H147="En cours",$H147="En revue"),"E",IF($H147="Bloquée","B","P"))),""))</f>
        <v/>
      </c>
      <c r="N147" s="53">
        <f>IF(OR($F147="",$G147=""),"",IF(AND(N$5&lt;=$G147,N$5+6&gt;=$F147),IF($H147="Complétée","F",IF(OR($H147="En cours",$H147="En revue"),"E",IF($H147="Bloquée","B","P"))),""))</f>
        <v/>
      </c>
      <c r="O147" s="53">
        <f>IF(OR($F147="",$G147=""),"",IF(AND(O$5&lt;=$G147,O$5+6&gt;=$F147),IF($H147="Complétée","F",IF(OR($H147="En cours",$H147="En revue"),"E",IF($H147="Bloquée","B","P"))),""))</f>
        <v/>
      </c>
      <c r="P147" s="53">
        <f>IF(OR($F147="",$G147=""),"",IF(AND(P$5&lt;=$G147,P$5+6&gt;=$F147),IF($H147="Complétée","F",IF(OR($H147="En cours",$H147="En revue"),"E",IF($H147="Bloquée","B","P"))),""))</f>
        <v/>
      </c>
      <c r="Q147" s="53">
        <f>IF(OR($F147="",$G147=""),"",IF(AND(Q$5&lt;=$G147,Q$5+6&gt;=$F147),IF($H147="Complétée","F",IF(OR($H147="En cours",$H147="En revue"),"E",IF($H147="Bloquée","B","P"))),""))</f>
        <v/>
      </c>
      <c r="R147" s="53">
        <f>IF(OR($F147="",$G147=""),"",IF(AND(R$5&lt;=$G147,R$5+6&gt;=$F147),IF($H147="Complétée","F",IF(OR($H147="En cours",$H147="En revue"),"E",IF($H147="Bloquée","B","P"))),""))</f>
        <v/>
      </c>
      <c r="S147" s="53">
        <f>IF(OR($F147="",$G147=""),"",IF(AND(S$5&lt;=$G147,S$5+6&gt;=$F147),IF($H147="Complétée","F",IF(OR($H147="En cours",$H147="En revue"),"E",IF($H147="Bloquée","B","P"))),""))</f>
        <v/>
      </c>
      <c r="T147" s="53">
        <f>IF(OR($F147="",$G147=""),"",IF(AND(T$5&lt;=$G147,T$5+6&gt;=$F147),IF($H147="Complétée","F",IF(OR($H147="En cours",$H147="En revue"),"E",IF($H147="Bloquée","B","P"))),""))</f>
        <v/>
      </c>
      <c r="U147" s="53">
        <f>IF(OR($F147="",$G147=""),"",IF(AND(U$5&lt;=$G147,U$5+6&gt;=$F147),IF($H147="Complétée","F",IF(OR($H147="En cours",$H147="En revue"),"E",IF($H147="Bloquée","B","P"))),""))</f>
        <v/>
      </c>
      <c r="V147" s="53">
        <f>IF(OR($F147="",$G147=""),"",IF(AND(V$5&lt;=$G147,V$5+6&gt;=$F147),IF($H147="Complétée","F",IF(OR($H147="En cours",$H147="En revue"),"E",IF($H147="Bloquée","B","P"))),""))</f>
        <v/>
      </c>
      <c r="W147" s="53">
        <f>IF(OR($F147="",$G147=""),"",IF(AND(W$5&lt;=$G147,W$5+6&gt;=$F147),IF($H147="Complétée","F",IF(OR($H147="En cours",$H147="En revue"),"E",IF($H147="Bloquée","B","P"))),""))</f>
        <v/>
      </c>
      <c r="X147" s="53">
        <f>IF(OR($F147="",$G147=""),"",IF(AND(X$5&lt;=$G147,X$5+6&gt;=$F147),IF($H147="Complétée","F",IF(OR($H147="En cours",$H147="En revue"),"E",IF($H147="Bloquée","B","P"))),""))</f>
        <v/>
      </c>
      <c r="Y147" s="53">
        <f>IF(OR($F147="",$G147=""),"",IF(AND(Y$5&lt;=$G147,Y$5+6&gt;=$F147),IF($H147="Complétée","F",IF(OR($H147="En cours",$H147="En revue"),"E",IF($H147="Bloquée","B","P"))),""))</f>
        <v/>
      </c>
      <c r="Z147" s="53">
        <f>IF(OR($F147="",$G147=""),"",IF(AND(Z$5&lt;=$G147,Z$5+6&gt;=$F147),IF($H147="Complétée","F",IF(OR($H147="En cours",$H147="En revue"),"E",IF($H147="Bloquée","B","P"))),""))</f>
        <v/>
      </c>
      <c r="AA147" s="53">
        <f>IF(OR($F147="",$G147=""),"",IF(AND(AA$5&lt;=$G147,AA$5+6&gt;=$F147),IF($H147="Complétée","F",IF(OR($H147="En cours",$H147="En revue"),"E",IF($H147="Bloquée","B","P"))),""))</f>
        <v/>
      </c>
      <c r="AB147" s="53">
        <f>IF(OR($F147="",$G147=""),"",IF(AND(AB$5&lt;=$G147,AB$5+6&gt;=$F147),IF($H147="Complétée","F",IF(OR($H147="En cours",$H147="En revue"),"E",IF($H147="Bloquée","B","P"))),""))</f>
        <v/>
      </c>
      <c r="AC147" s="53">
        <f>IF(OR($F147="",$G147=""),"",IF(AND(AC$5&lt;=$G147,AC$5+6&gt;=$F147),IF($H147="Complétée","F",IF(OR($H147="En cours",$H147="En revue"),"E",IF($H147="Bloquée","B","P"))),""))</f>
        <v/>
      </c>
      <c r="AD147" s="53">
        <f>IF(OR($F147="",$G147=""),"",IF(AND(AD$5&lt;=$G147,AD$5+6&gt;=$F147),IF($H147="Complétée","F",IF(OR($H147="En cours",$H147="En revue"),"E",IF($H147="Bloquée","B","P"))),""))</f>
        <v/>
      </c>
      <c r="AE147" s="53">
        <f>IF(OR($F147="",$G147=""),"",IF(AND(AE$5&lt;=$G147,AE$5+6&gt;=$F147),IF($H147="Complétée","F",IF(OR($H147="En cours",$H147="En revue"),"E",IF($H147="Bloquée","B","P"))),""))</f>
        <v/>
      </c>
      <c r="AF147" s="53">
        <f>IF(OR($F147="",$G147=""),"",IF(AND(AF$5&lt;=$G147,AF$5+6&gt;=$F147),IF($H147="Complétée","F",IF(OR($H147="En cours",$H147="En revue"),"E",IF($H147="Bloquée","B","P"))),""))</f>
        <v/>
      </c>
      <c r="AG147" s="53">
        <f>IF(OR($F147="",$G147=""),"",IF(AND(AG$5&lt;=$G147,AG$5+6&gt;=$F147),IF($H147="Complétée","F",IF(OR($H147="En cours",$H147="En revue"),"E",IF($H147="Bloquée","B","P"))),""))</f>
        <v/>
      </c>
      <c r="AH147" s="53">
        <f>IF(OR($F147="",$G147=""),"",IF(AND(AH$5&lt;=$G147,AH$5+6&gt;=$F147),IF($H147="Complétée","F",IF(OR($H147="En cours",$H147="En revue"),"E",IF($H147="Bloquée","B","P"))),""))</f>
        <v/>
      </c>
      <c r="AI147" s="53">
        <f>IF(OR($F147="",$G147=""),"",IF(AND(AI$5&lt;=$G147,AI$5+6&gt;=$F147),IF($H147="Complétée","F",IF(OR($H147="En cours",$H147="En revue"),"E",IF($H147="Bloquée","B","P"))),""))</f>
        <v/>
      </c>
      <c r="AJ147" s="53">
        <f>IF(OR($F147="",$G147=""),"",IF(AND(AJ$5&lt;=$G147,AJ$5+6&gt;=$F147),IF($H147="Complétée","F",IF(OR($H147="En cours",$H147="En revue"),"E",IF($H147="Bloquée","B","P"))),""))</f>
        <v/>
      </c>
      <c r="AK147" s="53">
        <f>IF(OR($F147="",$G147=""),"",IF(AND(AK$5&lt;=$G147,AK$5+6&gt;=$F147),IF($H147="Complétée","F",IF(OR($H147="En cours",$H147="En revue"),"E",IF($H147="Bloquée","B","P"))),""))</f>
        <v/>
      </c>
      <c r="AL147" s="53">
        <f>IF(OR($F147="",$G147=""),"",IF(AND(AL$5&lt;=$G147,AL$5+6&gt;=$F147),IF($H147="Complétée","F",IF(OR($H147="En cours",$H147="En revue"),"E",IF($H147="Bloquée","B","P"))),""))</f>
        <v/>
      </c>
      <c r="AM147" s="53">
        <f>IF(OR($F147="",$G147=""),"",IF(AND(AM$5&lt;=$G147,AM$5+6&gt;=$F147),IF($H147="Complétée","F",IF(OR($H147="En cours",$H147="En revue"),"E",IF($H147="Bloquée","B","P"))),""))</f>
        <v/>
      </c>
      <c r="AN147" s="53">
        <f>IF(OR($F147="",$G147=""),"",IF(AND(AN$5&lt;=$G147,AN$5+6&gt;=$F147),IF($H147="Complétée","F",IF(OR($H147="En cours",$H147="En revue"),"E",IF($H147="Bloquée","B","P"))),""))</f>
        <v/>
      </c>
      <c r="AO147" s="53">
        <f>IF(OR($F147="",$G147=""),"",IF(AND(AO$5&lt;=$G147,AO$5+6&gt;=$F147),IF($H147="Complétée","F",IF(OR($H147="En cours",$H147="En revue"),"E",IF($H147="Bloquée","B","P"))),""))</f>
        <v/>
      </c>
      <c r="AP147" s="53">
        <f>IF(OR($F147="",$G147=""),"",IF(AND(AP$5&lt;=$G147,AP$5+6&gt;=$F147),IF($H147="Complétée","F",IF(OR($H147="En cours",$H147="En revue"),"E",IF($H147="Bloquée","B","P"))),""))</f>
        <v/>
      </c>
      <c r="AQ147" s="53">
        <f>IF(OR($F147="",$G147=""),"",IF(AND(AQ$5&lt;=$G147,AQ$5+6&gt;=$F147),IF($H147="Complétée","F",IF(OR($H147="En cours",$H147="En revue"),"E",IF($H147="Bloquée","B","P"))),""))</f>
        <v/>
      </c>
      <c r="AR147" s="53">
        <f>IF(OR($F147="",$G147=""),"",IF(AND(AR$5&lt;=$G147,AR$5+6&gt;=$F147),IF($H147="Complétée","F",IF(OR($H147="En cours",$H147="En revue"),"E",IF($H147="Bloquée","B","P"))),""))</f>
        <v/>
      </c>
      <c r="AS147" s="53">
        <f>IF(OR($F147="",$G147=""),"",IF(AND(AS$5&lt;=$G147,AS$5+6&gt;=$F147),IF($H147="Complétée","F",IF(OR($H147="En cours",$H147="En revue"),"E",IF($H147="Bloquée","B","P"))),""))</f>
        <v/>
      </c>
      <c r="AT147" s="53">
        <f>IF(OR($F147="",$G147=""),"",IF(AND(AT$5&lt;=$G147,AT$5+6&gt;=$F147),IF($H147="Complétée","F",IF(OR($H147="En cours",$H147="En revue"),"E",IF($H147="Bloquée","B","P"))),""))</f>
        <v/>
      </c>
      <c r="AU147" s="53">
        <f>IF(OR($F147="",$G147=""),"",IF(AND(AU$5&lt;=$G147,AU$5+6&gt;=$F147),IF($H147="Complétée","F",IF(OR($H147="En cours",$H147="En revue"),"E",IF($H147="Bloquée","B","P"))),""))</f>
        <v/>
      </c>
      <c r="AV147" s="53">
        <f>IF(OR($F147="",$G147=""),"",IF(AND(AV$5&lt;=$G147,AV$5+6&gt;=$F147),IF($H147="Complétée","F",IF(OR($H147="En cours",$H147="En revue"),"E",IF($H147="Bloquée","B","P"))),""))</f>
        <v/>
      </c>
      <c r="AW147" s="53">
        <f>IF(OR($F147="",$G147=""),"",IF(AND(AW$5&lt;=$G147,AW$5+6&gt;=$F147),IF($H147="Complétée","F",IF(OR($H147="En cours",$H147="En revue"),"E",IF($H147="Bloquée","B","P"))),""))</f>
        <v/>
      </c>
    </row>
    <row r="148">
      <c r="B148" s="50">
        <f>IF(Taches!B148="","",Taches!B148)</f>
        <v/>
      </c>
      <c r="C148" s="51">
        <f>IF(Taches!B148="","",Taches!F148)</f>
        <v/>
      </c>
      <c r="D148" s="50">
        <f>IF(Taches!B148="","",Taches!C148)</f>
        <v/>
      </c>
      <c r="E148" s="50">
        <f>IF(Taches!B148="","",Taches!D148)</f>
        <v/>
      </c>
      <c r="F148" s="52">
        <f>IF(Taches!P148="","",Taches!P148)</f>
        <v/>
      </c>
      <c r="G148" s="52">
        <f>IF(Taches!Q148="","",Taches!Q148)</f>
        <v/>
      </c>
      <c r="H148" s="50">
        <f>IF(Taches!B148="","",Taches!J148)</f>
        <v/>
      </c>
      <c r="I148" s="53">
        <f>IF(OR($F148="",$G148=""),"",IF(AND(I$5&lt;=$G148,I$5+6&gt;=$F148),IF($H148="Complétée","F",IF(OR($H148="En cours",$H148="En revue"),"E",IF($H148="Bloquée","B","P"))),""))</f>
        <v/>
      </c>
      <c r="J148" s="53">
        <f>IF(OR($F148="",$G148=""),"",IF(AND(J$5&lt;=$G148,J$5+6&gt;=$F148),IF($H148="Complétée","F",IF(OR($H148="En cours",$H148="En revue"),"E",IF($H148="Bloquée","B","P"))),""))</f>
        <v/>
      </c>
      <c r="K148" s="53">
        <f>IF(OR($F148="",$G148=""),"",IF(AND(K$5&lt;=$G148,K$5+6&gt;=$F148),IF($H148="Complétée","F",IF(OR($H148="En cours",$H148="En revue"),"E",IF($H148="Bloquée","B","P"))),""))</f>
        <v/>
      </c>
      <c r="L148" s="53">
        <f>IF(OR($F148="",$G148=""),"",IF(AND(L$5&lt;=$G148,L$5+6&gt;=$F148),IF($H148="Complétée","F",IF(OR($H148="En cours",$H148="En revue"),"E",IF($H148="Bloquée","B","P"))),""))</f>
        <v/>
      </c>
      <c r="M148" s="53">
        <f>IF(OR($F148="",$G148=""),"",IF(AND(M$5&lt;=$G148,M$5+6&gt;=$F148),IF($H148="Complétée","F",IF(OR($H148="En cours",$H148="En revue"),"E",IF($H148="Bloquée","B","P"))),""))</f>
        <v/>
      </c>
      <c r="N148" s="53">
        <f>IF(OR($F148="",$G148=""),"",IF(AND(N$5&lt;=$G148,N$5+6&gt;=$F148),IF($H148="Complétée","F",IF(OR($H148="En cours",$H148="En revue"),"E",IF($H148="Bloquée","B","P"))),""))</f>
        <v/>
      </c>
      <c r="O148" s="53">
        <f>IF(OR($F148="",$G148=""),"",IF(AND(O$5&lt;=$G148,O$5+6&gt;=$F148),IF($H148="Complétée","F",IF(OR($H148="En cours",$H148="En revue"),"E",IF($H148="Bloquée","B","P"))),""))</f>
        <v/>
      </c>
      <c r="P148" s="53">
        <f>IF(OR($F148="",$G148=""),"",IF(AND(P$5&lt;=$G148,P$5+6&gt;=$F148),IF($H148="Complétée","F",IF(OR($H148="En cours",$H148="En revue"),"E",IF($H148="Bloquée","B","P"))),""))</f>
        <v/>
      </c>
      <c r="Q148" s="53">
        <f>IF(OR($F148="",$G148=""),"",IF(AND(Q$5&lt;=$G148,Q$5+6&gt;=$F148),IF($H148="Complétée","F",IF(OR($H148="En cours",$H148="En revue"),"E",IF($H148="Bloquée","B","P"))),""))</f>
        <v/>
      </c>
      <c r="R148" s="53">
        <f>IF(OR($F148="",$G148=""),"",IF(AND(R$5&lt;=$G148,R$5+6&gt;=$F148),IF($H148="Complétée","F",IF(OR($H148="En cours",$H148="En revue"),"E",IF($H148="Bloquée","B","P"))),""))</f>
        <v/>
      </c>
      <c r="S148" s="53">
        <f>IF(OR($F148="",$G148=""),"",IF(AND(S$5&lt;=$G148,S$5+6&gt;=$F148),IF($H148="Complétée","F",IF(OR($H148="En cours",$H148="En revue"),"E",IF($H148="Bloquée","B","P"))),""))</f>
        <v/>
      </c>
      <c r="T148" s="53">
        <f>IF(OR($F148="",$G148=""),"",IF(AND(T$5&lt;=$G148,T$5+6&gt;=$F148),IF($H148="Complétée","F",IF(OR($H148="En cours",$H148="En revue"),"E",IF($H148="Bloquée","B","P"))),""))</f>
        <v/>
      </c>
      <c r="U148" s="53">
        <f>IF(OR($F148="",$G148=""),"",IF(AND(U$5&lt;=$G148,U$5+6&gt;=$F148),IF($H148="Complétée","F",IF(OR($H148="En cours",$H148="En revue"),"E",IF($H148="Bloquée","B","P"))),""))</f>
        <v/>
      </c>
      <c r="V148" s="53">
        <f>IF(OR($F148="",$G148=""),"",IF(AND(V$5&lt;=$G148,V$5+6&gt;=$F148),IF($H148="Complétée","F",IF(OR($H148="En cours",$H148="En revue"),"E",IF($H148="Bloquée","B","P"))),""))</f>
        <v/>
      </c>
      <c r="W148" s="53">
        <f>IF(OR($F148="",$G148=""),"",IF(AND(W$5&lt;=$G148,W$5+6&gt;=$F148),IF($H148="Complétée","F",IF(OR($H148="En cours",$H148="En revue"),"E",IF($H148="Bloquée","B","P"))),""))</f>
        <v/>
      </c>
      <c r="X148" s="53">
        <f>IF(OR($F148="",$G148=""),"",IF(AND(X$5&lt;=$G148,X$5+6&gt;=$F148),IF($H148="Complétée","F",IF(OR($H148="En cours",$H148="En revue"),"E",IF($H148="Bloquée","B","P"))),""))</f>
        <v/>
      </c>
      <c r="Y148" s="53">
        <f>IF(OR($F148="",$G148=""),"",IF(AND(Y$5&lt;=$G148,Y$5+6&gt;=$F148),IF($H148="Complétée","F",IF(OR($H148="En cours",$H148="En revue"),"E",IF($H148="Bloquée","B","P"))),""))</f>
        <v/>
      </c>
      <c r="Z148" s="53">
        <f>IF(OR($F148="",$G148=""),"",IF(AND(Z$5&lt;=$G148,Z$5+6&gt;=$F148),IF($H148="Complétée","F",IF(OR($H148="En cours",$H148="En revue"),"E",IF($H148="Bloquée","B","P"))),""))</f>
        <v/>
      </c>
      <c r="AA148" s="53">
        <f>IF(OR($F148="",$G148=""),"",IF(AND(AA$5&lt;=$G148,AA$5+6&gt;=$F148),IF($H148="Complétée","F",IF(OR($H148="En cours",$H148="En revue"),"E",IF($H148="Bloquée","B","P"))),""))</f>
        <v/>
      </c>
      <c r="AB148" s="53">
        <f>IF(OR($F148="",$G148=""),"",IF(AND(AB$5&lt;=$G148,AB$5+6&gt;=$F148),IF($H148="Complétée","F",IF(OR($H148="En cours",$H148="En revue"),"E",IF($H148="Bloquée","B","P"))),""))</f>
        <v/>
      </c>
      <c r="AC148" s="53">
        <f>IF(OR($F148="",$G148=""),"",IF(AND(AC$5&lt;=$G148,AC$5+6&gt;=$F148),IF($H148="Complétée","F",IF(OR($H148="En cours",$H148="En revue"),"E",IF($H148="Bloquée","B","P"))),""))</f>
        <v/>
      </c>
      <c r="AD148" s="53">
        <f>IF(OR($F148="",$G148=""),"",IF(AND(AD$5&lt;=$G148,AD$5+6&gt;=$F148),IF($H148="Complétée","F",IF(OR($H148="En cours",$H148="En revue"),"E",IF($H148="Bloquée","B","P"))),""))</f>
        <v/>
      </c>
      <c r="AE148" s="53">
        <f>IF(OR($F148="",$G148=""),"",IF(AND(AE$5&lt;=$G148,AE$5+6&gt;=$F148),IF($H148="Complétée","F",IF(OR($H148="En cours",$H148="En revue"),"E",IF($H148="Bloquée","B","P"))),""))</f>
        <v/>
      </c>
      <c r="AF148" s="53">
        <f>IF(OR($F148="",$G148=""),"",IF(AND(AF$5&lt;=$G148,AF$5+6&gt;=$F148),IF($H148="Complétée","F",IF(OR($H148="En cours",$H148="En revue"),"E",IF($H148="Bloquée","B","P"))),""))</f>
        <v/>
      </c>
      <c r="AG148" s="53">
        <f>IF(OR($F148="",$G148=""),"",IF(AND(AG$5&lt;=$G148,AG$5+6&gt;=$F148),IF($H148="Complétée","F",IF(OR($H148="En cours",$H148="En revue"),"E",IF($H148="Bloquée","B","P"))),""))</f>
        <v/>
      </c>
      <c r="AH148" s="53">
        <f>IF(OR($F148="",$G148=""),"",IF(AND(AH$5&lt;=$G148,AH$5+6&gt;=$F148),IF($H148="Complétée","F",IF(OR($H148="En cours",$H148="En revue"),"E",IF($H148="Bloquée","B","P"))),""))</f>
        <v/>
      </c>
      <c r="AI148" s="53">
        <f>IF(OR($F148="",$G148=""),"",IF(AND(AI$5&lt;=$G148,AI$5+6&gt;=$F148),IF($H148="Complétée","F",IF(OR($H148="En cours",$H148="En revue"),"E",IF($H148="Bloquée","B","P"))),""))</f>
        <v/>
      </c>
      <c r="AJ148" s="53">
        <f>IF(OR($F148="",$G148=""),"",IF(AND(AJ$5&lt;=$G148,AJ$5+6&gt;=$F148),IF($H148="Complétée","F",IF(OR($H148="En cours",$H148="En revue"),"E",IF($H148="Bloquée","B","P"))),""))</f>
        <v/>
      </c>
      <c r="AK148" s="53">
        <f>IF(OR($F148="",$G148=""),"",IF(AND(AK$5&lt;=$G148,AK$5+6&gt;=$F148),IF($H148="Complétée","F",IF(OR($H148="En cours",$H148="En revue"),"E",IF($H148="Bloquée","B","P"))),""))</f>
        <v/>
      </c>
      <c r="AL148" s="53">
        <f>IF(OR($F148="",$G148=""),"",IF(AND(AL$5&lt;=$G148,AL$5+6&gt;=$F148),IF($H148="Complétée","F",IF(OR($H148="En cours",$H148="En revue"),"E",IF($H148="Bloquée","B","P"))),""))</f>
        <v/>
      </c>
      <c r="AM148" s="53">
        <f>IF(OR($F148="",$G148=""),"",IF(AND(AM$5&lt;=$G148,AM$5+6&gt;=$F148),IF($H148="Complétée","F",IF(OR($H148="En cours",$H148="En revue"),"E",IF($H148="Bloquée","B","P"))),""))</f>
        <v/>
      </c>
      <c r="AN148" s="53">
        <f>IF(OR($F148="",$G148=""),"",IF(AND(AN$5&lt;=$G148,AN$5+6&gt;=$F148),IF($H148="Complétée","F",IF(OR($H148="En cours",$H148="En revue"),"E",IF($H148="Bloquée","B","P"))),""))</f>
        <v/>
      </c>
      <c r="AO148" s="53">
        <f>IF(OR($F148="",$G148=""),"",IF(AND(AO$5&lt;=$G148,AO$5+6&gt;=$F148),IF($H148="Complétée","F",IF(OR($H148="En cours",$H148="En revue"),"E",IF($H148="Bloquée","B","P"))),""))</f>
        <v/>
      </c>
      <c r="AP148" s="53">
        <f>IF(OR($F148="",$G148=""),"",IF(AND(AP$5&lt;=$G148,AP$5+6&gt;=$F148),IF($H148="Complétée","F",IF(OR($H148="En cours",$H148="En revue"),"E",IF($H148="Bloquée","B","P"))),""))</f>
        <v/>
      </c>
      <c r="AQ148" s="53">
        <f>IF(OR($F148="",$G148=""),"",IF(AND(AQ$5&lt;=$G148,AQ$5+6&gt;=$F148),IF($H148="Complétée","F",IF(OR($H148="En cours",$H148="En revue"),"E",IF($H148="Bloquée","B","P"))),""))</f>
        <v/>
      </c>
      <c r="AR148" s="53">
        <f>IF(OR($F148="",$G148=""),"",IF(AND(AR$5&lt;=$G148,AR$5+6&gt;=$F148),IF($H148="Complétée","F",IF(OR($H148="En cours",$H148="En revue"),"E",IF($H148="Bloquée","B","P"))),""))</f>
        <v/>
      </c>
      <c r="AS148" s="53">
        <f>IF(OR($F148="",$G148=""),"",IF(AND(AS$5&lt;=$G148,AS$5+6&gt;=$F148),IF($H148="Complétée","F",IF(OR($H148="En cours",$H148="En revue"),"E",IF($H148="Bloquée","B","P"))),""))</f>
        <v/>
      </c>
      <c r="AT148" s="53">
        <f>IF(OR($F148="",$G148=""),"",IF(AND(AT$5&lt;=$G148,AT$5+6&gt;=$F148),IF($H148="Complétée","F",IF(OR($H148="En cours",$H148="En revue"),"E",IF($H148="Bloquée","B","P"))),""))</f>
        <v/>
      </c>
      <c r="AU148" s="53">
        <f>IF(OR($F148="",$G148=""),"",IF(AND(AU$5&lt;=$G148,AU$5+6&gt;=$F148),IF($H148="Complétée","F",IF(OR($H148="En cours",$H148="En revue"),"E",IF($H148="Bloquée","B","P"))),""))</f>
        <v/>
      </c>
      <c r="AV148" s="53">
        <f>IF(OR($F148="",$G148=""),"",IF(AND(AV$5&lt;=$G148,AV$5+6&gt;=$F148),IF($H148="Complétée","F",IF(OR($H148="En cours",$H148="En revue"),"E",IF($H148="Bloquée","B","P"))),""))</f>
        <v/>
      </c>
      <c r="AW148" s="53">
        <f>IF(OR($F148="",$G148=""),"",IF(AND(AW$5&lt;=$G148,AW$5+6&gt;=$F148),IF($H148="Complétée","F",IF(OR($H148="En cours",$H148="En revue"),"E",IF($H148="Bloquée","B","P"))),""))</f>
        <v/>
      </c>
    </row>
    <row r="149">
      <c r="B149" s="50">
        <f>IF(Taches!B149="","",Taches!B149)</f>
        <v/>
      </c>
      <c r="C149" s="51">
        <f>IF(Taches!B149="","",Taches!F149)</f>
        <v/>
      </c>
      <c r="D149" s="50">
        <f>IF(Taches!B149="","",Taches!C149)</f>
        <v/>
      </c>
      <c r="E149" s="50">
        <f>IF(Taches!B149="","",Taches!D149)</f>
        <v/>
      </c>
      <c r="F149" s="52">
        <f>IF(Taches!P149="","",Taches!P149)</f>
        <v/>
      </c>
      <c r="G149" s="52">
        <f>IF(Taches!Q149="","",Taches!Q149)</f>
        <v/>
      </c>
      <c r="H149" s="50">
        <f>IF(Taches!B149="","",Taches!J149)</f>
        <v/>
      </c>
      <c r="I149" s="53">
        <f>IF(OR($F149="",$G149=""),"",IF(AND(I$5&lt;=$G149,I$5+6&gt;=$F149),IF($H149="Complétée","F",IF(OR($H149="En cours",$H149="En revue"),"E",IF($H149="Bloquée","B","P"))),""))</f>
        <v/>
      </c>
      <c r="J149" s="53">
        <f>IF(OR($F149="",$G149=""),"",IF(AND(J$5&lt;=$G149,J$5+6&gt;=$F149),IF($H149="Complétée","F",IF(OR($H149="En cours",$H149="En revue"),"E",IF($H149="Bloquée","B","P"))),""))</f>
        <v/>
      </c>
      <c r="K149" s="53">
        <f>IF(OR($F149="",$G149=""),"",IF(AND(K$5&lt;=$G149,K$5+6&gt;=$F149),IF($H149="Complétée","F",IF(OR($H149="En cours",$H149="En revue"),"E",IF($H149="Bloquée","B","P"))),""))</f>
        <v/>
      </c>
      <c r="L149" s="53">
        <f>IF(OR($F149="",$G149=""),"",IF(AND(L$5&lt;=$G149,L$5+6&gt;=$F149),IF($H149="Complétée","F",IF(OR($H149="En cours",$H149="En revue"),"E",IF($H149="Bloquée","B","P"))),""))</f>
        <v/>
      </c>
      <c r="M149" s="53">
        <f>IF(OR($F149="",$G149=""),"",IF(AND(M$5&lt;=$G149,M$5+6&gt;=$F149),IF($H149="Complétée","F",IF(OR($H149="En cours",$H149="En revue"),"E",IF($H149="Bloquée","B","P"))),""))</f>
        <v/>
      </c>
      <c r="N149" s="53">
        <f>IF(OR($F149="",$G149=""),"",IF(AND(N$5&lt;=$G149,N$5+6&gt;=$F149),IF($H149="Complétée","F",IF(OR($H149="En cours",$H149="En revue"),"E",IF($H149="Bloquée","B","P"))),""))</f>
        <v/>
      </c>
      <c r="O149" s="53">
        <f>IF(OR($F149="",$G149=""),"",IF(AND(O$5&lt;=$G149,O$5+6&gt;=$F149),IF($H149="Complétée","F",IF(OR($H149="En cours",$H149="En revue"),"E",IF($H149="Bloquée","B","P"))),""))</f>
        <v/>
      </c>
      <c r="P149" s="53">
        <f>IF(OR($F149="",$G149=""),"",IF(AND(P$5&lt;=$G149,P$5+6&gt;=$F149),IF($H149="Complétée","F",IF(OR($H149="En cours",$H149="En revue"),"E",IF($H149="Bloquée","B","P"))),""))</f>
        <v/>
      </c>
      <c r="Q149" s="53">
        <f>IF(OR($F149="",$G149=""),"",IF(AND(Q$5&lt;=$G149,Q$5+6&gt;=$F149),IF($H149="Complétée","F",IF(OR($H149="En cours",$H149="En revue"),"E",IF($H149="Bloquée","B","P"))),""))</f>
        <v/>
      </c>
      <c r="R149" s="53">
        <f>IF(OR($F149="",$G149=""),"",IF(AND(R$5&lt;=$G149,R$5+6&gt;=$F149),IF($H149="Complétée","F",IF(OR($H149="En cours",$H149="En revue"),"E",IF($H149="Bloquée","B","P"))),""))</f>
        <v/>
      </c>
      <c r="S149" s="53">
        <f>IF(OR($F149="",$G149=""),"",IF(AND(S$5&lt;=$G149,S$5+6&gt;=$F149),IF($H149="Complétée","F",IF(OR($H149="En cours",$H149="En revue"),"E",IF($H149="Bloquée","B","P"))),""))</f>
        <v/>
      </c>
      <c r="T149" s="53">
        <f>IF(OR($F149="",$G149=""),"",IF(AND(T$5&lt;=$G149,T$5+6&gt;=$F149),IF($H149="Complétée","F",IF(OR($H149="En cours",$H149="En revue"),"E",IF($H149="Bloquée","B","P"))),""))</f>
        <v/>
      </c>
      <c r="U149" s="53">
        <f>IF(OR($F149="",$G149=""),"",IF(AND(U$5&lt;=$G149,U$5+6&gt;=$F149),IF($H149="Complétée","F",IF(OR($H149="En cours",$H149="En revue"),"E",IF($H149="Bloquée","B","P"))),""))</f>
        <v/>
      </c>
      <c r="V149" s="53">
        <f>IF(OR($F149="",$G149=""),"",IF(AND(V$5&lt;=$G149,V$5+6&gt;=$F149),IF($H149="Complétée","F",IF(OR($H149="En cours",$H149="En revue"),"E",IF($H149="Bloquée","B","P"))),""))</f>
        <v/>
      </c>
      <c r="W149" s="53">
        <f>IF(OR($F149="",$G149=""),"",IF(AND(W$5&lt;=$G149,W$5+6&gt;=$F149),IF($H149="Complétée","F",IF(OR($H149="En cours",$H149="En revue"),"E",IF($H149="Bloquée","B","P"))),""))</f>
        <v/>
      </c>
      <c r="X149" s="53">
        <f>IF(OR($F149="",$G149=""),"",IF(AND(X$5&lt;=$G149,X$5+6&gt;=$F149),IF($H149="Complétée","F",IF(OR($H149="En cours",$H149="En revue"),"E",IF($H149="Bloquée","B","P"))),""))</f>
        <v/>
      </c>
      <c r="Y149" s="53">
        <f>IF(OR($F149="",$G149=""),"",IF(AND(Y$5&lt;=$G149,Y$5+6&gt;=$F149),IF($H149="Complétée","F",IF(OR($H149="En cours",$H149="En revue"),"E",IF($H149="Bloquée","B","P"))),""))</f>
        <v/>
      </c>
      <c r="Z149" s="53">
        <f>IF(OR($F149="",$G149=""),"",IF(AND(Z$5&lt;=$G149,Z$5+6&gt;=$F149),IF($H149="Complétée","F",IF(OR($H149="En cours",$H149="En revue"),"E",IF($H149="Bloquée","B","P"))),""))</f>
        <v/>
      </c>
      <c r="AA149" s="53">
        <f>IF(OR($F149="",$G149=""),"",IF(AND(AA$5&lt;=$G149,AA$5+6&gt;=$F149),IF($H149="Complétée","F",IF(OR($H149="En cours",$H149="En revue"),"E",IF($H149="Bloquée","B","P"))),""))</f>
        <v/>
      </c>
      <c r="AB149" s="53">
        <f>IF(OR($F149="",$G149=""),"",IF(AND(AB$5&lt;=$G149,AB$5+6&gt;=$F149),IF($H149="Complétée","F",IF(OR($H149="En cours",$H149="En revue"),"E",IF($H149="Bloquée","B","P"))),""))</f>
        <v/>
      </c>
      <c r="AC149" s="53">
        <f>IF(OR($F149="",$G149=""),"",IF(AND(AC$5&lt;=$G149,AC$5+6&gt;=$F149),IF($H149="Complétée","F",IF(OR($H149="En cours",$H149="En revue"),"E",IF($H149="Bloquée","B","P"))),""))</f>
        <v/>
      </c>
      <c r="AD149" s="53">
        <f>IF(OR($F149="",$G149=""),"",IF(AND(AD$5&lt;=$G149,AD$5+6&gt;=$F149),IF($H149="Complétée","F",IF(OR($H149="En cours",$H149="En revue"),"E",IF($H149="Bloquée","B","P"))),""))</f>
        <v/>
      </c>
      <c r="AE149" s="53">
        <f>IF(OR($F149="",$G149=""),"",IF(AND(AE$5&lt;=$G149,AE$5+6&gt;=$F149),IF($H149="Complétée","F",IF(OR($H149="En cours",$H149="En revue"),"E",IF($H149="Bloquée","B","P"))),""))</f>
        <v/>
      </c>
      <c r="AF149" s="53">
        <f>IF(OR($F149="",$G149=""),"",IF(AND(AF$5&lt;=$G149,AF$5+6&gt;=$F149),IF($H149="Complétée","F",IF(OR($H149="En cours",$H149="En revue"),"E",IF($H149="Bloquée","B","P"))),""))</f>
        <v/>
      </c>
      <c r="AG149" s="53">
        <f>IF(OR($F149="",$G149=""),"",IF(AND(AG$5&lt;=$G149,AG$5+6&gt;=$F149),IF($H149="Complétée","F",IF(OR($H149="En cours",$H149="En revue"),"E",IF($H149="Bloquée","B","P"))),""))</f>
        <v/>
      </c>
      <c r="AH149" s="53">
        <f>IF(OR($F149="",$G149=""),"",IF(AND(AH$5&lt;=$G149,AH$5+6&gt;=$F149),IF($H149="Complétée","F",IF(OR($H149="En cours",$H149="En revue"),"E",IF($H149="Bloquée","B","P"))),""))</f>
        <v/>
      </c>
      <c r="AI149" s="53">
        <f>IF(OR($F149="",$G149=""),"",IF(AND(AI$5&lt;=$G149,AI$5+6&gt;=$F149),IF($H149="Complétée","F",IF(OR($H149="En cours",$H149="En revue"),"E",IF($H149="Bloquée","B","P"))),""))</f>
        <v/>
      </c>
      <c r="AJ149" s="53">
        <f>IF(OR($F149="",$G149=""),"",IF(AND(AJ$5&lt;=$G149,AJ$5+6&gt;=$F149),IF($H149="Complétée","F",IF(OR($H149="En cours",$H149="En revue"),"E",IF($H149="Bloquée","B","P"))),""))</f>
        <v/>
      </c>
      <c r="AK149" s="53">
        <f>IF(OR($F149="",$G149=""),"",IF(AND(AK$5&lt;=$G149,AK$5+6&gt;=$F149),IF($H149="Complétée","F",IF(OR($H149="En cours",$H149="En revue"),"E",IF($H149="Bloquée","B","P"))),""))</f>
        <v/>
      </c>
      <c r="AL149" s="53">
        <f>IF(OR($F149="",$G149=""),"",IF(AND(AL$5&lt;=$G149,AL$5+6&gt;=$F149),IF($H149="Complétée","F",IF(OR($H149="En cours",$H149="En revue"),"E",IF($H149="Bloquée","B","P"))),""))</f>
        <v/>
      </c>
      <c r="AM149" s="53">
        <f>IF(OR($F149="",$G149=""),"",IF(AND(AM$5&lt;=$G149,AM$5+6&gt;=$F149),IF($H149="Complétée","F",IF(OR($H149="En cours",$H149="En revue"),"E",IF($H149="Bloquée","B","P"))),""))</f>
        <v/>
      </c>
      <c r="AN149" s="53">
        <f>IF(OR($F149="",$G149=""),"",IF(AND(AN$5&lt;=$G149,AN$5+6&gt;=$F149),IF($H149="Complétée","F",IF(OR($H149="En cours",$H149="En revue"),"E",IF($H149="Bloquée","B","P"))),""))</f>
        <v/>
      </c>
      <c r="AO149" s="53">
        <f>IF(OR($F149="",$G149=""),"",IF(AND(AO$5&lt;=$G149,AO$5+6&gt;=$F149),IF($H149="Complétée","F",IF(OR($H149="En cours",$H149="En revue"),"E",IF($H149="Bloquée","B","P"))),""))</f>
        <v/>
      </c>
      <c r="AP149" s="53">
        <f>IF(OR($F149="",$G149=""),"",IF(AND(AP$5&lt;=$G149,AP$5+6&gt;=$F149),IF($H149="Complétée","F",IF(OR($H149="En cours",$H149="En revue"),"E",IF($H149="Bloquée","B","P"))),""))</f>
        <v/>
      </c>
      <c r="AQ149" s="53">
        <f>IF(OR($F149="",$G149=""),"",IF(AND(AQ$5&lt;=$G149,AQ$5+6&gt;=$F149),IF($H149="Complétée","F",IF(OR($H149="En cours",$H149="En revue"),"E",IF($H149="Bloquée","B","P"))),""))</f>
        <v/>
      </c>
      <c r="AR149" s="53">
        <f>IF(OR($F149="",$G149=""),"",IF(AND(AR$5&lt;=$G149,AR$5+6&gt;=$F149),IF($H149="Complétée","F",IF(OR($H149="En cours",$H149="En revue"),"E",IF($H149="Bloquée","B","P"))),""))</f>
        <v/>
      </c>
      <c r="AS149" s="53">
        <f>IF(OR($F149="",$G149=""),"",IF(AND(AS$5&lt;=$G149,AS$5+6&gt;=$F149),IF($H149="Complétée","F",IF(OR($H149="En cours",$H149="En revue"),"E",IF($H149="Bloquée","B","P"))),""))</f>
        <v/>
      </c>
      <c r="AT149" s="53">
        <f>IF(OR($F149="",$G149=""),"",IF(AND(AT$5&lt;=$G149,AT$5+6&gt;=$F149),IF($H149="Complétée","F",IF(OR($H149="En cours",$H149="En revue"),"E",IF($H149="Bloquée","B","P"))),""))</f>
        <v/>
      </c>
      <c r="AU149" s="53">
        <f>IF(OR($F149="",$G149=""),"",IF(AND(AU$5&lt;=$G149,AU$5+6&gt;=$F149),IF($H149="Complétée","F",IF(OR($H149="En cours",$H149="En revue"),"E",IF($H149="Bloquée","B","P"))),""))</f>
        <v/>
      </c>
      <c r="AV149" s="53">
        <f>IF(OR($F149="",$G149=""),"",IF(AND(AV$5&lt;=$G149,AV$5+6&gt;=$F149),IF($H149="Complétée","F",IF(OR($H149="En cours",$H149="En revue"),"E",IF($H149="Bloquée","B","P"))),""))</f>
        <v/>
      </c>
      <c r="AW149" s="53">
        <f>IF(OR($F149="",$G149=""),"",IF(AND(AW$5&lt;=$G149,AW$5+6&gt;=$F149),IF($H149="Complétée","F",IF(OR($H149="En cours",$H149="En revue"),"E",IF($H149="Bloquée","B","P"))),""))</f>
        <v/>
      </c>
    </row>
    <row r="150">
      <c r="B150" s="50">
        <f>IF(Taches!B150="","",Taches!B150)</f>
        <v/>
      </c>
      <c r="C150" s="51">
        <f>IF(Taches!B150="","",Taches!F150)</f>
        <v/>
      </c>
      <c r="D150" s="50">
        <f>IF(Taches!B150="","",Taches!C150)</f>
        <v/>
      </c>
      <c r="E150" s="50">
        <f>IF(Taches!B150="","",Taches!D150)</f>
        <v/>
      </c>
      <c r="F150" s="52">
        <f>IF(Taches!P150="","",Taches!P150)</f>
        <v/>
      </c>
      <c r="G150" s="52">
        <f>IF(Taches!Q150="","",Taches!Q150)</f>
        <v/>
      </c>
      <c r="H150" s="50">
        <f>IF(Taches!B150="","",Taches!J150)</f>
        <v/>
      </c>
      <c r="I150" s="53">
        <f>IF(OR($F150="",$G150=""),"",IF(AND(I$5&lt;=$G150,I$5+6&gt;=$F150),IF($H150="Complétée","F",IF(OR($H150="En cours",$H150="En revue"),"E",IF($H150="Bloquée","B","P"))),""))</f>
        <v/>
      </c>
      <c r="J150" s="53">
        <f>IF(OR($F150="",$G150=""),"",IF(AND(J$5&lt;=$G150,J$5+6&gt;=$F150),IF($H150="Complétée","F",IF(OR($H150="En cours",$H150="En revue"),"E",IF($H150="Bloquée","B","P"))),""))</f>
        <v/>
      </c>
      <c r="K150" s="53">
        <f>IF(OR($F150="",$G150=""),"",IF(AND(K$5&lt;=$G150,K$5+6&gt;=$F150),IF($H150="Complétée","F",IF(OR($H150="En cours",$H150="En revue"),"E",IF($H150="Bloquée","B","P"))),""))</f>
        <v/>
      </c>
      <c r="L150" s="53">
        <f>IF(OR($F150="",$G150=""),"",IF(AND(L$5&lt;=$G150,L$5+6&gt;=$F150),IF($H150="Complétée","F",IF(OR($H150="En cours",$H150="En revue"),"E",IF($H150="Bloquée","B","P"))),""))</f>
        <v/>
      </c>
      <c r="M150" s="53">
        <f>IF(OR($F150="",$G150=""),"",IF(AND(M$5&lt;=$G150,M$5+6&gt;=$F150),IF($H150="Complétée","F",IF(OR($H150="En cours",$H150="En revue"),"E",IF($H150="Bloquée","B","P"))),""))</f>
        <v/>
      </c>
      <c r="N150" s="53">
        <f>IF(OR($F150="",$G150=""),"",IF(AND(N$5&lt;=$G150,N$5+6&gt;=$F150),IF($H150="Complétée","F",IF(OR($H150="En cours",$H150="En revue"),"E",IF($H150="Bloquée","B","P"))),""))</f>
        <v/>
      </c>
      <c r="O150" s="53">
        <f>IF(OR($F150="",$G150=""),"",IF(AND(O$5&lt;=$G150,O$5+6&gt;=$F150),IF($H150="Complétée","F",IF(OR($H150="En cours",$H150="En revue"),"E",IF($H150="Bloquée","B","P"))),""))</f>
        <v/>
      </c>
      <c r="P150" s="53">
        <f>IF(OR($F150="",$G150=""),"",IF(AND(P$5&lt;=$G150,P$5+6&gt;=$F150),IF($H150="Complétée","F",IF(OR($H150="En cours",$H150="En revue"),"E",IF($H150="Bloquée","B","P"))),""))</f>
        <v/>
      </c>
      <c r="Q150" s="53">
        <f>IF(OR($F150="",$G150=""),"",IF(AND(Q$5&lt;=$G150,Q$5+6&gt;=$F150),IF($H150="Complétée","F",IF(OR($H150="En cours",$H150="En revue"),"E",IF($H150="Bloquée","B","P"))),""))</f>
        <v/>
      </c>
      <c r="R150" s="53">
        <f>IF(OR($F150="",$G150=""),"",IF(AND(R$5&lt;=$G150,R$5+6&gt;=$F150),IF($H150="Complétée","F",IF(OR($H150="En cours",$H150="En revue"),"E",IF($H150="Bloquée","B","P"))),""))</f>
        <v/>
      </c>
      <c r="S150" s="53">
        <f>IF(OR($F150="",$G150=""),"",IF(AND(S$5&lt;=$G150,S$5+6&gt;=$F150),IF($H150="Complétée","F",IF(OR($H150="En cours",$H150="En revue"),"E",IF($H150="Bloquée","B","P"))),""))</f>
        <v/>
      </c>
      <c r="T150" s="53">
        <f>IF(OR($F150="",$G150=""),"",IF(AND(T$5&lt;=$G150,T$5+6&gt;=$F150),IF($H150="Complétée","F",IF(OR($H150="En cours",$H150="En revue"),"E",IF($H150="Bloquée","B","P"))),""))</f>
        <v/>
      </c>
      <c r="U150" s="53">
        <f>IF(OR($F150="",$G150=""),"",IF(AND(U$5&lt;=$G150,U$5+6&gt;=$F150),IF($H150="Complétée","F",IF(OR($H150="En cours",$H150="En revue"),"E",IF($H150="Bloquée","B","P"))),""))</f>
        <v/>
      </c>
      <c r="V150" s="53">
        <f>IF(OR($F150="",$G150=""),"",IF(AND(V$5&lt;=$G150,V$5+6&gt;=$F150),IF($H150="Complétée","F",IF(OR($H150="En cours",$H150="En revue"),"E",IF($H150="Bloquée","B","P"))),""))</f>
        <v/>
      </c>
      <c r="W150" s="53">
        <f>IF(OR($F150="",$G150=""),"",IF(AND(W$5&lt;=$G150,W$5+6&gt;=$F150),IF($H150="Complétée","F",IF(OR($H150="En cours",$H150="En revue"),"E",IF($H150="Bloquée","B","P"))),""))</f>
        <v/>
      </c>
      <c r="X150" s="53">
        <f>IF(OR($F150="",$G150=""),"",IF(AND(X$5&lt;=$G150,X$5+6&gt;=$F150),IF($H150="Complétée","F",IF(OR($H150="En cours",$H150="En revue"),"E",IF($H150="Bloquée","B","P"))),""))</f>
        <v/>
      </c>
      <c r="Y150" s="53">
        <f>IF(OR($F150="",$G150=""),"",IF(AND(Y$5&lt;=$G150,Y$5+6&gt;=$F150),IF($H150="Complétée","F",IF(OR($H150="En cours",$H150="En revue"),"E",IF($H150="Bloquée","B","P"))),""))</f>
        <v/>
      </c>
      <c r="Z150" s="53">
        <f>IF(OR($F150="",$G150=""),"",IF(AND(Z$5&lt;=$G150,Z$5+6&gt;=$F150),IF($H150="Complétée","F",IF(OR($H150="En cours",$H150="En revue"),"E",IF($H150="Bloquée","B","P"))),""))</f>
        <v/>
      </c>
      <c r="AA150" s="53">
        <f>IF(OR($F150="",$G150=""),"",IF(AND(AA$5&lt;=$G150,AA$5+6&gt;=$F150),IF($H150="Complétée","F",IF(OR($H150="En cours",$H150="En revue"),"E",IF($H150="Bloquée","B","P"))),""))</f>
        <v/>
      </c>
      <c r="AB150" s="53">
        <f>IF(OR($F150="",$G150=""),"",IF(AND(AB$5&lt;=$G150,AB$5+6&gt;=$F150),IF($H150="Complétée","F",IF(OR($H150="En cours",$H150="En revue"),"E",IF($H150="Bloquée","B","P"))),""))</f>
        <v/>
      </c>
      <c r="AC150" s="53">
        <f>IF(OR($F150="",$G150=""),"",IF(AND(AC$5&lt;=$G150,AC$5+6&gt;=$F150),IF($H150="Complétée","F",IF(OR($H150="En cours",$H150="En revue"),"E",IF($H150="Bloquée","B","P"))),""))</f>
        <v/>
      </c>
      <c r="AD150" s="53">
        <f>IF(OR($F150="",$G150=""),"",IF(AND(AD$5&lt;=$G150,AD$5+6&gt;=$F150),IF($H150="Complétée","F",IF(OR($H150="En cours",$H150="En revue"),"E",IF($H150="Bloquée","B","P"))),""))</f>
        <v/>
      </c>
      <c r="AE150" s="53">
        <f>IF(OR($F150="",$G150=""),"",IF(AND(AE$5&lt;=$G150,AE$5+6&gt;=$F150),IF($H150="Complétée","F",IF(OR($H150="En cours",$H150="En revue"),"E",IF($H150="Bloquée","B","P"))),""))</f>
        <v/>
      </c>
      <c r="AF150" s="53">
        <f>IF(OR($F150="",$G150=""),"",IF(AND(AF$5&lt;=$G150,AF$5+6&gt;=$F150),IF($H150="Complétée","F",IF(OR($H150="En cours",$H150="En revue"),"E",IF($H150="Bloquée","B","P"))),""))</f>
        <v/>
      </c>
      <c r="AG150" s="53">
        <f>IF(OR($F150="",$G150=""),"",IF(AND(AG$5&lt;=$G150,AG$5+6&gt;=$F150),IF($H150="Complétée","F",IF(OR($H150="En cours",$H150="En revue"),"E",IF($H150="Bloquée","B","P"))),""))</f>
        <v/>
      </c>
      <c r="AH150" s="53">
        <f>IF(OR($F150="",$G150=""),"",IF(AND(AH$5&lt;=$G150,AH$5+6&gt;=$F150),IF($H150="Complétée","F",IF(OR($H150="En cours",$H150="En revue"),"E",IF($H150="Bloquée","B","P"))),""))</f>
        <v/>
      </c>
      <c r="AI150" s="53">
        <f>IF(OR($F150="",$G150=""),"",IF(AND(AI$5&lt;=$G150,AI$5+6&gt;=$F150),IF($H150="Complétée","F",IF(OR($H150="En cours",$H150="En revue"),"E",IF($H150="Bloquée","B","P"))),""))</f>
        <v/>
      </c>
      <c r="AJ150" s="53">
        <f>IF(OR($F150="",$G150=""),"",IF(AND(AJ$5&lt;=$G150,AJ$5+6&gt;=$F150),IF($H150="Complétée","F",IF(OR($H150="En cours",$H150="En revue"),"E",IF($H150="Bloquée","B","P"))),""))</f>
        <v/>
      </c>
      <c r="AK150" s="53">
        <f>IF(OR($F150="",$G150=""),"",IF(AND(AK$5&lt;=$G150,AK$5+6&gt;=$F150),IF($H150="Complétée","F",IF(OR($H150="En cours",$H150="En revue"),"E",IF($H150="Bloquée","B","P"))),""))</f>
        <v/>
      </c>
      <c r="AL150" s="53">
        <f>IF(OR($F150="",$G150=""),"",IF(AND(AL$5&lt;=$G150,AL$5+6&gt;=$F150),IF($H150="Complétée","F",IF(OR($H150="En cours",$H150="En revue"),"E",IF($H150="Bloquée","B","P"))),""))</f>
        <v/>
      </c>
      <c r="AM150" s="53">
        <f>IF(OR($F150="",$G150=""),"",IF(AND(AM$5&lt;=$G150,AM$5+6&gt;=$F150),IF($H150="Complétée","F",IF(OR($H150="En cours",$H150="En revue"),"E",IF($H150="Bloquée","B","P"))),""))</f>
        <v/>
      </c>
      <c r="AN150" s="53">
        <f>IF(OR($F150="",$G150=""),"",IF(AND(AN$5&lt;=$G150,AN$5+6&gt;=$F150),IF($H150="Complétée","F",IF(OR($H150="En cours",$H150="En revue"),"E",IF($H150="Bloquée","B","P"))),""))</f>
        <v/>
      </c>
      <c r="AO150" s="53">
        <f>IF(OR($F150="",$G150=""),"",IF(AND(AO$5&lt;=$G150,AO$5+6&gt;=$F150),IF($H150="Complétée","F",IF(OR($H150="En cours",$H150="En revue"),"E",IF($H150="Bloquée","B","P"))),""))</f>
        <v/>
      </c>
      <c r="AP150" s="53">
        <f>IF(OR($F150="",$G150=""),"",IF(AND(AP$5&lt;=$G150,AP$5+6&gt;=$F150),IF($H150="Complétée","F",IF(OR($H150="En cours",$H150="En revue"),"E",IF($H150="Bloquée","B","P"))),""))</f>
        <v/>
      </c>
      <c r="AQ150" s="53">
        <f>IF(OR($F150="",$G150=""),"",IF(AND(AQ$5&lt;=$G150,AQ$5+6&gt;=$F150),IF($H150="Complétée","F",IF(OR($H150="En cours",$H150="En revue"),"E",IF($H150="Bloquée","B","P"))),""))</f>
        <v/>
      </c>
      <c r="AR150" s="53">
        <f>IF(OR($F150="",$G150=""),"",IF(AND(AR$5&lt;=$G150,AR$5+6&gt;=$F150),IF($H150="Complétée","F",IF(OR($H150="En cours",$H150="En revue"),"E",IF($H150="Bloquée","B","P"))),""))</f>
        <v/>
      </c>
      <c r="AS150" s="53">
        <f>IF(OR($F150="",$G150=""),"",IF(AND(AS$5&lt;=$G150,AS$5+6&gt;=$F150),IF($H150="Complétée","F",IF(OR($H150="En cours",$H150="En revue"),"E",IF($H150="Bloquée","B","P"))),""))</f>
        <v/>
      </c>
      <c r="AT150" s="53">
        <f>IF(OR($F150="",$G150=""),"",IF(AND(AT$5&lt;=$G150,AT$5+6&gt;=$F150),IF($H150="Complétée","F",IF(OR($H150="En cours",$H150="En revue"),"E",IF($H150="Bloquée","B","P"))),""))</f>
        <v/>
      </c>
      <c r="AU150" s="53">
        <f>IF(OR($F150="",$G150=""),"",IF(AND(AU$5&lt;=$G150,AU$5+6&gt;=$F150),IF($H150="Complétée","F",IF(OR($H150="En cours",$H150="En revue"),"E",IF($H150="Bloquée","B","P"))),""))</f>
        <v/>
      </c>
      <c r="AV150" s="53">
        <f>IF(OR($F150="",$G150=""),"",IF(AND(AV$5&lt;=$G150,AV$5+6&gt;=$F150),IF($H150="Complétée","F",IF(OR($H150="En cours",$H150="En revue"),"E",IF($H150="Bloquée","B","P"))),""))</f>
        <v/>
      </c>
      <c r="AW150" s="53">
        <f>IF(OR($F150="",$G150=""),"",IF(AND(AW$5&lt;=$G150,AW$5+6&gt;=$F150),IF($H150="Complétée","F",IF(OR($H150="En cours",$H150="En revue"),"E",IF($H150="Bloquée","B","P"))),""))</f>
        <v/>
      </c>
    </row>
    <row r="151">
      <c r="B151" s="50">
        <f>IF(Taches!B151="","",Taches!B151)</f>
        <v/>
      </c>
      <c r="C151" s="51">
        <f>IF(Taches!B151="","",Taches!F151)</f>
        <v/>
      </c>
      <c r="D151" s="50">
        <f>IF(Taches!B151="","",Taches!C151)</f>
        <v/>
      </c>
      <c r="E151" s="50">
        <f>IF(Taches!B151="","",Taches!D151)</f>
        <v/>
      </c>
      <c r="F151" s="52">
        <f>IF(Taches!P151="","",Taches!P151)</f>
        <v/>
      </c>
      <c r="G151" s="52">
        <f>IF(Taches!Q151="","",Taches!Q151)</f>
        <v/>
      </c>
      <c r="H151" s="50">
        <f>IF(Taches!B151="","",Taches!J151)</f>
        <v/>
      </c>
      <c r="I151" s="53">
        <f>IF(OR($F151="",$G151=""),"",IF(AND(I$5&lt;=$G151,I$5+6&gt;=$F151),IF($H151="Complétée","F",IF(OR($H151="En cours",$H151="En revue"),"E",IF($H151="Bloquée","B","P"))),""))</f>
        <v/>
      </c>
      <c r="J151" s="53">
        <f>IF(OR($F151="",$G151=""),"",IF(AND(J$5&lt;=$G151,J$5+6&gt;=$F151),IF($H151="Complétée","F",IF(OR($H151="En cours",$H151="En revue"),"E",IF($H151="Bloquée","B","P"))),""))</f>
        <v/>
      </c>
      <c r="K151" s="53">
        <f>IF(OR($F151="",$G151=""),"",IF(AND(K$5&lt;=$G151,K$5+6&gt;=$F151),IF($H151="Complétée","F",IF(OR($H151="En cours",$H151="En revue"),"E",IF($H151="Bloquée","B","P"))),""))</f>
        <v/>
      </c>
      <c r="L151" s="53">
        <f>IF(OR($F151="",$G151=""),"",IF(AND(L$5&lt;=$G151,L$5+6&gt;=$F151),IF($H151="Complétée","F",IF(OR($H151="En cours",$H151="En revue"),"E",IF($H151="Bloquée","B","P"))),""))</f>
        <v/>
      </c>
      <c r="M151" s="53">
        <f>IF(OR($F151="",$G151=""),"",IF(AND(M$5&lt;=$G151,M$5+6&gt;=$F151),IF($H151="Complétée","F",IF(OR($H151="En cours",$H151="En revue"),"E",IF($H151="Bloquée","B","P"))),""))</f>
        <v/>
      </c>
      <c r="N151" s="53">
        <f>IF(OR($F151="",$G151=""),"",IF(AND(N$5&lt;=$G151,N$5+6&gt;=$F151),IF($H151="Complétée","F",IF(OR($H151="En cours",$H151="En revue"),"E",IF($H151="Bloquée","B","P"))),""))</f>
        <v/>
      </c>
      <c r="O151" s="53">
        <f>IF(OR($F151="",$G151=""),"",IF(AND(O$5&lt;=$G151,O$5+6&gt;=$F151),IF($H151="Complétée","F",IF(OR($H151="En cours",$H151="En revue"),"E",IF($H151="Bloquée","B","P"))),""))</f>
        <v/>
      </c>
      <c r="P151" s="53">
        <f>IF(OR($F151="",$G151=""),"",IF(AND(P$5&lt;=$G151,P$5+6&gt;=$F151),IF($H151="Complétée","F",IF(OR($H151="En cours",$H151="En revue"),"E",IF($H151="Bloquée","B","P"))),""))</f>
        <v/>
      </c>
      <c r="Q151" s="53">
        <f>IF(OR($F151="",$G151=""),"",IF(AND(Q$5&lt;=$G151,Q$5+6&gt;=$F151),IF($H151="Complétée","F",IF(OR($H151="En cours",$H151="En revue"),"E",IF($H151="Bloquée","B","P"))),""))</f>
        <v/>
      </c>
      <c r="R151" s="53">
        <f>IF(OR($F151="",$G151=""),"",IF(AND(R$5&lt;=$G151,R$5+6&gt;=$F151),IF($H151="Complétée","F",IF(OR($H151="En cours",$H151="En revue"),"E",IF($H151="Bloquée","B","P"))),""))</f>
        <v/>
      </c>
      <c r="S151" s="53">
        <f>IF(OR($F151="",$G151=""),"",IF(AND(S$5&lt;=$G151,S$5+6&gt;=$F151),IF($H151="Complétée","F",IF(OR($H151="En cours",$H151="En revue"),"E",IF($H151="Bloquée","B","P"))),""))</f>
        <v/>
      </c>
      <c r="T151" s="53">
        <f>IF(OR($F151="",$G151=""),"",IF(AND(T$5&lt;=$G151,T$5+6&gt;=$F151),IF($H151="Complétée","F",IF(OR($H151="En cours",$H151="En revue"),"E",IF($H151="Bloquée","B","P"))),""))</f>
        <v/>
      </c>
      <c r="U151" s="53">
        <f>IF(OR($F151="",$G151=""),"",IF(AND(U$5&lt;=$G151,U$5+6&gt;=$F151),IF($H151="Complétée","F",IF(OR($H151="En cours",$H151="En revue"),"E",IF($H151="Bloquée","B","P"))),""))</f>
        <v/>
      </c>
      <c r="V151" s="53">
        <f>IF(OR($F151="",$G151=""),"",IF(AND(V$5&lt;=$G151,V$5+6&gt;=$F151),IF($H151="Complétée","F",IF(OR($H151="En cours",$H151="En revue"),"E",IF($H151="Bloquée","B","P"))),""))</f>
        <v/>
      </c>
      <c r="W151" s="53">
        <f>IF(OR($F151="",$G151=""),"",IF(AND(W$5&lt;=$G151,W$5+6&gt;=$F151),IF($H151="Complétée","F",IF(OR($H151="En cours",$H151="En revue"),"E",IF($H151="Bloquée","B","P"))),""))</f>
        <v/>
      </c>
      <c r="X151" s="53">
        <f>IF(OR($F151="",$G151=""),"",IF(AND(X$5&lt;=$G151,X$5+6&gt;=$F151),IF($H151="Complétée","F",IF(OR($H151="En cours",$H151="En revue"),"E",IF($H151="Bloquée","B","P"))),""))</f>
        <v/>
      </c>
      <c r="Y151" s="53">
        <f>IF(OR($F151="",$G151=""),"",IF(AND(Y$5&lt;=$G151,Y$5+6&gt;=$F151),IF($H151="Complétée","F",IF(OR($H151="En cours",$H151="En revue"),"E",IF($H151="Bloquée","B","P"))),""))</f>
        <v/>
      </c>
      <c r="Z151" s="53">
        <f>IF(OR($F151="",$G151=""),"",IF(AND(Z$5&lt;=$G151,Z$5+6&gt;=$F151),IF($H151="Complétée","F",IF(OR($H151="En cours",$H151="En revue"),"E",IF($H151="Bloquée","B","P"))),""))</f>
        <v/>
      </c>
      <c r="AA151" s="53">
        <f>IF(OR($F151="",$G151=""),"",IF(AND(AA$5&lt;=$G151,AA$5+6&gt;=$F151),IF($H151="Complétée","F",IF(OR($H151="En cours",$H151="En revue"),"E",IF($H151="Bloquée","B","P"))),""))</f>
        <v/>
      </c>
      <c r="AB151" s="53">
        <f>IF(OR($F151="",$G151=""),"",IF(AND(AB$5&lt;=$G151,AB$5+6&gt;=$F151),IF($H151="Complétée","F",IF(OR($H151="En cours",$H151="En revue"),"E",IF($H151="Bloquée","B","P"))),""))</f>
        <v/>
      </c>
      <c r="AC151" s="53">
        <f>IF(OR($F151="",$G151=""),"",IF(AND(AC$5&lt;=$G151,AC$5+6&gt;=$F151),IF($H151="Complétée","F",IF(OR($H151="En cours",$H151="En revue"),"E",IF($H151="Bloquée","B","P"))),""))</f>
        <v/>
      </c>
      <c r="AD151" s="53">
        <f>IF(OR($F151="",$G151=""),"",IF(AND(AD$5&lt;=$G151,AD$5+6&gt;=$F151),IF($H151="Complétée","F",IF(OR($H151="En cours",$H151="En revue"),"E",IF($H151="Bloquée","B","P"))),""))</f>
        <v/>
      </c>
      <c r="AE151" s="53">
        <f>IF(OR($F151="",$G151=""),"",IF(AND(AE$5&lt;=$G151,AE$5+6&gt;=$F151),IF($H151="Complétée","F",IF(OR($H151="En cours",$H151="En revue"),"E",IF($H151="Bloquée","B","P"))),""))</f>
        <v/>
      </c>
      <c r="AF151" s="53">
        <f>IF(OR($F151="",$G151=""),"",IF(AND(AF$5&lt;=$G151,AF$5+6&gt;=$F151),IF($H151="Complétée","F",IF(OR($H151="En cours",$H151="En revue"),"E",IF($H151="Bloquée","B","P"))),""))</f>
        <v/>
      </c>
      <c r="AG151" s="53">
        <f>IF(OR($F151="",$G151=""),"",IF(AND(AG$5&lt;=$G151,AG$5+6&gt;=$F151),IF($H151="Complétée","F",IF(OR($H151="En cours",$H151="En revue"),"E",IF($H151="Bloquée","B","P"))),""))</f>
        <v/>
      </c>
      <c r="AH151" s="53">
        <f>IF(OR($F151="",$G151=""),"",IF(AND(AH$5&lt;=$G151,AH$5+6&gt;=$F151),IF($H151="Complétée","F",IF(OR($H151="En cours",$H151="En revue"),"E",IF($H151="Bloquée","B","P"))),""))</f>
        <v/>
      </c>
      <c r="AI151" s="53">
        <f>IF(OR($F151="",$G151=""),"",IF(AND(AI$5&lt;=$G151,AI$5+6&gt;=$F151),IF($H151="Complétée","F",IF(OR($H151="En cours",$H151="En revue"),"E",IF($H151="Bloquée","B","P"))),""))</f>
        <v/>
      </c>
      <c r="AJ151" s="53">
        <f>IF(OR($F151="",$G151=""),"",IF(AND(AJ$5&lt;=$G151,AJ$5+6&gt;=$F151),IF($H151="Complétée","F",IF(OR($H151="En cours",$H151="En revue"),"E",IF($H151="Bloquée","B","P"))),""))</f>
        <v/>
      </c>
      <c r="AK151" s="53">
        <f>IF(OR($F151="",$G151=""),"",IF(AND(AK$5&lt;=$G151,AK$5+6&gt;=$F151),IF($H151="Complétée","F",IF(OR($H151="En cours",$H151="En revue"),"E",IF($H151="Bloquée","B","P"))),""))</f>
        <v/>
      </c>
      <c r="AL151" s="53">
        <f>IF(OR($F151="",$G151=""),"",IF(AND(AL$5&lt;=$G151,AL$5+6&gt;=$F151),IF($H151="Complétée","F",IF(OR($H151="En cours",$H151="En revue"),"E",IF($H151="Bloquée","B","P"))),""))</f>
        <v/>
      </c>
      <c r="AM151" s="53">
        <f>IF(OR($F151="",$G151=""),"",IF(AND(AM$5&lt;=$G151,AM$5+6&gt;=$F151),IF($H151="Complétée","F",IF(OR($H151="En cours",$H151="En revue"),"E",IF($H151="Bloquée","B","P"))),""))</f>
        <v/>
      </c>
      <c r="AN151" s="53">
        <f>IF(OR($F151="",$G151=""),"",IF(AND(AN$5&lt;=$G151,AN$5+6&gt;=$F151),IF($H151="Complétée","F",IF(OR($H151="En cours",$H151="En revue"),"E",IF($H151="Bloquée","B","P"))),""))</f>
        <v/>
      </c>
      <c r="AO151" s="53">
        <f>IF(OR($F151="",$G151=""),"",IF(AND(AO$5&lt;=$G151,AO$5+6&gt;=$F151),IF($H151="Complétée","F",IF(OR($H151="En cours",$H151="En revue"),"E",IF($H151="Bloquée","B","P"))),""))</f>
        <v/>
      </c>
      <c r="AP151" s="53">
        <f>IF(OR($F151="",$G151=""),"",IF(AND(AP$5&lt;=$G151,AP$5+6&gt;=$F151),IF($H151="Complétée","F",IF(OR($H151="En cours",$H151="En revue"),"E",IF($H151="Bloquée","B","P"))),""))</f>
        <v/>
      </c>
      <c r="AQ151" s="53">
        <f>IF(OR($F151="",$G151=""),"",IF(AND(AQ$5&lt;=$G151,AQ$5+6&gt;=$F151),IF($H151="Complétée","F",IF(OR($H151="En cours",$H151="En revue"),"E",IF($H151="Bloquée","B","P"))),""))</f>
        <v/>
      </c>
      <c r="AR151" s="53">
        <f>IF(OR($F151="",$G151=""),"",IF(AND(AR$5&lt;=$G151,AR$5+6&gt;=$F151),IF($H151="Complétée","F",IF(OR($H151="En cours",$H151="En revue"),"E",IF($H151="Bloquée","B","P"))),""))</f>
        <v/>
      </c>
      <c r="AS151" s="53">
        <f>IF(OR($F151="",$G151=""),"",IF(AND(AS$5&lt;=$G151,AS$5+6&gt;=$F151),IF($H151="Complétée","F",IF(OR($H151="En cours",$H151="En revue"),"E",IF($H151="Bloquée","B","P"))),""))</f>
        <v/>
      </c>
      <c r="AT151" s="53">
        <f>IF(OR($F151="",$G151=""),"",IF(AND(AT$5&lt;=$G151,AT$5+6&gt;=$F151),IF($H151="Complétée","F",IF(OR($H151="En cours",$H151="En revue"),"E",IF($H151="Bloquée","B","P"))),""))</f>
        <v/>
      </c>
      <c r="AU151" s="53">
        <f>IF(OR($F151="",$G151=""),"",IF(AND(AU$5&lt;=$G151,AU$5+6&gt;=$F151),IF($H151="Complétée","F",IF(OR($H151="En cours",$H151="En revue"),"E",IF($H151="Bloquée","B","P"))),""))</f>
        <v/>
      </c>
      <c r="AV151" s="53">
        <f>IF(OR($F151="",$G151=""),"",IF(AND(AV$5&lt;=$G151,AV$5+6&gt;=$F151),IF($H151="Complétée","F",IF(OR($H151="En cours",$H151="En revue"),"E",IF($H151="Bloquée","B","P"))),""))</f>
        <v/>
      </c>
      <c r="AW151" s="53">
        <f>IF(OR($F151="",$G151=""),"",IF(AND(AW$5&lt;=$G151,AW$5+6&gt;=$F151),IF($H151="Complétée","F",IF(OR($H151="En cours",$H151="En revue"),"E",IF($H151="Bloquée","B","P"))),""))</f>
        <v/>
      </c>
    </row>
    <row r="152">
      <c r="B152" s="50">
        <f>IF(Taches!B152="","",Taches!B152)</f>
        <v/>
      </c>
      <c r="C152" s="51">
        <f>IF(Taches!B152="","",Taches!F152)</f>
        <v/>
      </c>
      <c r="D152" s="50">
        <f>IF(Taches!B152="","",Taches!C152)</f>
        <v/>
      </c>
      <c r="E152" s="50">
        <f>IF(Taches!B152="","",Taches!D152)</f>
        <v/>
      </c>
      <c r="F152" s="52">
        <f>IF(Taches!P152="","",Taches!P152)</f>
        <v/>
      </c>
      <c r="G152" s="52">
        <f>IF(Taches!Q152="","",Taches!Q152)</f>
        <v/>
      </c>
      <c r="H152" s="50">
        <f>IF(Taches!B152="","",Taches!J152)</f>
        <v/>
      </c>
      <c r="I152" s="53">
        <f>IF(OR($F152="",$G152=""),"",IF(AND(I$5&lt;=$G152,I$5+6&gt;=$F152),IF($H152="Complétée","F",IF(OR($H152="En cours",$H152="En revue"),"E",IF($H152="Bloquée","B","P"))),""))</f>
        <v/>
      </c>
      <c r="J152" s="53">
        <f>IF(OR($F152="",$G152=""),"",IF(AND(J$5&lt;=$G152,J$5+6&gt;=$F152),IF($H152="Complétée","F",IF(OR($H152="En cours",$H152="En revue"),"E",IF($H152="Bloquée","B","P"))),""))</f>
        <v/>
      </c>
      <c r="K152" s="53">
        <f>IF(OR($F152="",$G152=""),"",IF(AND(K$5&lt;=$G152,K$5+6&gt;=$F152),IF($H152="Complétée","F",IF(OR($H152="En cours",$H152="En revue"),"E",IF($H152="Bloquée","B","P"))),""))</f>
        <v/>
      </c>
      <c r="L152" s="53">
        <f>IF(OR($F152="",$G152=""),"",IF(AND(L$5&lt;=$G152,L$5+6&gt;=$F152),IF($H152="Complétée","F",IF(OR($H152="En cours",$H152="En revue"),"E",IF($H152="Bloquée","B","P"))),""))</f>
        <v/>
      </c>
      <c r="M152" s="53">
        <f>IF(OR($F152="",$G152=""),"",IF(AND(M$5&lt;=$G152,M$5+6&gt;=$F152),IF($H152="Complétée","F",IF(OR($H152="En cours",$H152="En revue"),"E",IF($H152="Bloquée","B","P"))),""))</f>
        <v/>
      </c>
      <c r="N152" s="53">
        <f>IF(OR($F152="",$G152=""),"",IF(AND(N$5&lt;=$G152,N$5+6&gt;=$F152),IF($H152="Complétée","F",IF(OR($H152="En cours",$H152="En revue"),"E",IF($H152="Bloquée","B","P"))),""))</f>
        <v/>
      </c>
      <c r="O152" s="53">
        <f>IF(OR($F152="",$G152=""),"",IF(AND(O$5&lt;=$G152,O$5+6&gt;=$F152),IF($H152="Complétée","F",IF(OR($H152="En cours",$H152="En revue"),"E",IF($H152="Bloquée","B","P"))),""))</f>
        <v/>
      </c>
      <c r="P152" s="53">
        <f>IF(OR($F152="",$G152=""),"",IF(AND(P$5&lt;=$G152,P$5+6&gt;=$F152),IF($H152="Complétée","F",IF(OR($H152="En cours",$H152="En revue"),"E",IF($H152="Bloquée","B","P"))),""))</f>
        <v/>
      </c>
      <c r="Q152" s="53">
        <f>IF(OR($F152="",$G152=""),"",IF(AND(Q$5&lt;=$G152,Q$5+6&gt;=$F152),IF($H152="Complétée","F",IF(OR($H152="En cours",$H152="En revue"),"E",IF($H152="Bloquée","B","P"))),""))</f>
        <v/>
      </c>
      <c r="R152" s="53">
        <f>IF(OR($F152="",$G152=""),"",IF(AND(R$5&lt;=$G152,R$5+6&gt;=$F152),IF($H152="Complétée","F",IF(OR($H152="En cours",$H152="En revue"),"E",IF($H152="Bloquée","B","P"))),""))</f>
        <v/>
      </c>
      <c r="S152" s="53">
        <f>IF(OR($F152="",$G152=""),"",IF(AND(S$5&lt;=$G152,S$5+6&gt;=$F152),IF($H152="Complétée","F",IF(OR($H152="En cours",$H152="En revue"),"E",IF($H152="Bloquée","B","P"))),""))</f>
        <v/>
      </c>
      <c r="T152" s="53">
        <f>IF(OR($F152="",$G152=""),"",IF(AND(T$5&lt;=$G152,T$5+6&gt;=$F152),IF($H152="Complétée","F",IF(OR($H152="En cours",$H152="En revue"),"E",IF($H152="Bloquée","B","P"))),""))</f>
        <v/>
      </c>
      <c r="U152" s="53">
        <f>IF(OR($F152="",$G152=""),"",IF(AND(U$5&lt;=$G152,U$5+6&gt;=$F152),IF($H152="Complétée","F",IF(OR($H152="En cours",$H152="En revue"),"E",IF($H152="Bloquée","B","P"))),""))</f>
        <v/>
      </c>
      <c r="V152" s="53">
        <f>IF(OR($F152="",$G152=""),"",IF(AND(V$5&lt;=$G152,V$5+6&gt;=$F152),IF($H152="Complétée","F",IF(OR($H152="En cours",$H152="En revue"),"E",IF($H152="Bloquée","B","P"))),""))</f>
        <v/>
      </c>
      <c r="W152" s="53">
        <f>IF(OR($F152="",$G152=""),"",IF(AND(W$5&lt;=$G152,W$5+6&gt;=$F152),IF($H152="Complétée","F",IF(OR($H152="En cours",$H152="En revue"),"E",IF($H152="Bloquée","B","P"))),""))</f>
        <v/>
      </c>
      <c r="X152" s="53">
        <f>IF(OR($F152="",$G152=""),"",IF(AND(X$5&lt;=$G152,X$5+6&gt;=$F152),IF($H152="Complétée","F",IF(OR($H152="En cours",$H152="En revue"),"E",IF($H152="Bloquée","B","P"))),""))</f>
        <v/>
      </c>
      <c r="Y152" s="53">
        <f>IF(OR($F152="",$G152=""),"",IF(AND(Y$5&lt;=$G152,Y$5+6&gt;=$F152),IF($H152="Complétée","F",IF(OR($H152="En cours",$H152="En revue"),"E",IF($H152="Bloquée","B","P"))),""))</f>
        <v/>
      </c>
      <c r="Z152" s="53">
        <f>IF(OR($F152="",$G152=""),"",IF(AND(Z$5&lt;=$G152,Z$5+6&gt;=$F152),IF($H152="Complétée","F",IF(OR($H152="En cours",$H152="En revue"),"E",IF($H152="Bloquée","B","P"))),""))</f>
        <v/>
      </c>
      <c r="AA152" s="53">
        <f>IF(OR($F152="",$G152=""),"",IF(AND(AA$5&lt;=$G152,AA$5+6&gt;=$F152),IF($H152="Complétée","F",IF(OR($H152="En cours",$H152="En revue"),"E",IF($H152="Bloquée","B","P"))),""))</f>
        <v/>
      </c>
      <c r="AB152" s="53">
        <f>IF(OR($F152="",$G152=""),"",IF(AND(AB$5&lt;=$G152,AB$5+6&gt;=$F152),IF($H152="Complétée","F",IF(OR($H152="En cours",$H152="En revue"),"E",IF($H152="Bloquée","B","P"))),""))</f>
        <v/>
      </c>
      <c r="AC152" s="53">
        <f>IF(OR($F152="",$G152=""),"",IF(AND(AC$5&lt;=$G152,AC$5+6&gt;=$F152),IF($H152="Complétée","F",IF(OR($H152="En cours",$H152="En revue"),"E",IF($H152="Bloquée","B","P"))),""))</f>
        <v/>
      </c>
      <c r="AD152" s="53">
        <f>IF(OR($F152="",$G152=""),"",IF(AND(AD$5&lt;=$G152,AD$5+6&gt;=$F152),IF($H152="Complétée","F",IF(OR($H152="En cours",$H152="En revue"),"E",IF($H152="Bloquée","B","P"))),""))</f>
        <v/>
      </c>
      <c r="AE152" s="53">
        <f>IF(OR($F152="",$G152=""),"",IF(AND(AE$5&lt;=$G152,AE$5+6&gt;=$F152),IF($H152="Complétée","F",IF(OR($H152="En cours",$H152="En revue"),"E",IF($H152="Bloquée","B","P"))),""))</f>
        <v/>
      </c>
      <c r="AF152" s="53">
        <f>IF(OR($F152="",$G152=""),"",IF(AND(AF$5&lt;=$G152,AF$5+6&gt;=$F152),IF($H152="Complétée","F",IF(OR($H152="En cours",$H152="En revue"),"E",IF($H152="Bloquée","B","P"))),""))</f>
        <v/>
      </c>
      <c r="AG152" s="53">
        <f>IF(OR($F152="",$G152=""),"",IF(AND(AG$5&lt;=$G152,AG$5+6&gt;=$F152),IF($H152="Complétée","F",IF(OR($H152="En cours",$H152="En revue"),"E",IF($H152="Bloquée","B","P"))),""))</f>
        <v/>
      </c>
      <c r="AH152" s="53">
        <f>IF(OR($F152="",$G152=""),"",IF(AND(AH$5&lt;=$G152,AH$5+6&gt;=$F152),IF($H152="Complétée","F",IF(OR($H152="En cours",$H152="En revue"),"E",IF($H152="Bloquée","B","P"))),""))</f>
        <v/>
      </c>
      <c r="AI152" s="53">
        <f>IF(OR($F152="",$G152=""),"",IF(AND(AI$5&lt;=$G152,AI$5+6&gt;=$F152),IF($H152="Complétée","F",IF(OR($H152="En cours",$H152="En revue"),"E",IF($H152="Bloquée","B","P"))),""))</f>
        <v/>
      </c>
      <c r="AJ152" s="53">
        <f>IF(OR($F152="",$G152=""),"",IF(AND(AJ$5&lt;=$G152,AJ$5+6&gt;=$F152),IF($H152="Complétée","F",IF(OR($H152="En cours",$H152="En revue"),"E",IF($H152="Bloquée","B","P"))),""))</f>
        <v/>
      </c>
      <c r="AK152" s="53">
        <f>IF(OR($F152="",$G152=""),"",IF(AND(AK$5&lt;=$G152,AK$5+6&gt;=$F152),IF($H152="Complétée","F",IF(OR($H152="En cours",$H152="En revue"),"E",IF($H152="Bloquée","B","P"))),""))</f>
        <v/>
      </c>
      <c r="AL152" s="53">
        <f>IF(OR($F152="",$G152=""),"",IF(AND(AL$5&lt;=$G152,AL$5+6&gt;=$F152),IF($H152="Complétée","F",IF(OR($H152="En cours",$H152="En revue"),"E",IF($H152="Bloquée","B","P"))),""))</f>
        <v/>
      </c>
      <c r="AM152" s="53">
        <f>IF(OR($F152="",$G152=""),"",IF(AND(AM$5&lt;=$G152,AM$5+6&gt;=$F152),IF($H152="Complétée","F",IF(OR($H152="En cours",$H152="En revue"),"E",IF($H152="Bloquée","B","P"))),""))</f>
        <v/>
      </c>
      <c r="AN152" s="53">
        <f>IF(OR($F152="",$G152=""),"",IF(AND(AN$5&lt;=$G152,AN$5+6&gt;=$F152),IF($H152="Complétée","F",IF(OR($H152="En cours",$H152="En revue"),"E",IF($H152="Bloquée","B","P"))),""))</f>
        <v/>
      </c>
      <c r="AO152" s="53">
        <f>IF(OR($F152="",$G152=""),"",IF(AND(AO$5&lt;=$G152,AO$5+6&gt;=$F152),IF($H152="Complétée","F",IF(OR($H152="En cours",$H152="En revue"),"E",IF($H152="Bloquée","B","P"))),""))</f>
        <v/>
      </c>
      <c r="AP152" s="53">
        <f>IF(OR($F152="",$G152=""),"",IF(AND(AP$5&lt;=$G152,AP$5+6&gt;=$F152),IF($H152="Complétée","F",IF(OR($H152="En cours",$H152="En revue"),"E",IF($H152="Bloquée","B","P"))),""))</f>
        <v/>
      </c>
      <c r="AQ152" s="53">
        <f>IF(OR($F152="",$G152=""),"",IF(AND(AQ$5&lt;=$G152,AQ$5+6&gt;=$F152),IF($H152="Complétée","F",IF(OR($H152="En cours",$H152="En revue"),"E",IF($H152="Bloquée","B","P"))),""))</f>
        <v/>
      </c>
      <c r="AR152" s="53">
        <f>IF(OR($F152="",$G152=""),"",IF(AND(AR$5&lt;=$G152,AR$5+6&gt;=$F152),IF($H152="Complétée","F",IF(OR($H152="En cours",$H152="En revue"),"E",IF($H152="Bloquée","B","P"))),""))</f>
        <v/>
      </c>
      <c r="AS152" s="53">
        <f>IF(OR($F152="",$G152=""),"",IF(AND(AS$5&lt;=$G152,AS$5+6&gt;=$F152),IF($H152="Complétée","F",IF(OR($H152="En cours",$H152="En revue"),"E",IF($H152="Bloquée","B","P"))),""))</f>
        <v/>
      </c>
      <c r="AT152" s="53">
        <f>IF(OR($F152="",$G152=""),"",IF(AND(AT$5&lt;=$G152,AT$5+6&gt;=$F152),IF($H152="Complétée","F",IF(OR($H152="En cours",$H152="En revue"),"E",IF($H152="Bloquée","B","P"))),""))</f>
        <v/>
      </c>
      <c r="AU152" s="53">
        <f>IF(OR($F152="",$G152=""),"",IF(AND(AU$5&lt;=$G152,AU$5+6&gt;=$F152),IF($H152="Complétée","F",IF(OR($H152="En cours",$H152="En revue"),"E",IF($H152="Bloquée","B","P"))),""))</f>
        <v/>
      </c>
      <c r="AV152" s="53">
        <f>IF(OR($F152="",$G152=""),"",IF(AND(AV$5&lt;=$G152,AV$5+6&gt;=$F152),IF($H152="Complétée","F",IF(OR($H152="En cours",$H152="En revue"),"E",IF($H152="Bloquée","B","P"))),""))</f>
        <v/>
      </c>
      <c r="AW152" s="53">
        <f>IF(OR($F152="",$G152=""),"",IF(AND(AW$5&lt;=$G152,AW$5+6&gt;=$F152),IF($H152="Complétée","F",IF(OR($H152="En cours",$H152="En revue"),"E",IF($H152="Bloquée","B","P"))),""))</f>
        <v/>
      </c>
    </row>
    <row r="153">
      <c r="B153" s="50">
        <f>IF(Taches!B153="","",Taches!B153)</f>
        <v/>
      </c>
      <c r="C153" s="51">
        <f>IF(Taches!B153="","",Taches!F153)</f>
        <v/>
      </c>
      <c r="D153" s="50">
        <f>IF(Taches!B153="","",Taches!C153)</f>
        <v/>
      </c>
      <c r="E153" s="50">
        <f>IF(Taches!B153="","",Taches!D153)</f>
        <v/>
      </c>
      <c r="F153" s="52">
        <f>IF(Taches!P153="","",Taches!P153)</f>
        <v/>
      </c>
      <c r="G153" s="52">
        <f>IF(Taches!Q153="","",Taches!Q153)</f>
        <v/>
      </c>
      <c r="H153" s="50">
        <f>IF(Taches!B153="","",Taches!J153)</f>
        <v/>
      </c>
      <c r="I153" s="53">
        <f>IF(OR($F153="",$G153=""),"",IF(AND(I$5&lt;=$G153,I$5+6&gt;=$F153),IF($H153="Complétée","F",IF(OR($H153="En cours",$H153="En revue"),"E",IF($H153="Bloquée","B","P"))),""))</f>
        <v/>
      </c>
      <c r="J153" s="53">
        <f>IF(OR($F153="",$G153=""),"",IF(AND(J$5&lt;=$G153,J$5+6&gt;=$F153),IF($H153="Complétée","F",IF(OR($H153="En cours",$H153="En revue"),"E",IF($H153="Bloquée","B","P"))),""))</f>
        <v/>
      </c>
      <c r="K153" s="53">
        <f>IF(OR($F153="",$G153=""),"",IF(AND(K$5&lt;=$G153,K$5+6&gt;=$F153),IF($H153="Complétée","F",IF(OR($H153="En cours",$H153="En revue"),"E",IF($H153="Bloquée","B","P"))),""))</f>
        <v/>
      </c>
      <c r="L153" s="53">
        <f>IF(OR($F153="",$G153=""),"",IF(AND(L$5&lt;=$G153,L$5+6&gt;=$F153),IF($H153="Complétée","F",IF(OR($H153="En cours",$H153="En revue"),"E",IF($H153="Bloquée","B","P"))),""))</f>
        <v/>
      </c>
      <c r="M153" s="53">
        <f>IF(OR($F153="",$G153=""),"",IF(AND(M$5&lt;=$G153,M$5+6&gt;=$F153),IF($H153="Complétée","F",IF(OR($H153="En cours",$H153="En revue"),"E",IF($H153="Bloquée","B","P"))),""))</f>
        <v/>
      </c>
      <c r="N153" s="53">
        <f>IF(OR($F153="",$G153=""),"",IF(AND(N$5&lt;=$G153,N$5+6&gt;=$F153),IF($H153="Complétée","F",IF(OR($H153="En cours",$H153="En revue"),"E",IF($H153="Bloquée","B","P"))),""))</f>
        <v/>
      </c>
      <c r="O153" s="53">
        <f>IF(OR($F153="",$G153=""),"",IF(AND(O$5&lt;=$G153,O$5+6&gt;=$F153),IF($H153="Complétée","F",IF(OR($H153="En cours",$H153="En revue"),"E",IF($H153="Bloquée","B","P"))),""))</f>
        <v/>
      </c>
      <c r="P153" s="53">
        <f>IF(OR($F153="",$G153=""),"",IF(AND(P$5&lt;=$G153,P$5+6&gt;=$F153),IF($H153="Complétée","F",IF(OR($H153="En cours",$H153="En revue"),"E",IF($H153="Bloquée","B","P"))),""))</f>
        <v/>
      </c>
      <c r="Q153" s="53">
        <f>IF(OR($F153="",$G153=""),"",IF(AND(Q$5&lt;=$G153,Q$5+6&gt;=$F153),IF($H153="Complétée","F",IF(OR($H153="En cours",$H153="En revue"),"E",IF($H153="Bloquée","B","P"))),""))</f>
        <v/>
      </c>
      <c r="R153" s="53">
        <f>IF(OR($F153="",$G153=""),"",IF(AND(R$5&lt;=$G153,R$5+6&gt;=$F153),IF($H153="Complétée","F",IF(OR($H153="En cours",$H153="En revue"),"E",IF($H153="Bloquée","B","P"))),""))</f>
        <v/>
      </c>
      <c r="S153" s="53">
        <f>IF(OR($F153="",$G153=""),"",IF(AND(S$5&lt;=$G153,S$5+6&gt;=$F153),IF($H153="Complétée","F",IF(OR($H153="En cours",$H153="En revue"),"E",IF($H153="Bloquée","B","P"))),""))</f>
        <v/>
      </c>
      <c r="T153" s="53">
        <f>IF(OR($F153="",$G153=""),"",IF(AND(T$5&lt;=$G153,T$5+6&gt;=$F153),IF($H153="Complétée","F",IF(OR($H153="En cours",$H153="En revue"),"E",IF($H153="Bloquée","B","P"))),""))</f>
        <v/>
      </c>
      <c r="U153" s="53">
        <f>IF(OR($F153="",$G153=""),"",IF(AND(U$5&lt;=$G153,U$5+6&gt;=$F153),IF($H153="Complétée","F",IF(OR($H153="En cours",$H153="En revue"),"E",IF($H153="Bloquée","B","P"))),""))</f>
        <v/>
      </c>
      <c r="V153" s="53">
        <f>IF(OR($F153="",$G153=""),"",IF(AND(V$5&lt;=$G153,V$5+6&gt;=$F153),IF($H153="Complétée","F",IF(OR($H153="En cours",$H153="En revue"),"E",IF($H153="Bloquée","B","P"))),""))</f>
        <v/>
      </c>
      <c r="W153" s="53">
        <f>IF(OR($F153="",$G153=""),"",IF(AND(W$5&lt;=$G153,W$5+6&gt;=$F153),IF($H153="Complétée","F",IF(OR($H153="En cours",$H153="En revue"),"E",IF($H153="Bloquée","B","P"))),""))</f>
        <v/>
      </c>
      <c r="X153" s="53">
        <f>IF(OR($F153="",$G153=""),"",IF(AND(X$5&lt;=$G153,X$5+6&gt;=$F153),IF($H153="Complétée","F",IF(OR($H153="En cours",$H153="En revue"),"E",IF($H153="Bloquée","B","P"))),""))</f>
        <v/>
      </c>
      <c r="Y153" s="53">
        <f>IF(OR($F153="",$G153=""),"",IF(AND(Y$5&lt;=$G153,Y$5+6&gt;=$F153),IF($H153="Complétée","F",IF(OR($H153="En cours",$H153="En revue"),"E",IF($H153="Bloquée","B","P"))),""))</f>
        <v/>
      </c>
      <c r="Z153" s="53">
        <f>IF(OR($F153="",$G153=""),"",IF(AND(Z$5&lt;=$G153,Z$5+6&gt;=$F153),IF($H153="Complétée","F",IF(OR($H153="En cours",$H153="En revue"),"E",IF($H153="Bloquée","B","P"))),""))</f>
        <v/>
      </c>
      <c r="AA153" s="53">
        <f>IF(OR($F153="",$G153=""),"",IF(AND(AA$5&lt;=$G153,AA$5+6&gt;=$F153),IF($H153="Complétée","F",IF(OR($H153="En cours",$H153="En revue"),"E",IF($H153="Bloquée","B","P"))),""))</f>
        <v/>
      </c>
      <c r="AB153" s="53">
        <f>IF(OR($F153="",$G153=""),"",IF(AND(AB$5&lt;=$G153,AB$5+6&gt;=$F153),IF($H153="Complétée","F",IF(OR($H153="En cours",$H153="En revue"),"E",IF($H153="Bloquée","B","P"))),""))</f>
        <v/>
      </c>
      <c r="AC153" s="53">
        <f>IF(OR($F153="",$G153=""),"",IF(AND(AC$5&lt;=$G153,AC$5+6&gt;=$F153),IF($H153="Complétée","F",IF(OR($H153="En cours",$H153="En revue"),"E",IF($H153="Bloquée","B","P"))),""))</f>
        <v/>
      </c>
      <c r="AD153" s="53">
        <f>IF(OR($F153="",$G153=""),"",IF(AND(AD$5&lt;=$G153,AD$5+6&gt;=$F153),IF($H153="Complétée","F",IF(OR($H153="En cours",$H153="En revue"),"E",IF($H153="Bloquée","B","P"))),""))</f>
        <v/>
      </c>
      <c r="AE153" s="53">
        <f>IF(OR($F153="",$G153=""),"",IF(AND(AE$5&lt;=$G153,AE$5+6&gt;=$F153),IF($H153="Complétée","F",IF(OR($H153="En cours",$H153="En revue"),"E",IF($H153="Bloquée","B","P"))),""))</f>
        <v/>
      </c>
      <c r="AF153" s="53">
        <f>IF(OR($F153="",$G153=""),"",IF(AND(AF$5&lt;=$G153,AF$5+6&gt;=$F153),IF($H153="Complétée","F",IF(OR($H153="En cours",$H153="En revue"),"E",IF($H153="Bloquée","B","P"))),""))</f>
        <v/>
      </c>
      <c r="AG153" s="53">
        <f>IF(OR($F153="",$G153=""),"",IF(AND(AG$5&lt;=$G153,AG$5+6&gt;=$F153),IF($H153="Complétée","F",IF(OR($H153="En cours",$H153="En revue"),"E",IF($H153="Bloquée","B","P"))),""))</f>
        <v/>
      </c>
      <c r="AH153" s="53">
        <f>IF(OR($F153="",$G153=""),"",IF(AND(AH$5&lt;=$G153,AH$5+6&gt;=$F153),IF($H153="Complétée","F",IF(OR($H153="En cours",$H153="En revue"),"E",IF($H153="Bloquée","B","P"))),""))</f>
        <v/>
      </c>
      <c r="AI153" s="53">
        <f>IF(OR($F153="",$G153=""),"",IF(AND(AI$5&lt;=$G153,AI$5+6&gt;=$F153),IF($H153="Complétée","F",IF(OR($H153="En cours",$H153="En revue"),"E",IF($H153="Bloquée","B","P"))),""))</f>
        <v/>
      </c>
      <c r="AJ153" s="53">
        <f>IF(OR($F153="",$G153=""),"",IF(AND(AJ$5&lt;=$G153,AJ$5+6&gt;=$F153),IF($H153="Complétée","F",IF(OR($H153="En cours",$H153="En revue"),"E",IF($H153="Bloquée","B","P"))),""))</f>
        <v/>
      </c>
      <c r="AK153" s="53">
        <f>IF(OR($F153="",$G153=""),"",IF(AND(AK$5&lt;=$G153,AK$5+6&gt;=$F153),IF($H153="Complétée","F",IF(OR($H153="En cours",$H153="En revue"),"E",IF($H153="Bloquée","B","P"))),""))</f>
        <v/>
      </c>
      <c r="AL153" s="53">
        <f>IF(OR($F153="",$G153=""),"",IF(AND(AL$5&lt;=$G153,AL$5+6&gt;=$F153),IF($H153="Complétée","F",IF(OR($H153="En cours",$H153="En revue"),"E",IF($H153="Bloquée","B","P"))),""))</f>
        <v/>
      </c>
      <c r="AM153" s="53">
        <f>IF(OR($F153="",$G153=""),"",IF(AND(AM$5&lt;=$G153,AM$5+6&gt;=$F153),IF($H153="Complétée","F",IF(OR($H153="En cours",$H153="En revue"),"E",IF($H153="Bloquée","B","P"))),""))</f>
        <v/>
      </c>
      <c r="AN153" s="53">
        <f>IF(OR($F153="",$G153=""),"",IF(AND(AN$5&lt;=$G153,AN$5+6&gt;=$F153),IF($H153="Complétée","F",IF(OR($H153="En cours",$H153="En revue"),"E",IF($H153="Bloquée","B","P"))),""))</f>
        <v/>
      </c>
      <c r="AO153" s="53">
        <f>IF(OR($F153="",$G153=""),"",IF(AND(AO$5&lt;=$G153,AO$5+6&gt;=$F153),IF($H153="Complétée","F",IF(OR($H153="En cours",$H153="En revue"),"E",IF($H153="Bloquée","B","P"))),""))</f>
        <v/>
      </c>
      <c r="AP153" s="53">
        <f>IF(OR($F153="",$G153=""),"",IF(AND(AP$5&lt;=$G153,AP$5+6&gt;=$F153),IF($H153="Complétée","F",IF(OR($H153="En cours",$H153="En revue"),"E",IF($H153="Bloquée","B","P"))),""))</f>
        <v/>
      </c>
      <c r="AQ153" s="53">
        <f>IF(OR($F153="",$G153=""),"",IF(AND(AQ$5&lt;=$G153,AQ$5+6&gt;=$F153),IF($H153="Complétée","F",IF(OR($H153="En cours",$H153="En revue"),"E",IF($H153="Bloquée","B","P"))),""))</f>
        <v/>
      </c>
      <c r="AR153" s="53">
        <f>IF(OR($F153="",$G153=""),"",IF(AND(AR$5&lt;=$G153,AR$5+6&gt;=$F153),IF($H153="Complétée","F",IF(OR($H153="En cours",$H153="En revue"),"E",IF($H153="Bloquée","B","P"))),""))</f>
        <v/>
      </c>
      <c r="AS153" s="53">
        <f>IF(OR($F153="",$G153=""),"",IF(AND(AS$5&lt;=$G153,AS$5+6&gt;=$F153),IF($H153="Complétée","F",IF(OR($H153="En cours",$H153="En revue"),"E",IF($H153="Bloquée","B","P"))),""))</f>
        <v/>
      </c>
      <c r="AT153" s="53">
        <f>IF(OR($F153="",$G153=""),"",IF(AND(AT$5&lt;=$G153,AT$5+6&gt;=$F153),IF($H153="Complétée","F",IF(OR($H153="En cours",$H153="En revue"),"E",IF($H153="Bloquée","B","P"))),""))</f>
        <v/>
      </c>
      <c r="AU153" s="53">
        <f>IF(OR($F153="",$G153=""),"",IF(AND(AU$5&lt;=$G153,AU$5+6&gt;=$F153),IF($H153="Complétée","F",IF(OR($H153="En cours",$H153="En revue"),"E",IF($H153="Bloquée","B","P"))),""))</f>
        <v/>
      </c>
      <c r="AV153" s="53">
        <f>IF(OR($F153="",$G153=""),"",IF(AND(AV$5&lt;=$G153,AV$5+6&gt;=$F153),IF($H153="Complétée","F",IF(OR($H153="En cours",$H153="En revue"),"E",IF($H153="Bloquée","B","P"))),""))</f>
        <v/>
      </c>
      <c r="AW153" s="53">
        <f>IF(OR($F153="",$G153=""),"",IF(AND(AW$5&lt;=$G153,AW$5+6&gt;=$F153),IF($H153="Complétée","F",IF(OR($H153="En cours",$H153="En revue"),"E",IF($H153="Bloquée","B","P"))),""))</f>
        <v/>
      </c>
    </row>
    <row r="154">
      <c r="B154" s="50">
        <f>IF(Taches!B154="","",Taches!B154)</f>
        <v/>
      </c>
      <c r="C154" s="51">
        <f>IF(Taches!B154="","",Taches!F154)</f>
        <v/>
      </c>
      <c r="D154" s="50">
        <f>IF(Taches!B154="","",Taches!C154)</f>
        <v/>
      </c>
      <c r="E154" s="50">
        <f>IF(Taches!B154="","",Taches!D154)</f>
        <v/>
      </c>
      <c r="F154" s="52">
        <f>IF(Taches!P154="","",Taches!P154)</f>
        <v/>
      </c>
      <c r="G154" s="52">
        <f>IF(Taches!Q154="","",Taches!Q154)</f>
        <v/>
      </c>
      <c r="H154" s="50">
        <f>IF(Taches!B154="","",Taches!J154)</f>
        <v/>
      </c>
      <c r="I154" s="53">
        <f>IF(OR($F154="",$G154=""),"",IF(AND(I$5&lt;=$G154,I$5+6&gt;=$F154),IF($H154="Complétée","F",IF(OR($H154="En cours",$H154="En revue"),"E",IF($H154="Bloquée","B","P"))),""))</f>
        <v/>
      </c>
      <c r="J154" s="53">
        <f>IF(OR($F154="",$G154=""),"",IF(AND(J$5&lt;=$G154,J$5+6&gt;=$F154),IF($H154="Complétée","F",IF(OR($H154="En cours",$H154="En revue"),"E",IF($H154="Bloquée","B","P"))),""))</f>
        <v/>
      </c>
      <c r="K154" s="53">
        <f>IF(OR($F154="",$G154=""),"",IF(AND(K$5&lt;=$G154,K$5+6&gt;=$F154),IF($H154="Complétée","F",IF(OR($H154="En cours",$H154="En revue"),"E",IF($H154="Bloquée","B","P"))),""))</f>
        <v/>
      </c>
      <c r="L154" s="53">
        <f>IF(OR($F154="",$G154=""),"",IF(AND(L$5&lt;=$G154,L$5+6&gt;=$F154),IF($H154="Complétée","F",IF(OR($H154="En cours",$H154="En revue"),"E",IF($H154="Bloquée","B","P"))),""))</f>
        <v/>
      </c>
      <c r="M154" s="53">
        <f>IF(OR($F154="",$G154=""),"",IF(AND(M$5&lt;=$G154,M$5+6&gt;=$F154),IF($H154="Complétée","F",IF(OR($H154="En cours",$H154="En revue"),"E",IF($H154="Bloquée","B","P"))),""))</f>
        <v/>
      </c>
      <c r="N154" s="53">
        <f>IF(OR($F154="",$G154=""),"",IF(AND(N$5&lt;=$G154,N$5+6&gt;=$F154),IF($H154="Complétée","F",IF(OR($H154="En cours",$H154="En revue"),"E",IF($H154="Bloquée","B","P"))),""))</f>
        <v/>
      </c>
      <c r="O154" s="53">
        <f>IF(OR($F154="",$G154=""),"",IF(AND(O$5&lt;=$G154,O$5+6&gt;=$F154),IF($H154="Complétée","F",IF(OR($H154="En cours",$H154="En revue"),"E",IF($H154="Bloquée","B","P"))),""))</f>
        <v/>
      </c>
      <c r="P154" s="53">
        <f>IF(OR($F154="",$G154=""),"",IF(AND(P$5&lt;=$G154,P$5+6&gt;=$F154),IF($H154="Complétée","F",IF(OR($H154="En cours",$H154="En revue"),"E",IF($H154="Bloquée","B","P"))),""))</f>
        <v/>
      </c>
      <c r="Q154" s="53">
        <f>IF(OR($F154="",$G154=""),"",IF(AND(Q$5&lt;=$G154,Q$5+6&gt;=$F154),IF($H154="Complétée","F",IF(OR($H154="En cours",$H154="En revue"),"E",IF($H154="Bloquée","B","P"))),""))</f>
        <v/>
      </c>
      <c r="R154" s="53">
        <f>IF(OR($F154="",$G154=""),"",IF(AND(R$5&lt;=$G154,R$5+6&gt;=$F154),IF($H154="Complétée","F",IF(OR($H154="En cours",$H154="En revue"),"E",IF($H154="Bloquée","B","P"))),""))</f>
        <v/>
      </c>
      <c r="S154" s="53">
        <f>IF(OR($F154="",$G154=""),"",IF(AND(S$5&lt;=$G154,S$5+6&gt;=$F154),IF($H154="Complétée","F",IF(OR($H154="En cours",$H154="En revue"),"E",IF($H154="Bloquée","B","P"))),""))</f>
        <v/>
      </c>
      <c r="T154" s="53">
        <f>IF(OR($F154="",$G154=""),"",IF(AND(T$5&lt;=$G154,T$5+6&gt;=$F154),IF($H154="Complétée","F",IF(OR($H154="En cours",$H154="En revue"),"E",IF($H154="Bloquée","B","P"))),""))</f>
        <v/>
      </c>
      <c r="U154" s="53">
        <f>IF(OR($F154="",$G154=""),"",IF(AND(U$5&lt;=$G154,U$5+6&gt;=$F154),IF($H154="Complétée","F",IF(OR($H154="En cours",$H154="En revue"),"E",IF($H154="Bloquée","B","P"))),""))</f>
        <v/>
      </c>
      <c r="V154" s="53">
        <f>IF(OR($F154="",$G154=""),"",IF(AND(V$5&lt;=$G154,V$5+6&gt;=$F154),IF($H154="Complétée","F",IF(OR($H154="En cours",$H154="En revue"),"E",IF($H154="Bloquée","B","P"))),""))</f>
        <v/>
      </c>
      <c r="W154" s="53">
        <f>IF(OR($F154="",$G154=""),"",IF(AND(W$5&lt;=$G154,W$5+6&gt;=$F154),IF($H154="Complétée","F",IF(OR($H154="En cours",$H154="En revue"),"E",IF($H154="Bloquée","B","P"))),""))</f>
        <v/>
      </c>
      <c r="X154" s="53">
        <f>IF(OR($F154="",$G154=""),"",IF(AND(X$5&lt;=$G154,X$5+6&gt;=$F154),IF($H154="Complétée","F",IF(OR($H154="En cours",$H154="En revue"),"E",IF($H154="Bloquée","B","P"))),""))</f>
        <v/>
      </c>
      <c r="Y154" s="53">
        <f>IF(OR($F154="",$G154=""),"",IF(AND(Y$5&lt;=$G154,Y$5+6&gt;=$F154),IF($H154="Complétée","F",IF(OR($H154="En cours",$H154="En revue"),"E",IF($H154="Bloquée","B","P"))),""))</f>
        <v/>
      </c>
      <c r="Z154" s="53">
        <f>IF(OR($F154="",$G154=""),"",IF(AND(Z$5&lt;=$G154,Z$5+6&gt;=$F154),IF($H154="Complétée","F",IF(OR($H154="En cours",$H154="En revue"),"E",IF($H154="Bloquée","B","P"))),""))</f>
        <v/>
      </c>
      <c r="AA154" s="53">
        <f>IF(OR($F154="",$G154=""),"",IF(AND(AA$5&lt;=$G154,AA$5+6&gt;=$F154),IF($H154="Complétée","F",IF(OR($H154="En cours",$H154="En revue"),"E",IF($H154="Bloquée","B","P"))),""))</f>
        <v/>
      </c>
      <c r="AB154" s="53">
        <f>IF(OR($F154="",$G154=""),"",IF(AND(AB$5&lt;=$G154,AB$5+6&gt;=$F154),IF($H154="Complétée","F",IF(OR($H154="En cours",$H154="En revue"),"E",IF($H154="Bloquée","B","P"))),""))</f>
        <v/>
      </c>
      <c r="AC154" s="53">
        <f>IF(OR($F154="",$G154=""),"",IF(AND(AC$5&lt;=$G154,AC$5+6&gt;=$F154),IF($H154="Complétée","F",IF(OR($H154="En cours",$H154="En revue"),"E",IF($H154="Bloquée","B","P"))),""))</f>
        <v/>
      </c>
      <c r="AD154" s="53">
        <f>IF(OR($F154="",$G154=""),"",IF(AND(AD$5&lt;=$G154,AD$5+6&gt;=$F154),IF($H154="Complétée","F",IF(OR($H154="En cours",$H154="En revue"),"E",IF($H154="Bloquée","B","P"))),""))</f>
        <v/>
      </c>
      <c r="AE154" s="53">
        <f>IF(OR($F154="",$G154=""),"",IF(AND(AE$5&lt;=$G154,AE$5+6&gt;=$F154),IF($H154="Complétée","F",IF(OR($H154="En cours",$H154="En revue"),"E",IF($H154="Bloquée","B","P"))),""))</f>
        <v/>
      </c>
      <c r="AF154" s="53">
        <f>IF(OR($F154="",$G154=""),"",IF(AND(AF$5&lt;=$G154,AF$5+6&gt;=$F154),IF($H154="Complétée","F",IF(OR($H154="En cours",$H154="En revue"),"E",IF($H154="Bloquée","B","P"))),""))</f>
        <v/>
      </c>
      <c r="AG154" s="53">
        <f>IF(OR($F154="",$G154=""),"",IF(AND(AG$5&lt;=$G154,AG$5+6&gt;=$F154),IF($H154="Complétée","F",IF(OR($H154="En cours",$H154="En revue"),"E",IF($H154="Bloquée","B","P"))),""))</f>
        <v/>
      </c>
      <c r="AH154" s="53">
        <f>IF(OR($F154="",$G154=""),"",IF(AND(AH$5&lt;=$G154,AH$5+6&gt;=$F154),IF($H154="Complétée","F",IF(OR($H154="En cours",$H154="En revue"),"E",IF($H154="Bloquée","B","P"))),""))</f>
        <v/>
      </c>
      <c r="AI154" s="53">
        <f>IF(OR($F154="",$G154=""),"",IF(AND(AI$5&lt;=$G154,AI$5+6&gt;=$F154),IF($H154="Complétée","F",IF(OR($H154="En cours",$H154="En revue"),"E",IF($H154="Bloquée","B","P"))),""))</f>
        <v/>
      </c>
      <c r="AJ154" s="53">
        <f>IF(OR($F154="",$G154=""),"",IF(AND(AJ$5&lt;=$G154,AJ$5+6&gt;=$F154),IF($H154="Complétée","F",IF(OR($H154="En cours",$H154="En revue"),"E",IF($H154="Bloquée","B","P"))),""))</f>
        <v/>
      </c>
      <c r="AK154" s="53">
        <f>IF(OR($F154="",$G154=""),"",IF(AND(AK$5&lt;=$G154,AK$5+6&gt;=$F154),IF($H154="Complétée","F",IF(OR($H154="En cours",$H154="En revue"),"E",IF($H154="Bloquée","B","P"))),""))</f>
        <v/>
      </c>
      <c r="AL154" s="53">
        <f>IF(OR($F154="",$G154=""),"",IF(AND(AL$5&lt;=$G154,AL$5+6&gt;=$F154),IF($H154="Complétée","F",IF(OR($H154="En cours",$H154="En revue"),"E",IF($H154="Bloquée","B","P"))),""))</f>
        <v/>
      </c>
      <c r="AM154" s="53">
        <f>IF(OR($F154="",$G154=""),"",IF(AND(AM$5&lt;=$G154,AM$5+6&gt;=$F154),IF($H154="Complétée","F",IF(OR($H154="En cours",$H154="En revue"),"E",IF($H154="Bloquée","B","P"))),""))</f>
        <v/>
      </c>
      <c r="AN154" s="53">
        <f>IF(OR($F154="",$G154=""),"",IF(AND(AN$5&lt;=$G154,AN$5+6&gt;=$F154),IF($H154="Complétée","F",IF(OR($H154="En cours",$H154="En revue"),"E",IF($H154="Bloquée","B","P"))),""))</f>
        <v/>
      </c>
      <c r="AO154" s="53">
        <f>IF(OR($F154="",$G154=""),"",IF(AND(AO$5&lt;=$G154,AO$5+6&gt;=$F154),IF($H154="Complétée","F",IF(OR($H154="En cours",$H154="En revue"),"E",IF($H154="Bloquée","B","P"))),""))</f>
        <v/>
      </c>
      <c r="AP154" s="53">
        <f>IF(OR($F154="",$G154=""),"",IF(AND(AP$5&lt;=$G154,AP$5+6&gt;=$F154),IF($H154="Complétée","F",IF(OR($H154="En cours",$H154="En revue"),"E",IF($H154="Bloquée","B","P"))),""))</f>
        <v/>
      </c>
      <c r="AQ154" s="53">
        <f>IF(OR($F154="",$G154=""),"",IF(AND(AQ$5&lt;=$G154,AQ$5+6&gt;=$F154),IF($H154="Complétée","F",IF(OR($H154="En cours",$H154="En revue"),"E",IF($H154="Bloquée","B","P"))),""))</f>
        <v/>
      </c>
      <c r="AR154" s="53">
        <f>IF(OR($F154="",$G154=""),"",IF(AND(AR$5&lt;=$G154,AR$5+6&gt;=$F154),IF($H154="Complétée","F",IF(OR($H154="En cours",$H154="En revue"),"E",IF($H154="Bloquée","B","P"))),""))</f>
        <v/>
      </c>
      <c r="AS154" s="53">
        <f>IF(OR($F154="",$G154=""),"",IF(AND(AS$5&lt;=$G154,AS$5+6&gt;=$F154),IF($H154="Complétée","F",IF(OR($H154="En cours",$H154="En revue"),"E",IF($H154="Bloquée","B","P"))),""))</f>
        <v/>
      </c>
      <c r="AT154" s="53">
        <f>IF(OR($F154="",$G154=""),"",IF(AND(AT$5&lt;=$G154,AT$5+6&gt;=$F154),IF($H154="Complétée","F",IF(OR($H154="En cours",$H154="En revue"),"E",IF($H154="Bloquée","B","P"))),""))</f>
        <v/>
      </c>
      <c r="AU154" s="53">
        <f>IF(OR($F154="",$G154=""),"",IF(AND(AU$5&lt;=$G154,AU$5+6&gt;=$F154),IF($H154="Complétée","F",IF(OR($H154="En cours",$H154="En revue"),"E",IF($H154="Bloquée","B","P"))),""))</f>
        <v/>
      </c>
      <c r="AV154" s="53">
        <f>IF(OR($F154="",$G154=""),"",IF(AND(AV$5&lt;=$G154,AV$5+6&gt;=$F154),IF($H154="Complétée","F",IF(OR($H154="En cours",$H154="En revue"),"E",IF($H154="Bloquée","B","P"))),""))</f>
        <v/>
      </c>
      <c r="AW154" s="53">
        <f>IF(OR($F154="",$G154=""),"",IF(AND(AW$5&lt;=$G154,AW$5+6&gt;=$F154),IF($H154="Complétée","F",IF(OR($H154="En cours",$H154="En revue"),"E",IF($H154="Bloquée","B","P"))),""))</f>
        <v/>
      </c>
    </row>
    <row r="155">
      <c r="B155" s="50">
        <f>IF(Taches!B155="","",Taches!B155)</f>
        <v/>
      </c>
      <c r="C155" s="51">
        <f>IF(Taches!B155="","",Taches!F155)</f>
        <v/>
      </c>
      <c r="D155" s="50">
        <f>IF(Taches!B155="","",Taches!C155)</f>
        <v/>
      </c>
      <c r="E155" s="50">
        <f>IF(Taches!B155="","",Taches!D155)</f>
        <v/>
      </c>
      <c r="F155" s="52">
        <f>IF(Taches!P155="","",Taches!P155)</f>
        <v/>
      </c>
      <c r="G155" s="52">
        <f>IF(Taches!Q155="","",Taches!Q155)</f>
        <v/>
      </c>
      <c r="H155" s="50">
        <f>IF(Taches!B155="","",Taches!J155)</f>
        <v/>
      </c>
      <c r="I155" s="53">
        <f>IF(OR($F155="",$G155=""),"",IF(AND(I$5&lt;=$G155,I$5+6&gt;=$F155),IF($H155="Complétée","F",IF(OR($H155="En cours",$H155="En revue"),"E",IF($H155="Bloquée","B","P"))),""))</f>
        <v/>
      </c>
      <c r="J155" s="53">
        <f>IF(OR($F155="",$G155=""),"",IF(AND(J$5&lt;=$G155,J$5+6&gt;=$F155),IF($H155="Complétée","F",IF(OR($H155="En cours",$H155="En revue"),"E",IF($H155="Bloquée","B","P"))),""))</f>
        <v/>
      </c>
      <c r="K155" s="53">
        <f>IF(OR($F155="",$G155=""),"",IF(AND(K$5&lt;=$G155,K$5+6&gt;=$F155),IF($H155="Complétée","F",IF(OR($H155="En cours",$H155="En revue"),"E",IF($H155="Bloquée","B","P"))),""))</f>
        <v/>
      </c>
      <c r="L155" s="53">
        <f>IF(OR($F155="",$G155=""),"",IF(AND(L$5&lt;=$G155,L$5+6&gt;=$F155),IF($H155="Complétée","F",IF(OR($H155="En cours",$H155="En revue"),"E",IF($H155="Bloquée","B","P"))),""))</f>
        <v/>
      </c>
      <c r="M155" s="53">
        <f>IF(OR($F155="",$G155=""),"",IF(AND(M$5&lt;=$G155,M$5+6&gt;=$F155),IF($H155="Complétée","F",IF(OR($H155="En cours",$H155="En revue"),"E",IF($H155="Bloquée","B","P"))),""))</f>
        <v/>
      </c>
      <c r="N155" s="53">
        <f>IF(OR($F155="",$G155=""),"",IF(AND(N$5&lt;=$G155,N$5+6&gt;=$F155),IF($H155="Complétée","F",IF(OR($H155="En cours",$H155="En revue"),"E",IF($H155="Bloquée","B","P"))),""))</f>
        <v/>
      </c>
      <c r="O155" s="53">
        <f>IF(OR($F155="",$G155=""),"",IF(AND(O$5&lt;=$G155,O$5+6&gt;=$F155),IF($H155="Complétée","F",IF(OR($H155="En cours",$H155="En revue"),"E",IF($H155="Bloquée","B","P"))),""))</f>
        <v/>
      </c>
      <c r="P155" s="53">
        <f>IF(OR($F155="",$G155=""),"",IF(AND(P$5&lt;=$G155,P$5+6&gt;=$F155),IF($H155="Complétée","F",IF(OR($H155="En cours",$H155="En revue"),"E",IF($H155="Bloquée","B","P"))),""))</f>
        <v/>
      </c>
      <c r="Q155" s="53">
        <f>IF(OR($F155="",$G155=""),"",IF(AND(Q$5&lt;=$G155,Q$5+6&gt;=$F155),IF($H155="Complétée","F",IF(OR($H155="En cours",$H155="En revue"),"E",IF($H155="Bloquée","B","P"))),""))</f>
        <v/>
      </c>
      <c r="R155" s="53">
        <f>IF(OR($F155="",$G155=""),"",IF(AND(R$5&lt;=$G155,R$5+6&gt;=$F155),IF($H155="Complétée","F",IF(OR($H155="En cours",$H155="En revue"),"E",IF($H155="Bloquée","B","P"))),""))</f>
        <v/>
      </c>
      <c r="S155" s="53">
        <f>IF(OR($F155="",$G155=""),"",IF(AND(S$5&lt;=$G155,S$5+6&gt;=$F155),IF($H155="Complétée","F",IF(OR($H155="En cours",$H155="En revue"),"E",IF($H155="Bloquée","B","P"))),""))</f>
        <v/>
      </c>
      <c r="T155" s="53">
        <f>IF(OR($F155="",$G155=""),"",IF(AND(T$5&lt;=$G155,T$5+6&gt;=$F155),IF($H155="Complétée","F",IF(OR($H155="En cours",$H155="En revue"),"E",IF($H155="Bloquée","B","P"))),""))</f>
        <v/>
      </c>
      <c r="U155" s="53">
        <f>IF(OR($F155="",$G155=""),"",IF(AND(U$5&lt;=$G155,U$5+6&gt;=$F155),IF($H155="Complétée","F",IF(OR($H155="En cours",$H155="En revue"),"E",IF($H155="Bloquée","B","P"))),""))</f>
        <v/>
      </c>
      <c r="V155" s="53">
        <f>IF(OR($F155="",$G155=""),"",IF(AND(V$5&lt;=$G155,V$5+6&gt;=$F155),IF($H155="Complétée","F",IF(OR($H155="En cours",$H155="En revue"),"E",IF($H155="Bloquée","B","P"))),""))</f>
        <v/>
      </c>
      <c r="W155" s="53">
        <f>IF(OR($F155="",$G155=""),"",IF(AND(W$5&lt;=$G155,W$5+6&gt;=$F155),IF($H155="Complétée","F",IF(OR($H155="En cours",$H155="En revue"),"E",IF($H155="Bloquée","B","P"))),""))</f>
        <v/>
      </c>
      <c r="X155" s="53">
        <f>IF(OR($F155="",$G155=""),"",IF(AND(X$5&lt;=$G155,X$5+6&gt;=$F155),IF($H155="Complétée","F",IF(OR($H155="En cours",$H155="En revue"),"E",IF($H155="Bloquée","B","P"))),""))</f>
        <v/>
      </c>
      <c r="Y155" s="53">
        <f>IF(OR($F155="",$G155=""),"",IF(AND(Y$5&lt;=$G155,Y$5+6&gt;=$F155),IF($H155="Complétée","F",IF(OR($H155="En cours",$H155="En revue"),"E",IF($H155="Bloquée","B","P"))),""))</f>
        <v/>
      </c>
      <c r="Z155" s="53">
        <f>IF(OR($F155="",$G155=""),"",IF(AND(Z$5&lt;=$G155,Z$5+6&gt;=$F155),IF($H155="Complétée","F",IF(OR($H155="En cours",$H155="En revue"),"E",IF($H155="Bloquée","B","P"))),""))</f>
        <v/>
      </c>
      <c r="AA155" s="53">
        <f>IF(OR($F155="",$G155=""),"",IF(AND(AA$5&lt;=$G155,AA$5+6&gt;=$F155),IF($H155="Complétée","F",IF(OR($H155="En cours",$H155="En revue"),"E",IF($H155="Bloquée","B","P"))),""))</f>
        <v/>
      </c>
      <c r="AB155" s="53">
        <f>IF(OR($F155="",$G155=""),"",IF(AND(AB$5&lt;=$G155,AB$5+6&gt;=$F155),IF($H155="Complétée","F",IF(OR($H155="En cours",$H155="En revue"),"E",IF($H155="Bloquée","B","P"))),""))</f>
        <v/>
      </c>
      <c r="AC155" s="53">
        <f>IF(OR($F155="",$G155=""),"",IF(AND(AC$5&lt;=$G155,AC$5+6&gt;=$F155),IF($H155="Complétée","F",IF(OR($H155="En cours",$H155="En revue"),"E",IF($H155="Bloquée","B","P"))),""))</f>
        <v/>
      </c>
      <c r="AD155" s="53">
        <f>IF(OR($F155="",$G155=""),"",IF(AND(AD$5&lt;=$G155,AD$5+6&gt;=$F155),IF($H155="Complétée","F",IF(OR($H155="En cours",$H155="En revue"),"E",IF($H155="Bloquée","B","P"))),""))</f>
        <v/>
      </c>
      <c r="AE155" s="53">
        <f>IF(OR($F155="",$G155=""),"",IF(AND(AE$5&lt;=$G155,AE$5+6&gt;=$F155),IF($H155="Complétée","F",IF(OR($H155="En cours",$H155="En revue"),"E",IF($H155="Bloquée","B","P"))),""))</f>
        <v/>
      </c>
      <c r="AF155" s="53">
        <f>IF(OR($F155="",$G155=""),"",IF(AND(AF$5&lt;=$G155,AF$5+6&gt;=$F155),IF($H155="Complétée","F",IF(OR($H155="En cours",$H155="En revue"),"E",IF($H155="Bloquée","B","P"))),""))</f>
        <v/>
      </c>
      <c r="AG155" s="53">
        <f>IF(OR($F155="",$G155=""),"",IF(AND(AG$5&lt;=$G155,AG$5+6&gt;=$F155),IF($H155="Complétée","F",IF(OR($H155="En cours",$H155="En revue"),"E",IF($H155="Bloquée","B","P"))),""))</f>
        <v/>
      </c>
      <c r="AH155" s="53">
        <f>IF(OR($F155="",$G155=""),"",IF(AND(AH$5&lt;=$G155,AH$5+6&gt;=$F155),IF($H155="Complétée","F",IF(OR($H155="En cours",$H155="En revue"),"E",IF($H155="Bloquée","B","P"))),""))</f>
        <v/>
      </c>
      <c r="AI155" s="53">
        <f>IF(OR($F155="",$G155=""),"",IF(AND(AI$5&lt;=$G155,AI$5+6&gt;=$F155),IF($H155="Complétée","F",IF(OR($H155="En cours",$H155="En revue"),"E",IF($H155="Bloquée","B","P"))),""))</f>
        <v/>
      </c>
      <c r="AJ155" s="53">
        <f>IF(OR($F155="",$G155=""),"",IF(AND(AJ$5&lt;=$G155,AJ$5+6&gt;=$F155),IF($H155="Complétée","F",IF(OR($H155="En cours",$H155="En revue"),"E",IF($H155="Bloquée","B","P"))),""))</f>
        <v/>
      </c>
      <c r="AK155" s="53">
        <f>IF(OR($F155="",$G155=""),"",IF(AND(AK$5&lt;=$G155,AK$5+6&gt;=$F155),IF($H155="Complétée","F",IF(OR($H155="En cours",$H155="En revue"),"E",IF($H155="Bloquée","B","P"))),""))</f>
        <v/>
      </c>
      <c r="AL155" s="53">
        <f>IF(OR($F155="",$G155=""),"",IF(AND(AL$5&lt;=$G155,AL$5+6&gt;=$F155),IF($H155="Complétée","F",IF(OR($H155="En cours",$H155="En revue"),"E",IF($H155="Bloquée","B","P"))),""))</f>
        <v/>
      </c>
      <c r="AM155" s="53">
        <f>IF(OR($F155="",$G155=""),"",IF(AND(AM$5&lt;=$G155,AM$5+6&gt;=$F155),IF($H155="Complétée","F",IF(OR($H155="En cours",$H155="En revue"),"E",IF($H155="Bloquée","B","P"))),""))</f>
        <v/>
      </c>
      <c r="AN155" s="53">
        <f>IF(OR($F155="",$G155=""),"",IF(AND(AN$5&lt;=$G155,AN$5+6&gt;=$F155),IF($H155="Complétée","F",IF(OR($H155="En cours",$H155="En revue"),"E",IF($H155="Bloquée","B","P"))),""))</f>
        <v/>
      </c>
      <c r="AO155" s="53">
        <f>IF(OR($F155="",$G155=""),"",IF(AND(AO$5&lt;=$G155,AO$5+6&gt;=$F155),IF($H155="Complétée","F",IF(OR($H155="En cours",$H155="En revue"),"E",IF($H155="Bloquée","B","P"))),""))</f>
        <v/>
      </c>
      <c r="AP155" s="53">
        <f>IF(OR($F155="",$G155=""),"",IF(AND(AP$5&lt;=$G155,AP$5+6&gt;=$F155),IF($H155="Complétée","F",IF(OR($H155="En cours",$H155="En revue"),"E",IF($H155="Bloquée","B","P"))),""))</f>
        <v/>
      </c>
      <c r="AQ155" s="53">
        <f>IF(OR($F155="",$G155=""),"",IF(AND(AQ$5&lt;=$G155,AQ$5+6&gt;=$F155),IF($H155="Complétée","F",IF(OR($H155="En cours",$H155="En revue"),"E",IF($H155="Bloquée","B","P"))),""))</f>
        <v/>
      </c>
      <c r="AR155" s="53">
        <f>IF(OR($F155="",$G155=""),"",IF(AND(AR$5&lt;=$G155,AR$5+6&gt;=$F155),IF($H155="Complétée","F",IF(OR($H155="En cours",$H155="En revue"),"E",IF($H155="Bloquée","B","P"))),""))</f>
        <v/>
      </c>
      <c r="AS155" s="53">
        <f>IF(OR($F155="",$G155=""),"",IF(AND(AS$5&lt;=$G155,AS$5+6&gt;=$F155),IF($H155="Complétée","F",IF(OR($H155="En cours",$H155="En revue"),"E",IF($H155="Bloquée","B","P"))),""))</f>
        <v/>
      </c>
      <c r="AT155" s="53">
        <f>IF(OR($F155="",$G155=""),"",IF(AND(AT$5&lt;=$G155,AT$5+6&gt;=$F155),IF($H155="Complétée","F",IF(OR($H155="En cours",$H155="En revue"),"E",IF($H155="Bloquée","B","P"))),""))</f>
        <v/>
      </c>
      <c r="AU155" s="53">
        <f>IF(OR($F155="",$G155=""),"",IF(AND(AU$5&lt;=$G155,AU$5+6&gt;=$F155),IF($H155="Complétée","F",IF(OR($H155="En cours",$H155="En revue"),"E",IF($H155="Bloquée","B","P"))),""))</f>
        <v/>
      </c>
      <c r="AV155" s="53">
        <f>IF(OR($F155="",$G155=""),"",IF(AND(AV$5&lt;=$G155,AV$5+6&gt;=$F155),IF($H155="Complétée","F",IF(OR($H155="En cours",$H155="En revue"),"E",IF($H155="Bloquée","B","P"))),""))</f>
        <v/>
      </c>
      <c r="AW155" s="53">
        <f>IF(OR($F155="",$G155=""),"",IF(AND(AW$5&lt;=$G155,AW$5+6&gt;=$F155),IF($H155="Complétée","F",IF(OR($H155="En cours",$H155="En revue"),"E",IF($H155="Bloquée","B","P"))),""))</f>
        <v/>
      </c>
    </row>
    <row r="156">
      <c r="B156" s="50">
        <f>IF(Taches!B156="","",Taches!B156)</f>
        <v/>
      </c>
      <c r="C156" s="51">
        <f>IF(Taches!B156="","",Taches!F156)</f>
        <v/>
      </c>
      <c r="D156" s="50">
        <f>IF(Taches!B156="","",Taches!C156)</f>
        <v/>
      </c>
      <c r="E156" s="50">
        <f>IF(Taches!B156="","",Taches!D156)</f>
        <v/>
      </c>
      <c r="F156" s="52">
        <f>IF(Taches!P156="","",Taches!P156)</f>
        <v/>
      </c>
      <c r="G156" s="52">
        <f>IF(Taches!Q156="","",Taches!Q156)</f>
        <v/>
      </c>
      <c r="H156" s="50">
        <f>IF(Taches!B156="","",Taches!J156)</f>
        <v/>
      </c>
      <c r="I156" s="53">
        <f>IF(OR($F156="",$G156=""),"",IF(AND(I$5&lt;=$G156,I$5+6&gt;=$F156),IF($H156="Complétée","F",IF(OR($H156="En cours",$H156="En revue"),"E",IF($H156="Bloquée","B","P"))),""))</f>
        <v/>
      </c>
      <c r="J156" s="53">
        <f>IF(OR($F156="",$G156=""),"",IF(AND(J$5&lt;=$G156,J$5+6&gt;=$F156),IF($H156="Complétée","F",IF(OR($H156="En cours",$H156="En revue"),"E",IF($H156="Bloquée","B","P"))),""))</f>
        <v/>
      </c>
      <c r="K156" s="53">
        <f>IF(OR($F156="",$G156=""),"",IF(AND(K$5&lt;=$G156,K$5+6&gt;=$F156),IF($H156="Complétée","F",IF(OR($H156="En cours",$H156="En revue"),"E",IF($H156="Bloquée","B","P"))),""))</f>
        <v/>
      </c>
      <c r="L156" s="53">
        <f>IF(OR($F156="",$G156=""),"",IF(AND(L$5&lt;=$G156,L$5+6&gt;=$F156),IF($H156="Complétée","F",IF(OR($H156="En cours",$H156="En revue"),"E",IF($H156="Bloquée","B","P"))),""))</f>
        <v/>
      </c>
      <c r="M156" s="53">
        <f>IF(OR($F156="",$G156=""),"",IF(AND(M$5&lt;=$G156,M$5+6&gt;=$F156),IF($H156="Complétée","F",IF(OR($H156="En cours",$H156="En revue"),"E",IF($H156="Bloquée","B","P"))),""))</f>
        <v/>
      </c>
      <c r="N156" s="53">
        <f>IF(OR($F156="",$G156=""),"",IF(AND(N$5&lt;=$G156,N$5+6&gt;=$F156),IF($H156="Complétée","F",IF(OR($H156="En cours",$H156="En revue"),"E",IF($H156="Bloquée","B","P"))),""))</f>
        <v/>
      </c>
      <c r="O156" s="53">
        <f>IF(OR($F156="",$G156=""),"",IF(AND(O$5&lt;=$G156,O$5+6&gt;=$F156),IF($H156="Complétée","F",IF(OR($H156="En cours",$H156="En revue"),"E",IF($H156="Bloquée","B","P"))),""))</f>
        <v/>
      </c>
      <c r="P156" s="53">
        <f>IF(OR($F156="",$G156=""),"",IF(AND(P$5&lt;=$G156,P$5+6&gt;=$F156),IF($H156="Complétée","F",IF(OR($H156="En cours",$H156="En revue"),"E",IF($H156="Bloquée","B","P"))),""))</f>
        <v/>
      </c>
      <c r="Q156" s="53">
        <f>IF(OR($F156="",$G156=""),"",IF(AND(Q$5&lt;=$G156,Q$5+6&gt;=$F156),IF($H156="Complétée","F",IF(OR($H156="En cours",$H156="En revue"),"E",IF($H156="Bloquée","B","P"))),""))</f>
        <v/>
      </c>
      <c r="R156" s="53">
        <f>IF(OR($F156="",$G156=""),"",IF(AND(R$5&lt;=$G156,R$5+6&gt;=$F156),IF($H156="Complétée","F",IF(OR($H156="En cours",$H156="En revue"),"E",IF($H156="Bloquée","B","P"))),""))</f>
        <v/>
      </c>
      <c r="S156" s="53">
        <f>IF(OR($F156="",$G156=""),"",IF(AND(S$5&lt;=$G156,S$5+6&gt;=$F156),IF($H156="Complétée","F",IF(OR($H156="En cours",$H156="En revue"),"E",IF($H156="Bloquée","B","P"))),""))</f>
        <v/>
      </c>
      <c r="T156" s="53">
        <f>IF(OR($F156="",$G156=""),"",IF(AND(T$5&lt;=$G156,T$5+6&gt;=$F156),IF($H156="Complétée","F",IF(OR($H156="En cours",$H156="En revue"),"E",IF($H156="Bloquée","B","P"))),""))</f>
        <v/>
      </c>
      <c r="U156" s="53">
        <f>IF(OR($F156="",$G156=""),"",IF(AND(U$5&lt;=$G156,U$5+6&gt;=$F156),IF($H156="Complétée","F",IF(OR($H156="En cours",$H156="En revue"),"E",IF($H156="Bloquée","B","P"))),""))</f>
        <v/>
      </c>
      <c r="V156" s="53">
        <f>IF(OR($F156="",$G156=""),"",IF(AND(V$5&lt;=$G156,V$5+6&gt;=$F156),IF($H156="Complétée","F",IF(OR($H156="En cours",$H156="En revue"),"E",IF($H156="Bloquée","B","P"))),""))</f>
        <v/>
      </c>
      <c r="W156" s="53">
        <f>IF(OR($F156="",$G156=""),"",IF(AND(W$5&lt;=$G156,W$5+6&gt;=$F156),IF($H156="Complétée","F",IF(OR($H156="En cours",$H156="En revue"),"E",IF($H156="Bloquée","B","P"))),""))</f>
        <v/>
      </c>
      <c r="X156" s="53">
        <f>IF(OR($F156="",$G156=""),"",IF(AND(X$5&lt;=$G156,X$5+6&gt;=$F156),IF($H156="Complétée","F",IF(OR($H156="En cours",$H156="En revue"),"E",IF($H156="Bloquée","B","P"))),""))</f>
        <v/>
      </c>
      <c r="Y156" s="53">
        <f>IF(OR($F156="",$G156=""),"",IF(AND(Y$5&lt;=$G156,Y$5+6&gt;=$F156),IF($H156="Complétée","F",IF(OR($H156="En cours",$H156="En revue"),"E",IF($H156="Bloquée","B","P"))),""))</f>
        <v/>
      </c>
      <c r="Z156" s="53">
        <f>IF(OR($F156="",$G156=""),"",IF(AND(Z$5&lt;=$G156,Z$5+6&gt;=$F156),IF($H156="Complétée","F",IF(OR($H156="En cours",$H156="En revue"),"E",IF($H156="Bloquée","B","P"))),""))</f>
        <v/>
      </c>
      <c r="AA156" s="53">
        <f>IF(OR($F156="",$G156=""),"",IF(AND(AA$5&lt;=$G156,AA$5+6&gt;=$F156),IF($H156="Complétée","F",IF(OR($H156="En cours",$H156="En revue"),"E",IF($H156="Bloquée","B","P"))),""))</f>
        <v/>
      </c>
      <c r="AB156" s="53">
        <f>IF(OR($F156="",$G156=""),"",IF(AND(AB$5&lt;=$G156,AB$5+6&gt;=$F156),IF($H156="Complétée","F",IF(OR($H156="En cours",$H156="En revue"),"E",IF($H156="Bloquée","B","P"))),""))</f>
        <v/>
      </c>
      <c r="AC156" s="53">
        <f>IF(OR($F156="",$G156=""),"",IF(AND(AC$5&lt;=$G156,AC$5+6&gt;=$F156),IF($H156="Complétée","F",IF(OR($H156="En cours",$H156="En revue"),"E",IF($H156="Bloquée","B","P"))),""))</f>
        <v/>
      </c>
      <c r="AD156" s="53">
        <f>IF(OR($F156="",$G156=""),"",IF(AND(AD$5&lt;=$G156,AD$5+6&gt;=$F156),IF($H156="Complétée","F",IF(OR($H156="En cours",$H156="En revue"),"E",IF($H156="Bloquée","B","P"))),""))</f>
        <v/>
      </c>
      <c r="AE156" s="53">
        <f>IF(OR($F156="",$G156=""),"",IF(AND(AE$5&lt;=$G156,AE$5+6&gt;=$F156),IF($H156="Complétée","F",IF(OR($H156="En cours",$H156="En revue"),"E",IF($H156="Bloquée","B","P"))),""))</f>
        <v/>
      </c>
      <c r="AF156" s="53">
        <f>IF(OR($F156="",$G156=""),"",IF(AND(AF$5&lt;=$G156,AF$5+6&gt;=$F156),IF($H156="Complétée","F",IF(OR($H156="En cours",$H156="En revue"),"E",IF($H156="Bloquée","B","P"))),""))</f>
        <v/>
      </c>
      <c r="AG156" s="53">
        <f>IF(OR($F156="",$G156=""),"",IF(AND(AG$5&lt;=$G156,AG$5+6&gt;=$F156),IF($H156="Complétée","F",IF(OR($H156="En cours",$H156="En revue"),"E",IF($H156="Bloquée","B","P"))),""))</f>
        <v/>
      </c>
      <c r="AH156" s="53">
        <f>IF(OR($F156="",$G156=""),"",IF(AND(AH$5&lt;=$G156,AH$5+6&gt;=$F156),IF($H156="Complétée","F",IF(OR($H156="En cours",$H156="En revue"),"E",IF($H156="Bloquée","B","P"))),""))</f>
        <v/>
      </c>
      <c r="AI156" s="53">
        <f>IF(OR($F156="",$G156=""),"",IF(AND(AI$5&lt;=$G156,AI$5+6&gt;=$F156),IF($H156="Complétée","F",IF(OR($H156="En cours",$H156="En revue"),"E",IF($H156="Bloquée","B","P"))),""))</f>
        <v/>
      </c>
      <c r="AJ156" s="53">
        <f>IF(OR($F156="",$G156=""),"",IF(AND(AJ$5&lt;=$G156,AJ$5+6&gt;=$F156),IF($H156="Complétée","F",IF(OR($H156="En cours",$H156="En revue"),"E",IF($H156="Bloquée","B","P"))),""))</f>
        <v/>
      </c>
      <c r="AK156" s="53">
        <f>IF(OR($F156="",$G156=""),"",IF(AND(AK$5&lt;=$G156,AK$5+6&gt;=$F156),IF($H156="Complétée","F",IF(OR($H156="En cours",$H156="En revue"),"E",IF($H156="Bloquée","B","P"))),""))</f>
        <v/>
      </c>
      <c r="AL156" s="53">
        <f>IF(OR($F156="",$G156=""),"",IF(AND(AL$5&lt;=$G156,AL$5+6&gt;=$F156),IF($H156="Complétée","F",IF(OR($H156="En cours",$H156="En revue"),"E",IF($H156="Bloquée","B","P"))),""))</f>
        <v/>
      </c>
      <c r="AM156" s="53">
        <f>IF(OR($F156="",$G156=""),"",IF(AND(AM$5&lt;=$G156,AM$5+6&gt;=$F156),IF($H156="Complétée","F",IF(OR($H156="En cours",$H156="En revue"),"E",IF($H156="Bloquée","B","P"))),""))</f>
        <v/>
      </c>
      <c r="AN156" s="53">
        <f>IF(OR($F156="",$G156=""),"",IF(AND(AN$5&lt;=$G156,AN$5+6&gt;=$F156),IF($H156="Complétée","F",IF(OR($H156="En cours",$H156="En revue"),"E",IF($H156="Bloquée","B","P"))),""))</f>
        <v/>
      </c>
      <c r="AO156" s="53">
        <f>IF(OR($F156="",$G156=""),"",IF(AND(AO$5&lt;=$G156,AO$5+6&gt;=$F156),IF($H156="Complétée","F",IF(OR($H156="En cours",$H156="En revue"),"E",IF($H156="Bloquée","B","P"))),""))</f>
        <v/>
      </c>
      <c r="AP156" s="53">
        <f>IF(OR($F156="",$G156=""),"",IF(AND(AP$5&lt;=$G156,AP$5+6&gt;=$F156),IF($H156="Complétée","F",IF(OR($H156="En cours",$H156="En revue"),"E",IF($H156="Bloquée","B","P"))),""))</f>
        <v/>
      </c>
      <c r="AQ156" s="53">
        <f>IF(OR($F156="",$G156=""),"",IF(AND(AQ$5&lt;=$G156,AQ$5+6&gt;=$F156),IF($H156="Complétée","F",IF(OR($H156="En cours",$H156="En revue"),"E",IF($H156="Bloquée","B","P"))),""))</f>
        <v/>
      </c>
      <c r="AR156" s="53">
        <f>IF(OR($F156="",$G156=""),"",IF(AND(AR$5&lt;=$G156,AR$5+6&gt;=$F156),IF($H156="Complétée","F",IF(OR($H156="En cours",$H156="En revue"),"E",IF($H156="Bloquée","B","P"))),""))</f>
        <v/>
      </c>
      <c r="AS156" s="53">
        <f>IF(OR($F156="",$G156=""),"",IF(AND(AS$5&lt;=$G156,AS$5+6&gt;=$F156),IF($H156="Complétée","F",IF(OR($H156="En cours",$H156="En revue"),"E",IF($H156="Bloquée","B","P"))),""))</f>
        <v/>
      </c>
      <c r="AT156" s="53">
        <f>IF(OR($F156="",$G156=""),"",IF(AND(AT$5&lt;=$G156,AT$5+6&gt;=$F156),IF($H156="Complétée","F",IF(OR($H156="En cours",$H156="En revue"),"E",IF($H156="Bloquée","B","P"))),""))</f>
        <v/>
      </c>
      <c r="AU156" s="53">
        <f>IF(OR($F156="",$G156=""),"",IF(AND(AU$5&lt;=$G156,AU$5+6&gt;=$F156),IF($H156="Complétée","F",IF(OR($H156="En cours",$H156="En revue"),"E",IF($H156="Bloquée","B","P"))),""))</f>
        <v/>
      </c>
      <c r="AV156" s="53">
        <f>IF(OR($F156="",$G156=""),"",IF(AND(AV$5&lt;=$G156,AV$5+6&gt;=$F156),IF($H156="Complétée","F",IF(OR($H156="En cours",$H156="En revue"),"E",IF($H156="Bloquée","B","P"))),""))</f>
        <v/>
      </c>
      <c r="AW156" s="53">
        <f>IF(OR($F156="",$G156=""),"",IF(AND(AW$5&lt;=$G156,AW$5+6&gt;=$F156),IF($H156="Complétée","F",IF(OR($H156="En cours",$H156="En revue"),"E",IF($H156="Bloquée","B","P"))),""))</f>
        <v/>
      </c>
    </row>
    <row r="157">
      <c r="B157" s="50">
        <f>IF(Taches!B157="","",Taches!B157)</f>
        <v/>
      </c>
      <c r="C157" s="51">
        <f>IF(Taches!B157="","",Taches!F157)</f>
        <v/>
      </c>
      <c r="D157" s="50">
        <f>IF(Taches!B157="","",Taches!C157)</f>
        <v/>
      </c>
      <c r="E157" s="50">
        <f>IF(Taches!B157="","",Taches!D157)</f>
        <v/>
      </c>
      <c r="F157" s="52">
        <f>IF(Taches!P157="","",Taches!P157)</f>
        <v/>
      </c>
      <c r="G157" s="52">
        <f>IF(Taches!Q157="","",Taches!Q157)</f>
        <v/>
      </c>
      <c r="H157" s="50">
        <f>IF(Taches!B157="","",Taches!J157)</f>
        <v/>
      </c>
      <c r="I157" s="53">
        <f>IF(OR($F157="",$G157=""),"",IF(AND(I$5&lt;=$G157,I$5+6&gt;=$F157),IF($H157="Complétée","F",IF(OR($H157="En cours",$H157="En revue"),"E",IF($H157="Bloquée","B","P"))),""))</f>
        <v/>
      </c>
      <c r="J157" s="53">
        <f>IF(OR($F157="",$G157=""),"",IF(AND(J$5&lt;=$G157,J$5+6&gt;=$F157),IF($H157="Complétée","F",IF(OR($H157="En cours",$H157="En revue"),"E",IF($H157="Bloquée","B","P"))),""))</f>
        <v/>
      </c>
      <c r="K157" s="53">
        <f>IF(OR($F157="",$G157=""),"",IF(AND(K$5&lt;=$G157,K$5+6&gt;=$F157),IF($H157="Complétée","F",IF(OR($H157="En cours",$H157="En revue"),"E",IF($H157="Bloquée","B","P"))),""))</f>
        <v/>
      </c>
      <c r="L157" s="53">
        <f>IF(OR($F157="",$G157=""),"",IF(AND(L$5&lt;=$G157,L$5+6&gt;=$F157),IF($H157="Complétée","F",IF(OR($H157="En cours",$H157="En revue"),"E",IF($H157="Bloquée","B","P"))),""))</f>
        <v/>
      </c>
      <c r="M157" s="53">
        <f>IF(OR($F157="",$G157=""),"",IF(AND(M$5&lt;=$G157,M$5+6&gt;=$F157),IF($H157="Complétée","F",IF(OR($H157="En cours",$H157="En revue"),"E",IF($H157="Bloquée","B","P"))),""))</f>
        <v/>
      </c>
      <c r="N157" s="53">
        <f>IF(OR($F157="",$G157=""),"",IF(AND(N$5&lt;=$G157,N$5+6&gt;=$F157),IF($H157="Complétée","F",IF(OR($H157="En cours",$H157="En revue"),"E",IF($H157="Bloquée","B","P"))),""))</f>
        <v/>
      </c>
      <c r="O157" s="53">
        <f>IF(OR($F157="",$G157=""),"",IF(AND(O$5&lt;=$G157,O$5+6&gt;=$F157),IF($H157="Complétée","F",IF(OR($H157="En cours",$H157="En revue"),"E",IF($H157="Bloquée","B","P"))),""))</f>
        <v/>
      </c>
      <c r="P157" s="53">
        <f>IF(OR($F157="",$G157=""),"",IF(AND(P$5&lt;=$G157,P$5+6&gt;=$F157),IF($H157="Complétée","F",IF(OR($H157="En cours",$H157="En revue"),"E",IF($H157="Bloquée","B","P"))),""))</f>
        <v/>
      </c>
      <c r="Q157" s="53">
        <f>IF(OR($F157="",$G157=""),"",IF(AND(Q$5&lt;=$G157,Q$5+6&gt;=$F157),IF($H157="Complétée","F",IF(OR($H157="En cours",$H157="En revue"),"E",IF($H157="Bloquée","B","P"))),""))</f>
        <v/>
      </c>
      <c r="R157" s="53">
        <f>IF(OR($F157="",$G157=""),"",IF(AND(R$5&lt;=$G157,R$5+6&gt;=$F157),IF($H157="Complétée","F",IF(OR($H157="En cours",$H157="En revue"),"E",IF($H157="Bloquée","B","P"))),""))</f>
        <v/>
      </c>
      <c r="S157" s="53">
        <f>IF(OR($F157="",$G157=""),"",IF(AND(S$5&lt;=$G157,S$5+6&gt;=$F157),IF($H157="Complétée","F",IF(OR($H157="En cours",$H157="En revue"),"E",IF($H157="Bloquée","B","P"))),""))</f>
        <v/>
      </c>
      <c r="T157" s="53">
        <f>IF(OR($F157="",$G157=""),"",IF(AND(T$5&lt;=$G157,T$5+6&gt;=$F157),IF($H157="Complétée","F",IF(OR($H157="En cours",$H157="En revue"),"E",IF($H157="Bloquée","B","P"))),""))</f>
        <v/>
      </c>
      <c r="U157" s="53">
        <f>IF(OR($F157="",$G157=""),"",IF(AND(U$5&lt;=$G157,U$5+6&gt;=$F157),IF($H157="Complétée","F",IF(OR($H157="En cours",$H157="En revue"),"E",IF($H157="Bloquée","B","P"))),""))</f>
        <v/>
      </c>
      <c r="V157" s="53">
        <f>IF(OR($F157="",$G157=""),"",IF(AND(V$5&lt;=$G157,V$5+6&gt;=$F157),IF($H157="Complétée","F",IF(OR($H157="En cours",$H157="En revue"),"E",IF($H157="Bloquée","B","P"))),""))</f>
        <v/>
      </c>
      <c r="W157" s="53">
        <f>IF(OR($F157="",$G157=""),"",IF(AND(W$5&lt;=$G157,W$5+6&gt;=$F157),IF($H157="Complétée","F",IF(OR($H157="En cours",$H157="En revue"),"E",IF($H157="Bloquée","B","P"))),""))</f>
        <v/>
      </c>
      <c r="X157" s="53">
        <f>IF(OR($F157="",$G157=""),"",IF(AND(X$5&lt;=$G157,X$5+6&gt;=$F157),IF($H157="Complétée","F",IF(OR($H157="En cours",$H157="En revue"),"E",IF($H157="Bloquée","B","P"))),""))</f>
        <v/>
      </c>
      <c r="Y157" s="53">
        <f>IF(OR($F157="",$G157=""),"",IF(AND(Y$5&lt;=$G157,Y$5+6&gt;=$F157),IF($H157="Complétée","F",IF(OR($H157="En cours",$H157="En revue"),"E",IF($H157="Bloquée","B","P"))),""))</f>
        <v/>
      </c>
      <c r="Z157" s="53">
        <f>IF(OR($F157="",$G157=""),"",IF(AND(Z$5&lt;=$G157,Z$5+6&gt;=$F157),IF($H157="Complétée","F",IF(OR($H157="En cours",$H157="En revue"),"E",IF($H157="Bloquée","B","P"))),""))</f>
        <v/>
      </c>
      <c r="AA157" s="53">
        <f>IF(OR($F157="",$G157=""),"",IF(AND(AA$5&lt;=$G157,AA$5+6&gt;=$F157),IF($H157="Complétée","F",IF(OR($H157="En cours",$H157="En revue"),"E",IF($H157="Bloquée","B","P"))),""))</f>
        <v/>
      </c>
      <c r="AB157" s="53">
        <f>IF(OR($F157="",$G157=""),"",IF(AND(AB$5&lt;=$G157,AB$5+6&gt;=$F157),IF($H157="Complétée","F",IF(OR($H157="En cours",$H157="En revue"),"E",IF($H157="Bloquée","B","P"))),""))</f>
        <v/>
      </c>
      <c r="AC157" s="53">
        <f>IF(OR($F157="",$G157=""),"",IF(AND(AC$5&lt;=$G157,AC$5+6&gt;=$F157),IF($H157="Complétée","F",IF(OR($H157="En cours",$H157="En revue"),"E",IF($H157="Bloquée","B","P"))),""))</f>
        <v/>
      </c>
      <c r="AD157" s="53">
        <f>IF(OR($F157="",$G157=""),"",IF(AND(AD$5&lt;=$G157,AD$5+6&gt;=$F157),IF($H157="Complétée","F",IF(OR($H157="En cours",$H157="En revue"),"E",IF($H157="Bloquée","B","P"))),""))</f>
        <v/>
      </c>
      <c r="AE157" s="53">
        <f>IF(OR($F157="",$G157=""),"",IF(AND(AE$5&lt;=$G157,AE$5+6&gt;=$F157),IF($H157="Complétée","F",IF(OR($H157="En cours",$H157="En revue"),"E",IF($H157="Bloquée","B","P"))),""))</f>
        <v/>
      </c>
      <c r="AF157" s="53">
        <f>IF(OR($F157="",$G157=""),"",IF(AND(AF$5&lt;=$G157,AF$5+6&gt;=$F157),IF($H157="Complétée","F",IF(OR($H157="En cours",$H157="En revue"),"E",IF($H157="Bloquée","B","P"))),""))</f>
        <v/>
      </c>
      <c r="AG157" s="53">
        <f>IF(OR($F157="",$G157=""),"",IF(AND(AG$5&lt;=$G157,AG$5+6&gt;=$F157),IF($H157="Complétée","F",IF(OR($H157="En cours",$H157="En revue"),"E",IF($H157="Bloquée","B","P"))),""))</f>
        <v/>
      </c>
      <c r="AH157" s="53">
        <f>IF(OR($F157="",$G157=""),"",IF(AND(AH$5&lt;=$G157,AH$5+6&gt;=$F157),IF($H157="Complétée","F",IF(OR($H157="En cours",$H157="En revue"),"E",IF($H157="Bloquée","B","P"))),""))</f>
        <v/>
      </c>
      <c r="AI157" s="53">
        <f>IF(OR($F157="",$G157=""),"",IF(AND(AI$5&lt;=$G157,AI$5+6&gt;=$F157),IF($H157="Complétée","F",IF(OR($H157="En cours",$H157="En revue"),"E",IF($H157="Bloquée","B","P"))),""))</f>
        <v/>
      </c>
      <c r="AJ157" s="53">
        <f>IF(OR($F157="",$G157=""),"",IF(AND(AJ$5&lt;=$G157,AJ$5+6&gt;=$F157),IF($H157="Complétée","F",IF(OR($H157="En cours",$H157="En revue"),"E",IF($H157="Bloquée","B","P"))),""))</f>
        <v/>
      </c>
      <c r="AK157" s="53">
        <f>IF(OR($F157="",$G157=""),"",IF(AND(AK$5&lt;=$G157,AK$5+6&gt;=$F157),IF($H157="Complétée","F",IF(OR($H157="En cours",$H157="En revue"),"E",IF($H157="Bloquée","B","P"))),""))</f>
        <v/>
      </c>
      <c r="AL157" s="53">
        <f>IF(OR($F157="",$G157=""),"",IF(AND(AL$5&lt;=$G157,AL$5+6&gt;=$F157),IF($H157="Complétée","F",IF(OR($H157="En cours",$H157="En revue"),"E",IF($H157="Bloquée","B","P"))),""))</f>
        <v/>
      </c>
      <c r="AM157" s="53">
        <f>IF(OR($F157="",$G157=""),"",IF(AND(AM$5&lt;=$G157,AM$5+6&gt;=$F157),IF($H157="Complétée","F",IF(OR($H157="En cours",$H157="En revue"),"E",IF($H157="Bloquée","B","P"))),""))</f>
        <v/>
      </c>
      <c r="AN157" s="53">
        <f>IF(OR($F157="",$G157=""),"",IF(AND(AN$5&lt;=$G157,AN$5+6&gt;=$F157),IF($H157="Complétée","F",IF(OR($H157="En cours",$H157="En revue"),"E",IF($H157="Bloquée","B","P"))),""))</f>
        <v/>
      </c>
      <c r="AO157" s="53">
        <f>IF(OR($F157="",$G157=""),"",IF(AND(AO$5&lt;=$G157,AO$5+6&gt;=$F157),IF($H157="Complétée","F",IF(OR($H157="En cours",$H157="En revue"),"E",IF($H157="Bloquée","B","P"))),""))</f>
        <v/>
      </c>
      <c r="AP157" s="53">
        <f>IF(OR($F157="",$G157=""),"",IF(AND(AP$5&lt;=$G157,AP$5+6&gt;=$F157),IF($H157="Complétée","F",IF(OR($H157="En cours",$H157="En revue"),"E",IF($H157="Bloquée","B","P"))),""))</f>
        <v/>
      </c>
      <c r="AQ157" s="53">
        <f>IF(OR($F157="",$G157=""),"",IF(AND(AQ$5&lt;=$G157,AQ$5+6&gt;=$F157),IF($H157="Complétée","F",IF(OR($H157="En cours",$H157="En revue"),"E",IF($H157="Bloquée","B","P"))),""))</f>
        <v/>
      </c>
      <c r="AR157" s="53">
        <f>IF(OR($F157="",$G157=""),"",IF(AND(AR$5&lt;=$G157,AR$5+6&gt;=$F157),IF($H157="Complétée","F",IF(OR($H157="En cours",$H157="En revue"),"E",IF($H157="Bloquée","B","P"))),""))</f>
        <v/>
      </c>
      <c r="AS157" s="53">
        <f>IF(OR($F157="",$G157=""),"",IF(AND(AS$5&lt;=$G157,AS$5+6&gt;=$F157),IF($H157="Complétée","F",IF(OR($H157="En cours",$H157="En revue"),"E",IF($H157="Bloquée","B","P"))),""))</f>
        <v/>
      </c>
      <c r="AT157" s="53">
        <f>IF(OR($F157="",$G157=""),"",IF(AND(AT$5&lt;=$G157,AT$5+6&gt;=$F157),IF($H157="Complétée","F",IF(OR($H157="En cours",$H157="En revue"),"E",IF($H157="Bloquée","B","P"))),""))</f>
        <v/>
      </c>
      <c r="AU157" s="53">
        <f>IF(OR($F157="",$G157=""),"",IF(AND(AU$5&lt;=$G157,AU$5+6&gt;=$F157),IF($H157="Complétée","F",IF(OR($H157="En cours",$H157="En revue"),"E",IF($H157="Bloquée","B","P"))),""))</f>
        <v/>
      </c>
      <c r="AV157" s="53">
        <f>IF(OR($F157="",$G157=""),"",IF(AND(AV$5&lt;=$G157,AV$5+6&gt;=$F157),IF($H157="Complétée","F",IF(OR($H157="En cours",$H157="En revue"),"E",IF($H157="Bloquée","B","P"))),""))</f>
        <v/>
      </c>
      <c r="AW157" s="53">
        <f>IF(OR($F157="",$G157=""),"",IF(AND(AW$5&lt;=$G157,AW$5+6&gt;=$F157),IF($H157="Complétée","F",IF(OR($H157="En cours",$H157="En revue"),"E",IF($H157="Bloquée","B","P"))),""))</f>
        <v/>
      </c>
    </row>
    <row r="158">
      <c r="B158" s="50">
        <f>IF(Taches!B158="","",Taches!B158)</f>
        <v/>
      </c>
      <c r="C158" s="51">
        <f>IF(Taches!B158="","",Taches!F158)</f>
        <v/>
      </c>
      <c r="D158" s="50">
        <f>IF(Taches!B158="","",Taches!C158)</f>
        <v/>
      </c>
      <c r="E158" s="50">
        <f>IF(Taches!B158="","",Taches!D158)</f>
        <v/>
      </c>
      <c r="F158" s="52">
        <f>IF(Taches!P158="","",Taches!P158)</f>
        <v/>
      </c>
      <c r="G158" s="52">
        <f>IF(Taches!Q158="","",Taches!Q158)</f>
        <v/>
      </c>
      <c r="H158" s="50">
        <f>IF(Taches!B158="","",Taches!J158)</f>
        <v/>
      </c>
      <c r="I158" s="53">
        <f>IF(OR($F158="",$G158=""),"",IF(AND(I$5&lt;=$G158,I$5+6&gt;=$F158),IF($H158="Complétée","F",IF(OR($H158="En cours",$H158="En revue"),"E",IF($H158="Bloquée","B","P"))),""))</f>
        <v/>
      </c>
      <c r="J158" s="53">
        <f>IF(OR($F158="",$G158=""),"",IF(AND(J$5&lt;=$G158,J$5+6&gt;=$F158),IF($H158="Complétée","F",IF(OR($H158="En cours",$H158="En revue"),"E",IF($H158="Bloquée","B","P"))),""))</f>
        <v/>
      </c>
      <c r="K158" s="53">
        <f>IF(OR($F158="",$G158=""),"",IF(AND(K$5&lt;=$G158,K$5+6&gt;=$F158),IF($H158="Complétée","F",IF(OR($H158="En cours",$H158="En revue"),"E",IF($H158="Bloquée","B","P"))),""))</f>
        <v/>
      </c>
      <c r="L158" s="53">
        <f>IF(OR($F158="",$G158=""),"",IF(AND(L$5&lt;=$G158,L$5+6&gt;=$F158),IF($H158="Complétée","F",IF(OR($H158="En cours",$H158="En revue"),"E",IF($H158="Bloquée","B","P"))),""))</f>
        <v/>
      </c>
      <c r="M158" s="53">
        <f>IF(OR($F158="",$G158=""),"",IF(AND(M$5&lt;=$G158,M$5+6&gt;=$F158),IF($H158="Complétée","F",IF(OR($H158="En cours",$H158="En revue"),"E",IF($H158="Bloquée","B","P"))),""))</f>
        <v/>
      </c>
      <c r="N158" s="53">
        <f>IF(OR($F158="",$G158=""),"",IF(AND(N$5&lt;=$G158,N$5+6&gt;=$F158),IF($H158="Complétée","F",IF(OR($H158="En cours",$H158="En revue"),"E",IF($H158="Bloquée","B","P"))),""))</f>
        <v/>
      </c>
      <c r="O158" s="53">
        <f>IF(OR($F158="",$G158=""),"",IF(AND(O$5&lt;=$G158,O$5+6&gt;=$F158),IF($H158="Complétée","F",IF(OR($H158="En cours",$H158="En revue"),"E",IF($H158="Bloquée","B","P"))),""))</f>
        <v/>
      </c>
      <c r="P158" s="53">
        <f>IF(OR($F158="",$G158=""),"",IF(AND(P$5&lt;=$G158,P$5+6&gt;=$F158),IF($H158="Complétée","F",IF(OR($H158="En cours",$H158="En revue"),"E",IF($H158="Bloquée","B","P"))),""))</f>
        <v/>
      </c>
      <c r="Q158" s="53">
        <f>IF(OR($F158="",$G158=""),"",IF(AND(Q$5&lt;=$G158,Q$5+6&gt;=$F158),IF($H158="Complétée","F",IF(OR($H158="En cours",$H158="En revue"),"E",IF($H158="Bloquée","B","P"))),""))</f>
        <v/>
      </c>
      <c r="R158" s="53">
        <f>IF(OR($F158="",$G158=""),"",IF(AND(R$5&lt;=$G158,R$5+6&gt;=$F158),IF($H158="Complétée","F",IF(OR($H158="En cours",$H158="En revue"),"E",IF($H158="Bloquée","B","P"))),""))</f>
        <v/>
      </c>
      <c r="S158" s="53">
        <f>IF(OR($F158="",$G158=""),"",IF(AND(S$5&lt;=$G158,S$5+6&gt;=$F158),IF($H158="Complétée","F",IF(OR($H158="En cours",$H158="En revue"),"E",IF($H158="Bloquée","B","P"))),""))</f>
        <v/>
      </c>
      <c r="T158" s="53">
        <f>IF(OR($F158="",$G158=""),"",IF(AND(T$5&lt;=$G158,T$5+6&gt;=$F158),IF($H158="Complétée","F",IF(OR($H158="En cours",$H158="En revue"),"E",IF($H158="Bloquée","B","P"))),""))</f>
        <v/>
      </c>
      <c r="U158" s="53">
        <f>IF(OR($F158="",$G158=""),"",IF(AND(U$5&lt;=$G158,U$5+6&gt;=$F158),IF($H158="Complétée","F",IF(OR($H158="En cours",$H158="En revue"),"E",IF($H158="Bloquée","B","P"))),""))</f>
        <v/>
      </c>
      <c r="V158" s="53">
        <f>IF(OR($F158="",$G158=""),"",IF(AND(V$5&lt;=$G158,V$5+6&gt;=$F158),IF($H158="Complétée","F",IF(OR($H158="En cours",$H158="En revue"),"E",IF($H158="Bloquée","B","P"))),""))</f>
        <v/>
      </c>
      <c r="W158" s="53">
        <f>IF(OR($F158="",$G158=""),"",IF(AND(W$5&lt;=$G158,W$5+6&gt;=$F158),IF($H158="Complétée","F",IF(OR($H158="En cours",$H158="En revue"),"E",IF($H158="Bloquée","B","P"))),""))</f>
        <v/>
      </c>
      <c r="X158" s="53">
        <f>IF(OR($F158="",$G158=""),"",IF(AND(X$5&lt;=$G158,X$5+6&gt;=$F158),IF($H158="Complétée","F",IF(OR($H158="En cours",$H158="En revue"),"E",IF($H158="Bloquée","B","P"))),""))</f>
        <v/>
      </c>
      <c r="Y158" s="53">
        <f>IF(OR($F158="",$G158=""),"",IF(AND(Y$5&lt;=$G158,Y$5+6&gt;=$F158),IF($H158="Complétée","F",IF(OR($H158="En cours",$H158="En revue"),"E",IF($H158="Bloquée","B","P"))),""))</f>
        <v/>
      </c>
      <c r="Z158" s="53">
        <f>IF(OR($F158="",$G158=""),"",IF(AND(Z$5&lt;=$G158,Z$5+6&gt;=$F158),IF($H158="Complétée","F",IF(OR($H158="En cours",$H158="En revue"),"E",IF($H158="Bloquée","B","P"))),""))</f>
        <v/>
      </c>
      <c r="AA158" s="53">
        <f>IF(OR($F158="",$G158=""),"",IF(AND(AA$5&lt;=$G158,AA$5+6&gt;=$F158),IF($H158="Complétée","F",IF(OR($H158="En cours",$H158="En revue"),"E",IF($H158="Bloquée","B","P"))),""))</f>
        <v/>
      </c>
      <c r="AB158" s="53">
        <f>IF(OR($F158="",$G158=""),"",IF(AND(AB$5&lt;=$G158,AB$5+6&gt;=$F158),IF($H158="Complétée","F",IF(OR($H158="En cours",$H158="En revue"),"E",IF($H158="Bloquée","B","P"))),""))</f>
        <v/>
      </c>
      <c r="AC158" s="53">
        <f>IF(OR($F158="",$G158=""),"",IF(AND(AC$5&lt;=$G158,AC$5+6&gt;=$F158),IF($H158="Complétée","F",IF(OR($H158="En cours",$H158="En revue"),"E",IF($H158="Bloquée","B","P"))),""))</f>
        <v/>
      </c>
      <c r="AD158" s="53">
        <f>IF(OR($F158="",$G158=""),"",IF(AND(AD$5&lt;=$G158,AD$5+6&gt;=$F158),IF($H158="Complétée","F",IF(OR($H158="En cours",$H158="En revue"),"E",IF($H158="Bloquée","B","P"))),""))</f>
        <v/>
      </c>
      <c r="AE158" s="53">
        <f>IF(OR($F158="",$G158=""),"",IF(AND(AE$5&lt;=$G158,AE$5+6&gt;=$F158),IF($H158="Complétée","F",IF(OR($H158="En cours",$H158="En revue"),"E",IF($H158="Bloquée","B","P"))),""))</f>
        <v/>
      </c>
      <c r="AF158" s="53">
        <f>IF(OR($F158="",$G158=""),"",IF(AND(AF$5&lt;=$G158,AF$5+6&gt;=$F158),IF($H158="Complétée","F",IF(OR($H158="En cours",$H158="En revue"),"E",IF($H158="Bloquée","B","P"))),""))</f>
        <v/>
      </c>
      <c r="AG158" s="53">
        <f>IF(OR($F158="",$G158=""),"",IF(AND(AG$5&lt;=$G158,AG$5+6&gt;=$F158),IF($H158="Complétée","F",IF(OR($H158="En cours",$H158="En revue"),"E",IF($H158="Bloquée","B","P"))),""))</f>
        <v/>
      </c>
      <c r="AH158" s="53">
        <f>IF(OR($F158="",$G158=""),"",IF(AND(AH$5&lt;=$G158,AH$5+6&gt;=$F158),IF($H158="Complétée","F",IF(OR($H158="En cours",$H158="En revue"),"E",IF($H158="Bloquée","B","P"))),""))</f>
        <v/>
      </c>
      <c r="AI158" s="53">
        <f>IF(OR($F158="",$G158=""),"",IF(AND(AI$5&lt;=$G158,AI$5+6&gt;=$F158),IF($H158="Complétée","F",IF(OR($H158="En cours",$H158="En revue"),"E",IF($H158="Bloquée","B","P"))),""))</f>
        <v/>
      </c>
      <c r="AJ158" s="53">
        <f>IF(OR($F158="",$G158=""),"",IF(AND(AJ$5&lt;=$G158,AJ$5+6&gt;=$F158),IF($H158="Complétée","F",IF(OR($H158="En cours",$H158="En revue"),"E",IF($H158="Bloquée","B","P"))),""))</f>
        <v/>
      </c>
      <c r="AK158" s="53">
        <f>IF(OR($F158="",$G158=""),"",IF(AND(AK$5&lt;=$G158,AK$5+6&gt;=$F158),IF($H158="Complétée","F",IF(OR($H158="En cours",$H158="En revue"),"E",IF($H158="Bloquée","B","P"))),""))</f>
        <v/>
      </c>
      <c r="AL158" s="53">
        <f>IF(OR($F158="",$G158=""),"",IF(AND(AL$5&lt;=$G158,AL$5+6&gt;=$F158),IF($H158="Complétée","F",IF(OR($H158="En cours",$H158="En revue"),"E",IF($H158="Bloquée","B","P"))),""))</f>
        <v/>
      </c>
      <c r="AM158" s="53">
        <f>IF(OR($F158="",$G158=""),"",IF(AND(AM$5&lt;=$G158,AM$5+6&gt;=$F158),IF($H158="Complétée","F",IF(OR($H158="En cours",$H158="En revue"),"E",IF($H158="Bloquée","B","P"))),""))</f>
        <v/>
      </c>
      <c r="AN158" s="53">
        <f>IF(OR($F158="",$G158=""),"",IF(AND(AN$5&lt;=$G158,AN$5+6&gt;=$F158),IF($H158="Complétée","F",IF(OR($H158="En cours",$H158="En revue"),"E",IF($H158="Bloquée","B","P"))),""))</f>
        <v/>
      </c>
      <c r="AO158" s="53">
        <f>IF(OR($F158="",$G158=""),"",IF(AND(AO$5&lt;=$G158,AO$5+6&gt;=$F158),IF($H158="Complétée","F",IF(OR($H158="En cours",$H158="En revue"),"E",IF($H158="Bloquée","B","P"))),""))</f>
        <v/>
      </c>
      <c r="AP158" s="53">
        <f>IF(OR($F158="",$G158=""),"",IF(AND(AP$5&lt;=$G158,AP$5+6&gt;=$F158),IF($H158="Complétée","F",IF(OR($H158="En cours",$H158="En revue"),"E",IF($H158="Bloquée","B","P"))),""))</f>
        <v/>
      </c>
      <c r="AQ158" s="53">
        <f>IF(OR($F158="",$G158=""),"",IF(AND(AQ$5&lt;=$G158,AQ$5+6&gt;=$F158),IF($H158="Complétée","F",IF(OR($H158="En cours",$H158="En revue"),"E",IF($H158="Bloquée","B","P"))),""))</f>
        <v/>
      </c>
      <c r="AR158" s="53">
        <f>IF(OR($F158="",$G158=""),"",IF(AND(AR$5&lt;=$G158,AR$5+6&gt;=$F158),IF($H158="Complétée","F",IF(OR($H158="En cours",$H158="En revue"),"E",IF($H158="Bloquée","B","P"))),""))</f>
        <v/>
      </c>
      <c r="AS158" s="53">
        <f>IF(OR($F158="",$G158=""),"",IF(AND(AS$5&lt;=$G158,AS$5+6&gt;=$F158),IF($H158="Complétée","F",IF(OR($H158="En cours",$H158="En revue"),"E",IF($H158="Bloquée","B","P"))),""))</f>
        <v/>
      </c>
      <c r="AT158" s="53">
        <f>IF(OR($F158="",$G158=""),"",IF(AND(AT$5&lt;=$G158,AT$5+6&gt;=$F158),IF($H158="Complétée","F",IF(OR($H158="En cours",$H158="En revue"),"E",IF($H158="Bloquée","B","P"))),""))</f>
        <v/>
      </c>
      <c r="AU158" s="53">
        <f>IF(OR($F158="",$G158=""),"",IF(AND(AU$5&lt;=$G158,AU$5+6&gt;=$F158),IF($H158="Complétée","F",IF(OR($H158="En cours",$H158="En revue"),"E",IF($H158="Bloquée","B","P"))),""))</f>
        <v/>
      </c>
      <c r="AV158" s="53">
        <f>IF(OR($F158="",$G158=""),"",IF(AND(AV$5&lt;=$G158,AV$5+6&gt;=$F158),IF($H158="Complétée","F",IF(OR($H158="En cours",$H158="En revue"),"E",IF($H158="Bloquée","B","P"))),""))</f>
        <v/>
      </c>
      <c r="AW158" s="53">
        <f>IF(OR($F158="",$G158=""),"",IF(AND(AW$5&lt;=$G158,AW$5+6&gt;=$F158),IF($H158="Complétée","F",IF(OR($H158="En cours",$H158="En revue"),"E",IF($H158="Bloquée","B","P"))),""))</f>
        <v/>
      </c>
    </row>
    <row r="159">
      <c r="B159" s="50">
        <f>IF(Taches!B159="","",Taches!B159)</f>
        <v/>
      </c>
      <c r="C159" s="51">
        <f>IF(Taches!B159="","",Taches!F159)</f>
        <v/>
      </c>
      <c r="D159" s="50">
        <f>IF(Taches!B159="","",Taches!C159)</f>
        <v/>
      </c>
      <c r="E159" s="50">
        <f>IF(Taches!B159="","",Taches!D159)</f>
        <v/>
      </c>
      <c r="F159" s="52">
        <f>IF(Taches!P159="","",Taches!P159)</f>
        <v/>
      </c>
      <c r="G159" s="52">
        <f>IF(Taches!Q159="","",Taches!Q159)</f>
        <v/>
      </c>
      <c r="H159" s="50">
        <f>IF(Taches!B159="","",Taches!J159)</f>
        <v/>
      </c>
      <c r="I159" s="53">
        <f>IF(OR($F159="",$G159=""),"",IF(AND(I$5&lt;=$G159,I$5+6&gt;=$F159),IF($H159="Complétée","F",IF(OR($H159="En cours",$H159="En revue"),"E",IF($H159="Bloquée","B","P"))),""))</f>
        <v/>
      </c>
      <c r="J159" s="53">
        <f>IF(OR($F159="",$G159=""),"",IF(AND(J$5&lt;=$G159,J$5+6&gt;=$F159),IF($H159="Complétée","F",IF(OR($H159="En cours",$H159="En revue"),"E",IF($H159="Bloquée","B","P"))),""))</f>
        <v/>
      </c>
      <c r="K159" s="53">
        <f>IF(OR($F159="",$G159=""),"",IF(AND(K$5&lt;=$G159,K$5+6&gt;=$F159),IF($H159="Complétée","F",IF(OR($H159="En cours",$H159="En revue"),"E",IF($H159="Bloquée","B","P"))),""))</f>
        <v/>
      </c>
      <c r="L159" s="53">
        <f>IF(OR($F159="",$G159=""),"",IF(AND(L$5&lt;=$G159,L$5+6&gt;=$F159),IF($H159="Complétée","F",IF(OR($H159="En cours",$H159="En revue"),"E",IF($H159="Bloquée","B","P"))),""))</f>
        <v/>
      </c>
      <c r="M159" s="53">
        <f>IF(OR($F159="",$G159=""),"",IF(AND(M$5&lt;=$G159,M$5+6&gt;=$F159),IF($H159="Complétée","F",IF(OR($H159="En cours",$H159="En revue"),"E",IF($H159="Bloquée","B","P"))),""))</f>
        <v/>
      </c>
      <c r="N159" s="53">
        <f>IF(OR($F159="",$G159=""),"",IF(AND(N$5&lt;=$G159,N$5+6&gt;=$F159),IF($H159="Complétée","F",IF(OR($H159="En cours",$H159="En revue"),"E",IF($H159="Bloquée","B","P"))),""))</f>
        <v/>
      </c>
      <c r="O159" s="53">
        <f>IF(OR($F159="",$G159=""),"",IF(AND(O$5&lt;=$G159,O$5+6&gt;=$F159),IF($H159="Complétée","F",IF(OR($H159="En cours",$H159="En revue"),"E",IF($H159="Bloquée","B","P"))),""))</f>
        <v/>
      </c>
      <c r="P159" s="53">
        <f>IF(OR($F159="",$G159=""),"",IF(AND(P$5&lt;=$G159,P$5+6&gt;=$F159),IF($H159="Complétée","F",IF(OR($H159="En cours",$H159="En revue"),"E",IF($H159="Bloquée","B","P"))),""))</f>
        <v/>
      </c>
      <c r="Q159" s="53">
        <f>IF(OR($F159="",$G159=""),"",IF(AND(Q$5&lt;=$G159,Q$5+6&gt;=$F159),IF($H159="Complétée","F",IF(OR($H159="En cours",$H159="En revue"),"E",IF($H159="Bloquée","B","P"))),""))</f>
        <v/>
      </c>
      <c r="R159" s="53">
        <f>IF(OR($F159="",$G159=""),"",IF(AND(R$5&lt;=$G159,R$5+6&gt;=$F159),IF($H159="Complétée","F",IF(OR($H159="En cours",$H159="En revue"),"E",IF($H159="Bloquée","B","P"))),""))</f>
        <v/>
      </c>
      <c r="S159" s="53">
        <f>IF(OR($F159="",$G159=""),"",IF(AND(S$5&lt;=$G159,S$5+6&gt;=$F159),IF($H159="Complétée","F",IF(OR($H159="En cours",$H159="En revue"),"E",IF($H159="Bloquée","B","P"))),""))</f>
        <v/>
      </c>
      <c r="T159" s="53">
        <f>IF(OR($F159="",$G159=""),"",IF(AND(T$5&lt;=$G159,T$5+6&gt;=$F159),IF($H159="Complétée","F",IF(OR($H159="En cours",$H159="En revue"),"E",IF($H159="Bloquée","B","P"))),""))</f>
        <v/>
      </c>
      <c r="U159" s="53">
        <f>IF(OR($F159="",$G159=""),"",IF(AND(U$5&lt;=$G159,U$5+6&gt;=$F159),IF($H159="Complétée","F",IF(OR($H159="En cours",$H159="En revue"),"E",IF($H159="Bloquée","B","P"))),""))</f>
        <v/>
      </c>
      <c r="V159" s="53">
        <f>IF(OR($F159="",$G159=""),"",IF(AND(V$5&lt;=$G159,V$5+6&gt;=$F159),IF($H159="Complétée","F",IF(OR($H159="En cours",$H159="En revue"),"E",IF($H159="Bloquée","B","P"))),""))</f>
        <v/>
      </c>
      <c r="W159" s="53">
        <f>IF(OR($F159="",$G159=""),"",IF(AND(W$5&lt;=$G159,W$5+6&gt;=$F159),IF($H159="Complétée","F",IF(OR($H159="En cours",$H159="En revue"),"E",IF($H159="Bloquée","B","P"))),""))</f>
        <v/>
      </c>
      <c r="X159" s="53">
        <f>IF(OR($F159="",$G159=""),"",IF(AND(X$5&lt;=$G159,X$5+6&gt;=$F159),IF($H159="Complétée","F",IF(OR($H159="En cours",$H159="En revue"),"E",IF($H159="Bloquée","B","P"))),""))</f>
        <v/>
      </c>
      <c r="Y159" s="53">
        <f>IF(OR($F159="",$G159=""),"",IF(AND(Y$5&lt;=$G159,Y$5+6&gt;=$F159),IF($H159="Complétée","F",IF(OR($H159="En cours",$H159="En revue"),"E",IF($H159="Bloquée","B","P"))),""))</f>
        <v/>
      </c>
      <c r="Z159" s="53">
        <f>IF(OR($F159="",$G159=""),"",IF(AND(Z$5&lt;=$G159,Z$5+6&gt;=$F159),IF($H159="Complétée","F",IF(OR($H159="En cours",$H159="En revue"),"E",IF($H159="Bloquée","B","P"))),""))</f>
        <v/>
      </c>
      <c r="AA159" s="53">
        <f>IF(OR($F159="",$G159=""),"",IF(AND(AA$5&lt;=$G159,AA$5+6&gt;=$F159),IF($H159="Complétée","F",IF(OR($H159="En cours",$H159="En revue"),"E",IF($H159="Bloquée","B","P"))),""))</f>
        <v/>
      </c>
      <c r="AB159" s="53">
        <f>IF(OR($F159="",$G159=""),"",IF(AND(AB$5&lt;=$G159,AB$5+6&gt;=$F159),IF($H159="Complétée","F",IF(OR($H159="En cours",$H159="En revue"),"E",IF($H159="Bloquée","B","P"))),""))</f>
        <v/>
      </c>
      <c r="AC159" s="53">
        <f>IF(OR($F159="",$G159=""),"",IF(AND(AC$5&lt;=$G159,AC$5+6&gt;=$F159),IF($H159="Complétée","F",IF(OR($H159="En cours",$H159="En revue"),"E",IF($H159="Bloquée","B","P"))),""))</f>
        <v/>
      </c>
      <c r="AD159" s="53">
        <f>IF(OR($F159="",$G159=""),"",IF(AND(AD$5&lt;=$G159,AD$5+6&gt;=$F159),IF($H159="Complétée","F",IF(OR($H159="En cours",$H159="En revue"),"E",IF($H159="Bloquée","B","P"))),""))</f>
        <v/>
      </c>
      <c r="AE159" s="53">
        <f>IF(OR($F159="",$G159=""),"",IF(AND(AE$5&lt;=$G159,AE$5+6&gt;=$F159),IF($H159="Complétée","F",IF(OR($H159="En cours",$H159="En revue"),"E",IF($H159="Bloquée","B","P"))),""))</f>
        <v/>
      </c>
      <c r="AF159" s="53">
        <f>IF(OR($F159="",$G159=""),"",IF(AND(AF$5&lt;=$G159,AF$5+6&gt;=$F159),IF($H159="Complétée","F",IF(OR($H159="En cours",$H159="En revue"),"E",IF($H159="Bloquée","B","P"))),""))</f>
        <v/>
      </c>
      <c r="AG159" s="53">
        <f>IF(OR($F159="",$G159=""),"",IF(AND(AG$5&lt;=$G159,AG$5+6&gt;=$F159),IF($H159="Complétée","F",IF(OR($H159="En cours",$H159="En revue"),"E",IF($H159="Bloquée","B","P"))),""))</f>
        <v/>
      </c>
      <c r="AH159" s="53">
        <f>IF(OR($F159="",$G159=""),"",IF(AND(AH$5&lt;=$G159,AH$5+6&gt;=$F159),IF($H159="Complétée","F",IF(OR($H159="En cours",$H159="En revue"),"E",IF($H159="Bloquée","B","P"))),""))</f>
        <v/>
      </c>
      <c r="AI159" s="53">
        <f>IF(OR($F159="",$G159=""),"",IF(AND(AI$5&lt;=$G159,AI$5+6&gt;=$F159),IF($H159="Complétée","F",IF(OR($H159="En cours",$H159="En revue"),"E",IF($H159="Bloquée","B","P"))),""))</f>
        <v/>
      </c>
      <c r="AJ159" s="53">
        <f>IF(OR($F159="",$G159=""),"",IF(AND(AJ$5&lt;=$G159,AJ$5+6&gt;=$F159),IF($H159="Complétée","F",IF(OR($H159="En cours",$H159="En revue"),"E",IF($H159="Bloquée","B","P"))),""))</f>
        <v/>
      </c>
      <c r="AK159" s="53">
        <f>IF(OR($F159="",$G159=""),"",IF(AND(AK$5&lt;=$G159,AK$5+6&gt;=$F159),IF($H159="Complétée","F",IF(OR($H159="En cours",$H159="En revue"),"E",IF($H159="Bloquée","B","P"))),""))</f>
        <v/>
      </c>
      <c r="AL159" s="53">
        <f>IF(OR($F159="",$G159=""),"",IF(AND(AL$5&lt;=$G159,AL$5+6&gt;=$F159),IF($H159="Complétée","F",IF(OR($H159="En cours",$H159="En revue"),"E",IF($H159="Bloquée","B","P"))),""))</f>
        <v/>
      </c>
      <c r="AM159" s="53">
        <f>IF(OR($F159="",$G159=""),"",IF(AND(AM$5&lt;=$G159,AM$5+6&gt;=$F159),IF($H159="Complétée","F",IF(OR($H159="En cours",$H159="En revue"),"E",IF($H159="Bloquée","B","P"))),""))</f>
        <v/>
      </c>
      <c r="AN159" s="53">
        <f>IF(OR($F159="",$G159=""),"",IF(AND(AN$5&lt;=$G159,AN$5+6&gt;=$F159),IF($H159="Complétée","F",IF(OR($H159="En cours",$H159="En revue"),"E",IF($H159="Bloquée","B","P"))),""))</f>
        <v/>
      </c>
      <c r="AO159" s="53">
        <f>IF(OR($F159="",$G159=""),"",IF(AND(AO$5&lt;=$G159,AO$5+6&gt;=$F159),IF($H159="Complétée","F",IF(OR($H159="En cours",$H159="En revue"),"E",IF($H159="Bloquée","B","P"))),""))</f>
        <v/>
      </c>
      <c r="AP159" s="53">
        <f>IF(OR($F159="",$G159=""),"",IF(AND(AP$5&lt;=$G159,AP$5+6&gt;=$F159),IF($H159="Complétée","F",IF(OR($H159="En cours",$H159="En revue"),"E",IF($H159="Bloquée","B","P"))),""))</f>
        <v/>
      </c>
      <c r="AQ159" s="53">
        <f>IF(OR($F159="",$G159=""),"",IF(AND(AQ$5&lt;=$G159,AQ$5+6&gt;=$F159),IF($H159="Complétée","F",IF(OR($H159="En cours",$H159="En revue"),"E",IF($H159="Bloquée","B","P"))),""))</f>
        <v/>
      </c>
      <c r="AR159" s="53">
        <f>IF(OR($F159="",$G159=""),"",IF(AND(AR$5&lt;=$G159,AR$5+6&gt;=$F159),IF($H159="Complétée","F",IF(OR($H159="En cours",$H159="En revue"),"E",IF($H159="Bloquée","B","P"))),""))</f>
        <v/>
      </c>
      <c r="AS159" s="53">
        <f>IF(OR($F159="",$G159=""),"",IF(AND(AS$5&lt;=$G159,AS$5+6&gt;=$F159),IF($H159="Complétée","F",IF(OR($H159="En cours",$H159="En revue"),"E",IF($H159="Bloquée","B","P"))),""))</f>
        <v/>
      </c>
      <c r="AT159" s="53">
        <f>IF(OR($F159="",$G159=""),"",IF(AND(AT$5&lt;=$G159,AT$5+6&gt;=$F159),IF($H159="Complétée","F",IF(OR($H159="En cours",$H159="En revue"),"E",IF($H159="Bloquée","B","P"))),""))</f>
        <v/>
      </c>
      <c r="AU159" s="53">
        <f>IF(OR($F159="",$G159=""),"",IF(AND(AU$5&lt;=$G159,AU$5+6&gt;=$F159),IF($H159="Complétée","F",IF(OR($H159="En cours",$H159="En revue"),"E",IF($H159="Bloquée","B","P"))),""))</f>
        <v/>
      </c>
      <c r="AV159" s="53">
        <f>IF(OR($F159="",$G159=""),"",IF(AND(AV$5&lt;=$G159,AV$5+6&gt;=$F159),IF($H159="Complétée","F",IF(OR($H159="En cours",$H159="En revue"),"E",IF($H159="Bloquée","B","P"))),""))</f>
        <v/>
      </c>
      <c r="AW159" s="53">
        <f>IF(OR($F159="",$G159=""),"",IF(AND(AW$5&lt;=$G159,AW$5+6&gt;=$F159),IF($H159="Complétée","F",IF(OR($H159="En cours",$H159="En revue"),"E",IF($H159="Bloquée","B","P"))),""))</f>
        <v/>
      </c>
    </row>
    <row r="160">
      <c r="B160" s="50">
        <f>IF(Taches!B160="","",Taches!B160)</f>
        <v/>
      </c>
      <c r="C160" s="51">
        <f>IF(Taches!B160="","",Taches!F160)</f>
        <v/>
      </c>
      <c r="D160" s="50">
        <f>IF(Taches!B160="","",Taches!C160)</f>
        <v/>
      </c>
      <c r="E160" s="50">
        <f>IF(Taches!B160="","",Taches!D160)</f>
        <v/>
      </c>
      <c r="F160" s="52">
        <f>IF(Taches!P160="","",Taches!P160)</f>
        <v/>
      </c>
      <c r="G160" s="52">
        <f>IF(Taches!Q160="","",Taches!Q160)</f>
        <v/>
      </c>
      <c r="H160" s="50">
        <f>IF(Taches!B160="","",Taches!J160)</f>
        <v/>
      </c>
      <c r="I160" s="53">
        <f>IF(OR($F160="",$G160=""),"",IF(AND(I$5&lt;=$G160,I$5+6&gt;=$F160),IF($H160="Complétée","F",IF(OR($H160="En cours",$H160="En revue"),"E",IF($H160="Bloquée","B","P"))),""))</f>
        <v/>
      </c>
      <c r="J160" s="53">
        <f>IF(OR($F160="",$G160=""),"",IF(AND(J$5&lt;=$G160,J$5+6&gt;=$F160),IF($H160="Complétée","F",IF(OR($H160="En cours",$H160="En revue"),"E",IF($H160="Bloquée","B","P"))),""))</f>
        <v/>
      </c>
      <c r="K160" s="53">
        <f>IF(OR($F160="",$G160=""),"",IF(AND(K$5&lt;=$G160,K$5+6&gt;=$F160),IF($H160="Complétée","F",IF(OR($H160="En cours",$H160="En revue"),"E",IF($H160="Bloquée","B","P"))),""))</f>
        <v/>
      </c>
      <c r="L160" s="53">
        <f>IF(OR($F160="",$G160=""),"",IF(AND(L$5&lt;=$G160,L$5+6&gt;=$F160),IF($H160="Complétée","F",IF(OR($H160="En cours",$H160="En revue"),"E",IF($H160="Bloquée","B","P"))),""))</f>
        <v/>
      </c>
      <c r="M160" s="53">
        <f>IF(OR($F160="",$G160=""),"",IF(AND(M$5&lt;=$G160,M$5+6&gt;=$F160),IF($H160="Complétée","F",IF(OR($H160="En cours",$H160="En revue"),"E",IF($H160="Bloquée","B","P"))),""))</f>
        <v/>
      </c>
      <c r="N160" s="53">
        <f>IF(OR($F160="",$G160=""),"",IF(AND(N$5&lt;=$G160,N$5+6&gt;=$F160),IF($H160="Complétée","F",IF(OR($H160="En cours",$H160="En revue"),"E",IF($H160="Bloquée","B","P"))),""))</f>
        <v/>
      </c>
      <c r="O160" s="53">
        <f>IF(OR($F160="",$G160=""),"",IF(AND(O$5&lt;=$G160,O$5+6&gt;=$F160),IF($H160="Complétée","F",IF(OR($H160="En cours",$H160="En revue"),"E",IF($H160="Bloquée","B","P"))),""))</f>
        <v/>
      </c>
      <c r="P160" s="53">
        <f>IF(OR($F160="",$G160=""),"",IF(AND(P$5&lt;=$G160,P$5+6&gt;=$F160),IF($H160="Complétée","F",IF(OR($H160="En cours",$H160="En revue"),"E",IF($H160="Bloquée","B","P"))),""))</f>
        <v/>
      </c>
      <c r="Q160" s="53">
        <f>IF(OR($F160="",$G160=""),"",IF(AND(Q$5&lt;=$G160,Q$5+6&gt;=$F160),IF($H160="Complétée","F",IF(OR($H160="En cours",$H160="En revue"),"E",IF($H160="Bloquée","B","P"))),""))</f>
        <v/>
      </c>
      <c r="R160" s="53">
        <f>IF(OR($F160="",$G160=""),"",IF(AND(R$5&lt;=$G160,R$5+6&gt;=$F160),IF($H160="Complétée","F",IF(OR($H160="En cours",$H160="En revue"),"E",IF($H160="Bloquée","B","P"))),""))</f>
        <v/>
      </c>
      <c r="S160" s="53">
        <f>IF(OR($F160="",$G160=""),"",IF(AND(S$5&lt;=$G160,S$5+6&gt;=$F160),IF($H160="Complétée","F",IF(OR($H160="En cours",$H160="En revue"),"E",IF($H160="Bloquée","B","P"))),""))</f>
        <v/>
      </c>
      <c r="T160" s="53">
        <f>IF(OR($F160="",$G160=""),"",IF(AND(T$5&lt;=$G160,T$5+6&gt;=$F160),IF($H160="Complétée","F",IF(OR($H160="En cours",$H160="En revue"),"E",IF($H160="Bloquée","B","P"))),""))</f>
        <v/>
      </c>
      <c r="U160" s="53">
        <f>IF(OR($F160="",$G160=""),"",IF(AND(U$5&lt;=$G160,U$5+6&gt;=$F160),IF($H160="Complétée","F",IF(OR($H160="En cours",$H160="En revue"),"E",IF($H160="Bloquée","B","P"))),""))</f>
        <v/>
      </c>
      <c r="V160" s="53">
        <f>IF(OR($F160="",$G160=""),"",IF(AND(V$5&lt;=$G160,V$5+6&gt;=$F160),IF($H160="Complétée","F",IF(OR($H160="En cours",$H160="En revue"),"E",IF($H160="Bloquée","B","P"))),""))</f>
        <v/>
      </c>
      <c r="W160" s="53">
        <f>IF(OR($F160="",$G160=""),"",IF(AND(W$5&lt;=$G160,W$5+6&gt;=$F160),IF($H160="Complétée","F",IF(OR($H160="En cours",$H160="En revue"),"E",IF($H160="Bloquée","B","P"))),""))</f>
        <v/>
      </c>
      <c r="X160" s="53">
        <f>IF(OR($F160="",$G160=""),"",IF(AND(X$5&lt;=$G160,X$5+6&gt;=$F160),IF($H160="Complétée","F",IF(OR($H160="En cours",$H160="En revue"),"E",IF($H160="Bloquée","B","P"))),""))</f>
        <v/>
      </c>
      <c r="Y160" s="53">
        <f>IF(OR($F160="",$G160=""),"",IF(AND(Y$5&lt;=$G160,Y$5+6&gt;=$F160),IF($H160="Complétée","F",IF(OR($H160="En cours",$H160="En revue"),"E",IF($H160="Bloquée","B","P"))),""))</f>
        <v/>
      </c>
      <c r="Z160" s="53">
        <f>IF(OR($F160="",$G160=""),"",IF(AND(Z$5&lt;=$G160,Z$5+6&gt;=$F160),IF($H160="Complétée","F",IF(OR($H160="En cours",$H160="En revue"),"E",IF($H160="Bloquée","B","P"))),""))</f>
        <v/>
      </c>
      <c r="AA160" s="53">
        <f>IF(OR($F160="",$G160=""),"",IF(AND(AA$5&lt;=$G160,AA$5+6&gt;=$F160),IF($H160="Complétée","F",IF(OR($H160="En cours",$H160="En revue"),"E",IF($H160="Bloquée","B","P"))),""))</f>
        <v/>
      </c>
      <c r="AB160" s="53">
        <f>IF(OR($F160="",$G160=""),"",IF(AND(AB$5&lt;=$G160,AB$5+6&gt;=$F160),IF($H160="Complétée","F",IF(OR($H160="En cours",$H160="En revue"),"E",IF($H160="Bloquée","B","P"))),""))</f>
        <v/>
      </c>
      <c r="AC160" s="53">
        <f>IF(OR($F160="",$G160=""),"",IF(AND(AC$5&lt;=$G160,AC$5+6&gt;=$F160),IF($H160="Complétée","F",IF(OR($H160="En cours",$H160="En revue"),"E",IF($H160="Bloquée","B","P"))),""))</f>
        <v/>
      </c>
      <c r="AD160" s="53">
        <f>IF(OR($F160="",$G160=""),"",IF(AND(AD$5&lt;=$G160,AD$5+6&gt;=$F160),IF($H160="Complétée","F",IF(OR($H160="En cours",$H160="En revue"),"E",IF($H160="Bloquée","B","P"))),""))</f>
        <v/>
      </c>
      <c r="AE160" s="53">
        <f>IF(OR($F160="",$G160=""),"",IF(AND(AE$5&lt;=$G160,AE$5+6&gt;=$F160),IF($H160="Complétée","F",IF(OR($H160="En cours",$H160="En revue"),"E",IF($H160="Bloquée","B","P"))),""))</f>
        <v/>
      </c>
      <c r="AF160" s="53">
        <f>IF(OR($F160="",$G160=""),"",IF(AND(AF$5&lt;=$G160,AF$5+6&gt;=$F160),IF($H160="Complétée","F",IF(OR($H160="En cours",$H160="En revue"),"E",IF($H160="Bloquée","B","P"))),""))</f>
        <v/>
      </c>
      <c r="AG160" s="53">
        <f>IF(OR($F160="",$G160=""),"",IF(AND(AG$5&lt;=$G160,AG$5+6&gt;=$F160),IF($H160="Complétée","F",IF(OR($H160="En cours",$H160="En revue"),"E",IF($H160="Bloquée","B","P"))),""))</f>
        <v/>
      </c>
      <c r="AH160" s="53">
        <f>IF(OR($F160="",$G160=""),"",IF(AND(AH$5&lt;=$G160,AH$5+6&gt;=$F160),IF($H160="Complétée","F",IF(OR($H160="En cours",$H160="En revue"),"E",IF($H160="Bloquée","B","P"))),""))</f>
        <v/>
      </c>
      <c r="AI160" s="53">
        <f>IF(OR($F160="",$G160=""),"",IF(AND(AI$5&lt;=$G160,AI$5+6&gt;=$F160),IF($H160="Complétée","F",IF(OR($H160="En cours",$H160="En revue"),"E",IF($H160="Bloquée","B","P"))),""))</f>
        <v/>
      </c>
      <c r="AJ160" s="53">
        <f>IF(OR($F160="",$G160=""),"",IF(AND(AJ$5&lt;=$G160,AJ$5+6&gt;=$F160),IF($H160="Complétée","F",IF(OR($H160="En cours",$H160="En revue"),"E",IF($H160="Bloquée","B","P"))),""))</f>
        <v/>
      </c>
      <c r="AK160" s="53">
        <f>IF(OR($F160="",$G160=""),"",IF(AND(AK$5&lt;=$G160,AK$5+6&gt;=$F160),IF($H160="Complétée","F",IF(OR($H160="En cours",$H160="En revue"),"E",IF($H160="Bloquée","B","P"))),""))</f>
        <v/>
      </c>
      <c r="AL160" s="53">
        <f>IF(OR($F160="",$G160=""),"",IF(AND(AL$5&lt;=$G160,AL$5+6&gt;=$F160),IF($H160="Complétée","F",IF(OR($H160="En cours",$H160="En revue"),"E",IF($H160="Bloquée","B","P"))),""))</f>
        <v/>
      </c>
      <c r="AM160" s="53">
        <f>IF(OR($F160="",$G160=""),"",IF(AND(AM$5&lt;=$G160,AM$5+6&gt;=$F160),IF($H160="Complétée","F",IF(OR($H160="En cours",$H160="En revue"),"E",IF($H160="Bloquée","B","P"))),""))</f>
        <v/>
      </c>
      <c r="AN160" s="53">
        <f>IF(OR($F160="",$G160=""),"",IF(AND(AN$5&lt;=$G160,AN$5+6&gt;=$F160),IF($H160="Complétée","F",IF(OR($H160="En cours",$H160="En revue"),"E",IF($H160="Bloquée","B","P"))),""))</f>
        <v/>
      </c>
      <c r="AO160" s="53">
        <f>IF(OR($F160="",$G160=""),"",IF(AND(AO$5&lt;=$G160,AO$5+6&gt;=$F160),IF($H160="Complétée","F",IF(OR($H160="En cours",$H160="En revue"),"E",IF($H160="Bloquée","B","P"))),""))</f>
        <v/>
      </c>
      <c r="AP160" s="53">
        <f>IF(OR($F160="",$G160=""),"",IF(AND(AP$5&lt;=$G160,AP$5+6&gt;=$F160),IF($H160="Complétée","F",IF(OR($H160="En cours",$H160="En revue"),"E",IF($H160="Bloquée","B","P"))),""))</f>
        <v/>
      </c>
      <c r="AQ160" s="53">
        <f>IF(OR($F160="",$G160=""),"",IF(AND(AQ$5&lt;=$G160,AQ$5+6&gt;=$F160),IF($H160="Complétée","F",IF(OR($H160="En cours",$H160="En revue"),"E",IF($H160="Bloquée","B","P"))),""))</f>
        <v/>
      </c>
      <c r="AR160" s="53">
        <f>IF(OR($F160="",$G160=""),"",IF(AND(AR$5&lt;=$G160,AR$5+6&gt;=$F160),IF($H160="Complétée","F",IF(OR($H160="En cours",$H160="En revue"),"E",IF($H160="Bloquée","B","P"))),""))</f>
        <v/>
      </c>
      <c r="AS160" s="53">
        <f>IF(OR($F160="",$G160=""),"",IF(AND(AS$5&lt;=$G160,AS$5+6&gt;=$F160),IF($H160="Complétée","F",IF(OR($H160="En cours",$H160="En revue"),"E",IF($H160="Bloquée","B","P"))),""))</f>
        <v/>
      </c>
      <c r="AT160" s="53">
        <f>IF(OR($F160="",$G160=""),"",IF(AND(AT$5&lt;=$G160,AT$5+6&gt;=$F160),IF($H160="Complétée","F",IF(OR($H160="En cours",$H160="En revue"),"E",IF($H160="Bloquée","B","P"))),""))</f>
        <v/>
      </c>
      <c r="AU160" s="53">
        <f>IF(OR($F160="",$G160=""),"",IF(AND(AU$5&lt;=$G160,AU$5+6&gt;=$F160),IF($H160="Complétée","F",IF(OR($H160="En cours",$H160="En revue"),"E",IF($H160="Bloquée","B","P"))),""))</f>
        <v/>
      </c>
      <c r="AV160" s="53">
        <f>IF(OR($F160="",$G160=""),"",IF(AND(AV$5&lt;=$G160,AV$5+6&gt;=$F160),IF($H160="Complétée","F",IF(OR($H160="En cours",$H160="En revue"),"E",IF($H160="Bloquée","B","P"))),""))</f>
        <v/>
      </c>
      <c r="AW160" s="53">
        <f>IF(OR($F160="",$G160=""),"",IF(AND(AW$5&lt;=$G160,AW$5+6&gt;=$F160),IF($H160="Complétée","F",IF(OR($H160="En cours",$H160="En revue"),"E",IF($H160="Bloquée","B","P"))),""))</f>
        <v/>
      </c>
    </row>
    <row r="161">
      <c r="B161" s="50">
        <f>IF(Taches!B161="","",Taches!B161)</f>
        <v/>
      </c>
      <c r="C161" s="51">
        <f>IF(Taches!B161="","",Taches!F161)</f>
        <v/>
      </c>
      <c r="D161" s="50">
        <f>IF(Taches!B161="","",Taches!C161)</f>
        <v/>
      </c>
      <c r="E161" s="50">
        <f>IF(Taches!B161="","",Taches!D161)</f>
        <v/>
      </c>
      <c r="F161" s="52">
        <f>IF(Taches!P161="","",Taches!P161)</f>
        <v/>
      </c>
      <c r="G161" s="52">
        <f>IF(Taches!Q161="","",Taches!Q161)</f>
        <v/>
      </c>
      <c r="H161" s="50">
        <f>IF(Taches!B161="","",Taches!J161)</f>
        <v/>
      </c>
      <c r="I161" s="53">
        <f>IF(OR($F161="",$G161=""),"",IF(AND(I$5&lt;=$G161,I$5+6&gt;=$F161),IF($H161="Complétée","F",IF(OR($H161="En cours",$H161="En revue"),"E",IF($H161="Bloquée","B","P"))),""))</f>
        <v/>
      </c>
      <c r="J161" s="53">
        <f>IF(OR($F161="",$G161=""),"",IF(AND(J$5&lt;=$G161,J$5+6&gt;=$F161),IF($H161="Complétée","F",IF(OR($H161="En cours",$H161="En revue"),"E",IF($H161="Bloquée","B","P"))),""))</f>
        <v/>
      </c>
      <c r="K161" s="53">
        <f>IF(OR($F161="",$G161=""),"",IF(AND(K$5&lt;=$G161,K$5+6&gt;=$F161),IF($H161="Complétée","F",IF(OR($H161="En cours",$H161="En revue"),"E",IF($H161="Bloquée","B","P"))),""))</f>
        <v/>
      </c>
      <c r="L161" s="53">
        <f>IF(OR($F161="",$G161=""),"",IF(AND(L$5&lt;=$G161,L$5+6&gt;=$F161),IF($H161="Complétée","F",IF(OR($H161="En cours",$H161="En revue"),"E",IF($H161="Bloquée","B","P"))),""))</f>
        <v/>
      </c>
      <c r="M161" s="53">
        <f>IF(OR($F161="",$G161=""),"",IF(AND(M$5&lt;=$G161,M$5+6&gt;=$F161),IF($H161="Complétée","F",IF(OR($H161="En cours",$H161="En revue"),"E",IF($H161="Bloquée","B","P"))),""))</f>
        <v/>
      </c>
      <c r="N161" s="53">
        <f>IF(OR($F161="",$G161=""),"",IF(AND(N$5&lt;=$G161,N$5+6&gt;=$F161),IF($H161="Complétée","F",IF(OR($H161="En cours",$H161="En revue"),"E",IF($H161="Bloquée","B","P"))),""))</f>
        <v/>
      </c>
      <c r="O161" s="53">
        <f>IF(OR($F161="",$G161=""),"",IF(AND(O$5&lt;=$G161,O$5+6&gt;=$F161),IF($H161="Complétée","F",IF(OR($H161="En cours",$H161="En revue"),"E",IF($H161="Bloquée","B","P"))),""))</f>
        <v/>
      </c>
      <c r="P161" s="53">
        <f>IF(OR($F161="",$G161=""),"",IF(AND(P$5&lt;=$G161,P$5+6&gt;=$F161),IF($H161="Complétée","F",IF(OR($H161="En cours",$H161="En revue"),"E",IF($H161="Bloquée","B","P"))),""))</f>
        <v/>
      </c>
      <c r="Q161" s="53">
        <f>IF(OR($F161="",$G161=""),"",IF(AND(Q$5&lt;=$G161,Q$5+6&gt;=$F161),IF($H161="Complétée","F",IF(OR($H161="En cours",$H161="En revue"),"E",IF($H161="Bloquée","B","P"))),""))</f>
        <v/>
      </c>
      <c r="R161" s="53">
        <f>IF(OR($F161="",$G161=""),"",IF(AND(R$5&lt;=$G161,R$5+6&gt;=$F161),IF($H161="Complétée","F",IF(OR($H161="En cours",$H161="En revue"),"E",IF($H161="Bloquée","B","P"))),""))</f>
        <v/>
      </c>
      <c r="S161" s="53">
        <f>IF(OR($F161="",$G161=""),"",IF(AND(S$5&lt;=$G161,S$5+6&gt;=$F161),IF($H161="Complétée","F",IF(OR($H161="En cours",$H161="En revue"),"E",IF($H161="Bloquée","B","P"))),""))</f>
        <v/>
      </c>
      <c r="T161" s="53">
        <f>IF(OR($F161="",$G161=""),"",IF(AND(T$5&lt;=$G161,T$5+6&gt;=$F161),IF($H161="Complétée","F",IF(OR($H161="En cours",$H161="En revue"),"E",IF($H161="Bloquée","B","P"))),""))</f>
        <v/>
      </c>
      <c r="U161" s="53">
        <f>IF(OR($F161="",$G161=""),"",IF(AND(U$5&lt;=$G161,U$5+6&gt;=$F161),IF($H161="Complétée","F",IF(OR($H161="En cours",$H161="En revue"),"E",IF($H161="Bloquée","B","P"))),""))</f>
        <v/>
      </c>
      <c r="V161" s="53">
        <f>IF(OR($F161="",$G161=""),"",IF(AND(V$5&lt;=$G161,V$5+6&gt;=$F161),IF($H161="Complétée","F",IF(OR($H161="En cours",$H161="En revue"),"E",IF($H161="Bloquée","B","P"))),""))</f>
        <v/>
      </c>
      <c r="W161" s="53">
        <f>IF(OR($F161="",$G161=""),"",IF(AND(W$5&lt;=$G161,W$5+6&gt;=$F161),IF($H161="Complétée","F",IF(OR($H161="En cours",$H161="En revue"),"E",IF($H161="Bloquée","B","P"))),""))</f>
        <v/>
      </c>
      <c r="X161" s="53">
        <f>IF(OR($F161="",$G161=""),"",IF(AND(X$5&lt;=$G161,X$5+6&gt;=$F161),IF($H161="Complétée","F",IF(OR($H161="En cours",$H161="En revue"),"E",IF($H161="Bloquée","B","P"))),""))</f>
        <v/>
      </c>
      <c r="Y161" s="53">
        <f>IF(OR($F161="",$G161=""),"",IF(AND(Y$5&lt;=$G161,Y$5+6&gt;=$F161),IF($H161="Complétée","F",IF(OR($H161="En cours",$H161="En revue"),"E",IF($H161="Bloquée","B","P"))),""))</f>
        <v/>
      </c>
      <c r="Z161" s="53">
        <f>IF(OR($F161="",$G161=""),"",IF(AND(Z$5&lt;=$G161,Z$5+6&gt;=$F161),IF($H161="Complétée","F",IF(OR($H161="En cours",$H161="En revue"),"E",IF($H161="Bloquée","B","P"))),""))</f>
        <v/>
      </c>
      <c r="AA161" s="53">
        <f>IF(OR($F161="",$G161=""),"",IF(AND(AA$5&lt;=$G161,AA$5+6&gt;=$F161),IF($H161="Complétée","F",IF(OR($H161="En cours",$H161="En revue"),"E",IF($H161="Bloquée","B","P"))),""))</f>
        <v/>
      </c>
      <c r="AB161" s="53">
        <f>IF(OR($F161="",$G161=""),"",IF(AND(AB$5&lt;=$G161,AB$5+6&gt;=$F161),IF($H161="Complétée","F",IF(OR($H161="En cours",$H161="En revue"),"E",IF($H161="Bloquée","B","P"))),""))</f>
        <v/>
      </c>
      <c r="AC161" s="53">
        <f>IF(OR($F161="",$G161=""),"",IF(AND(AC$5&lt;=$G161,AC$5+6&gt;=$F161),IF($H161="Complétée","F",IF(OR($H161="En cours",$H161="En revue"),"E",IF($H161="Bloquée","B","P"))),""))</f>
        <v/>
      </c>
      <c r="AD161" s="53">
        <f>IF(OR($F161="",$G161=""),"",IF(AND(AD$5&lt;=$G161,AD$5+6&gt;=$F161),IF($H161="Complétée","F",IF(OR($H161="En cours",$H161="En revue"),"E",IF($H161="Bloquée","B","P"))),""))</f>
        <v/>
      </c>
      <c r="AE161" s="53">
        <f>IF(OR($F161="",$G161=""),"",IF(AND(AE$5&lt;=$G161,AE$5+6&gt;=$F161),IF($H161="Complétée","F",IF(OR($H161="En cours",$H161="En revue"),"E",IF($H161="Bloquée","B","P"))),""))</f>
        <v/>
      </c>
      <c r="AF161" s="53">
        <f>IF(OR($F161="",$G161=""),"",IF(AND(AF$5&lt;=$G161,AF$5+6&gt;=$F161),IF($H161="Complétée","F",IF(OR($H161="En cours",$H161="En revue"),"E",IF($H161="Bloquée","B","P"))),""))</f>
        <v/>
      </c>
      <c r="AG161" s="53">
        <f>IF(OR($F161="",$G161=""),"",IF(AND(AG$5&lt;=$G161,AG$5+6&gt;=$F161),IF($H161="Complétée","F",IF(OR($H161="En cours",$H161="En revue"),"E",IF($H161="Bloquée","B","P"))),""))</f>
        <v/>
      </c>
      <c r="AH161" s="53">
        <f>IF(OR($F161="",$G161=""),"",IF(AND(AH$5&lt;=$G161,AH$5+6&gt;=$F161),IF($H161="Complétée","F",IF(OR($H161="En cours",$H161="En revue"),"E",IF($H161="Bloquée","B","P"))),""))</f>
        <v/>
      </c>
      <c r="AI161" s="53">
        <f>IF(OR($F161="",$G161=""),"",IF(AND(AI$5&lt;=$G161,AI$5+6&gt;=$F161),IF($H161="Complétée","F",IF(OR($H161="En cours",$H161="En revue"),"E",IF($H161="Bloquée","B","P"))),""))</f>
        <v/>
      </c>
      <c r="AJ161" s="53">
        <f>IF(OR($F161="",$G161=""),"",IF(AND(AJ$5&lt;=$G161,AJ$5+6&gt;=$F161),IF($H161="Complétée","F",IF(OR($H161="En cours",$H161="En revue"),"E",IF($H161="Bloquée","B","P"))),""))</f>
        <v/>
      </c>
      <c r="AK161" s="53">
        <f>IF(OR($F161="",$G161=""),"",IF(AND(AK$5&lt;=$G161,AK$5+6&gt;=$F161),IF($H161="Complétée","F",IF(OR($H161="En cours",$H161="En revue"),"E",IF($H161="Bloquée","B","P"))),""))</f>
        <v/>
      </c>
      <c r="AL161" s="53">
        <f>IF(OR($F161="",$G161=""),"",IF(AND(AL$5&lt;=$G161,AL$5+6&gt;=$F161),IF($H161="Complétée","F",IF(OR($H161="En cours",$H161="En revue"),"E",IF($H161="Bloquée","B","P"))),""))</f>
        <v/>
      </c>
      <c r="AM161" s="53">
        <f>IF(OR($F161="",$G161=""),"",IF(AND(AM$5&lt;=$G161,AM$5+6&gt;=$F161),IF($H161="Complétée","F",IF(OR($H161="En cours",$H161="En revue"),"E",IF($H161="Bloquée","B","P"))),""))</f>
        <v/>
      </c>
      <c r="AN161" s="53">
        <f>IF(OR($F161="",$G161=""),"",IF(AND(AN$5&lt;=$G161,AN$5+6&gt;=$F161),IF($H161="Complétée","F",IF(OR($H161="En cours",$H161="En revue"),"E",IF($H161="Bloquée","B","P"))),""))</f>
        <v/>
      </c>
      <c r="AO161" s="53">
        <f>IF(OR($F161="",$G161=""),"",IF(AND(AO$5&lt;=$G161,AO$5+6&gt;=$F161),IF($H161="Complétée","F",IF(OR($H161="En cours",$H161="En revue"),"E",IF($H161="Bloquée","B","P"))),""))</f>
        <v/>
      </c>
      <c r="AP161" s="53">
        <f>IF(OR($F161="",$G161=""),"",IF(AND(AP$5&lt;=$G161,AP$5+6&gt;=$F161),IF($H161="Complétée","F",IF(OR($H161="En cours",$H161="En revue"),"E",IF($H161="Bloquée","B","P"))),""))</f>
        <v/>
      </c>
      <c r="AQ161" s="53">
        <f>IF(OR($F161="",$G161=""),"",IF(AND(AQ$5&lt;=$G161,AQ$5+6&gt;=$F161),IF($H161="Complétée","F",IF(OR($H161="En cours",$H161="En revue"),"E",IF($H161="Bloquée","B","P"))),""))</f>
        <v/>
      </c>
      <c r="AR161" s="53">
        <f>IF(OR($F161="",$G161=""),"",IF(AND(AR$5&lt;=$G161,AR$5+6&gt;=$F161),IF($H161="Complétée","F",IF(OR($H161="En cours",$H161="En revue"),"E",IF($H161="Bloquée","B","P"))),""))</f>
        <v/>
      </c>
      <c r="AS161" s="53">
        <f>IF(OR($F161="",$G161=""),"",IF(AND(AS$5&lt;=$G161,AS$5+6&gt;=$F161),IF($H161="Complétée","F",IF(OR($H161="En cours",$H161="En revue"),"E",IF($H161="Bloquée","B","P"))),""))</f>
        <v/>
      </c>
      <c r="AT161" s="53">
        <f>IF(OR($F161="",$G161=""),"",IF(AND(AT$5&lt;=$G161,AT$5+6&gt;=$F161),IF($H161="Complétée","F",IF(OR($H161="En cours",$H161="En revue"),"E",IF($H161="Bloquée","B","P"))),""))</f>
        <v/>
      </c>
      <c r="AU161" s="53">
        <f>IF(OR($F161="",$G161=""),"",IF(AND(AU$5&lt;=$G161,AU$5+6&gt;=$F161),IF($H161="Complétée","F",IF(OR($H161="En cours",$H161="En revue"),"E",IF($H161="Bloquée","B","P"))),""))</f>
        <v/>
      </c>
      <c r="AV161" s="53">
        <f>IF(OR($F161="",$G161=""),"",IF(AND(AV$5&lt;=$G161,AV$5+6&gt;=$F161),IF($H161="Complétée","F",IF(OR($H161="En cours",$H161="En revue"),"E",IF($H161="Bloquée","B","P"))),""))</f>
        <v/>
      </c>
      <c r="AW161" s="53">
        <f>IF(OR($F161="",$G161=""),"",IF(AND(AW$5&lt;=$G161,AW$5+6&gt;=$F161),IF($H161="Complétée","F",IF(OR($H161="En cours",$H161="En revue"),"E",IF($H161="Bloquée","B","P"))),""))</f>
        <v/>
      </c>
    </row>
    <row r="162">
      <c r="B162" s="50">
        <f>IF(Taches!B162="","",Taches!B162)</f>
        <v/>
      </c>
      <c r="C162" s="51">
        <f>IF(Taches!B162="","",Taches!F162)</f>
        <v/>
      </c>
      <c r="D162" s="50">
        <f>IF(Taches!B162="","",Taches!C162)</f>
        <v/>
      </c>
      <c r="E162" s="50">
        <f>IF(Taches!B162="","",Taches!D162)</f>
        <v/>
      </c>
      <c r="F162" s="52">
        <f>IF(Taches!P162="","",Taches!P162)</f>
        <v/>
      </c>
      <c r="G162" s="52">
        <f>IF(Taches!Q162="","",Taches!Q162)</f>
        <v/>
      </c>
      <c r="H162" s="50">
        <f>IF(Taches!B162="","",Taches!J162)</f>
        <v/>
      </c>
      <c r="I162" s="53">
        <f>IF(OR($F162="",$G162=""),"",IF(AND(I$5&lt;=$G162,I$5+6&gt;=$F162),IF($H162="Complétée","F",IF(OR($H162="En cours",$H162="En revue"),"E",IF($H162="Bloquée","B","P"))),""))</f>
        <v/>
      </c>
      <c r="J162" s="53">
        <f>IF(OR($F162="",$G162=""),"",IF(AND(J$5&lt;=$G162,J$5+6&gt;=$F162),IF($H162="Complétée","F",IF(OR($H162="En cours",$H162="En revue"),"E",IF($H162="Bloquée","B","P"))),""))</f>
        <v/>
      </c>
      <c r="K162" s="53">
        <f>IF(OR($F162="",$G162=""),"",IF(AND(K$5&lt;=$G162,K$5+6&gt;=$F162),IF($H162="Complétée","F",IF(OR($H162="En cours",$H162="En revue"),"E",IF($H162="Bloquée","B","P"))),""))</f>
        <v/>
      </c>
      <c r="L162" s="53">
        <f>IF(OR($F162="",$G162=""),"",IF(AND(L$5&lt;=$G162,L$5+6&gt;=$F162),IF($H162="Complétée","F",IF(OR($H162="En cours",$H162="En revue"),"E",IF($H162="Bloquée","B","P"))),""))</f>
        <v/>
      </c>
      <c r="M162" s="53">
        <f>IF(OR($F162="",$G162=""),"",IF(AND(M$5&lt;=$G162,M$5+6&gt;=$F162),IF($H162="Complétée","F",IF(OR($H162="En cours",$H162="En revue"),"E",IF($H162="Bloquée","B","P"))),""))</f>
        <v/>
      </c>
      <c r="N162" s="53">
        <f>IF(OR($F162="",$G162=""),"",IF(AND(N$5&lt;=$G162,N$5+6&gt;=$F162),IF($H162="Complétée","F",IF(OR($H162="En cours",$H162="En revue"),"E",IF($H162="Bloquée","B","P"))),""))</f>
        <v/>
      </c>
      <c r="O162" s="53">
        <f>IF(OR($F162="",$G162=""),"",IF(AND(O$5&lt;=$G162,O$5+6&gt;=$F162),IF($H162="Complétée","F",IF(OR($H162="En cours",$H162="En revue"),"E",IF($H162="Bloquée","B","P"))),""))</f>
        <v/>
      </c>
      <c r="P162" s="53">
        <f>IF(OR($F162="",$G162=""),"",IF(AND(P$5&lt;=$G162,P$5+6&gt;=$F162),IF($H162="Complétée","F",IF(OR($H162="En cours",$H162="En revue"),"E",IF($H162="Bloquée","B","P"))),""))</f>
        <v/>
      </c>
      <c r="Q162" s="53">
        <f>IF(OR($F162="",$G162=""),"",IF(AND(Q$5&lt;=$G162,Q$5+6&gt;=$F162),IF($H162="Complétée","F",IF(OR($H162="En cours",$H162="En revue"),"E",IF($H162="Bloquée","B","P"))),""))</f>
        <v/>
      </c>
      <c r="R162" s="53">
        <f>IF(OR($F162="",$G162=""),"",IF(AND(R$5&lt;=$G162,R$5+6&gt;=$F162),IF($H162="Complétée","F",IF(OR($H162="En cours",$H162="En revue"),"E",IF($H162="Bloquée","B","P"))),""))</f>
        <v/>
      </c>
      <c r="S162" s="53">
        <f>IF(OR($F162="",$G162=""),"",IF(AND(S$5&lt;=$G162,S$5+6&gt;=$F162),IF($H162="Complétée","F",IF(OR($H162="En cours",$H162="En revue"),"E",IF($H162="Bloquée","B","P"))),""))</f>
        <v/>
      </c>
      <c r="T162" s="53">
        <f>IF(OR($F162="",$G162=""),"",IF(AND(T$5&lt;=$G162,T$5+6&gt;=$F162),IF($H162="Complétée","F",IF(OR($H162="En cours",$H162="En revue"),"E",IF($H162="Bloquée","B","P"))),""))</f>
        <v/>
      </c>
      <c r="U162" s="53">
        <f>IF(OR($F162="",$G162=""),"",IF(AND(U$5&lt;=$G162,U$5+6&gt;=$F162),IF($H162="Complétée","F",IF(OR($H162="En cours",$H162="En revue"),"E",IF($H162="Bloquée","B","P"))),""))</f>
        <v/>
      </c>
      <c r="V162" s="53">
        <f>IF(OR($F162="",$G162=""),"",IF(AND(V$5&lt;=$G162,V$5+6&gt;=$F162),IF($H162="Complétée","F",IF(OR($H162="En cours",$H162="En revue"),"E",IF($H162="Bloquée","B","P"))),""))</f>
        <v/>
      </c>
      <c r="W162" s="53">
        <f>IF(OR($F162="",$G162=""),"",IF(AND(W$5&lt;=$G162,W$5+6&gt;=$F162),IF($H162="Complétée","F",IF(OR($H162="En cours",$H162="En revue"),"E",IF($H162="Bloquée","B","P"))),""))</f>
        <v/>
      </c>
      <c r="X162" s="53">
        <f>IF(OR($F162="",$G162=""),"",IF(AND(X$5&lt;=$G162,X$5+6&gt;=$F162),IF($H162="Complétée","F",IF(OR($H162="En cours",$H162="En revue"),"E",IF($H162="Bloquée","B","P"))),""))</f>
        <v/>
      </c>
      <c r="Y162" s="53">
        <f>IF(OR($F162="",$G162=""),"",IF(AND(Y$5&lt;=$G162,Y$5+6&gt;=$F162),IF($H162="Complétée","F",IF(OR($H162="En cours",$H162="En revue"),"E",IF($H162="Bloquée","B","P"))),""))</f>
        <v/>
      </c>
      <c r="Z162" s="53">
        <f>IF(OR($F162="",$G162=""),"",IF(AND(Z$5&lt;=$G162,Z$5+6&gt;=$F162),IF($H162="Complétée","F",IF(OR($H162="En cours",$H162="En revue"),"E",IF($H162="Bloquée","B","P"))),""))</f>
        <v/>
      </c>
      <c r="AA162" s="53">
        <f>IF(OR($F162="",$G162=""),"",IF(AND(AA$5&lt;=$G162,AA$5+6&gt;=$F162),IF($H162="Complétée","F",IF(OR($H162="En cours",$H162="En revue"),"E",IF($H162="Bloquée","B","P"))),""))</f>
        <v/>
      </c>
      <c r="AB162" s="53">
        <f>IF(OR($F162="",$G162=""),"",IF(AND(AB$5&lt;=$G162,AB$5+6&gt;=$F162),IF($H162="Complétée","F",IF(OR($H162="En cours",$H162="En revue"),"E",IF($H162="Bloquée","B","P"))),""))</f>
        <v/>
      </c>
      <c r="AC162" s="53">
        <f>IF(OR($F162="",$G162=""),"",IF(AND(AC$5&lt;=$G162,AC$5+6&gt;=$F162),IF($H162="Complétée","F",IF(OR($H162="En cours",$H162="En revue"),"E",IF($H162="Bloquée","B","P"))),""))</f>
        <v/>
      </c>
      <c r="AD162" s="53">
        <f>IF(OR($F162="",$G162=""),"",IF(AND(AD$5&lt;=$G162,AD$5+6&gt;=$F162),IF($H162="Complétée","F",IF(OR($H162="En cours",$H162="En revue"),"E",IF($H162="Bloquée","B","P"))),""))</f>
        <v/>
      </c>
      <c r="AE162" s="53">
        <f>IF(OR($F162="",$G162=""),"",IF(AND(AE$5&lt;=$G162,AE$5+6&gt;=$F162),IF($H162="Complétée","F",IF(OR($H162="En cours",$H162="En revue"),"E",IF($H162="Bloquée","B","P"))),""))</f>
        <v/>
      </c>
      <c r="AF162" s="53">
        <f>IF(OR($F162="",$G162=""),"",IF(AND(AF$5&lt;=$G162,AF$5+6&gt;=$F162),IF($H162="Complétée","F",IF(OR($H162="En cours",$H162="En revue"),"E",IF($H162="Bloquée","B","P"))),""))</f>
        <v/>
      </c>
      <c r="AG162" s="53">
        <f>IF(OR($F162="",$G162=""),"",IF(AND(AG$5&lt;=$G162,AG$5+6&gt;=$F162),IF($H162="Complétée","F",IF(OR($H162="En cours",$H162="En revue"),"E",IF($H162="Bloquée","B","P"))),""))</f>
        <v/>
      </c>
      <c r="AH162" s="53">
        <f>IF(OR($F162="",$G162=""),"",IF(AND(AH$5&lt;=$G162,AH$5+6&gt;=$F162),IF($H162="Complétée","F",IF(OR($H162="En cours",$H162="En revue"),"E",IF($H162="Bloquée","B","P"))),""))</f>
        <v/>
      </c>
      <c r="AI162" s="53">
        <f>IF(OR($F162="",$G162=""),"",IF(AND(AI$5&lt;=$G162,AI$5+6&gt;=$F162),IF($H162="Complétée","F",IF(OR($H162="En cours",$H162="En revue"),"E",IF($H162="Bloquée","B","P"))),""))</f>
        <v/>
      </c>
      <c r="AJ162" s="53">
        <f>IF(OR($F162="",$G162=""),"",IF(AND(AJ$5&lt;=$G162,AJ$5+6&gt;=$F162),IF($H162="Complétée","F",IF(OR($H162="En cours",$H162="En revue"),"E",IF($H162="Bloquée","B","P"))),""))</f>
        <v/>
      </c>
      <c r="AK162" s="53">
        <f>IF(OR($F162="",$G162=""),"",IF(AND(AK$5&lt;=$G162,AK$5+6&gt;=$F162),IF($H162="Complétée","F",IF(OR($H162="En cours",$H162="En revue"),"E",IF($H162="Bloquée","B","P"))),""))</f>
        <v/>
      </c>
      <c r="AL162" s="53">
        <f>IF(OR($F162="",$G162=""),"",IF(AND(AL$5&lt;=$G162,AL$5+6&gt;=$F162),IF($H162="Complétée","F",IF(OR($H162="En cours",$H162="En revue"),"E",IF($H162="Bloquée","B","P"))),""))</f>
        <v/>
      </c>
      <c r="AM162" s="53">
        <f>IF(OR($F162="",$G162=""),"",IF(AND(AM$5&lt;=$G162,AM$5+6&gt;=$F162),IF($H162="Complétée","F",IF(OR($H162="En cours",$H162="En revue"),"E",IF($H162="Bloquée","B","P"))),""))</f>
        <v/>
      </c>
      <c r="AN162" s="53">
        <f>IF(OR($F162="",$G162=""),"",IF(AND(AN$5&lt;=$G162,AN$5+6&gt;=$F162),IF($H162="Complétée","F",IF(OR($H162="En cours",$H162="En revue"),"E",IF($H162="Bloquée","B","P"))),""))</f>
        <v/>
      </c>
      <c r="AO162" s="53">
        <f>IF(OR($F162="",$G162=""),"",IF(AND(AO$5&lt;=$G162,AO$5+6&gt;=$F162),IF($H162="Complétée","F",IF(OR($H162="En cours",$H162="En revue"),"E",IF($H162="Bloquée","B","P"))),""))</f>
        <v/>
      </c>
      <c r="AP162" s="53">
        <f>IF(OR($F162="",$G162=""),"",IF(AND(AP$5&lt;=$G162,AP$5+6&gt;=$F162),IF($H162="Complétée","F",IF(OR($H162="En cours",$H162="En revue"),"E",IF($H162="Bloquée","B","P"))),""))</f>
        <v/>
      </c>
      <c r="AQ162" s="53">
        <f>IF(OR($F162="",$G162=""),"",IF(AND(AQ$5&lt;=$G162,AQ$5+6&gt;=$F162),IF($H162="Complétée","F",IF(OR($H162="En cours",$H162="En revue"),"E",IF($H162="Bloquée","B","P"))),""))</f>
        <v/>
      </c>
      <c r="AR162" s="53">
        <f>IF(OR($F162="",$G162=""),"",IF(AND(AR$5&lt;=$G162,AR$5+6&gt;=$F162),IF($H162="Complétée","F",IF(OR($H162="En cours",$H162="En revue"),"E",IF($H162="Bloquée","B","P"))),""))</f>
        <v/>
      </c>
      <c r="AS162" s="53">
        <f>IF(OR($F162="",$G162=""),"",IF(AND(AS$5&lt;=$G162,AS$5+6&gt;=$F162),IF($H162="Complétée","F",IF(OR($H162="En cours",$H162="En revue"),"E",IF($H162="Bloquée","B","P"))),""))</f>
        <v/>
      </c>
      <c r="AT162" s="53">
        <f>IF(OR($F162="",$G162=""),"",IF(AND(AT$5&lt;=$G162,AT$5+6&gt;=$F162),IF($H162="Complétée","F",IF(OR($H162="En cours",$H162="En revue"),"E",IF($H162="Bloquée","B","P"))),""))</f>
        <v/>
      </c>
      <c r="AU162" s="53">
        <f>IF(OR($F162="",$G162=""),"",IF(AND(AU$5&lt;=$G162,AU$5+6&gt;=$F162),IF($H162="Complétée","F",IF(OR($H162="En cours",$H162="En revue"),"E",IF($H162="Bloquée","B","P"))),""))</f>
        <v/>
      </c>
      <c r="AV162" s="53">
        <f>IF(OR($F162="",$G162=""),"",IF(AND(AV$5&lt;=$G162,AV$5+6&gt;=$F162),IF($H162="Complétée","F",IF(OR($H162="En cours",$H162="En revue"),"E",IF($H162="Bloquée","B","P"))),""))</f>
        <v/>
      </c>
      <c r="AW162" s="53">
        <f>IF(OR($F162="",$G162=""),"",IF(AND(AW$5&lt;=$G162,AW$5+6&gt;=$F162),IF($H162="Complétée","F",IF(OR($H162="En cours",$H162="En revue"),"E",IF($H162="Bloquée","B","P"))),""))</f>
        <v/>
      </c>
    </row>
    <row r="163">
      <c r="B163" s="50">
        <f>IF(Taches!B163="","",Taches!B163)</f>
        <v/>
      </c>
      <c r="C163" s="51">
        <f>IF(Taches!B163="","",Taches!F163)</f>
        <v/>
      </c>
      <c r="D163" s="50">
        <f>IF(Taches!B163="","",Taches!C163)</f>
        <v/>
      </c>
      <c r="E163" s="50">
        <f>IF(Taches!B163="","",Taches!D163)</f>
        <v/>
      </c>
      <c r="F163" s="52">
        <f>IF(Taches!P163="","",Taches!P163)</f>
        <v/>
      </c>
      <c r="G163" s="52">
        <f>IF(Taches!Q163="","",Taches!Q163)</f>
        <v/>
      </c>
      <c r="H163" s="50">
        <f>IF(Taches!B163="","",Taches!J163)</f>
        <v/>
      </c>
      <c r="I163" s="53">
        <f>IF(OR($F163="",$G163=""),"",IF(AND(I$5&lt;=$G163,I$5+6&gt;=$F163),IF($H163="Complétée","F",IF(OR($H163="En cours",$H163="En revue"),"E",IF($H163="Bloquée","B","P"))),""))</f>
        <v/>
      </c>
      <c r="J163" s="53">
        <f>IF(OR($F163="",$G163=""),"",IF(AND(J$5&lt;=$G163,J$5+6&gt;=$F163),IF($H163="Complétée","F",IF(OR($H163="En cours",$H163="En revue"),"E",IF($H163="Bloquée","B","P"))),""))</f>
        <v/>
      </c>
      <c r="K163" s="53">
        <f>IF(OR($F163="",$G163=""),"",IF(AND(K$5&lt;=$G163,K$5+6&gt;=$F163),IF($H163="Complétée","F",IF(OR($H163="En cours",$H163="En revue"),"E",IF($H163="Bloquée","B","P"))),""))</f>
        <v/>
      </c>
      <c r="L163" s="53">
        <f>IF(OR($F163="",$G163=""),"",IF(AND(L$5&lt;=$G163,L$5+6&gt;=$F163),IF($H163="Complétée","F",IF(OR($H163="En cours",$H163="En revue"),"E",IF($H163="Bloquée","B","P"))),""))</f>
        <v/>
      </c>
      <c r="M163" s="53">
        <f>IF(OR($F163="",$G163=""),"",IF(AND(M$5&lt;=$G163,M$5+6&gt;=$F163),IF($H163="Complétée","F",IF(OR($H163="En cours",$H163="En revue"),"E",IF($H163="Bloquée","B","P"))),""))</f>
        <v/>
      </c>
      <c r="N163" s="53">
        <f>IF(OR($F163="",$G163=""),"",IF(AND(N$5&lt;=$G163,N$5+6&gt;=$F163),IF($H163="Complétée","F",IF(OR($H163="En cours",$H163="En revue"),"E",IF($H163="Bloquée","B","P"))),""))</f>
        <v/>
      </c>
      <c r="O163" s="53">
        <f>IF(OR($F163="",$G163=""),"",IF(AND(O$5&lt;=$G163,O$5+6&gt;=$F163),IF($H163="Complétée","F",IF(OR($H163="En cours",$H163="En revue"),"E",IF($H163="Bloquée","B","P"))),""))</f>
        <v/>
      </c>
      <c r="P163" s="53">
        <f>IF(OR($F163="",$G163=""),"",IF(AND(P$5&lt;=$G163,P$5+6&gt;=$F163),IF($H163="Complétée","F",IF(OR($H163="En cours",$H163="En revue"),"E",IF($H163="Bloquée","B","P"))),""))</f>
        <v/>
      </c>
      <c r="Q163" s="53">
        <f>IF(OR($F163="",$G163=""),"",IF(AND(Q$5&lt;=$G163,Q$5+6&gt;=$F163),IF($H163="Complétée","F",IF(OR($H163="En cours",$H163="En revue"),"E",IF($H163="Bloquée","B","P"))),""))</f>
        <v/>
      </c>
      <c r="R163" s="53">
        <f>IF(OR($F163="",$G163=""),"",IF(AND(R$5&lt;=$G163,R$5+6&gt;=$F163),IF($H163="Complétée","F",IF(OR($H163="En cours",$H163="En revue"),"E",IF($H163="Bloquée","B","P"))),""))</f>
        <v/>
      </c>
      <c r="S163" s="53">
        <f>IF(OR($F163="",$G163=""),"",IF(AND(S$5&lt;=$G163,S$5+6&gt;=$F163),IF($H163="Complétée","F",IF(OR($H163="En cours",$H163="En revue"),"E",IF($H163="Bloquée","B","P"))),""))</f>
        <v/>
      </c>
      <c r="T163" s="53">
        <f>IF(OR($F163="",$G163=""),"",IF(AND(T$5&lt;=$G163,T$5+6&gt;=$F163),IF($H163="Complétée","F",IF(OR($H163="En cours",$H163="En revue"),"E",IF($H163="Bloquée","B","P"))),""))</f>
        <v/>
      </c>
      <c r="U163" s="53">
        <f>IF(OR($F163="",$G163=""),"",IF(AND(U$5&lt;=$G163,U$5+6&gt;=$F163),IF($H163="Complétée","F",IF(OR($H163="En cours",$H163="En revue"),"E",IF($H163="Bloquée","B","P"))),""))</f>
        <v/>
      </c>
      <c r="V163" s="53">
        <f>IF(OR($F163="",$G163=""),"",IF(AND(V$5&lt;=$G163,V$5+6&gt;=$F163),IF($H163="Complétée","F",IF(OR($H163="En cours",$H163="En revue"),"E",IF($H163="Bloquée","B","P"))),""))</f>
        <v/>
      </c>
      <c r="W163" s="53">
        <f>IF(OR($F163="",$G163=""),"",IF(AND(W$5&lt;=$G163,W$5+6&gt;=$F163),IF($H163="Complétée","F",IF(OR($H163="En cours",$H163="En revue"),"E",IF($H163="Bloquée","B","P"))),""))</f>
        <v/>
      </c>
      <c r="X163" s="53">
        <f>IF(OR($F163="",$G163=""),"",IF(AND(X$5&lt;=$G163,X$5+6&gt;=$F163),IF($H163="Complétée","F",IF(OR($H163="En cours",$H163="En revue"),"E",IF($H163="Bloquée","B","P"))),""))</f>
        <v/>
      </c>
      <c r="Y163" s="53">
        <f>IF(OR($F163="",$G163=""),"",IF(AND(Y$5&lt;=$G163,Y$5+6&gt;=$F163),IF($H163="Complétée","F",IF(OR($H163="En cours",$H163="En revue"),"E",IF($H163="Bloquée","B","P"))),""))</f>
        <v/>
      </c>
      <c r="Z163" s="53">
        <f>IF(OR($F163="",$G163=""),"",IF(AND(Z$5&lt;=$G163,Z$5+6&gt;=$F163),IF($H163="Complétée","F",IF(OR($H163="En cours",$H163="En revue"),"E",IF($H163="Bloquée","B","P"))),""))</f>
        <v/>
      </c>
      <c r="AA163" s="53">
        <f>IF(OR($F163="",$G163=""),"",IF(AND(AA$5&lt;=$G163,AA$5+6&gt;=$F163),IF($H163="Complétée","F",IF(OR($H163="En cours",$H163="En revue"),"E",IF($H163="Bloquée","B","P"))),""))</f>
        <v/>
      </c>
      <c r="AB163" s="53">
        <f>IF(OR($F163="",$G163=""),"",IF(AND(AB$5&lt;=$G163,AB$5+6&gt;=$F163),IF($H163="Complétée","F",IF(OR($H163="En cours",$H163="En revue"),"E",IF($H163="Bloquée","B","P"))),""))</f>
        <v/>
      </c>
      <c r="AC163" s="53">
        <f>IF(OR($F163="",$G163=""),"",IF(AND(AC$5&lt;=$G163,AC$5+6&gt;=$F163),IF($H163="Complétée","F",IF(OR($H163="En cours",$H163="En revue"),"E",IF($H163="Bloquée","B","P"))),""))</f>
        <v/>
      </c>
      <c r="AD163" s="53">
        <f>IF(OR($F163="",$G163=""),"",IF(AND(AD$5&lt;=$G163,AD$5+6&gt;=$F163),IF($H163="Complétée","F",IF(OR($H163="En cours",$H163="En revue"),"E",IF($H163="Bloquée","B","P"))),""))</f>
        <v/>
      </c>
      <c r="AE163" s="53">
        <f>IF(OR($F163="",$G163=""),"",IF(AND(AE$5&lt;=$G163,AE$5+6&gt;=$F163),IF($H163="Complétée","F",IF(OR($H163="En cours",$H163="En revue"),"E",IF($H163="Bloquée","B","P"))),""))</f>
        <v/>
      </c>
      <c r="AF163" s="53">
        <f>IF(OR($F163="",$G163=""),"",IF(AND(AF$5&lt;=$G163,AF$5+6&gt;=$F163),IF($H163="Complétée","F",IF(OR($H163="En cours",$H163="En revue"),"E",IF($H163="Bloquée","B","P"))),""))</f>
        <v/>
      </c>
      <c r="AG163" s="53">
        <f>IF(OR($F163="",$G163=""),"",IF(AND(AG$5&lt;=$G163,AG$5+6&gt;=$F163),IF($H163="Complétée","F",IF(OR($H163="En cours",$H163="En revue"),"E",IF($H163="Bloquée","B","P"))),""))</f>
        <v/>
      </c>
      <c r="AH163" s="53">
        <f>IF(OR($F163="",$G163=""),"",IF(AND(AH$5&lt;=$G163,AH$5+6&gt;=$F163),IF($H163="Complétée","F",IF(OR($H163="En cours",$H163="En revue"),"E",IF($H163="Bloquée","B","P"))),""))</f>
        <v/>
      </c>
      <c r="AI163" s="53">
        <f>IF(OR($F163="",$G163=""),"",IF(AND(AI$5&lt;=$G163,AI$5+6&gt;=$F163),IF($H163="Complétée","F",IF(OR($H163="En cours",$H163="En revue"),"E",IF($H163="Bloquée","B","P"))),""))</f>
        <v/>
      </c>
      <c r="AJ163" s="53">
        <f>IF(OR($F163="",$G163=""),"",IF(AND(AJ$5&lt;=$G163,AJ$5+6&gt;=$F163),IF($H163="Complétée","F",IF(OR($H163="En cours",$H163="En revue"),"E",IF($H163="Bloquée","B","P"))),""))</f>
        <v/>
      </c>
      <c r="AK163" s="53">
        <f>IF(OR($F163="",$G163=""),"",IF(AND(AK$5&lt;=$G163,AK$5+6&gt;=$F163),IF($H163="Complétée","F",IF(OR($H163="En cours",$H163="En revue"),"E",IF($H163="Bloquée","B","P"))),""))</f>
        <v/>
      </c>
      <c r="AL163" s="53">
        <f>IF(OR($F163="",$G163=""),"",IF(AND(AL$5&lt;=$G163,AL$5+6&gt;=$F163),IF($H163="Complétée","F",IF(OR($H163="En cours",$H163="En revue"),"E",IF($H163="Bloquée","B","P"))),""))</f>
        <v/>
      </c>
      <c r="AM163" s="53">
        <f>IF(OR($F163="",$G163=""),"",IF(AND(AM$5&lt;=$G163,AM$5+6&gt;=$F163),IF($H163="Complétée","F",IF(OR($H163="En cours",$H163="En revue"),"E",IF($H163="Bloquée","B","P"))),""))</f>
        <v/>
      </c>
      <c r="AN163" s="53">
        <f>IF(OR($F163="",$G163=""),"",IF(AND(AN$5&lt;=$G163,AN$5+6&gt;=$F163),IF($H163="Complétée","F",IF(OR($H163="En cours",$H163="En revue"),"E",IF($H163="Bloquée","B","P"))),""))</f>
        <v/>
      </c>
      <c r="AO163" s="53">
        <f>IF(OR($F163="",$G163=""),"",IF(AND(AO$5&lt;=$G163,AO$5+6&gt;=$F163),IF($H163="Complétée","F",IF(OR($H163="En cours",$H163="En revue"),"E",IF($H163="Bloquée","B","P"))),""))</f>
        <v/>
      </c>
      <c r="AP163" s="53">
        <f>IF(OR($F163="",$G163=""),"",IF(AND(AP$5&lt;=$G163,AP$5+6&gt;=$F163),IF($H163="Complétée","F",IF(OR($H163="En cours",$H163="En revue"),"E",IF($H163="Bloquée","B","P"))),""))</f>
        <v/>
      </c>
      <c r="AQ163" s="53">
        <f>IF(OR($F163="",$G163=""),"",IF(AND(AQ$5&lt;=$G163,AQ$5+6&gt;=$F163),IF($H163="Complétée","F",IF(OR($H163="En cours",$H163="En revue"),"E",IF($H163="Bloquée","B","P"))),""))</f>
        <v/>
      </c>
      <c r="AR163" s="53">
        <f>IF(OR($F163="",$G163=""),"",IF(AND(AR$5&lt;=$G163,AR$5+6&gt;=$F163),IF($H163="Complétée","F",IF(OR($H163="En cours",$H163="En revue"),"E",IF($H163="Bloquée","B","P"))),""))</f>
        <v/>
      </c>
      <c r="AS163" s="53">
        <f>IF(OR($F163="",$G163=""),"",IF(AND(AS$5&lt;=$G163,AS$5+6&gt;=$F163),IF($H163="Complétée","F",IF(OR($H163="En cours",$H163="En revue"),"E",IF($H163="Bloquée","B","P"))),""))</f>
        <v/>
      </c>
      <c r="AT163" s="53">
        <f>IF(OR($F163="",$G163=""),"",IF(AND(AT$5&lt;=$G163,AT$5+6&gt;=$F163),IF($H163="Complétée","F",IF(OR($H163="En cours",$H163="En revue"),"E",IF($H163="Bloquée","B","P"))),""))</f>
        <v/>
      </c>
      <c r="AU163" s="53">
        <f>IF(OR($F163="",$G163=""),"",IF(AND(AU$5&lt;=$G163,AU$5+6&gt;=$F163),IF($H163="Complétée","F",IF(OR($H163="En cours",$H163="En revue"),"E",IF($H163="Bloquée","B","P"))),""))</f>
        <v/>
      </c>
      <c r="AV163" s="53">
        <f>IF(OR($F163="",$G163=""),"",IF(AND(AV$5&lt;=$G163,AV$5+6&gt;=$F163),IF($H163="Complétée","F",IF(OR($H163="En cours",$H163="En revue"),"E",IF($H163="Bloquée","B","P"))),""))</f>
        <v/>
      </c>
      <c r="AW163" s="53">
        <f>IF(OR($F163="",$G163=""),"",IF(AND(AW$5&lt;=$G163,AW$5+6&gt;=$F163),IF($H163="Complétée","F",IF(OR($H163="En cours",$H163="En revue"),"E",IF($H163="Bloquée","B","P"))),""))</f>
        <v/>
      </c>
    </row>
    <row r="164">
      <c r="B164" s="50">
        <f>IF(Taches!B164="","",Taches!B164)</f>
        <v/>
      </c>
      <c r="C164" s="51">
        <f>IF(Taches!B164="","",Taches!F164)</f>
        <v/>
      </c>
      <c r="D164" s="50">
        <f>IF(Taches!B164="","",Taches!C164)</f>
        <v/>
      </c>
      <c r="E164" s="50">
        <f>IF(Taches!B164="","",Taches!D164)</f>
        <v/>
      </c>
      <c r="F164" s="52">
        <f>IF(Taches!P164="","",Taches!P164)</f>
        <v/>
      </c>
      <c r="G164" s="52">
        <f>IF(Taches!Q164="","",Taches!Q164)</f>
        <v/>
      </c>
      <c r="H164" s="50">
        <f>IF(Taches!B164="","",Taches!J164)</f>
        <v/>
      </c>
      <c r="I164" s="53">
        <f>IF(OR($F164="",$G164=""),"",IF(AND(I$5&lt;=$G164,I$5+6&gt;=$F164),IF($H164="Complétée","F",IF(OR($H164="En cours",$H164="En revue"),"E",IF($H164="Bloquée","B","P"))),""))</f>
        <v/>
      </c>
      <c r="J164" s="53">
        <f>IF(OR($F164="",$G164=""),"",IF(AND(J$5&lt;=$G164,J$5+6&gt;=$F164),IF($H164="Complétée","F",IF(OR($H164="En cours",$H164="En revue"),"E",IF($H164="Bloquée","B","P"))),""))</f>
        <v/>
      </c>
      <c r="K164" s="53">
        <f>IF(OR($F164="",$G164=""),"",IF(AND(K$5&lt;=$G164,K$5+6&gt;=$F164),IF($H164="Complétée","F",IF(OR($H164="En cours",$H164="En revue"),"E",IF($H164="Bloquée","B","P"))),""))</f>
        <v/>
      </c>
      <c r="L164" s="53">
        <f>IF(OR($F164="",$G164=""),"",IF(AND(L$5&lt;=$G164,L$5+6&gt;=$F164),IF($H164="Complétée","F",IF(OR($H164="En cours",$H164="En revue"),"E",IF($H164="Bloquée","B","P"))),""))</f>
        <v/>
      </c>
      <c r="M164" s="53">
        <f>IF(OR($F164="",$G164=""),"",IF(AND(M$5&lt;=$G164,M$5+6&gt;=$F164),IF($H164="Complétée","F",IF(OR($H164="En cours",$H164="En revue"),"E",IF($H164="Bloquée","B","P"))),""))</f>
        <v/>
      </c>
      <c r="N164" s="53">
        <f>IF(OR($F164="",$G164=""),"",IF(AND(N$5&lt;=$G164,N$5+6&gt;=$F164),IF($H164="Complétée","F",IF(OR($H164="En cours",$H164="En revue"),"E",IF($H164="Bloquée","B","P"))),""))</f>
        <v/>
      </c>
      <c r="O164" s="53">
        <f>IF(OR($F164="",$G164=""),"",IF(AND(O$5&lt;=$G164,O$5+6&gt;=$F164),IF($H164="Complétée","F",IF(OR($H164="En cours",$H164="En revue"),"E",IF($H164="Bloquée","B","P"))),""))</f>
        <v/>
      </c>
      <c r="P164" s="53">
        <f>IF(OR($F164="",$G164=""),"",IF(AND(P$5&lt;=$G164,P$5+6&gt;=$F164),IF($H164="Complétée","F",IF(OR($H164="En cours",$H164="En revue"),"E",IF($H164="Bloquée","B","P"))),""))</f>
        <v/>
      </c>
      <c r="Q164" s="53">
        <f>IF(OR($F164="",$G164=""),"",IF(AND(Q$5&lt;=$G164,Q$5+6&gt;=$F164),IF($H164="Complétée","F",IF(OR($H164="En cours",$H164="En revue"),"E",IF($H164="Bloquée","B","P"))),""))</f>
        <v/>
      </c>
      <c r="R164" s="53">
        <f>IF(OR($F164="",$G164=""),"",IF(AND(R$5&lt;=$G164,R$5+6&gt;=$F164),IF($H164="Complétée","F",IF(OR($H164="En cours",$H164="En revue"),"E",IF($H164="Bloquée","B","P"))),""))</f>
        <v/>
      </c>
      <c r="S164" s="53">
        <f>IF(OR($F164="",$G164=""),"",IF(AND(S$5&lt;=$G164,S$5+6&gt;=$F164),IF($H164="Complétée","F",IF(OR($H164="En cours",$H164="En revue"),"E",IF($H164="Bloquée","B","P"))),""))</f>
        <v/>
      </c>
      <c r="T164" s="53">
        <f>IF(OR($F164="",$G164=""),"",IF(AND(T$5&lt;=$G164,T$5+6&gt;=$F164),IF($H164="Complétée","F",IF(OR($H164="En cours",$H164="En revue"),"E",IF($H164="Bloquée","B","P"))),""))</f>
        <v/>
      </c>
      <c r="U164" s="53">
        <f>IF(OR($F164="",$G164=""),"",IF(AND(U$5&lt;=$G164,U$5+6&gt;=$F164),IF($H164="Complétée","F",IF(OR($H164="En cours",$H164="En revue"),"E",IF($H164="Bloquée","B","P"))),""))</f>
        <v/>
      </c>
      <c r="V164" s="53">
        <f>IF(OR($F164="",$G164=""),"",IF(AND(V$5&lt;=$G164,V$5+6&gt;=$F164),IF($H164="Complétée","F",IF(OR($H164="En cours",$H164="En revue"),"E",IF($H164="Bloquée","B","P"))),""))</f>
        <v/>
      </c>
      <c r="W164" s="53">
        <f>IF(OR($F164="",$G164=""),"",IF(AND(W$5&lt;=$G164,W$5+6&gt;=$F164),IF($H164="Complétée","F",IF(OR($H164="En cours",$H164="En revue"),"E",IF($H164="Bloquée","B","P"))),""))</f>
        <v/>
      </c>
      <c r="X164" s="53">
        <f>IF(OR($F164="",$G164=""),"",IF(AND(X$5&lt;=$G164,X$5+6&gt;=$F164),IF($H164="Complétée","F",IF(OR($H164="En cours",$H164="En revue"),"E",IF($H164="Bloquée","B","P"))),""))</f>
        <v/>
      </c>
      <c r="Y164" s="53">
        <f>IF(OR($F164="",$G164=""),"",IF(AND(Y$5&lt;=$G164,Y$5+6&gt;=$F164),IF($H164="Complétée","F",IF(OR($H164="En cours",$H164="En revue"),"E",IF($H164="Bloquée","B","P"))),""))</f>
        <v/>
      </c>
      <c r="Z164" s="53">
        <f>IF(OR($F164="",$G164=""),"",IF(AND(Z$5&lt;=$G164,Z$5+6&gt;=$F164),IF($H164="Complétée","F",IF(OR($H164="En cours",$H164="En revue"),"E",IF($H164="Bloquée","B","P"))),""))</f>
        <v/>
      </c>
      <c r="AA164" s="53">
        <f>IF(OR($F164="",$G164=""),"",IF(AND(AA$5&lt;=$G164,AA$5+6&gt;=$F164),IF($H164="Complétée","F",IF(OR($H164="En cours",$H164="En revue"),"E",IF($H164="Bloquée","B","P"))),""))</f>
        <v/>
      </c>
      <c r="AB164" s="53">
        <f>IF(OR($F164="",$G164=""),"",IF(AND(AB$5&lt;=$G164,AB$5+6&gt;=$F164),IF($H164="Complétée","F",IF(OR($H164="En cours",$H164="En revue"),"E",IF($H164="Bloquée","B","P"))),""))</f>
        <v/>
      </c>
      <c r="AC164" s="53">
        <f>IF(OR($F164="",$G164=""),"",IF(AND(AC$5&lt;=$G164,AC$5+6&gt;=$F164),IF($H164="Complétée","F",IF(OR($H164="En cours",$H164="En revue"),"E",IF($H164="Bloquée","B","P"))),""))</f>
        <v/>
      </c>
      <c r="AD164" s="53">
        <f>IF(OR($F164="",$G164=""),"",IF(AND(AD$5&lt;=$G164,AD$5+6&gt;=$F164),IF($H164="Complétée","F",IF(OR($H164="En cours",$H164="En revue"),"E",IF($H164="Bloquée","B","P"))),""))</f>
        <v/>
      </c>
      <c r="AE164" s="53">
        <f>IF(OR($F164="",$G164=""),"",IF(AND(AE$5&lt;=$G164,AE$5+6&gt;=$F164),IF($H164="Complétée","F",IF(OR($H164="En cours",$H164="En revue"),"E",IF($H164="Bloquée","B","P"))),""))</f>
        <v/>
      </c>
      <c r="AF164" s="53">
        <f>IF(OR($F164="",$G164=""),"",IF(AND(AF$5&lt;=$G164,AF$5+6&gt;=$F164),IF($H164="Complétée","F",IF(OR($H164="En cours",$H164="En revue"),"E",IF($H164="Bloquée","B","P"))),""))</f>
        <v/>
      </c>
      <c r="AG164" s="53">
        <f>IF(OR($F164="",$G164=""),"",IF(AND(AG$5&lt;=$G164,AG$5+6&gt;=$F164),IF($H164="Complétée","F",IF(OR($H164="En cours",$H164="En revue"),"E",IF($H164="Bloquée","B","P"))),""))</f>
        <v/>
      </c>
      <c r="AH164" s="53">
        <f>IF(OR($F164="",$G164=""),"",IF(AND(AH$5&lt;=$G164,AH$5+6&gt;=$F164),IF($H164="Complétée","F",IF(OR($H164="En cours",$H164="En revue"),"E",IF($H164="Bloquée","B","P"))),""))</f>
        <v/>
      </c>
      <c r="AI164" s="53">
        <f>IF(OR($F164="",$G164=""),"",IF(AND(AI$5&lt;=$G164,AI$5+6&gt;=$F164),IF($H164="Complétée","F",IF(OR($H164="En cours",$H164="En revue"),"E",IF($H164="Bloquée","B","P"))),""))</f>
        <v/>
      </c>
      <c r="AJ164" s="53">
        <f>IF(OR($F164="",$G164=""),"",IF(AND(AJ$5&lt;=$G164,AJ$5+6&gt;=$F164),IF($H164="Complétée","F",IF(OR($H164="En cours",$H164="En revue"),"E",IF($H164="Bloquée","B","P"))),""))</f>
        <v/>
      </c>
      <c r="AK164" s="53">
        <f>IF(OR($F164="",$G164=""),"",IF(AND(AK$5&lt;=$G164,AK$5+6&gt;=$F164),IF($H164="Complétée","F",IF(OR($H164="En cours",$H164="En revue"),"E",IF($H164="Bloquée","B","P"))),""))</f>
        <v/>
      </c>
      <c r="AL164" s="53">
        <f>IF(OR($F164="",$G164=""),"",IF(AND(AL$5&lt;=$G164,AL$5+6&gt;=$F164),IF($H164="Complétée","F",IF(OR($H164="En cours",$H164="En revue"),"E",IF($H164="Bloquée","B","P"))),""))</f>
        <v/>
      </c>
      <c r="AM164" s="53">
        <f>IF(OR($F164="",$G164=""),"",IF(AND(AM$5&lt;=$G164,AM$5+6&gt;=$F164),IF($H164="Complétée","F",IF(OR($H164="En cours",$H164="En revue"),"E",IF($H164="Bloquée","B","P"))),""))</f>
        <v/>
      </c>
      <c r="AN164" s="53">
        <f>IF(OR($F164="",$G164=""),"",IF(AND(AN$5&lt;=$G164,AN$5+6&gt;=$F164),IF($H164="Complétée","F",IF(OR($H164="En cours",$H164="En revue"),"E",IF($H164="Bloquée","B","P"))),""))</f>
        <v/>
      </c>
      <c r="AO164" s="53">
        <f>IF(OR($F164="",$G164=""),"",IF(AND(AO$5&lt;=$G164,AO$5+6&gt;=$F164),IF($H164="Complétée","F",IF(OR($H164="En cours",$H164="En revue"),"E",IF($H164="Bloquée","B","P"))),""))</f>
        <v/>
      </c>
      <c r="AP164" s="53">
        <f>IF(OR($F164="",$G164=""),"",IF(AND(AP$5&lt;=$G164,AP$5+6&gt;=$F164),IF($H164="Complétée","F",IF(OR($H164="En cours",$H164="En revue"),"E",IF($H164="Bloquée","B","P"))),""))</f>
        <v/>
      </c>
      <c r="AQ164" s="53">
        <f>IF(OR($F164="",$G164=""),"",IF(AND(AQ$5&lt;=$G164,AQ$5+6&gt;=$F164),IF($H164="Complétée","F",IF(OR($H164="En cours",$H164="En revue"),"E",IF($H164="Bloquée","B","P"))),""))</f>
        <v/>
      </c>
      <c r="AR164" s="53">
        <f>IF(OR($F164="",$G164=""),"",IF(AND(AR$5&lt;=$G164,AR$5+6&gt;=$F164),IF($H164="Complétée","F",IF(OR($H164="En cours",$H164="En revue"),"E",IF($H164="Bloquée","B","P"))),""))</f>
        <v/>
      </c>
      <c r="AS164" s="53">
        <f>IF(OR($F164="",$G164=""),"",IF(AND(AS$5&lt;=$G164,AS$5+6&gt;=$F164),IF($H164="Complétée","F",IF(OR($H164="En cours",$H164="En revue"),"E",IF($H164="Bloquée","B","P"))),""))</f>
        <v/>
      </c>
      <c r="AT164" s="53">
        <f>IF(OR($F164="",$G164=""),"",IF(AND(AT$5&lt;=$G164,AT$5+6&gt;=$F164),IF($H164="Complétée","F",IF(OR($H164="En cours",$H164="En revue"),"E",IF($H164="Bloquée","B","P"))),""))</f>
        <v/>
      </c>
      <c r="AU164" s="53">
        <f>IF(OR($F164="",$G164=""),"",IF(AND(AU$5&lt;=$G164,AU$5+6&gt;=$F164),IF($H164="Complétée","F",IF(OR($H164="En cours",$H164="En revue"),"E",IF($H164="Bloquée","B","P"))),""))</f>
        <v/>
      </c>
      <c r="AV164" s="53">
        <f>IF(OR($F164="",$G164=""),"",IF(AND(AV$5&lt;=$G164,AV$5+6&gt;=$F164),IF($H164="Complétée","F",IF(OR($H164="En cours",$H164="En revue"),"E",IF($H164="Bloquée","B","P"))),""))</f>
        <v/>
      </c>
      <c r="AW164" s="53">
        <f>IF(OR($F164="",$G164=""),"",IF(AND(AW$5&lt;=$G164,AW$5+6&gt;=$F164),IF($H164="Complétée","F",IF(OR($H164="En cours",$H164="En revue"),"E",IF($H164="Bloquée","B","P"))),""))</f>
        <v/>
      </c>
    </row>
    <row r="165">
      <c r="B165" s="50">
        <f>IF(Taches!B165="","",Taches!B165)</f>
        <v/>
      </c>
      <c r="C165" s="51">
        <f>IF(Taches!B165="","",Taches!F165)</f>
        <v/>
      </c>
      <c r="D165" s="50">
        <f>IF(Taches!B165="","",Taches!C165)</f>
        <v/>
      </c>
      <c r="E165" s="50">
        <f>IF(Taches!B165="","",Taches!D165)</f>
        <v/>
      </c>
      <c r="F165" s="52">
        <f>IF(Taches!P165="","",Taches!P165)</f>
        <v/>
      </c>
      <c r="G165" s="52">
        <f>IF(Taches!Q165="","",Taches!Q165)</f>
        <v/>
      </c>
      <c r="H165" s="50">
        <f>IF(Taches!B165="","",Taches!J165)</f>
        <v/>
      </c>
      <c r="I165" s="53">
        <f>IF(OR($F165="",$G165=""),"",IF(AND(I$5&lt;=$G165,I$5+6&gt;=$F165),IF($H165="Complétée","F",IF(OR($H165="En cours",$H165="En revue"),"E",IF($H165="Bloquée","B","P"))),""))</f>
        <v/>
      </c>
      <c r="J165" s="53">
        <f>IF(OR($F165="",$G165=""),"",IF(AND(J$5&lt;=$G165,J$5+6&gt;=$F165),IF($H165="Complétée","F",IF(OR($H165="En cours",$H165="En revue"),"E",IF($H165="Bloquée","B","P"))),""))</f>
        <v/>
      </c>
      <c r="K165" s="53">
        <f>IF(OR($F165="",$G165=""),"",IF(AND(K$5&lt;=$G165,K$5+6&gt;=$F165),IF($H165="Complétée","F",IF(OR($H165="En cours",$H165="En revue"),"E",IF($H165="Bloquée","B","P"))),""))</f>
        <v/>
      </c>
      <c r="L165" s="53">
        <f>IF(OR($F165="",$G165=""),"",IF(AND(L$5&lt;=$G165,L$5+6&gt;=$F165),IF($H165="Complétée","F",IF(OR($H165="En cours",$H165="En revue"),"E",IF($H165="Bloquée","B","P"))),""))</f>
        <v/>
      </c>
      <c r="M165" s="53">
        <f>IF(OR($F165="",$G165=""),"",IF(AND(M$5&lt;=$G165,M$5+6&gt;=$F165),IF($H165="Complétée","F",IF(OR($H165="En cours",$H165="En revue"),"E",IF($H165="Bloquée","B","P"))),""))</f>
        <v/>
      </c>
      <c r="N165" s="53">
        <f>IF(OR($F165="",$G165=""),"",IF(AND(N$5&lt;=$G165,N$5+6&gt;=$F165),IF($H165="Complétée","F",IF(OR($H165="En cours",$H165="En revue"),"E",IF($H165="Bloquée","B","P"))),""))</f>
        <v/>
      </c>
      <c r="O165" s="53">
        <f>IF(OR($F165="",$G165=""),"",IF(AND(O$5&lt;=$G165,O$5+6&gt;=$F165),IF($H165="Complétée","F",IF(OR($H165="En cours",$H165="En revue"),"E",IF($H165="Bloquée","B","P"))),""))</f>
        <v/>
      </c>
      <c r="P165" s="53">
        <f>IF(OR($F165="",$G165=""),"",IF(AND(P$5&lt;=$G165,P$5+6&gt;=$F165),IF($H165="Complétée","F",IF(OR($H165="En cours",$H165="En revue"),"E",IF($H165="Bloquée","B","P"))),""))</f>
        <v/>
      </c>
      <c r="Q165" s="53">
        <f>IF(OR($F165="",$G165=""),"",IF(AND(Q$5&lt;=$G165,Q$5+6&gt;=$F165),IF($H165="Complétée","F",IF(OR($H165="En cours",$H165="En revue"),"E",IF($H165="Bloquée","B","P"))),""))</f>
        <v/>
      </c>
      <c r="R165" s="53">
        <f>IF(OR($F165="",$G165=""),"",IF(AND(R$5&lt;=$G165,R$5+6&gt;=$F165),IF($H165="Complétée","F",IF(OR($H165="En cours",$H165="En revue"),"E",IF($H165="Bloquée","B","P"))),""))</f>
        <v/>
      </c>
      <c r="S165" s="53">
        <f>IF(OR($F165="",$G165=""),"",IF(AND(S$5&lt;=$G165,S$5+6&gt;=$F165),IF($H165="Complétée","F",IF(OR($H165="En cours",$H165="En revue"),"E",IF($H165="Bloquée","B","P"))),""))</f>
        <v/>
      </c>
      <c r="T165" s="53">
        <f>IF(OR($F165="",$G165=""),"",IF(AND(T$5&lt;=$G165,T$5+6&gt;=$F165),IF($H165="Complétée","F",IF(OR($H165="En cours",$H165="En revue"),"E",IF($H165="Bloquée","B","P"))),""))</f>
        <v/>
      </c>
      <c r="U165" s="53">
        <f>IF(OR($F165="",$G165=""),"",IF(AND(U$5&lt;=$G165,U$5+6&gt;=$F165),IF($H165="Complétée","F",IF(OR($H165="En cours",$H165="En revue"),"E",IF($H165="Bloquée","B","P"))),""))</f>
        <v/>
      </c>
      <c r="V165" s="53">
        <f>IF(OR($F165="",$G165=""),"",IF(AND(V$5&lt;=$G165,V$5+6&gt;=$F165),IF($H165="Complétée","F",IF(OR($H165="En cours",$H165="En revue"),"E",IF($H165="Bloquée","B","P"))),""))</f>
        <v/>
      </c>
      <c r="W165" s="53">
        <f>IF(OR($F165="",$G165=""),"",IF(AND(W$5&lt;=$G165,W$5+6&gt;=$F165),IF($H165="Complétée","F",IF(OR($H165="En cours",$H165="En revue"),"E",IF($H165="Bloquée","B","P"))),""))</f>
        <v/>
      </c>
      <c r="X165" s="53">
        <f>IF(OR($F165="",$G165=""),"",IF(AND(X$5&lt;=$G165,X$5+6&gt;=$F165),IF($H165="Complétée","F",IF(OR($H165="En cours",$H165="En revue"),"E",IF($H165="Bloquée","B","P"))),""))</f>
        <v/>
      </c>
      <c r="Y165" s="53">
        <f>IF(OR($F165="",$G165=""),"",IF(AND(Y$5&lt;=$G165,Y$5+6&gt;=$F165),IF($H165="Complétée","F",IF(OR($H165="En cours",$H165="En revue"),"E",IF($H165="Bloquée","B","P"))),""))</f>
        <v/>
      </c>
      <c r="Z165" s="53">
        <f>IF(OR($F165="",$G165=""),"",IF(AND(Z$5&lt;=$G165,Z$5+6&gt;=$F165),IF($H165="Complétée","F",IF(OR($H165="En cours",$H165="En revue"),"E",IF($H165="Bloquée","B","P"))),""))</f>
        <v/>
      </c>
      <c r="AA165" s="53">
        <f>IF(OR($F165="",$G165=""),"",IF(AND(AA$5&lt;=$G165,AA$5+6&gt;=$F165),IF($H165="Complétée","F",IF(OR($H165="En cours",$H165="En revue"),"E",IF($H165="Bloquée","B","P"))),""))</f>
        <v/>
      </c>
      <c r="AB165" s="53">
        <f>IF(OR($F165="",$G165=""),"",IF(AND(AB$5&lt;=$G165,AB$5+6&gt;=$F165),IF($H165="Complétée","F",IF(OR($H165="En cours",$H165="En revue"),"E",IF($H165="Bloquée","B","P"))),""))</f>
        <v/>
      </c>
      <c r="AC165" s="53">
        <f>IF(OR($F165="",$G165=""),"",IF(AND(AC$5&lt;=$G165,AC$5+6&gt;=$F165),IF($H165="Complétée","F",IF(OR($H165="En cours",$H165="En revue"),"E",IF($H165="Bloquée","B","P"))),""))</f>
        <v/>
      </c>
      <c r="AD165" s="53">
        <f>IF(OR($F165="",$G165=""),"",IF(AND(AD$5&lt;=$G165,AD$5+6&gt;=$F165),IF($H165="Complétée","F",IF(OR($H165="En cours",$H165="En revue"),"E",IF($H165="Bloquée","B","P"))),""))</f>
        <v/>
      </c>
      <c r="AE165" s="53">
        <f>IF(OR($F165="",$G165=""),"",IF(AND(AE$5&lt;=$G165,AE$5+6&gt;=$F165),IF($H165="Complétée","F",IF(OR($H165="En cours",$H165="En revue"),"E",IF($H165="Bloquée","B","P"))),""))</f>
        <v/>
      </c>
      <c r="AF165" s="53">
        <f>IF(OR($F165="",$G165=""),"",IF(AND(AF$5&lt;=$G165,AF$5+6&gt;=$F165),IF($H165="Complétée","F",IF(OR($H165="En cours",$H165="En revue"),"E",IF($H165="Bloquée","B","P"))),""))</f>
        <v/>
      </c>
      <c r="AG165" s="53">
        <f>IF(OR($F165="",$G165=""),"",IF(AND(AG$5&lt;=$G165,AG$5+6&gt;=$F165),IF($H165="Complétée","F",IF(OR($H165="En cours",$H165="En revue"),"E",IF($H165="Bloquée","B","P"))),""))</f>
        <v/>
      </c>
      <c r="AH165" s="53">
        <f>IF(OR($F165="",$G165=""),"",IF(AND(AH$5&lt;=$G165,AH$5+6&gt;=$F165),IF($H165="Complétée","F",IF(OR($H165="En cours",$H165="En revue"),"E",IF($H165="Bloquée","B","P"))),""))</f>
        <v/>
      </c>
      <c r="AI165" s="53">
        <f>IF(OR($F165="",$G165=""),"",IF(AND(AI$5&lt;=$G165,AI$5+6&gt;=$F165),IF($H165="Complétée","F",IF(OR($H165="En cours",$H165="En revue"),"E",IF($H165="Bloquée","B","P"))),""))</f>
        <v/>
      </c>
      <c r="AJ165" s="53">
        <f>IF(OR($F165="",$G165=""),"",IF(AND(AJ$5&lt;=$G165,AJ$5+6&gt;=$F165),IF($H165="Complétée","F",IF(OR($H165="En cours",$H165="En revue"),"E",IF($H165="Bloquée","B","P"))),""))</f>
        <v/>
      </c>
      <c r="AK165" s="53">
        <f>IF(OR($F165="",$G165=""),"",IF(AND(AK$5&lt;=$G165,AK$5+6&gt;=$F165),IF($H165="Complétée","F",IF(OR($H165="En cours",$H165="En revue"),"E",IF($H165="Bloquée","B","P"))),""))</f>
        <v/>
      </c>
      <c r="AL165" s="53">
        <f>IF(OR($F165="",$G165=""),"",IF(AND(AL$5&lt;=$G165,AL$5+6&gt;=$F165),IF($H165="Complétée","F",IF(OR($H165="En cours",$H165="En revue"),"E",IF($H165="Bloquée","B","P"))),""))</f>
        <v/>
      </c>
      <c r="AM165" s="53">
        <f>IF(OR($F165="",$G165=""),"",IF(AND(AM$5&lt;=$G165,AM$5+6&gt;=$F165),IF($H165="Complétée","F",IF(OR($H165="En cours",$H165="En revue"),"E",IF($H165="Bloquée","B","P"))),""))</f>
        <v/>
      </c>
      <c r="AN165" s="53">
        <f>IF(OR($F165="",$G165=""),"",IF(AND(AN$5&lt;=$G165,AN$5+6&gt;=$F165),IF($H165="Complétée","F",IF(OR($H165="En cours",$H165="En revue"),"E",IF($H165="Bloquée","B","P"))),""))</f>
        <v/>
      </c>
      <c r="AO165" s="53">
        <f>IF(OR($F165="",$G165=""),"",IF(AND(AO$5&lt;=$G165,AO$5+6&gt;=$F165),IF($H165="Complétée","F",IF(OR($H165="En cours",$H165="En revue"),"E",IF($H165="Bloquée","B","P"))),""))</f>
        <v/>
      </c>
      <c r="AP165" s="53">
        <f>IF(OR($F165="",$G165=""),"",IF(AND(AP$5&lt;=$G165,AP$5+6&gt;=$F165),IF($H165="Complétée","F",IF(OR($H165="En cours",$H165="En revue"),"E",IF($H165="Bloquée","B","P"))),""))</f>
        <v/>
      </c>
      <c r="AQ165" s="53">
        <f>IF(OR($F165="",$G165=""),"",IF(AND(AQ$5&lt;=$G165,AQ$5+6&gt;=$F165),IF($H165="Complétée","F",IF(OR($H165="En cours",$H165="En revue"),"E",IF($H165="Bloquée","B","P"))),""))</f>
        <v/>
      </c>
      <c r="AR165" s="53">
        <f>IF(OR($F165="",$G165=""),"",IF(AND(AR$5&lt;=$G165,AR$5+6&gt;=$F165),IF($H165="Complétée","F",IF(OR($H165="En cours",$H165="En revue"),"E",IF($H165="Bloquée","B","P"))),""))</f>
        <v/>
      </c>
      <c r="AS165" s="53">
        <f>IF(OR($F165="",$G165=""),"",IF(AND(AS$5&lt;=$G165,AS$5+6&gt;=$F165),IF($H165="Complétée","F",IF(OR($H165="En cours",$H165="En revue"),"E",IF($H165="Bloquée","B","P"))),""))</f>
        <v/>
      </c>
      <c r="AT165" s="53">
        <f>IF(OR($F165="",$G165=""),"",IF(AND(AT$5&lt;=$G165,AT$5+6&gt;=$F165),IF($H165="Complétée","F",IF(OR($H165="En cours",$H165="En revue"),"E",IF($H165="Bloquée","B","P"))),""))</f>
        <v/>
      </c>
      <c r="AU165" s="53">
        <f>IF(OR($F165="",$G165=""),"",IF(AND(AU$5&lt;=$G165,AU$5+6&gt;=$F165),IF($H165="Complétée","F",IF(OR($H165="En cours",$H165="En revue"),"E",IF($H165="Bloquée","B","P"))),""))</f>
        <v/>
      </c>
      <c r="AV165" s="53">
        <f>IF(OR($F165="",$G165=""),"",IF(AND(AV$5&lt;=$G165,AV$5+6&gt;=$F165),IF($H165="Complétée","F",IF(OR($H165="En cours",$H165="En revue"),"E",IF($H165="Bloquée","B","P"))),""))</f>
        <v/>
      </c>
      <c r="AW165" s="53">
        <f>IF(OR($F165="",$G165=""),"",IF(AND(AW$5&lt;=$G165,AW$5+6&gt;=$F165),IF($H165="Complétée","F",IF(OR($H165="En cours",$H165="En revue"),"E",IF($H165="Bloquée","B","P"))),""))</f>
        <v/>
      </c>
    </row>
    <row r="166">
      <c r="B166" s="50">
        <f>IF(Taches!B166="","",Taches!B166)</f>
        <v/>
      </c>
      <c r="C166" s="51">
        <f>IF(Taches!B166="","",Taches!F166)</f>
        <v/>
      </c>
      <c r="D166" s="50">
        <f>IF(Taches!B166="","",Taches!C166)</f>
        <v/>
      </c>
      <c r="E166" s="50">
        <f>IF(Taches!B166="","",Taches!D166)</f>
        <v/>
      </c>
      <c r="F166" s="52">
        <f>IF(Taches!P166="","",Taches!P166)</f>
        <v/>
      </c>
      <c r="G166" s="52">
        <f>IF(Taches!Q166="","",Taches!Q166)</f>
        <v/>
      </c>
      <c r="H166" s="50">
        <f>IF(Taches!B166="","",Taches!J166)</f>
        <v/>
      </c>
      <c r="I166" s="53">
        <f>IF(OR($F166="",$G166=""),"",IF(AND(I$5&lt;=$G166,I$5+6&gt;=$F166),IF($H166="Complétée","F",IF(OR($H166="En cours",$H166="En revue"),"E",IF($H166="Bloquée","B","P"))),""))</f>
        <v/>
      </c>
      <c r="J166" s="53">
        <f>IF(OR($F166="",$G166=""),"",IF(AND(J$5&lt;=$G166,J$5+6&gt;=$F166),IF($H166="Complétée","F",IF(OR($H166="En cours",$H166="En revue"),"E",IF($H166="Bloquée","B","P"))),""))</f>
        <v/>
      </c>
      <c r="K166" s="53">
        <f>IF(OR($F166="",$G166=""),"",IF(AND(K$5&lt;=$G166,K$5+6&gt;=$F166),IF($H166="Complétée","F",IF(OR($H166="En cours",$H166="En revue"),"E",IF($H166="Bloquée","B","P"))),""))</f>
        <v/>
      </c>
      <c r="L166" s="53">
        <f>IF(OR($F166="",$G166=""),"",IF(AND(L$5&lt;=$G166,L$5+6&gt;=$F166),IF($H166="Complétée","F",IF(OR($H166="En cours",$H166="En revue"),"E",IF($H166="Bloquée","B","P"))),""))</f>
        <v/>
      </c>
      <c r="M166" s="53">
        <f>IF(OR($F166="",$G166=""),"",IF(AND(M$5&lt;=$G166,M$5+6&gt;=$F166),IF($H166="Complétée","F",IF(OR($H166="En cours",$H166="En revue"),"E",IF($H166="Bloquée","B","P"))),""))</f>
        <v/>
      </c>
      <c r="N166" s="53">
        <f>IF(OR($F166="",$G166=""),"",IF(AND(N$5&lt;=$G166,N$5+6&gt;=$F166),IF($H166="Complétée","F",IF(OR($H166="En cours",$H166="En revue"),"E",IF($H166="Bloquée","B","P"))),""))</f>
        <v/>
      </c>
      <c r="O166" s="53">
        <f>IF(OR($F166="",$G166=""),"",IF(AND(O$5&lt;=$G166,O$5+6&gt;=$F166),IF($H166="Complétée","F",IF(OR($H166="En cours",$H166="En revue"),"E",IF($H166="Bloquée","B","P"))),""))</f>
        <v/>
      </c>
      <c r="P166" s="53">
        <f>IF(OR($F166="",$G166=""),"",IF(AND(P$5&lt;=$G166,P$5+6&gt;=$F166),IF($H166="Complétée","F",IF(OR($H166="En cours",$H166="En revue"),"E",IF($H166="Bloquée","B","P"))),""))</f>
        <v/>
      </c>
      <c r="Q166" s="53">
        <f>IF(OR($F166="",$G166=""),"",IF(AND(Q$5&lt;=$G166,Q$5+6&gt;=$F166),IF($H166="Complétée","F",IF(OR($H166="En cours",$H166="En revue"),"E",IF($H166="Bloquée","B","P"))),""))</f>
        <v/>
      </c>
      <c r="R166" s="53">
        <f>IF(OR($F166="",$G166=""),"",IF(AND(R$5&lt;=$G166,R$5+6&gt;=$F166),IF($H166="Complétée","F",IF(OR($H166="En cours",$H166="En revue"),"E",IF($H166="Bloquée","B","P"))),""))</f>
        <v/>
      </c>
      <c r="S166" s="53">
        <f>IF(OR($F166="",$G166=""),"",IF(AND(S$5&lt;=$G166,S$5+6&gt;=$F166),IF($H166="Complétée","F",IF(OR($H166="En cours",$H166="En revue"),"E",IF($H166="Bloquée","B","P"))),""))</f>
        <v/>
      </c>
      <c r="T166" s="53">
        <f>IF(OR($F166="",$G166=""),"",IF(AND(T$5&lt;=$G166,T$5+6&gt;=$F166),IF($H166="Complétée","F",IF(OR($H166="En cours",$H166="En revue"),"E",IF($H166="Bloquée","B","P"))),""))</f>
        <v/>
      </c>
      <c r="U166" s="53">
        <f>IF(OR($F166="",$G166=""),"",IF(AND(U$5&lt;=$G166,U$5+6&gt;=$F166),IF($H166="Complétée","F",IF(OR($H166="En cours",$H166="En revue"),"E",IF($H166="Bloquée","B","P"))),""))</f>
        <v/>
      </c>
      <c r="V166" s="53">
        <f>IF(OR($F166="",$G166=""),"",IF(AND(V$5&lt;=$G166,V$5+6&gt;=$F166),IF($H166="Complétée","F",IF(OR($H166="En cours",$H166="En revue"),"E",IF($H166="Bloquée","B","P"))),""))</f>
        <v/>
      </c>
      <c r="W166" s="53">
        <f>IF(OR($F166="",$G166=""),"",IF(AND(W$5&lt;=$G166,W$5+6&gt;=$F166),IF($H166="Complétée","F",IF(OR($H166="En cours",$H166="En revue"),"E",IF($H166="Bloquée","B","P"))),""))</f>
        <v/>
      </c>
      <c r="X166" s="53">
        <f>IF(OR($F166="",$G166=""),"",IF(AND(X$5&lt;=$G166,X$5+6&gt;=$F166),IF($H166="Complétée","F",IF(OR($H166="En cours",$H166="En revue"),"E",IF($H166="Bloquée","B","P"))),""))</f>
        <v/>
      </c>
      <c r="Y166" s="53">
        <f>IF(OR($F166="",$G166=""),"",IF(AND(Y$5&lt;=$G166,Y$5+6&gt;=$F166),IF($H166="Complétée","F",IF(OR($H166="En cours",$H166="En revue"),"E",IF($H166="Bloquée","B","P"))),""))</f>
        <v/>
      </c>
      <c r="Z166" s="53">
        <f>IF(OR($F166="",$G166=""),"",IF(AND(Z$5&lt;=$G166,Z$5+6&gt;=$F166),IF($H166="Complétée","F",IF(OR($H166="En cours",$H166="En revue"),"E",IF($H166="Bloquée","B","P"))),""))</f>
        <v/>
      </c>
      <c r="AA166" s="53">
        <f>IF(OR($F166="",$G166=""),"",IF(AND(AA$5&lt;=$G166,AA$5+6&gt;=$F166),IF($H166="Complétée","F",IF(OR($H166="En cours",$H166="En revue"),"E",IF($H166="Bloquée","B","P"))),""))</f>
        <v/>
      </c>
      <c r="AB166" s="53">
        <f>IF(OR($F166="",$G166=""),"",IF(AND(AB$5&lt;=$G166,AB$5+6&gt;=$F166),IF($H166="Complétée","F",IF(OR($H166="En cours",$H166="En revue"),"E",IF($H166="Bloquée","B","P"))),""))</f>
        <v/>
      </c>
      <c r="AC166" s="53">
        <f>IF(OR($F166="",$G166=""),"",IF(AND(AC$5&lt;=$G166,AC$5+6&gt;=$F166),IF($H166="Complétée","F",IF(OR($H166="En cours",$H166="En revue"),"E",IF($H166="Bloquée","B","P"))),""))</f>
        <v/>
      </c>
      <c r="AD166" s="53">
        <f>IF(OR($F166="",$G166=""),"",IF(AND(AD$5&lt;=$G166,AD$5+6&gt;=$F166),IF($H166="Complétée","F",IF(OR($H166="En cours",$H166="En revue"),"E",IF($H166="Bloquée","B","P"))),""))</f>
        <v/>
      </c>
      <c r="AE166" s="53">
        <f>IF(OR($F166="",$G166=""),"",IF(AND(AE$5&lt;=$G166,AE$5+6&gt;=$F166),IF($H166="Complétée","F",IF(OR($H166="En cours",$H166="En revue"),"E",IF($H166="Bloquée","B","P"))),""))</f>
        <v/>
      </c>
      <c r="AF166" s="53">
        <f>IF(OR($F166="",$G166=""),"",IF(AND(AF$5&lt;=$G166,AF$5+6&gt;=$F166),IF($H166="Complétée","F",IF(OR($H166="En cours",$H166="En revue"),"E",IF($H166="Bloquée","B","P"))),""))</f>
        <v/>
      </c>
      <c r="AG166" s="53">
        <f>IF(OR($F166="",$G166=""),"",IF(AND(AG$5&lt;=$G166,AG$5+6&gt;=$F166),IF($H166="Complétée","F",IF(OR($H166="En cours",$H166="En revue"),"E",IF($H166="Bloquée","B","P"))),""))</f>
        <v/>
      </c>
      <c r="AH166" s="53">
        <f>IF(OR($F166="",$G166=""),"",IF(AND(AH$5&lt;=$G166,AH$5+6&gt;=$F166),IF($H166="Complétée","F",IF(OR($H166="En cours",$H166="En revue"),"E",IF($H166="Bloquée","B","P"))),""))</f>
        <v/>
      </c>
      <c r="AI166" s="53">
        <f>IF(OR($F166="",$G166=""),"",IF(AND(AI$5&lt;=$G166,AI$5+6&gt;=$F166),IF($H166="Complétée","F",IF(OR($H166="En cours",$H166="En revue"),"E",IF($H166="Bloquée","B","P"))),""))</f>
        <v/>
      </c>
      <c r="AJ166" s="53">
        <f>IF(OR($F166="",$G166=""),"",IF(AND(AJ$5&lt;=$G166,AJ$5+6&gt;=$F166),IF($H166="Complétée","F",IF(OR($H166="En cours",$H166="En revue"),"E",IF($H166="Bloquée","B","P"))),""))</f>
        <v/>
      </c>
      <c r="AK166" s="53">
        <f>IF(OR($F166="",$G166=""),"",IF(AND(AK$5&lt;=$G166,AK$5+6&gt;=$F166),IF($H166="Complétée","F",IF(OR($H166="En cours",$H166="En revue"),"E",IF($H166="Bloquée","B","P"))),""))</f>
        <v/>
      </c>
      <c r="AL166" s="53">
        <f>IF(OR($F166="",$G166=""),"",IF(AND(AL$5&lt;=$G166,AL$5+6&gt;=$F166),IF($H166="Complétée","F",IF(OR($H166="En cours",$H166="En revue"),"E",IF($H166="Bloquée","B","P"))),""))</f>
        <v/>
      </c>
      <c r="AM166" s="53">
        <f>IF(OR($F166="",$G166=""),"",IF(AND(AM$5&lt;=$G166,AM$5+6&gt;=$F166),IF($H166="Complétée","F",IF(OR($H166="En cours",$H166="En revue"),"E",IF($H166="Bloquée","B","P"))),""))</f>
        <v/>
      </c>
      <c r="AN166" s="53">
        <f>IF(OR($F166="",$G166=""),"",IF(AND(AN$5&lt;=$G166,AN$5+6&gt;=$F166),IF($H166="Complétée","F",IF(OR($H166="En cours",$H166="En revue"),"E",IF($H166="Bloquée","B","P"))),""))</f>
        <v/>
      </c>
      <c r="AO166" s="53">
        <f>IF(OR($F166="",$G166=""),"",IF(AND(AO$5&lt;=$G166,AO$5+6&gt;=$F166),IF($H166="Complétée","F",IF(OR($H166="En cours",$H166="En revue"),"E",IF($H166="Bloquée","B","P"))),""))</f>
        <v/>
      </c>
      <c r="AP166" s="53">
        <f>IF(OR($F166="",$G166=""),"",IF(AND(AP$5&lt;=$G166,AP$5+6&gt;=$F166),IF($H166="Complétée","F",IF(OR($H166="En cours",$H166="En revue"),"E",IF($H166="Bloquée","B","P"))),""))</f>
        <v/>
      </c>
      <c r="AQ166" s="53">
        <f>IF(OR($F166="",$G166=""),"",IF(AND(AQ$5&lt;=$G166,AQ$5+6&gt;=$F166),IF($H166="Complétée","F",IF(OR($H166="En cours",$H166="En revue"),"E",IF($H166="Bloquée","B","P"))),""))</f>
        <v/>
      </c>
      <c r="AR166" s="53">
        <f>IF(OR($F166="",$G166=""),"",IF(AND(AR$5&lt;=$G166,AR$5+6&gt;=$F166),IF($H166="Complétée","F",IF(OR($H166="En cours",$H166="En revue"),"E",IF($H166="Bloquée","B","P"))),""))</f>
        <v/>
      </c>
      <c r="AS166" s="53">
        <f>IF(OR($F166="",$G166=""),"",IF(AND(AS$5&lt;=$G166,AS$5+6&gt;=$F166),IF($H166="Complétée","F",IF(OR($H166="En cours",$H166="En revue"),"E",IF($H166="Bloquée","B","P"))),""))</f>
        <v/>
      </c>
      <c r="AT166" s="53">
        <f>IF(OR($F166="",$G166=""),"",IF(AND(AT$5&lt;=$G166,AT$5+6&gt;=$F166),IF($H166="Complétée","F",IF(OR($H166="En cours",$H166="En revue"),"E",IF($H166="Bloquée","B","P"))),""))</f>
        <v/>
      </c>
      <c r="AU166" s="53">
        <f>IF(OR($F166="",$G166=""),"",IF(AND(AU$5&lt;=$G166,AU$5+6&gt;=$F166),IF($H166="Complétée","F",IF(OR($H166="En cours",$H166="En revue"),"E",IF($H166="Bloquée","B","P"))),""))</f>
        <v/>
      </c>
      <c r="AV166" s="53">
        <f>IF(OR($F166="",$G166=""),"",IF(AND(AV$5&lt;=$G166,AV$5+6&gt;=$F166),IF($H166="Complétée","F",IF(OR($H166="En cours",$H166="En revue"),"E",IF($H166="Bloquée","B","P"))),""))</f>
        <v/>
      </c>
      <c r="AW166" s="53">
        <f>IF(OR($F166="",$G166=""),"",IF(AND(AW$5&lt;=$G166,AW$5+6&gt;=$F166),IF($H166="Complétée","F",IF(OR($H166="En cours",$H166="En revue"),"E",IF($H166="Bloquée","B","P"))),""))</f>
        <v/>
      </c>
    </row>
    <row r="167">
      <c r="B167" s="50">
        <f>IF(Taches!B167="","",Taches!B167)</f>
        <v/>
      </c>
      <c r="C167" s="51">
        <f>IF(Taches!B167="","",Taches!F167)</f>
        <v/>
      </c>
      <c r="D167" s="50">
        <f>IF(Taches!B167="","",Taches!C167)</f>
        <v/>
      </c>
      <c r="E167" s="50">
        <f>IF(Taches!B167="","",Taches!D167)</f>
        <v/>
      </c>
      <c r="F167" s="52">
        <f>IF(Taches!P167="","",Taches!P167)</f>
        <v/>
      </c>
      <c r="G167" s="52">
        <f>IF(Taches!Q167="","",Taches!Q167)</f>
        <v/>
      </c>
      <c r="H167" s="50">
        <f>IF(Taches!B167="","",Taches!J167)</f>
        <v/>
      </c>
      <c r="I167" s="53">
        <f>IF(OR($F167="",$G167=""),"",IF(AND(I$5&lt;=$G167,I$5+6&gt;=$F167),IF($H167="Complétée","F",IF(OR($H167="En cours",$H167="En revue"),"E",IF($H167="Bloquée","B","P"))),""))</f>
        <v/>
      </c>
      <c r="J167" s="53">
        <f>IF(OR($F167="",$G167=""),"",IF(AND(J$5&lt;=$G167,J$5+6&gt;=$F167),IF($H167="Complétée","F",IF(OR($H167="En cours",$H167="En revue"),"E",IF($H167="Bloquée","B","P"))),""))</f>
        <v/>
      </c>
      <c r="K167" s="53">
        <f>IF(OR($F167="",$G167=""),"",IF(AND(K$5&lt;=$G167,K$5+6&gt;=$F167),IF($H167="Complétée","F",IF(OR($H167="En cours",$H167="En revue"),"E",IF($H167="Bloquée","B","P"))),""))</f>
        <v/>
      </c>
      <c r="L167" s="53">
        <f>IF(OR($F167="",$G167=""),"",IF(AND(L$5&lt;=$G167,L$5+6&gt;=$F167),IF($H167="Complétée","F",IF(OR($H167="En cours",$H167="En revue"),"E",IF($H167="Bloquée","B","P"))),""))</f>
        <v/>
      </c>
      <c r="M167" s="53">
        <f>IF(OR($F167="",$G167=""),"",IF(AND(M$5&lt;=$G167,M$5+6&gt;=$F167),IF($H167="Complétée","F",IF(OR($H167="En cours",$H167="En revue"),"E",IF($H167="Bloquée","B","P"))),""))</f>
        <v/>
      </c>
      <c r="N167" s="53">
        <f>IF(OR($F167="",$G167=""),"",IF(AND(N$5&lt;=$G167,N$5+6&gt;=$F167),IF($H167="Complétée","F",IF(OR($H167="En cours",$H167="En revue"),"E",IF($H167="Bloquée","B","P"))),""))</f>
        <v/>
      </c>
      <c r="O167" s="53">
        <f>IF(OR($F167="",$G167=""),"",IF(AND(O$5&lt;=$G167,O$5+6&gt;=$F167),IF($H167="Complétée","F",IF(OR($H167="En cours",$H167="En revue"),"E",IF($H167="Bloquée","B","P"))),""))</f>
        <v/>
      </c>
      <c r="P167" s="53">
        <f>IF(OR($F167="",$G167=""),"",IF(AND(P$5&lt;=$G167,P$5+6&gt;=$F167),IF($H167="Complétée","F",IF(OR($H167="En cours",$H167="En revue"),"E",IF($H167="Bloquée","B","P"))),""))</f>
        <v/>
      </c>
      <c r="Q167" s="53">
        <f>IF(OR($F167="",$G167=""),"",IF(AND(Q$5&lt;=$G167,Q$5+6&gt;=$F167),IF($H167="Complétée","F",IF(OR($H167="En cours",$H167="En revue"),"E",IF($H167="Bloquée","B","P"))),""))</f>
        <v/>
      </c>
      <c r="R167" s="53">
        <f>IF(OR($F167="",$G167=""),"",IF(AND(R$5&lt;=$G167,R$5+6&gt;=$F167),IF($H167="Complétée","F",IF(OR($H167="En cours",$H167="En revue"),"E",IF($H167="Bloquée","B","P"))),""))</f>
        <v/>
      </c>
      <c r="S167" s="53">
        <f>IF(OR($F167="",$G167=""),"",IF(AND(S$5&lt;=$G167,S$5+6&gt;=$F167),IF($H167="Complétée","F",IF(OR($H167="En cours",$H167="En revue"),"E",IF($H167="Bloquée","B","P"))),""))</f>
        <v/>
      </c>
      <c r="T167" s="53">
        <f>IF(OR($F167="",$G167=""),"",IF(AND(T$5&lt;=$G167,T$5+6&gt;=$F167),IF($H167="Complétée","F",IF(OR($H167="En cours",$H167="En revue"),"E",IF($H167="Bloquée","B","P"))),""))</f>
        <v/>
      </c>
      <c r="U167" s="53">
        <f>IF(OR($F167="",$G167=""),"",IF(AND(U$5&lt;=$G167,U$5+6&gt;=$F167),IF($H167="Complétée","F",IF(OR($H167="En cours",$H167="En revue"),"E",IF($H167="Bloquée","B","P"))),""))</f>
        <v/>
      </c>
      <c r="V167" s="53">
        <f>IF(OR($F167="",$G167=""),"",IF(AND(V$5&lt;=$G167,V$5+6&gt;=$F167),IF($H167="Complétée","F",IF(OR($H167="En cours",$H167="En revue"),"E",IF($H167="Bloquée","B","P"))),""))</f>
        <v/>
      </c>
      <c r="W167" s="53">
        <f>IF(OR($F167="",$G167=""),"",IF(AND(W$5&lt;=$G167,W$5+6&gt;=$F167),IF($H167="Complétée","F",IF(OR($H167="En cours",$H167="En revue"),"E",IF($H167="Bloquée","B","P"))),""))</f>
        <v/>
      </c>
      <c r="X167" s="53">
        <f>IF(OR($F167="",$G167=""),"",IF(AND(X$5&lt;=$G167,X$5+6&gt;=$F167),IF($H167="Complétée","F",IF(OR($H167="En cours",$H167="En revue"),"E",IF($H167="Bloquée","B","P"))),""))</f>
        <v/>
      </c>
      <c r="Y167" s="53">
        <f>IF(OR($F167="",$G167=""),"",IF(AND(Y$5&lt;=$G167,Y$5+6&gt;=$F167),IF($H167="Complétée","F",IF(OR($H167="En cours",$H167="En revue"),"E",IF($H167="Bloquée","B","P"))),""))</f>
        <v/>
      </c>
      <c r="Z167" s="53">
        <f>IF(OR($F167="",$G167=""),"",IF(AND(Z$5&lt;=$G167,Z$5+6&gt;=$F167),IF($H167="Complétée","F",IF(OR($H167="En cours",$H167="En revue"),"E",IF($H167="Bloquée","B","P"))),""))</f>
        <v/>
      </c>
      <c r="AA167" s="53">
        <f>IF(OR($F167="",$G167=""),"",IF(AND(AA$5&lt;=$G167,AA$5+6&gt;=$F167),IF($H167="Complétée","F",IF(OR($H167="En cours",$H167="En revue"),"E",IF($H167="Bloquée","B","P"))),""))</f>
        <v/>
      </c>
      <c r="AB167" s="53">
        <f>IF(OR($F167="",$G167=""),"",IF(AND(AB$5&lt;=$G167,AB$5+6&gt;=$F167),IF($H167="Complétée","F",IF(OR($H167="En cours",$H167="En revue"),"E",IF($H167="Bloquée","B","P"))),""))</f>
        <v/>
      </c>
      <c r="AC167" s="53">
        <f>IF(OR($F167="",$G167=""),"",IF(AND(AC$5&lt;=$G167,AC$5+6&gt;=$F167),IF($H167="Complétée","F",IF(OR($H167="En cours",$H167="En revue"),"E",IF($H167="Bloquée","B","P"))),""))</f>
        <v/>
      </c>
      <c r="AD167" s="53">
        <f>IF(OR($F167="",$G167=""),"",IF(AND(AD$5&lt;=$G167,AD$5+6&gt;=$F167),IF($H167="Complétée","F",IF(OR($H167="En cours",$H167="En revue"),"E",IF($H167="Bloquée","B","P"))),""))</f>
        <v/>
      </c>
      <c r="AE167" s="53">
        <f>IF(OR($F167="",$G167=""),"",IF(AND(AE$5&lt;=$G167,AE$5+6&gt;=$F167),IF($H167="Complétée","F",IF(OR($H167="En cours",$H167="En revue"),"E",IF($H167="Bloquée","B","P"))),""))</f>
        <v/>
      </c>
      <c r="AF167" s="53">
        <f>IF(OR($F167="",$G167=""),"",IF(AND(AF$5&lt;=$G167,AF$5+6&gt;=$F167),IF($H167="Complétée","F",IF(OR($H167="En cours",$H167="En revue"),"E",IF($H167="Bloquée","B","P"))),""))</f>
        <v/>
      </c>
      <c r="AG167" s="53">
        <f>IF(OR($F167="",$G167=""),"",IF(AND(AG$5&lt;=$G167,AG$5+6&gt;=$F167),IF($H167="Complétée","F",IF(OR($H167="En cours",$H167="En revue"),"E",IF($H167="Bloquée","B","P"))),""))</f>
        <v/>
      </c>
      <c r="AH167" s="53">
        <f>IF(OR($F167="",$G167=""),"",IF(AND(AH$5&lt;=$G167,AH$5+6&gt;=$F167),IF($H167="Complétée","F",IF(OR($H167="En cours",$H167="En revue"),"E",IF($H167="Bloquée","B","P"))),""))</f>
        <v/>
      </c>
      <c r="AI167" s="53">
        <f>IF(OR($F167="",$G167=""),"",IF(AND(AI$5&lt;=$G167,AI$5+6&gt;=$F167),IF($H167="Complétée","F",IF(OR($H167="En cours",$H167="En revue"),"E",IF($H167="Bloquée","B","P"))),""))</f>
        <v/>
      </c>
      <c r="AJ167" s="53">
        <f>IF(OR($F167="",$G167=""),"",IF(AND(AJ$5&lt;=$G167,AJ$5+6&gt;=$F167),IF($H167="Complétée","F",IF(OR($H167="En cours",$H167="En revue"),"E",IF($H167="Bloquée","B","P"))),""))</f>
        <v/>
      </c>
      <c r="AK167" s="53">
        <f>IF(OR($F167="",$G167=""),"",IF(AND(AK$5&lt;=$G167,AK$5+6&gt;=$F167),IF($H167="Complétée","F",IF(OR($H167="En cours",$H167="En revue"),"E",IF($H167="Bloquée","B","P"))),""))</f>
        <v/>
      </c>
      <c r="AL167" s="53">
        <f>IF(OR($F167="",$G167=""),"",IF(AND(AL$5&lt;=$G167,AL$5+6&gt;=$F167),IF($H167="Complétée","F",IF(OR($H167="En cours",$H167="En revue"),"E",IF($H167="Bloquée","B","P"))),""))</f>
        <v/>
      </c>
      <c r="AM167" s="53">
        <f>IF(OR($F167="",$G167=""),"",IF(AND(AM$5&lt;=$G167,AM$5+6&gt;=$F167),IF($H167="Complétée","F",IF(OR($H167="En cours",$H167="En revue"),"E",IF($H167="Bloquée","B","P"))),""))</f>
        <v/>
      </c>
      <c r="AN167" s="53">
        <f>IF(OR($F167="",$G167=""),"",IF(AND(AN$5&lt;=$G167,AN$5+6&gt;=$F167),IF($H167="Complétée","F",IF(OR($H167="En cours",$H167="En revue"),"E",IF($H167="Bloquée","B","P"))),""))</f>
        <v/>
      </c>
      <c r="AO167" s="53">
        <f>IF(OR($F167="",$G167=""),"",IF(AND(AO$5&lt;=$G167,AO$5+6&gt;=$F167),IF($H167="Complétée","F",IF(OR($H167="En cours",$H167="En revue"),"E",IF($H167="Bloquée","B","P"))),""))</f>
        <v/>
      </c>
      <c r="AP167" s="53">
        <f>IF(OR($F167="",$G167=""),"",IF(AND(AP$5&lt;=$G167,AP$5+6&gt;=$F167),IF($H167="Complétée","F",IF(OR($H167="En cours",$H167="En revue"),"E",IF($H167="Bloquée","B","P"))),""))</f>
        <v/>
      </c>
      <c r="AQ167" s="53">
        <f>IF(OR($F167="",$G167=""),"",IF(AND(AQ$5&lt;=$G167,AQ$5+6&gt;=$F167),IF($H167="Complétée","F",IF(OR($H167="En cours",$H167="En revue"),"E",IF($H167="Bloquée","B","P"))),""))</f>
        <v/>
      </c>
      <c r="AR167" s="53">
        <f>IF(OR($F167="",$G167=""),"",IF(AND(AR$5&lt;=$G167,AR$5+6&gt;=$F167),IF($H167="Complétée","F",IF(OR($H167="En cours",$H167="En revue"),"E",IF($H167="Bloquée","B","P"))),""))</f>
        <v/>
      </c>
      <c r="AS167" s="53">
        <f>IF(OR($F167="",$G167=""),"",IF(AND(AS$5&lt;=$G167,AS$5+6&gt;=$F167),IF($H167="Complétée","F",IF(OR($H167="En cours",$H167="En revue"),"E",IF($H167="Bloquée","B","P"))),""))</f>
        <v/>
      </c>
      <c r="AT167" s="53">
        <f>IF(OR($F167="",$G167=""),"",IF(AND(AT$5&lt;=$G167,AT$5+6&gt;=$F167),IF($H167="Complétée","F",IF(OR($H167="En cours",$H167="En revue"),"E",IF($H167="Bloquée","B","P"))),""))</f>
        <v/>
      </c>
      <c r="AU167" s="53">
        <f>IF(OR($F167="",$G167=""),"",IF(AND(AU$5&lt;=$G167,AU$5+6&gt;=$F167),IF($H167="Complétée","F",IF(OR($H167="En cours",$H167="En revue"),"E",IF($H167="Bloquée","B","P"))),""))</f>
        <v/>
      </c>
      <c r="AV167" s="53">
        <f>IF(OR($F167="",$G167=""),"",IF(AND(AV$5&lt;=$G167,AV$5+6&gt;=$F167),IF($H167="Complétée","F",IF(OR($H167="En cours",$H167="En revue"),"E",IF($H167="Bloquée","B","P"))),""))</f>
        <v/>
      </c>
      <c r="AW167" s="53">
        <f>IF(OR($F167="",$G167=""),"",IF(AND(AW$5&lt;=$G167,AW$5+6&gt;=$F167),IF($H167="Complétée","F",IF(OR($H167="En cours",$H167="En revue"),"E",IF($H167="Bloquée","B","P"))),""))</f>
        <v/>
      </c>
    </row>
    <row r="168">
      <c r="B168" s="50">
        <f>IF(Taches!B168="","",Taches!B168)</f>
        <v/>
      </c>
      <c r="C168" s="51">
        <f>IF(Taches!B168="","",Taches!F168)</f>
        <v/>
      </c>
      <c r="D168" s="50">
        <f>IF(Taches!B168="","",Taches!C168)</f>
        <v/>
      </c>
      <c r="E168" s="50">
        <f>IF(Taches!B168="","",Taches!D168)</f>
        <v/>
      </c>
      <c r="F168" s="52">
        <f>IF(Taches!P168="","",Taches!P168)</f>
        <v/>
      </c>
      <c r="G168" s="52">
        <f>IF(Taches!Q168="","",Taches!Q168)</f>
        <v/>
      </c>
      <c r="H168" s="50">
        <f>IF(Taches!B168="","",Taches!J168)</f>
        <v/>
      </c>
      <c r="I168" s="53">
        <f>IF(OR($F168="",$G168=""),"",IF(AND(I$5&lt;=$G168,I$5+6&gt;=$F168),IF($H168="Complétée","F",IF(OR($H168="En cours",$H168="En revue"),"E",IF($H168="Bloquée","B","P"))),""))</f>
        <v/>
      </c>
      <c r="J168" s="53">
        <f>IF(OR($F168="",$G168=""),"",IF(AND(J$5&lt;=$G168,J$5+6&gt;=$F168),IF($H168="Complétée","F",IF(OR($H168="En cours",$H168="En revue"),"E",IF($H168="Bloquée","B","P"))),""))</f>
        <v/>
      </c>
      <c r="K168" s="53">
        <f>IF(OR($F168="",$G168=""),"",IF(AND(K$5&lt;=$G168,K$5+6&gt;=$F168),IF($H168="Complétée","F",IF(OR($H168="En cours",$H168="En revue"),"E",IF($H168="Bloquée","B","P"))),""))</f>
        <v/>
      </c>
      <c r="L168" s="53">
        <f>IF(OR($F168="",$G168=""),"",IF(AND(L$5&lt;=$G168,L$5+6&gt;=$F168),IF($H168="Complétée","F",IF(OR($H168="En cours",$H168="En revue"),"E",IF($H168="Bloquée","B","P"))),""))</f>
        <v/>
      </c>
      <c r="M168" s="53">
        <f>IF(OR($F168="",$G168=""),"",IF(AND(M$5&lt;=$G168,M$5+6&gt;=$F168),IF($H168="Complétée","F",IF(OR($H168="En cours",$H168="En revue"),"E",IF($H168="Bloquée","B","P"))),""))</f>
        <v/>
      </c>
      <c r="N168" s="53">
        <f>IF(OR($F168="",$G168=""),"",IF(AND(N$5&lt;=$G168,N$5+6&gt;=$F168),IF($H168="Complétée","F",IF(OR($H168="En cours",$H168="En revue"),"E",IF($H168="Bloquée","B","P"))),""))</f>
        <v/>
      </c>
      <c r="O168" s="53">
        <f>IF(OR($F168="",$G168=""),"",IF(AND(O$5&lt;=$G168,O$5+6&gt;=$F168),IF($H168="Complétée","F",IF(OR($H168="En cours",$H168="En revue"),"E",IF($H168="Bloquée","B","P"))),""))</f>
        <v/>
      </c>
      <c r="P168" s="53">
        <f>IF(OR($F168="",$G168=""),"",IF(AND(P$5&lt;=$G168,P$5+6&gt;=$F168),IF($H168="Complétée","F",IF(OR($H168="En cours",$H168="En revue"),"E",IF($H168="Bloquée","B","P"))),""))</f>
        <v/>
      </c>
      <c r="Q168" s="53">
        <f>IF(OR($F168="",$G168=""),"",IF(AND(Q$5&lt;=$G168,Q$5+6&gt;=$F168),IF($H168="Complétée","F",IF(OR($H168="En cours",$H168="En revue"),"E",IF($H168="Bloquée","B","P"))),""))</f>
        <v/>
      </c>
      <c r="R168" s="53">
        <f>IF(OR($F168="",$G168=""),"",IF(AND(R$5&lt;=$G168,R$5+6&gt;=$F168),IF($H168="Complétée","F",IF(OR($H168="En cours",$H168="En revue"),"E",IF($H168="Bloquée","B","P"))),""))</f>
        <v/>
      </c>
      <c r="S168" s="53">
        <f>IF(OR($F168="",$G168=""),"",IF(AND(S$5&lt;=$G168,S$5+6&gt;=$F168),IF($H168="Complétée","F",IF(OR($H168="En cours",$H168="En revue"),"E",IF($H168="Bloquée","B","P"))),""))</f>
        <v/>
      </c>
      <c r="T168" s="53">
        <f>IF(OR($F168="",$G168=""),"",IF(AND(T$5&lt;=$G168,T$5+6&gt;=$F168),IF($H168="Complétée","F",IF(OR($H168="En cours",$H168="En revue"),"E",IF($H168="Bloquée","B","P"))),""))</f>
        <v/>
      </c>
      <c r="U168" s="53">
        <f>IF(OR($F168="",$G168=""),"",IF(AND(U$5&lt;=$G168,U$5+6&gt;=$F168),IF($H168="Complétée","F",IF(OR($H168="En cours",$H168="En revue"),"E",IF($H168="Bloquée","B","P"))),""))</f>
        <v/>
      </c>
      <c r="V168" s="53">
        <f>IF(OR($F168="",$G168=""),"",IF(AND(V$5&lt;=$G168,V$5+6&gt;=$F168),IF($H168="Complétée","F",IF(OR($H168="En cours",$H168="En revue"),"E",IF($H168="Bloquée","B","P"))),""))</f>
        <v/>
      </c>
      <c r="W168" s="53">
        <f>IF(OR($F168="",$G168=""),"",IF(AND(W$5&lt;=$G168,W$5+6&gt;=$F168),IF($H168="Complétée","F",IF(OR($H168="En cours",$H168="En revue"),"E",IF($H168="Bloquée","B","P"))),""))</f>
        <v/>
      </c>
      <c r="X168" s="53">
        <f>IF(OR($F168="",$G168=""),"",IF(AND(X$5&lt;=$G168,X$5+6&gt;=$F168),IF($H168="Complétée","F",IF(OR($H168="En cours",$H168="En revue"),"E",IF($H168="Bloquée","B","P"))),""))</f>
        <v/>
      </c>
      <c r="Y168" s="53">
        <f>IF(OR($F168="",$G168=""),"",IF(AND(Y$5&lt;=$G168,Y$5+6&gt;=$F168),IF($H168="Complétée","F",IF(OR($H168="En cours",$H168="En revue"),"E",IF($H168="Bloquée","B","P"))),""))</f>
        <v/>
      </c>
      <c r="Z168" s="53">
        <f>IF(OR($F168="",$G168=""),"",IF(AND(Z$5&lt;=$G168,Z$5+6&gt;=$F168),IF($H168="Complétée","F",IF(OR($H168="En cours",$H168="En revue"),"E",IF($H168="Bloquée","B","P"))),""))</f>
        <v/>
      </c>
      <c r="AA168" s="53">
        <f>IF(OR($F168="",$G168=""),"",IF(AND(AA$5&lt;=$G168,AA$5+6&gt;=$F168),IF($H168="Complétée","F",IF(OR($H168="En cours",$H168="En revue"),"E",IF($H168="Bloquée","B","P"))),""))</f>
        <v/>
      </c>
      <c r="AB168" s="53">
        <f>IF(OR($F168="",$G168=""),"",IF(AND(AB$5&lt;=$G168,AB$5+6&gt;=$F168),IF($H168="Complétée","F",IF(OR($H168="En cours",$H168="En revue"),"E",IF($H168="Bloquée","B","P"))),""))</f>
        <v/>
      </c>
      <c r="AC168" s="53">
        <f>IF(OR($F168="",$G168=""),"",IF(AND(AC$5&lt;=$G168,AC$5+6&gt;=$F168),IF($H168="Complétée","F",IF(OR($H168="En cours",$H168="En revue"),"E",IF($H168="Bloquée","B","P"))),""))</f>
        <v/>
      </c>
      <c r="AD168" s="53">
        <f>IF(OR($F168="",$G168=""),"",IF(AND(AD$5&lt;=$G168,AD$5+6&gt;=$F168),IF($H168="Complétée","F",IF(OR($H168="En cours",$H168="En revue"),"E",IF($H168="Bloquée","B","P"))),""))</f>
        <v/>
      </c>
      <c r="AE168" s="53">
        <f>IF(OR($F168="",$G168=""),"",IF(AND(AE$5&lt;=$G168,AE$5+6&gt;=$F168),IF($H168="Complétée","F",IF(OR($H168="En cours",$H168="En revue"),"E",IF($H168="Bloquée","B","P"))),""))</f>
        <v/>
      </c>
      <c r="AF168" s="53">
        <f>IF(OR($F168="",$G168=""),"",IF(AND(AF$5&lt;=$G168,AF$5+6&gt;=$F168),IF($H168="Complétée","F",IF(OR($H168="En cours",$H168="En revue"),"E",IF($H168="Bloquée","B","P"))),""))</f>
        <v/>
      </c>
      <c r="AG168" s="53">
        <f>IF(OR($F168="",$G168=""),"",IF(AND(AG$5&lt;=$G168,AG$5+6&gt;=$F168),IF($H168="Complétée","F",IF(OR($H168="En cours",$H168="En revue"),"E",IF($H168="Bloquée","B","P"))),""))</f>
        <v/>
      </c>
      <c r="AH168" s="53">
        <f>IF(OR($F168="",$G168=""),"",IF(AND(AH$5&lt;=$G168,AH$5+6&gt;=$F168),IF($H168="Complétée","F",IF(OR($H168="En cours",$H168="En revue"),"E",IF($H168="Bloquée","B","P"))),""))</f>
        <v/>
      </c>
      <c r="AI168" s="53">
        <f>IF(OR($F168="",$G168=""),"",IF(AND(AI$5&lt;=$G168,AI$5+6&gt;=$F168),IF($H168="Complétée","F",IF(OR($H168="En cours",$H168="En revue"),"E",IF($H168="Bloquée","B","P"))),""))</f>
        <v/>
      </c>
      <c r="AJ168" s="53">
        <f>IF(OR($F168="",$G168=""),"",IF(AND(AJ$5&lt;=$G168,AJ$5+6&gt;=$F168),IF($H168="Complétée","F",IF(OR($H168="En cours",$H168="En revue"),"E",IF($H168="Bloquée","B","P"))),""))</f>
        <v/>
      </c>
      <c r="AK168" s="53">
        <f>IF(OR($F168="",$G168=""),"",IF(AND(AK$5&lt;=$G168,AK$5+6&gt;=$F168),IF($H168="Complétée","F",IF(OR($H168="En cours",$H168="En revue"),"E",IF($H168="Bloquée","B","P"))),""))</f>
        <v/>
      </c>
      <c r="AL168" s="53">
        <f>IF(OR($F168="",$G168=""),"",IF(AND(AL$5&lt;=$G168,AL$5+6&gt;=$F168),IF($H168="Complétée","F",IF(OR($H168="En cours",$H168="En revue"),"E",IF($H168="Bloquée","B","P"))),""))</f>
        <v/>
      </c>
      <c r="AM168" s="53">
        <f>IF(OR($F168="",$G168=""),"",IF(AND(AM$5&lt;=$G168,AM$5+6&gt;=$F168),IF($H168="Complétée","F",IF(OR($H168="En cours",$H168="En revue"),"E",IF($H168="Bloquée","B","P"))),""))</f>
        <v/>
      </c>
      <c r="AN168" s="53">
        <f>IF(OR($F168="",$G168=""),"",IF(AND(AN$5&lt;=$G168,AN$5+6&gt;=$F168),IF($H168="Complétée","F",IF(OR($H168="En cours",$H168="En revue"),"E",IF($H168="Bloquée","B","P"))),""))</f>
        <v/>
      </c>
      <c r="AO168" s="53">
        <f>IF(OR($F168="",$G168=""),"",IF(AND(AO$5&lt;=$G168,AO$5+6&gt;=$F168),IF($H168="Complétée","F",IF(OR($H168="En cours",$H168="En revue"),"E",IF($H168="Bloquée","B","P"))),""))</f>
        <v/>
      </c>
      <c r="AP168" s="53">
        <f>IF(OR($F168="",$G168=""),"",IF(AND(AP$5&lt;=$G168,AP$5+6&gt;=$F168),IF($H168="Complétée","F",IF(OR($H168="En cours",$H168="En revue"),"E",IF($H168="Bloquée","B","P"))),""))</f>
        <v/>
      </c>
      <c r="AQ168" s="53">
        <f>IF(OR($F168="",$G168=""),"",IF(AND(AQ$5&lt;=$G168,AQ$5+6&gt;=$F168),IF($H168="Complétée","F",IF(OR($H168="En cours",$H168="En revue"),"E",IF($H168="Bloquée","B","P"))),""))</f>
        <v/>
      </c>
      <c r="AR168" s="53">
        <f>IF(OR($F168="",$G168=""),"",IF(AND(AR$5&lt;=$G168,AR$5+6&gt;=$F168),IF($H168="Complétée","F",IF(OR($H168="En cours",$H168="En revue"),"E",IF($H168="Bloquée","B","P"))),""))</f>
        <v/>
      </c>
      <c r="AS168" s="53">
        <f>IF(OR($F168="",$G168=""),"",IF(AND(AS$5&lt;=$G168,AS$5+6&gt;=$F168),IF($H168="Complétée","F",IF(OR($H168="En cours",$H168="En revue"),"E",IF($H168="Bloquée","B","P"))),""))</f>
        <v/>
      </c>
      <c r="AT168" s="53">
        <f>IF(OR($F168="",$G168=""),"",IF(AND(AT$5&lt;=$G168,AT$5+6&gt;=$F168),IF($H168="Complétée","F",IF(OR($H168="En cours",$H168="En revue"),"E",IF($H168="Bloquée","B","P"))),""))</f>
        <v/>
      </c>
      <c r="AU168" s="53">
        <f>IF(OR($F168="",$G168=""),"",IF(AND(AU$5&lt;=$G168,AU$5+6&gt;=$F168),IF($H168="Complétée","F",IF(OR($H168="En cours",$H168="En revue"),"E",IF($H168="Bloquée","B","P"))),""))</f>
        <v/>
      </c>
      <c r="AV168" s="53">
        <f>IF(OR($F168="",$G168=""),"",IF(AND(AV$5&lt;=$G168,AV$5+6&gt;=$F168),IF($H168="Complétée","F",IF(OR($H168="En cours",$H168="En revue"),"E",IF($H168="Bloquée","B","P"))),""))</f>
        <v/>
      </c>
      <c r="AW168" s="53">
        <f>IF(OR($F168="",$G168=""),"",IF(AND(AW$5&lt;=$G168,AW$5+6&gt;=$F168),IF($H168="Complétée","F",IF(OR($H168="En cours",$H168="En revue"),"E",IF($H168="Bloquée","B","P"))),""))</f>
        <v/>
      </c>
    </row>
    <row r="169">
      <c r="B169" s="50">
        <f>IF(Taches!B169="","",Taches!B169)</f>
        <v/>
      </c>
      <c r="C169" s="51">
        <f>IF(Taches!B169="","",Taches!F169)</f>
        <v/>
      </c>
      <c r="D169" s="50">
        <f>IF(Taches!B169="","",Taches!C169)</f>
        <v/>
      </c>
      <c r="E169" s="50">
        <f>IF(Taches!B169="","",Taches!D169)</f>
        <v/>
      </c>
      <c r="F169" s="52">
        <f>IF(Taches!P169="","",Taches!P169)</f>
        <v/>
      </c>
      <c r="G169" s="52">
        <f>IF(Taches!Q169="","",Taches!Q169)</f>
        <v/>
      </c>
      <c r="H169" s="50">
        <f>IF(Taches!B169="","",Taches!J169)</f>
        <v/>
      </c>
      <c r="I169" s="53">
        <f>IF(OR($F169="",$G169=""),"",IF(AND(I$5&lt;=$G169,I$5+6&gt;=$F169),IF($H169="Complétée","F",IF(OR($H169="En cours",$H169="En revue"),"E",IF($H169="Bloquée","B","P"))),""))</f>
        <v/>
      </c>
      <c r="J169" s="53">
        <f>IF(OR($F169="",$G169=""),"",IF(AND(J$5&lt;=$G169,J$5+6&gt;=$F169),IF($H169="Complétée","F",IF(OR($H169="En cours",$H169="En revue"),"E",IF($H169="Bloquée","B","P"))),""))</f>
        <v/>
      </c>
      <c r="K169" s="53">
        <f>IF(OR($F169="",$G169=""),"",IF(AND(K$5&lt;=$G169,K$5+6&gt;=$F169),IF($H169="Complétée","F",IF(OR($H169="En cours",$H169="En revue"),"E",IF($H169="Bloquée","B","P"))),""))</f>
        <v/>
      </c>
      <c r="L169" s="53">
        <f>IF(OR($F169="",$G169=""),"",IF(AND(L$5&lt;=$G169,L$5+6&gt;=$F169),IF($H169="Complétée","F",IF(OR($H169="En cours",$H169="En revue"),"E",IF($H169="Bloquée","B","P"))),""))</f>
        <v/>
      </c>
      <c r="M169" s="53">
        <f>IF(OR($F169="",$G169=""),"",IF(AND(M$5&lt;=$G169,M$5+6&gt;=$F169),IF($H169="Complétée","F",IF(OR($H169="En cours",$H169="En revue"),"E",IF($H169="Bloquée","B","P"))),""))</f>
        <v/>
      </c>
      <c r="N169" s="53">
        <f>IF(OR($F169="",$G169=""),"",IF(AND(N$5&lt;=$G169,N$5+6&gt;=$F169),IF($H169="Complétée","F",IF(OR($H169="En cours",$H169="En revue"),"E",IF($H169="Bloquée","B","P"))),""))</f>
        <v/>
      </c>
      <c r="O169" s="53">
        <f>IF(OR($F169="",$G169=""),"",IF(AND(O$5&lt;=$G169,O$5+6&gt;=$F169),IF($H169="Complétée","F",IF(OR($H169="En cours",$H169="En revue"),"E",IF($H169="Bloquée","B","P"))),""))</f>
        <v/>
      </c>
      <c r="P169" s="53">
        <f>IF(OR($F169="",$G169=""),"",IF(AND(P$5&lt;=$G169,P$5+6&gt;=$F169),IF($H169="Complétée","F",IF(OR($H169="En cours",$H169="En revue"),"E",IF($H169="Bloquée","B","P"))),""))</f>
        <v/>
      </c>
      <c r="Q169" s="53">
        <f>IF(OR($F169="",$G169=""),"",IF(AND(Q$5&lt;=$G169,Q$5+6&gt;=$F169),IF($H169="Complétée","F",IF(OR($H169="En cours",$H169="En revue"),"E",IF($H169="Bloquée","B","P"))),""))</f>
        <v/>
      </c>
      <c r="R169" s="53">
        <f>IF(OR($F169="",$G169=""),"",IF(AND(R$5&lt;=$G169,R$5+6&gt;=$F169),IF($H169="Complétée","F",IF(OR($H169="En cours",$H169="En revue"),"E",IF($H169="Bloquée","B","P"))),""))</f>
        <v/>
      </c>
      <c r="S169" s="53">
        <f>IF(OR($F169="",$G169=""),"",IF(AND(S$5&lt;=$G169,S$5+6&gt;=$F169),IF($H169="Complétée","F",IF(OR($H169="En cours",$H169="En revue"),"E",IF($H169="Bloquée","B","P"))),""))</f>
        <v/>
      </c>
      <c r="T169" s="53">
        <f>IF(OR($F169="",$G169=""),"",IF(AND(T$5&lt;=$G169,T$5+6&gt;=$F169),IF($H169="Complétée","F",IF(OR($H169="En cours",$H169="En revue"),"E",IF($H169="Bloquée","B","P"))),""))</f>
        <v/>
      </c>
      <c r="U169" s="53">
        <f>IF(OR($F169="",$G169=""),"",IF(AND(U$5&lt;=$G169,U$5+6&gt;=$F169),IF($H169="Complétée","F",IF(OR($H169="En cours",$H169="En revue"),"E",IF($H169="Bloquée","B","P"))),""))</f>
        <v/>
      </c>
      <c r="V169" s="53">
        <f>IF(OR($F169="",$G169=""),"",IF(AND(V$5&lt;=$G169,V$5+6&gt;=$F169),IF($H169="Complétée","F",IF(OR($H169="En cours",$H169="En revue"),"E",IF($H169="Bloquée","B","P"))),""))</f>
        <v/>
      </c>
      <c r="W169" s="53">
        <f>IF(OR($F169="",$G169=""),"",IF(AND(W$5&lt;=$G169,W$5+6&gt;=$F169),IF($H169="Complétée","F",IF(OR($H169="En cours",$H169="En revue"),"E",IF($H169="Bloquée","B","P"))),""))</f>
        <v/>
      </c>
      <c r="X169" s="53">
        <f>IF(OR($F169="",$G169=""),"",IF(AND(X$5&lt;=$G169,X$5+6&gt;=$F169),IF($H169="Complétée","F",IF(OR($H169="En cours",$H169="En revue"),"E",IF($H169="Bloquée","B","P"))),""))</f>
        <v/>
      </c>
      <c r="Y169" s="53">
        <f>IF(OR($F169="",$G169=""),"",IF(AND(Y$5&lt;=$G169,Y$5+6&gt;=$F169),IF($H169="Complétée","F",IF(OR($H169="En cours",$H169="En revue"),"E",IF($H169="Bloquée","B","P"))),""))</f>
        <v/>
      </c>
      <c r="Z169" s="53">
        <f>IF(OR($F169="",$G169=""),"",IF(AND(Z$5&lt;=$G169,Z$5+6&gt;=$F169),IF($H169="Complétée","F",IF(OR($H169="En cours",$H169="En revue"),"E",IF($H169="Bloquée","B","P"))),""))</f>
        <v/>
      </c>
      <c r="AA169" s="53">
        <f>IF(OR($F169="",$G169=""),"",IF(AND(AA$5&lt;=$G169,AA$5+6&gt;=$F169),IF($H169="Complétée","F",IF(OR($H169="En cours",$H169="En revue"),"E",IF($H169="Bloquée","B","P"))),""))</f>
        <v/>
      </c>
      <c r="AB169" s="53">
        <f>IF(OR($F169="",$G169=""),"",IF(AND(AB$5&lt;=$G169,AB$5+6&gt;=$F169),IF($H169="Complétée","F",IF(OR($H169="En cours",$H169="En revue"),"E",IF($H169="Bloquée","B","P"))),""))</f>
        <v/>
      </c>
      <c r="AC169" s="53">
        <f>IF(OR($F169="",$G169=""),"",IF(AND(AC$5&lt;=$G169,AC$5+6&gt;=$F169),IF($H169="Complétée","F",IF(OR($H169="En cours",$H169="En revue"),"E",IF($H169="Bloquée","B","P"))),""))</f>
        <v/>
      </c>
      <c r="AD169" s="53">
        <f>IF(OR($F169="",$G169=""),"",IF(AND(AD$5&lt;=$G169,AD$5+6&gt;=$F169),IF($H169="Complétée","F",IF(OR($H169="En cours",$H169="En revue"),"E",IF($H169="Bloquée","B","P"))),""))</f>
        <v/>
      </c>
      <c r="AE169" s="53">
        <f>IF(OR($F169="",$G169=""),"",IF(AND(AE$5&lt;=$G169,AE$5+6&gt;=$F169),IF($H169="Complétée","F",IF(OR($H169="En cours",$H169="En revue"),"E",IF($H169="Bloquée","B","P"))),""))</f>
        <v/>
      </c>
      <c r="AF169" s="53">
        <f>IF(OR($F169="",$G169=""),"",IF(AND(AF$5&lt;=$G169,AF$5+6&gt;=$F169),IF($H169="Complétée","F",IF(OR($H169="En cours",$H169="En revue"),"E",IF($H169="Bloquée","B","P"))),""))</f>
        <v/>
      </c>
      <c r="AG169" s="53">
        <f>IF(OR($F169="",$G169=""),"",IF(AND(AG$5&lt;=$G169,AG$5+6&gt;=$F169),IF($H169="Complétée","F",IF(OR($H169="En cours",$H169="En revue"),"E",IF($H169="Bloquée","B","P"))),""))</f>
        <v/>
      </c>
      <c r="AH169" s="53">
        <f>IF(OR($F169="",$G169=""),"",IF(AND(AH$5&lt;=$G169,AH$5+6&gt;=$F169),IF($H169="Complétée","F",IF(OR($H169="En cours",$H169="En revue"),"E",IF($H169="Bloquée","B","P"))),""))</f>
        <v/>
      </c>
      <c r="AI169" s="53">
        <f>IF(OR($F169="",$G169=""),"",IF(AND(AI$5&lt;=$G169,AI$5+6&gt;=$F169),IF($H169="Complétée","F",IF(OR($H169="En cours",$H169="En revue"),"E",IF($H169="Bloquée","B","P"))),""))</f>
        <v/>
      </c>
      <c r="AJ169" s="53">
        <f>IF(OR($F169="",$G169=""),"",IF(AND(AJ$5&lt;=$G169,AJ$5+6&gt;=$F169),IF($H169="Complétée","F",IF(OR($H169="En cours",$H169="En revue"),"E",IF($H169="Bloquée","B","P"))),""))</f>
        <v/>
      </c>
      <c r="AK169" s="53">
        <f>IF(OR($F169="",$G169=""),"",IF(AND(AK$5&lt;=$G169,AK$5+6&gt;=$F169),IF($H169="Complétée","F",IF(OR($H169="En cours",$H169="En revue"),"E",IF($H169="Bloquée","B","P"))),""))</f>
        <v/>
      </c>
      <c r="AL169" s="53">
        <f>IF(OR($F169="",$G169=""),"",IF(AND(AL$5&lt;=$G169,AL$5+6&gt;=$F169),IF($H169="Complétée","F",IF(OR($H169="En cours",$H169="En revue"),"E",IF($H169="Bloquée","B","P"))),""))</f>
        <v/>
      </c>
      <c r="AM169" s="53">
        <f>IF(OR($F169="",$G169=""),"",IF(AND(AM$5&lt;=$G169,AM$5+6&gt;=$F169),IF($H169="Complétée","F",IF(OR($H169="En cours",$H169="En revue"),"E",IF($H169="Bloquée","B","P"))),""))</f>
        <v/>
      </c>
      <c r="AN169" s="53">
        <f>IF(OR($F169="",$G169=""),"",IF(AND(AN$5&lt;=$G169,AN$5+6&gt;=$F169),IF($H169="Complétée","F",IF(OR($H169="En cours",$H169="En revue"),"E",IF($H169="Bloquée","B","P"))),""))</f>
        <v/>
      </c>
      <c r="AO169" s="53">
        <f>IF(OR($F169="",$G169=""),"",IF(AND(AO$5&lt;=$G169,AO$5+6&gt;=$F169),IF($H169="Complétée","F",IF(OR($H169="En cours",$H169="En revue"),"E",IF($H169="Bloquée","B","P"))),""))</f>
        <v/>
      </c>
      <c r="AP169" s="53">
        <f>IF(OR($F169="",$G169=""),"",IF(AND(AP$5&lt;=$G169,AP$5+6&gt;=$F169),IF($H169="Complétée","F",IF(OR($H169="En cours",$H169="En revue"),"E",IF($H169="Bloquée","B","P"))),""))</f>
        <v/>
      </c>
      <c r="AQ169" s="53">
        <f>IF(OR($F169="",$G169=""),"",IF(AND(AQ$5&lt;=$G169,AQ$5+6&gt;=$F169),IF($H169="Complétée","F",IF(OR($H169="En cours",$H169="En revue"),"E",IF($H169="Bloquée","B","P"))),""))</f>
        <v/>
      </c>
      <c r="AR169" s="53">
        <f>IF(OR($F169="",$G169=""),"",IF(AND(AR$5&lt;=$G169,AR$5+6&gt;=$F169),IF($H169="Complétée","F",IF(OR($H169="En cours",$H169="En revue"),"E",IF($H169="Bloquée","B","P"))),""))</f>
        <v/>
      </c>
      <c r="AS169" s="53">
        <f>IF(OR($F169="",$G169=""),"",IF(AND(AS$5&lt;=$G169,AS$5+6&gt;=$F169),IF($H169="Complétée","F",IF(OR($H169="En cours",$H169="En revue"),"E",IF($H169="Bloquée","B","P"))),""))</f>
        <v/>
      </c>
      <c r="AT169" s="53">
        <f>IF(OR($F169="",$G169=""),"",IF(AND(AT$5&lt;=$G169,AT$5+6&gt;=$F169),IF($H169="Complétée","F",IF(OR($H169="En cours",$H169="En revue"),"E",IF($H169="Bloquée","B","P"))),""))</f>
        <v/>
      </c>
      <c r="AU169" s="53">
        <f>IF(OR($F169="",$G169=""),"",IF(AND(AU$5&lt;=$G169,AU$5+6&gt;=$F169),IF($H169="Complétée","F",IF(OR($H169="En cours",$H169="En revue"),"E",IF($H169="Bloquée","B","P"))),""))</f>
        <v/>
      </c>
      <c r="AV169" s="53">
        <f>IF(OR($F169="",$G169=""),"",IF(AND(AV$5&lt;=$G169,AV$5+6&gt;=$F169),IF($H169="Complétée","F",IF(OR($H169="En cours",$H169="En revue"),"E",IF($H169="Bloquée","B","P"))),""))</f>
        <v/>
      </c>
      <c r="AW169" s="53">
        <f>IF(OR($F169="",$G169=""),"",IF(AND(AW$5&lt;=$G169,AW$5+6&gt;=$F169),IF($H169="Complétée","F",IF(OR($H169="En cours",$H169="En revue"),"E",IF($H169="Bloquée","B","P"))),""))</f>
        <v/>
      </c>
    </row>
    <row r="170">
      <c r="B170" s="50">
        <f>IF(Taches!B170="","",Taches!B170)</f>
        <v/>
      </c>
      <c r="C170" s="51">
        <f>IF(Taches!B170="","",Taches!F170)</f>
        <v/>
      </c>
      <c r="D170" s="50">
        <f>IF(Taches!B170="","",Taches!C170)</f>
        <v/>
      </c>
      <c r="E170" s="50">
        <f>IF(Taches!B170="","",Taches!D170)</f>
        <v/>
      </c>
      <c r="F170" s="52">
        <f>IF(Taches!P170="","",Taches!P170)</f>
        <v/>
      </c>
      <c r="G170" s="52">
        <f>IF(Taches!Q170="","",Taches!Q170)</f>
        <v/>
      </c>
      <c r="H170" s="50">
        <f>IF(Taches!B170="","",Taches!J170)</f>
        <v/>
      </c>
      <c r="I170" s="53">
        <f>IF(OR($F170="",$G170=""),"",IF(AND(I$5&lt;=$G170,I$5+6&gt;=$F170),IF($H170="Complétée","F",IF(OR($H170="En cours",$H170="En revue"),"E",IF($H170="Bloquée","B","P"))),""))</f>
        <v/>
      </c>
      <c r="J170" s="53">
        <f>IF(OR($F170="",$G170=""),"",IF(AND(J$5&lt;=$G170,J$5+6&gt;=$F170),IF($H170="Complétée","F",IF(OR($H170="En cours",$H170="En revue"),"E",IF($H170="Bloquée","B","P"))),""))</f>
        <v/>
      </c>
      <c r="K170" s="53">
        <f>IF(OR($F170="",$G170=""),"",IF(AND(K$5&lt;=$G170,K$5+6&gt;=$F170),IF($H170="Complétée","F",IF(OR($H170="En cours",$H170="En revue"),"E",IF($H170="Bloquée","B","P"))),""))</f>
        <v/>
      </c>
      <c r="L170" s="53">
        <f>IF(OR($F170="",$G170=""),"",IF(AND(L$5&lt;=$G170,L$5+6&gt;=$F170),IF($H170="Complétée","F",IF(OR($H170="En cours",$H170="En revue"),"E",IF($H170="Bloquée","B","P"))),""))</f>
        <v/>
      </c>
      <c r="M170" s="53">
        <f>IF(OR($F170="",$G170=""),"",IF(AND(M$5&lt;=$G170,M$5+6&gt;=$F170),IF($H170="Complétée","F",IF(OR($H170="En cours",$H170="En revue"),"E",IF($H170="Bloquée","B","P"))),""))</f>
        <v/>
      </c>
      <c r="N170" s="53">
        <f>IF(OR($F170="",$G170=""),"",IF(AND(N$5&lt;=$G170,N$5+6&gt;=$F170),IF($H170="Complétée","F",IF(OR($H170="En cours",$H170="En revue"),"E",IF($H170="Bloquée","B","P"))),""))</f>
        <v/>
      </c>
      <c r="O170" s="53">
        <f>IF(OR($F170="",$G170=""),"",IF(AND(O$5&lt;=$G170,O$5+6&gt;=$F170),IF($H170="Complétée","F",IF(OR($H170="En cours",$H170="En revue"),"E",IF($H170="Bloquée","B","P"))),""))</f>
        <v/>
      </c>
      <c r="P170" s="53">
        <f>IF(OR($F170="",$G170=""),"",IF(AND(P$5&lt;=$G170,P$5+6&gt;=$F170),IF($H170="Complétée","F",IF(OR($H170="En cours",$H170="En revue"),"E",IF($H170="Bloquée","B","P"))),""))</f>
        <v/>
      </c>
      <c r="Q170" s="53">
        <f>IF(OR($F170="",$G170=""),"",IF(AND(Q$5&lt;=$G170,Q$5+6&gt;=$F170),IF($H170="Complétée","F",IF(OR($H170="En cours",$H170="En revue"),"E",IF($H170="Bloquée","B","P"))),""))</f>
        <v/>
      </c>
      <c r="R170" s="53">
        <f>IF(OR($F170="",$G170=""),"",IF(AND(R$5&lt;=$G170,R$5+6&gt;=$F170),IF($H170="Complétée","F",IF(OR($H170="En cours",$H170="En revue"),"E",IF($H170="Bloquée","B","P"))),""))</f>
        <v/>
      </c>
      <c r="S170" s="53">
        <f>IF(OR($F170="",$G170=""),"",IF(AND(S$5&lt;=$G170,S$5+6&gt;=$F170),IF($H170="Complétée","F",IF(OR($H170="En cours",$H170="En revue"),"E",IF($H170="Bloquée","B","P"))),""))</f>
        <v/>
      </c>
      <c r="T170" s="53">
        <f>IF(OR($F170="",$G170=""),"",IF(AND(T$5&lt;=$G170,T$5+6&gt;=$F170),IF($H170="Complétée","F",IF(OR($H170="En cours",$H170="En revue"),"E",IF($H170="Bloquée","B","P"))),""))</f>
        <v/>
      </c>
      <c r="U170" s="53">
        <f>IF(OR($F170="",$G170=""),"",IF(AND(U$5&lt;=$G170,U$5+6&gt;=$F170),IF($H170="Complétée","F",IF(OR($H170="En cours",$H170="En revue"),"E",IF($H170="Bloquée","B","P"))),""))</f>
        <v/>
      </c>
      <c r="V170" s="53">
        <f>IF(OR($F170="",$G170=""),"",IF(AND(V$5&lt;=$G170,V$5+6&gt;=$F170),IF($H170="Complétée","F",IF(OR($H170="En cours",$H170="En revue"),"E",IF($H170="Bloquée","B","P"))),""))</f>
        <v/>
      </c>
      <c r="W170" s="53">
        <f>IF(OR($F170="",$G170=""),"",IF(AND(W$5&lt;=$G170,W$5+6&gt;=$F170),IF($H170="Complétée","F",IF(OR($H170="En cours",$H170="En revue"),"E",IF($H170="Bloquée","B","P"))),""))</f>
        <v/>
      </c>
      <c r="X170" s="53">
        <f>IF(OR($F170="",$G170=""),"",IF(AND(X$5&lt;=$G170,X$5+6&gt;=$F170),IF($H170="Complétée","F",IF(OR($H170="En cours",$H170="En revue"),"E",IF($H170="Bloquée","B","P"))),""))</f>
        <v/>
      </c>
      <c r="Y170" s="53">
        <f>IF(OR($F170="",$G170=""),"",IF(AND(Y$5&lt;=$G170,Y$5+6&gt;=$F170),IF($H170="Complétée","F",IF(OR($H170="En cours",$H170="En revue"),"E",IF($H170="Bloquée","B","P"))),""))</f>
        <v/>
      </c>
      <c r="Z170" s="53">
        <f>IF(OR($F170="",$G170=""),"",IF(AND(Z$5&lt;=$G170,Z$5+6&gt;=$F170),IF($H170="Complétée","F",IF(OR($H170="En cours",$H170="En revue"),"E",IF($H170="Bloquée","B","P"))),""))</f>
        <v/>
      </c>
      <c r="AA170" s="53">
        <f>IF(OR($F170="",$G170=""),"",IF(AND(AA$5&lt;=$G170,AA$5+6&gt;=$F170),IF($H170="Complétée","F",IF(OR($H170="En cours",$H170="En revue"),"E",IF($H170="Bloquée","B","P"))),""))</f>
        <v/>
      </c>
      <c r="AB170" s="53">
        <f>IF(OR($F170="",$G170=""),"",IF(AND(AB$5&lt;=$G170,AB$5+6&gt;=$F170),IF($H170="Complétée","F",IF(OR($H170="En cours",$H170="En revue"),"E",IF($H170="Bloquée","B","P"))),""))</f>
        <v/>
      </c>
      <c r="AC170" s="53">
        <f>IF(OR($F170="",$G170=""),"",IF(AND(AC$5&lt;=$G170,AC$5+6&gt;=$F170),IF($H170="Complétée","F",IF(OR($H170="En cours",$H170="En revue"),"E",IF($H170="Bloquée","B","P"))),""))</f>
        <v/>
      </c>
      <c r="AD170" s="53">
        <f>IF(OR($F170="",$G170=""),"",IF(AND(AD$5&lt;=$G170,AD$5+6&gt;=$F170),IF($H170="Complétée","F",IF(OR($H170="En cours",$H170="En revue"),"E",IF($H170="Bloquée","B","P"))),""))</f>
        <v/>
      </c>
      <c r="AE170" s="53">
        <f>IF(OR($F170="",$G170=""),"",IF(AND(AE$5&lt;=$G170,AE$5+6&gt;=$F170),IF($H170="Complétée","F",IF(OR($H170="En cours",$H170="En revue"),"E",IF($H170="Bloquée","B","P"))),""))</f>
        <v/>
      </c>
      <c r="AF170" s="53">
        <f>IF(OR($F170="",$G170=""),"",IF(AND(AF$5&lt;=$G170,AF$5+6&gt;=$F170),IF($H170="Complétée","F",IF(OR($H170="En cours",$H170="En revue"),"E",IF($H170="Bloquée","B","P"))),""))</f>
        <v/>
      </c>
      <c r="AG170" s="53">
        <f>IF(OR($F170="",$G170=""),"",IF(AND(AG$5&lt;=$G170,AG$5+6&gt;=$F170),IF($H170="Complétée","F",IF(OR($H170="En cours",$H170="En revue"),"E",IF($H170="Bloquée","B","P"))),""))</f>
        <v/>
      </c>
      <c r="AH170" s="53">
        <f>IF(OR($F170="",$G170=""),"",IF(AND(AH$5&lt;=$G170,AH$5+6&gt;=$F170),IF($H170="Complétée","F",IF(OR($H170="En cours",$H170="En revue"),"E",IF($H170="Bloquée","B","P"))),""))</f>
        <v/>
      </c>
      <c r="AI170" s="53">
        <f>IF(OR($F170="",$G170=""),"",IF(AND(AI$5&lt;=$G170,AI$5+6&gt;=$F170),IF($H170="Complétée","F",IF(OR($H170="En cours",$H170="En revue"),"E",IF($H170="Bloquée","B","P"))),""))</f>
        <v/>
      </c>
      <c r="AJ170" s="53">
        <f>IF(OR($F170="",$G170=""),"",IF(AND(AJ$5&lt;=$G170,AJ$5+6&gt;=$F170),IF($H170="Complétée","F",IF(OR($H170="En cours",$H170="En revue"),"E",IF($H170="Bloquée","B","P"))),""))</f>
        <v/>
      </c>
      <c r="AK170" s="53">
        <f>IF(OR($F170="",$G170=""),"",IF(AND(AK$5&lt;=$G170,AK$5+6&gt;=$F170),IF($H170="Complétée","F",IF(OR($H170="En cours",$H170="En revue"),"E",IF($H170="Bloquée","B","P"))),""))</f>
        <v/>
      </c>
      <c r="AL170" s="53">
        <f>IF(OR($F170="",$G170=""),"",IF(AND(AL$5&lt;=$G170,AL$5+6&gt;=$F170),IF($H170="Complétée","F",IF(OR($H170="En cours",$H170="En revue"),"E",IF($H170="Bloquée","B","P"))),""))</f>
        <v/>
      </c>
      <c r="AM170" s="53">
        <f>IF(OR($F170="",$G170=""),"",IF(AND(AM$5&lt;=$G170,AM$5+6&gt;=$F170),IF($H170="Complétée","F",IF(OR($H170="En cours",$H170="En revue"),"E",IF($H170="Bloquée","B","P"))),""))</f>
        <v/>
      </c>
      <c r="AN170" s="53">
        <f>IF(OR($F170="",$G170=""),"",IF(AND(AN$5&lt;=$G170,AN$5+6&gt;=$F170),IF($H170="Complétée","F",IF(OR($H170="En cours",$H170="En revue"),"E",IF($H170="Bloquée","B","P"))),""))</f>
        <v/>
      </c>
      <c r="AO170" s="53">
        <f>IF(OR($F170="",$G170=""),"",IF(AND(AO$5&lt;=$G170,AO$5+6&gt;=$F170),IF($H170="Complétée","F",IF(OR($H170="En cours",$H170="En revue"),"E",IF($H170="Bloquée","B","P"))),""))</f>
        <v/>
      </c>
      <c r="AP170" s="53">
        <f>IF(OR($F170="",$G170=""),"",IF(AND(AP$5&lt;=$G170,AP$5+6&gt;=$F170),IF($H170="Complétée","F",IF(OR($H170="En cours",$H170="En revue"),"E",IF($H170="Bloquée","B","P"))),""))</f>
        <v/>
      </c>
      <c r="AQ170" s="53">
        <f>IF(OR($F170="",$G170=""),"",IF(AND(AQ$5&lt;=$G170,AQ$5+6&gt;=$F170),IF($H170="Complétée","F",IF(OR($H170="En cours",$H170="En revue"),"E",IF($H170="Bloquée","B","P"))),""))</f>
        <v/>
      </c>
      <c r="AR170" s="53">
        <f>IF(OR($F170="",$G170=""),"",IF(AND(AR$5&lt;=$G170,AR$5+6&gt;=$F170),IF($H170="Complétée","F",IF(OR($H170="En cours",$H170="En revue"),"E",IF($H170="Bloquée","B","P"))),""))</f>
        <v/>
      </c>
      <c r="AS170" s="53">
        <f>IF(OR($F170="",$G170=""),"",IF(AND(AS$5&lt;=$G170,AS$5+6&gt;=$F170),IF($H170="Complétée","F",IF(OR($H170="En cours",$H170="En revue"),"E",IF($H170="Bloquée","B","P"))),""))</f>
        <v/>
      </c>
      <c r="AT170" s="53">
        <f>IF(OR($F170="",$G170=""),"",IF(AND(AT$5&lt;=$G170,AT$5+6&gt;=$F170),IF($H170="Complétée","F",IF(OR($H170="En cours",$H170="En revue"),"E",IF($H170="Bloquée","B","P"))),""))</f>
        <v/>
      </c>
      <c r="AU170" s="53">
        <f>IF(OR($F170="",$G170=""),"",IF(AND(AU$5&lt;=$G170,AU$5+6&gt;=$F170),IF($H170="Complétée","F",IF(OR($H170="En cours",$H170="En revue"),"E",IF($H170="Bloquée","B","P"))),""))</f>
        <v/>
      </c>
      <c r="AV170" s="53">
        <f>IF(OR($F170="",$G170=""),"",IF(AND(AV$5&lt;=$G170,AV$5+6&gt;=$F170),IF($H170="Complétée","F",IF(OR($H170="En cours",$H170="En revue"),"E",IF($H170="Bloquée","B","P"))),""))</f>
        <v/>
      </c>
      <c r="AW170" s="53">
        <f>IF(OR($F170="",$G170=""),"",IF(AND(AW$5&lt;=$G170,AW$5+6&gt;=$F170),IF($H170="Complétée","F",IF(OR($H170="En cours",$H170="En revue"),"E",IF($H170="Bloquée","B","P"))),""))</f>
        <v/>
      </c>
    </row>
    <row r="171">
      <c r="B171" s="50">
        <f>IF(Taches!B171="","",Taches!B171)</f>
        <v/>
      </c>
      <c r="C171" s="51">
        <f>IF(Taches!B171="","",Taches!F171)</f>
        <v/>
      </c>
      <c r="D171" s="50">
        <f>IF(Taches!B171="","",Taches!C171)</f>
        <v/>
      </c>
      <c r="E171" s="50">
        <f>IF(Taches!B171="","",Taches!D171)</f>
        <v/>
      </c>
      <c r="F171" s="52">
        <f>IF(Taches!P171="","",Taches!P171)</f>
        <v/>
      </c>
      <c r="G171" s="52">
        <f>IF(Taches!Q171="","",Taches!Q171)</f>
        <v/>
      </c>
      <c r="H171" s="50">
        <f>IF(Taches!B171="","",Taches!J171)</f>
        <v/>
      </c>
      <c r="I171" s="53">
        <f>IF(OR($F171="",$G171=""),"",IF(AND(I$5&lt;=$G171,I$5+6&gt;=$F171),IF($H171="Complétée","F",IF(OR($H171="En cours",$H171="En revue"),"E",IF($H171="Bloquée","B","P"))),""))</f>
        <v/>
      </c>
      <c r="J171" s="53">
        <f>IF(OR($F171="",$G171=""),"",IF(AND(J$5&lt;=$G171,J$5+6&gt;=$F171),IF($H171="Complétée","F",IF(OR($H171="En cours",$H171="En revue"),"E",IF($H171="Bloquée","B","P"))),""))</f>
        <v/>
      </c>
      <c r="K171" s="53">
        <f>IF(OR($F171="",$G171=""),"",IF(AND(K$5&lt;=$G171,K$5+6&gt;=$F171),IF($H171="Complétée","F",IF(OR($H171="En cours",$H171="En revue"),"E",IF($H171="Bloquée","B","P"))),""))</f>
        <v/>
      </c>
      <c r="L171" s="53">
        <f>IF(OR($F171="",$G171=""),"",IF(AND(L$5&lt;=$G171,L$5+6&gt;=$F171),IF($H171="Complétée","F",IF(OR($H171="En cours",$H171="En revue"),"E",IF($H171="Bloquée","B","P"))),""))</f>
        <v/>
      </c>
      <c r="M171" s="53">
        <f>IF(OR($F171="",$G171=""),"",IF(AND(M$5&lt;=$G171,M$5+6&gt;=$F171),IF($H171="Complétée","F",IF(OR($H171="En cours",$H171="En revue"),"E",IF($H171="Bloquée","B","P"))),""))</f>
        <v/>
      </c>
      <c r="N171" s="53">
        <f>IF(OR($F171="",$G171=""),"",IF(AND(N$5&lt;=$G171,N$5+6&gt;=$F171),IF($H171="Complétée","F",IF(OR($H171="En cours",$H171="En revue"),"E",IF($H171="Bloquée","B","P"))),""))</f>
        <v/>
      </c>
      <c r="O171" s="53">
        <f>IF(OR($F171="",$G171=""),"",IF(AND(O$5&lt;=$G171,O$5+6&gt;=$F171),IF($H171="Complétée","F",IF(OR($H171="En cours",$H171="En revue"),"E",IF($H171="Bloquée","B","P"))),""))</f>
        <v/>
      </c>
      <c r="P171" s="53">
        <f>IF(OR($F171="",$G171=""),"",IF(AND(P$5&lt;=$G171,P$5+6&gt;=$F171),IF($H171="Complétée","F",IF(OR($H171="En cours",$H171="En revue"),"E",IF($H171="Bloquée","B","P"))),""))</f>
        <v/>
      </c>
      <c r="Q171" s="53">
        <f>IF(OR($F171="",$G171=""),"",IF(AND(Q$5&lt;=$G171,Q$5+6&gt;=$F171),IF($H171="Complétée","F",IF(OR($H171="En cours",$H171="En revue"),"E",IF($H171="Bloquée","B","P"))),""))</f>
        <v/>
      </c>
      <c r="R171" s="53">
        <f>IF(OR($F171="",$G171=""),"",IF(AND(R$5&lt;=$G171,R$5+6&gt;=$F171),IF($H171="Complétée","F",IF(OR($H171="En cours",$H171="En revue"),"E",IF($H171="Bloquée","B","P"))),""))</f>
        <v/>
      </c>
      <c r="S171" s="53">
        <f>IF(OR($F171="",$G171=""),"",IF(AND(S$5&lt;=$G171,S$5+6&gt;=$F171),IF($H171="Complétée","F",IF(OR($H171="En cours",$H171="En revue"),"E",IF($H171="Bloquée","B","P"))),""))</f>
        <v/>
      </c>
      <c r="T171" s="53">
        <f>IF(OR($F171="",$G171=""),"",IF(AND(T$5&lt;=$G171,T$5+6&gt;=$F171),IF($H171="Complétée","F",IF(OR($H171="En cours",$H171="En revue"),"E",IF($H171="Bloquée","B","P"))),""))</f>
        <v/>
      </c>
      <c r="U171" s="53">
        <f>IF(OR($F171="",$G171=""),"",IF(AND(U$5&lt;=$G171,U$5+6&gt;=$F171),IF($H171="Complétée","F",IF(OR($H171="En cours",$H171="En revue"),"E",IF($H171="Bloquée","B","P"))),""))</f>
        <v/>
      </c>
      <c r="V171" s="53">
        <f>IF(OR($F171="",$G171=""),"",IF(AND(V$5&lt;=$G171,V$5+6&gt;=$F171),IF($H171="Complétée","F",IF(OR($H171="En cours",$H171="En revue"),"E",IF($H171="Bloquée","B","P"))),""))</f>
        <v/>
      </c>
      <c r="W171" s="53">
        <f>IF(OR($F171="",$G171=""),"",IF(AND(W$5&lt;=$G171,W$5+6&gt;=$F171),IF($H171="Complétée","F",IF(OR($H171="En cours",$H171="En revue"),"E",IF($H171="Bloquée","B","P"))),""))</f>
        <v/>
      </c>
      <c r="X171" s="53">
        <f>IF(OR($F171="",$G171=""),"",IF(AND(X$5&lt;=$G171,X$5+6&gt;=$F171),IF($H171="Complétée","F",IF(OR($H171="En cours",$H171="En revue"),"E",IF($H171="Bloquée","B","P"))),""))</f>
        <v/>
      </c>
      <c r="Y171" s="53">
        <f>IF(OR($F171="",$G171=""),"",IF(AND(Y$5&lt;=$G171,Y$5+6&gt;=$F171),IF($H171="Complétée","F",IF(OR($H171="En cours",$H171="En revue"),"E",IF($H171="Bloquée","B","P"))),""))</f>
        <v/>
      </c>
      <c r="Z171" s="53">
        <f>IF(OR($F171="",$G171=""),"",IF(AND(Z$5&lt;=$G171,Z$5+6&gt;=$F171),IF($H171="Complétée","F",IF(OR($H171="En cours",$H171="En revue"),"E",IF($H171="Bloquée","B","P"))),""))</f>
        <v/>
      </c>
      <c r="AA171" s="53">
        <f>IF(OR($F171="",$G171=""),"",IF(AND(AA$5&lt;=$G171,AA$5+6&gt;=$F171),IF($H171="Complétée","F",IF(OR($H171="En cours",$H171="En revue"),"E",IF($H171="Bloquée","B","P"))),""))</f>
        <v/>
      </c>
      <c r="AB171" s="53">
        <f>IF(OR($F171="",$G171=""),"",IF(AND(AB$5&lt;=$G171,AB$5+6&gt;=$F171),IF($H171="Complétée","F",IF(OR($H171="En cours",$H171="En revue"),"E",IF($H171="Bloquée","B","P"))),""))</f>
        <v/>
      </c>
      <c r="AC171" s="53">
        <f>IF(OR($F171="",$G171=""),"",IF(AND(AC$5&lt;=$G171,AC$5+6&gt;=$F171),IF($H171="Complétée","F",IF(OR($H171="En cours",$H171="En revue"),"E",IF($H171="Bloquée","B","P"))),""))</f>
        <v/>
      </c>
      <c r="AD171" s="53">
        <f>IF(OR($F171="",$G171=""),"",IF(AND(AD$5&lt;=$G171,AD$5+6&gt;=$F171),IF($H171="Complétée","F",IF(OR($H171="En cours",$H171="En revue"),"E",IF($H171="Bloquée","B","P"))),""))</f>
        <v/>
      </c>
      <c r="AE171" s="53">
        <f>IF(OR($F171="",$G171=""),"",IF(AND(AE$5&lt;=$G171,AE$5+6&gt;=$F171),IF($H171="Complétée","F",IF(OR($H171="En cours",$H171="En revue"),"E",IF($H171="Bloquée","B","P"))),""))</f>
        <v/>
      </c>
      <c r="AF171" s="53">
        <f>IF(OR($F171="",$G171=""),"",IF(AND(AF$5&lt;=$G171,AF$5+6&gt;=$F171),IF($H171="Complétée","F",IF(OR($H171="En cours",$H171="En revue"),"E",IF($H171="Bloquée","B","P"))),""))</f>
        <v/>
      </c>
      <c r="AG171" s="53">
        <f>IF(OR($F171="",$G171=""),"",IF(AND(AG$5&lt;=$G171,AG$5+6&gt;=$F171),IF($H171="Complétée","F",IF(OR($H171="En cours",$H171="En revue"),"E",IF($H171="Bloquée","B","P"))),""))</f>
        <v/>
      </c>
      <c r="AH171" s="53">
        <f>IF(OR($F171="",$G171=""),"",IF(AND(AH$5&lt;=$G171,AH$5+6&gt;=$F171),IF($H171="Complétée","F",IF(OR($H171="En cours",$H171="En revue"),"E",IF($H171="Bloquée","B","P"))),""))</f>
        <v/>
      </c>
      <c r="AI171" s="53">
        <f>IF(OR($F171="",$G171=""),"",IF(AND(AI$5&lt;=$G171,AI$5+6&gt;=$F171),IF($H171="Complétée","F",IF(OR($H171="En cours",$H171="En revue"),"E",IF($H171="Bloquée","B","P"))),""))</f>
        <v/>
      </c>
      <c r="AJ171" s="53">
        <f>IF(OR($F171="",$G171=""),"",IF(AND(AJ$5&lt;=$G171,AJ$5+6&gt;=$F171),IF($H171="Complétée","F",IF(OR($H171="En cours",$H171="En revue"),"E",IF($H171="Bloquée","B","P"))),""))</f>
        <v/>
      </c>
      <c r="AK171" s="53">
        <f>IF(OR($F171="",$G171=""),"",IF(AND(AK$5&lt;=$G171,AK$5+6&gt;=$F171),IF($H171="Complétée","F",IF(OR($H171="En cours",$H171="En revue"),"E",IF($H171="Bloquée","B","P"))),""))</f>
        <v/>
      </c>
      <c r="AL171" s="53">
        <f>IF(OR($F171="",$G171=""),"",IF(AND(AL$5&lt;=$G171,AL$5+6&gt;=$F171),IF($H171="Complétée","F",IF(OR($H171="En cours",$H171="En revue"),"E",IF($H171="Bloquée","B","P"))),""))</f>
        <v/>
      </c>
      <c r="AM171" s="53">
        <f>IF(OR($F171="",$G171=""),"",IF(AND(AM$5&lt;=$G171,AM$5+6&gt;=$F171),IF($H171="Complétée","F",IF(OR($H171="En cours",$H171="En revue"),"E",IF($H171="Bloquée","B","P"))),""))</f>
        <v/>
      </c>
      <c r="AN171" s="53">
        <f>IF(OR($F171="",$G171=""),"",IF(AND(AN$5&lt;=$G171,AN$5+6&gt;=$F171),IF($H171="Complétée","F",IF(OR($H171="En cours",$H171="En revue"),"E",IF($H171="Bloquée","B","P"))),""))</f>
        <v/>
      </c>
      <c r="AO171" s="53">
        <f>IF(OR($F171="",$G171=""),"",IF(AND(AO$5&lt;=$G171,AO$5+6&gt;=$F171),IF($H171="Complétée","F",IF(OR($H171="En cours",$H171="En revue"),"E",IF($H171="Bloquée","B","P"))),""))</f>
        <v/>
      </c>
      <c r="AP171" s="53">
        <f>IF(OR($F171="",$G171=""),"",IF(AND(AP$5&lt;=$G171,AP$5+6&gt;=$F171),IF($H171="Complétée","F",IF(OR($H171="En cours",$H171="En revue"),"E",IF($H171="Bloquée","B","P"))),""))</f>
        <v/>
      </c>
      <c r="AQ171" s="53">
        <f>IF(OR($F171="",$G171=""),"",IF(AND(AQ$5&lt;=$G171,AQ$5+6&gt;=$F171),IF($H171="Complétée","F",IF(OR($H171="En cours",$H171="En revue"),"E",IF($H171="Bloquée","B","P"))),""))</f>
        <v/>
      </c>
      <c r="AR171" s="53">
        <f>IF(OR($F171="",$G171=""),"",IF(AND(AR$5&lt;=$G171,AR$5+6&gt;=$F171),IF($H171="Complétée","F",IF(OR($H171="En cours",$H171="En revue"),"E",IF($H171="Bloquée","B","P"))),""))</f>
        <v/>
      </c>
      <c r="AS171" s="53">
        <f>IF(OR($F171="",$G171=""),"",IF(AND(AS$5&lt;=$G171,AS$5+6&gt;=$F171),IF($H171="Complétée","F",IF(OR($H171="En cours",$H171="En revue"),"E",IF($H171="Bloquée","B","P"))),""))</f>
        <v/>
      </c>
      <c r="AT171" s="53">
        <f>IF(OR($F171="",$G171=""),"",IF(AND(AT$5&lt;=$G171,AT$5+6&gt;=$F171),IF($H171="Complétée","F",IF(OR($H171="En cours",$H171="En revue"),"E",IF($H171="Bloquée","B","P"))),""))</f>
        <v/>
      </c>
      <c r="AU171" s="53">
        <f>IF(OR($F171="",$G171=""),"",IF(AND(AU$5&lt;=$G171,AU$5+6&gt;=$F171),IF($H171="Complétée","F",IF(OR($H171="En cours",$H171="En revue"),"E",IF($H171="Bloquée","B","P"))),""))</f>
        <v/>
      </c>
      <c r="AV171" s="53">
        <f>IF(OR($F171="",$G171=""),"",IF(AND(AV$5&lt;=$G171,AV$5+6&gt;=$F171),IF($H171="Complétée","F",IF(OR($H171="En cours",$H171="En revue"),"E",IF($H171="Bloquée","B","P"))),""))</f>
        <v/>
      </c>
      <c r="AW171" s="53">
        <f>IF(OR($F171="",$G171=""),"",IF(AND(AW$5&lt;=$G171,AW$5+6&gt;=$F171),IF($H171="Complétée","F",IF(OR($H171="En cours",$H171="En revue"),"E",IF($H171="Bloquée","B","P"))),""))</f>
        <v/>
      </c>
    </row>
    <row r="172">
      <c r="B172" s="50">
        <f>IF(Taches!B172="","",Taches!B172)</f>
        <v/>
      </c>
      <c r="C172" s="51">
        <f>IF(Taches!B172="","",Taches!F172)</f>
        <v/>
      </c>
      <c r="D172" s="50">
        <f>IF(Taches!B172="","",Taches!C172)</f>
        <v/>
      </c>
      <c r="E172" s="50">
        <f>IF(Taches!B172="","",Taches!D172)</f>
        <v/>
      </c>
      <c r="F172" s="52">
        <f>IF(Taches!P172="","",Taches!P172)</f>
        <v/>
      </c>
      <c r="G172" s="52">
        <f>IF(Taches!Q172="","",Taches!Q172)</f>
        <v/>
      </c>
      <c r="H172" s="50">
        <f>IF(Taches!B172="","",Taches!J172)</f>
        <v/>
      </c>
      <c r="I172" s="53">
        <f>IF(OR($F172="",$G172=""),"",IF(AND(I$5&lt;=$G172,I$5+6&gt;=$F172),IF($H172="Complétée","F",IF(OR($H172="En cours",$H172="En revue"),"E",IF($H172="Bloquée","B","P"))),""))</f>
        <v/>
      </c>
      <c r="J172" s="53">
        <f>IF(OR($F172="",$G172=""),"",IF(AND(J$5&lt;=$G172,J$5+6&gt;=$F172),IF($H172="Complétée","F",IF(OR($H172="En cours",$H172="En revue"),"E",IF($H172="Bloquée","B","P"))),""))</f>
        <v/>
      </c>
      <c r="K172" s="53">
        <f>IF(OR($F172="",$G172=""),"",IF(AND(K$5&lt;=$G172,K$5+6&gt;=$F172),IF($H172="Complétée","F",IF(OR($H172="En cours",$H172="En revue"),"E",IF($H172="Bloquée","B","P"))),""))</f>
        <v/>
      </c>
      <c r="L172" s="53">
        <f>IF(OR($F172="",$G172=""),"",IF(AND(L$5&lt;=$G172,L$5+6&gt;=$F172),IF($H172="Complétée","F",IF(OR($H172="En cours",$H172="En revue"),"E",IF($H172="Bloquée","B","P"))),""))</f>
        <v/>
      </c>
      <c r="M172" s="53">
        <f>IF(OR($F172="",$G172=""),"",IF(AND(M$5&lt;=$G172,M$5+6&gt;=$F172),IF($H172="Complétée","F",IF(OR($H172="En cours",$H172="En revue"),"E",IF($H172="Bloquée","B","P"))),""))</f>
        <v/>
      </c>
      <c r="N172" s="53">
        <f>IF(OR($F172="",$G172=""),"",IF(AND(N$5&lt;=$G172,N$5+6&gt;=$F172),IF($H172="Complétée","F",IF(OR($H172="En cours",$H172="En revue"),"E",IF($H172="Bloquée","B","P"))),""))</f>
        <v/>
      </c>
      <c r="O172" s="53">
        <f>IF(OR($F172="",$G172=""),"",IF(AND(O$5&lt;=$G172,O$5+6&gt;=$F172),IF($H172="Complétée","F",IF(OR($H172="En cours",$H172="En revue"),"E",IF($H172="Bloquée","B","P"))),""))</f>
        <v/>
      </c>
      <c r="P172" s="53">
        <f>IF(OR($F172="",$G172=""),"",IF(AND(P$5&lt;=$G172,P$5+6&gt;=$F172),IF($H172="Complétée","F",IF(OR($H172="En cours",$H172="En revue"),"E",IF($H172="Bloquée","B","P"))),""))</f>
        <v/>
      </c>
      <c r="Q172" s="53">
        <f>IF(OR($F172="",$G172=""),"",IF(AND(Q$5&lt;=$G172,Q$5+6&gt;=$F172),IF($H172="Complétée","F",IF(OR($H172="En cours",$H172="En revue"),"E",IF($H172="Bloquée","B","P"))),""))</f>
        <v/>
      </c>
      <c r="R172" s="53">
        <f>IF(OR($F172="",$G172=""),"",IF(AND(R$5&lt;=$G172,R$5+6&gt;=$F172),IF($H172="Complétée","F",IF(OR($H172="En cours",$H172="En revue"),"E",IF($H172="Bloquée","B","P"))),""))</f>
        <v/>
      </c>
      <c r="S172" s="53">
        <f>IF(OR($F172="",$G172=""),"",IF(AND(S$5&lt;=$G172,S$5+6&gt;=$F172),IF($H172="Complétée","F",IF(OR($H172="En cours",$H172="En revue"),"E",IF($H172="Bloquée","B","P"))),""))</f>
        <v/>
      </c>
      <c r="T172" s="53">
        <f>IF(OR($F172="",$G172=""),"",IF(AND(T$5&lt;=$G172,T$5+6&gt;=$F172),IF($H172="Complétée","F",IF(OR($H172="En cours",$H172="En revue"),"E",IF($H172="Bloquée","B","P"))),""))</f>
        <v/>
      </c>
      <c r="U172" s="53">
        <f>IF(OR($F172="",$G172=""),"",IF(AND(U$5&lt;=$G172,U$5+6&gt;=$F172),IF($H172="Complétée","F",IF(OR($H172="En cours",$H172="En revue"),"E",IF($H172="Bloquée","B","P"))),""))</f>
        <v/>
      </c>
      <c r="V172" s="53">
        <f>IF(OR($F172="",$G172=""),"",IF(AND(V$5&lt;=$G172,V$5+6&gt;=$F172),IF($H172="Complétée","F",IF(OR($H172="En cours",$H172="En revue"),"E",IF($H172="Bloquée","B","P"))),""))</f>
        <v/>
      </c>
      <c r="W172" s="53">
        <f>IF(OR($F172="",$G172=""),"",IF(AND(W$5&lt;=$G172,W$5+6&gt;=$F172),IF($H172="Complétée","F",IF(OR($H172="En cours",$H172="En revue"),"E",IF($H172="Bloquée","B","P"))),""))</f>
        <v/>
      </c>
      <c r="X172" s="53">
        <f>IF(OR($F172="",$G172=""),"",IF(AND(X$5&lt;=$G172,X$5+6&gt;=$F172),IF($H172="Complétée","F",IF(OR($H172="En cours",$H172="En revue"),"E",IF($H172="Bloquée","B","P"))),""))</f>
        <v/>
      </c>
      <c r="Y172" s="53">
        <f>IF(OR($F172="",$G172=""),"",IF(AND(Y$5&lt;=$G172,Y$5+6&gt;=$F172),IF($H172="Complétée","F",IF(OR($H172="En cours",$H172="En revue"),"E",IF($H172="Bloquée","B","P"))),""))</f>
        <v/>
      </c>
      <c r="Z172" s="53">
        <f>IF(OR($F172="",$G172=""),"",IF(AND(Z$5&lt;=$G172,Z$5+6&gt;=$F172),IF($H172="Complétée","F",IF(OR($H172="En cours",$H172="En revue"),"E",IF($H172="Bloquée","B","P"))),""))</f>
        <v/>
      </c>
      <c r="AA172" s="53">
        <f>IF(OR($F172="",$G172=""),"",IF(AND(AA$5&lt;=$G172,AA$5+6&gt;=$F172),IF($H172="Complétée","F",IF(OR($H172="En cours",$H172="En revue"),"E",IF($H172="Bloquée","B","P"))),""))</f>
        <v/>
      </c>
      <c r="AB172" s="53">
        <f>IF(OR($F172="",$G172=""),"",IF(AND(AB$5&lt;=$G172,AB$5+6&gt;=$F172),IF($H172="Complétée","F",IF(OR($H172="En cours",$H172="En revue"),"E",IF($H172="Bloquée","B","P"))),""))</f>
        <v/>
      </c>
      <c r="AC172" s="53">
        <f>IF(OR($F172="",$G172=""),"",IF(AND(AC$5&lt;=$G172,AC$5+6&gt;=$F172),IF($H172="Complétée","F",IF(OR($H172="En cours",$H172="En revue"),"E",IF($H172="Bloquée","B","P"))),""))</f>
        <v/>
      </c>
      <c r="AD172" s="53">
        <f>IF(OR($F172="",$G172=""),"",IF(AND(AD$5&lt;=$G172,AD$5+6&gt;=$F172),IF($H172="Complétée","F",IF(OR($H172="En cours",$H172="En revue"),"E",IF($H172="Bloquée","B","P"))),""))</f>
        <v/>
      </c>
      <c r="AE172" s="53">
        <f>IF(OR($F172="",$G172=""),"",IF(AND(AE$5&lt;=$G172,AE$5+6&gt;=$F172),IF($H172="Complétée","F",IF(OR($H172="En cours",$H172="En revue"),"E",IF($H172="Bloquée","B","P"))),""))</f>
        <v/>
      </c>
      <c r="AF172" s="53">
        <f>IF(OR($F172="",$G172=""),"",IF(AND(AF$5&lt;=$G172,AF$5+6&gt;=$F172),IF($H172="Complétée","F",IF(OR($H172="En cours",$H172="En revue"),"E",IF($H172="Bloquée","B","P"))),""))</f>
        <v/>
      </c>
      <c r="AG172" s="53">
        <f>IF(OR($F172="",$G172=""),"",IF(AND(AG$5&lt;=$G172,AG$5+6&gt;=$F172),IF($H172="Complétée","F",IF(OR($H172="En cours",$H172="En revue"),"E",IF($H172="Bloquée","B","P"))),""))</f>
        <v/>
      </c>
      <c r="AH172" s="53">
        <f>IF(OR($F172="",$G172=""),"",IF(AND(AH$5&lt;=$G172,AH$5+6&gt;=$F172),IF($H172="Complétée","F",IF(OR($H172="En cours",$H172="En revue"),"E",IF($H172="Bloquée","B","P"))),""))</f>
        <v/>
      </c>
      <c r="AI172" s="53">
        <f>IF(OR($F172="",$G172=""),"",IF(AND(AI$5&lt;=$G172,AI$5+6&gt;=$F172),IF($H172="Complétée","F",IF(OR($H172="En cours",$H172="En revue"),"E",IF($H172="Bloquée","B","P"))),""))</f>
        <v/>
      </c>
      <c r="AJ172" s="53">
        <f>IF(OR($F172="",$G172=""),"",IF(AND(AJ$5&lt;=$G172,AJ$5+6&gt;=$F172),IF($H172="Complétée","F",IF(OR($H172="En cours",$H172="En revue"),"E",IF($H172="Bloquée","B","P"))),""))</f>
        <v/>
      </c>
      <c r="AK172" s="53">
        <f>IF(OR($F172="",$G172=""),"",IF(AND(AK$5&lt;=$G172,AK$5+6&gt;=$F172),IF($H172="Complétée","F",IF(OR($H172="En cours",$H172="En revue"),"E",IF($H172="Bloquée","B","P"))),""))</f>
        <v/>
      </c>
      <c r="AL172" s="53">
        <f>IF(OR($F172="",$G172=""),"",IF(AND(AL$5&lt;=$G172,AL$5+6&gt;=$F172),IF($H172="Complétée","F",IF(OR($H172="En cours",$H172="En revue"),"E",IF($H172="Bloquée","B","P"))),""))</f>
        <v/>
      </c>
      <c r="AM172" s="53">
        <f>IF(OR($F172="",$G172=""),"",IF(AND(AM$5&lt;=$G172,AM$5+6&gt;=$F172),IF($H172="Complétée","F",IF(OR($H172="En cours",$H172="En revue"),"E",IF($H172="Bloquée","B","P"))),""))</f>
        <v/>
      </c>
      <c r="AN172" s="53">
        <f>IF(OR($F172="",$G172=""),"",IF(AND(AN$5&lt;=$G172,AN$5+6&gt;=$F172),IF($H172="Complétée","F",IF(OR($H172="En cours",$H172="En revue"),"E",IF($H172="Bloquée","B","P"))),""))</f>
        <v/>
      </c>
      <c r="AO172" s="53">
        <f>IF(OR($F172="",$G172=""),"",IF(AND(AO$5&lt;=$G172,AO$5+6&gt;=$F172),IF($H172="Complétée","F",IF(OR($H172="En cours",$H172="En revue"),"E",IF($H172="Bloquée","B","P"))),""))</f>
        <v/>
      </c>
      <c r="AP172" s="53">
        <f>IF(OR($F172="",$G172=""),"",IF(AND(AP$5&lt;=$G172,AP$5+6&gt;=$F172),IF($H172="Complétée","F",IF(OR($H172="En cours",$H172="En revue"),"E",IF($H172="Bloquée","B","P"))),""))</f>
        <v/>
      </c>
      <c r="AQ172" s="53">
        <f>IF(OR($F172="",$G172=""),"",IF(AND(AQ$5&lt;=$G172,AQ$5+6&gt;=$F172),IF($H172="Complétée","F",IF(OR($H172="En cours",$H172="En revue"),"E",IF($H172="Bloquée","B","P"))),""))</f>
        <v/>
      </c>
      <c r="AR172" s="53">
        <f>IF(OR($F172="",$G172=""),"",IF(AND(AR$5&lt;=$G172,AR$5+6&gt;=$F172),IF($H172="Complétée","F",IF(OR($H172="En cours",$H172="En revue"),"E",IF($H172="Bloquée","B","P"))),""))</f>
        <v/>
      </c>
      <c r="AS172" s="53">
        <f>IF(OR($F172="",$G172=""),"",IF(AND(AS$5&lt;=$G172,AS$5+6&gt;=$F172),IF($H172="Complétée","F",IF(OR($H172="En cours",$H172="En revue"),"E",IF($H172="Bloquée","B","P"))),""))</f>
        <v/>
      </c>
      <c r="AT172" s="53">
        <f>IF(OR($F172="",$G172=""),"",IF(AND(AT$5&lt;=$G172,AT$5+6&gt;=$F172),IF($H172="Complétée","F",IF(OR($H172="En cours",$H172="En revue"),"E",IF($H172="Bloquée","B","P"))),""))</f>
        <v/>
      </c>
      <c r="AU172" s="53">
        <f>IF(OR($F172="",$G172=""),"",IF(AND(AU$5&lt;=$G172,AU$5+6&gt;=$F172),IF($H172="Complétée","F",IF(OR($H172="En cours",$H172="En revue"),"E",IF($H172="Bloquée","B","P"))),""))</f>
        <v/>
      </c>
      <c r="AV172" s="53">
        <f>IF(OR($F172="",$G172=""),"",IF(AND(AV$5&lt;=$G172,AV$5+6&gt;=$F172),IF($H172="Complétée","F",IF(OR($H172="En cours",$H172="En revue"),"E",IF($H172="Bloquée","B","P"))),""))</f>
        <v/>
      </c>
      <c r="AW172" s="53">
        <f>IF(OR($F172="",$G172=""),"",IF(AND(AW$5&lt;=$G172,AW$5+6&gt;=$F172),IF($H172="Complétée","F",IF(OR($H172="En cours",$H172="En revue"),"E",IF($H172="Bloquée","B","P"))),""))</f>
        <v/>
      </c>
    </row>
    <row r="173">
      <c r="B173" s="50">
        <f>IF(Taches!B173="","",Taches!B173)</f>
        <v/>
      </c>
      <c r="C173" s="51">
        <f>IF(Taches!B173="","",Taches!F173)</f>
        <v/>
      </c>
      <c r="D173" s="50">
        <f>IF(Taches!B173="","",Taches!C173)</f>
        <v/>
      </c>
      <c r="E173" s="50">
        <f>IF(Taches!B173="","",Taches!D173)</f>
        <v/>
      </c>
      <c r="F173" s="52">
        <f>IF(Taches!P173="","",Taches!P173)</f>
        <v/>
      </c>
      <c r="G173" s="52">
        <f>IF(Taches!Q173="","",Taches!Q173)</f>
        <v/>
      </c>
      <c r="H173" s="50">
        <f>IF(Taches!B173="","",Taches!J173)</f>
        <v/>
      </c>
      <c r="I173" s="53">
        <f>IF(OR($F173="",$G173=""),"",IF(AND(I$5&lt;=$G173,I$5+6&gt;=$F173),IF($H173="Complétée","F",IF(OR($H173="En cours",$H173="En revue"),"E",IF($H173="Bloquée","B","P"))),""))</f>
        <v/>
      </c>
      <c r="J173" s="53">
        <f>IF(OR($F173="",$G173=""),"",IF(AND(J$5&lt;=$G173,J$5+6&gt;=$F173),IF($H173="Complétée","F",IF(OR($H173="En cours",$H173="En revue"),"E",IF($H173="Bloquée","B","P"))),""))</f>
        <v/>
      </c>
      <c r="K173" s="53">
        <f>IF(OR($F173="",$G173=""),"",IF(AND(K$5&lt;=$G173,K$5+6&gt;=$F173),IF($H173="Complétée","F",IF(OR($H173="En cours",$H173="En revue"),"E",IF($H173="Bloquée","B","P"))),""))</f>
        <v/>
      </c>
      <c r="L173" s="53">
        <f>IF(OR($F173="",$G173=""),"",IF(AND(L$5&lt;=$G173,L$5+6&gt;=$F173),IF($H173="Complétée","F",IF(OR($H173="En cours",$H173="En revue"),"E",IF($H173="Bloquée","B","P"))),""))</f>
        <v/>
      </c>
      <c r="M173" s="53">
        <f>IF(OR($F173="",$G173=""),"",IF(AND(M$5&lt;=$G173,M$5+6&gt;=$F173),IF($H173="Complétée","F",IF(OR($H173="En cours",$H173="En revue"),"E",IF($H173="Bloquée","B","P"))),""))</f>
        <v/>
      </c>
      <c r="N173" s="53">
        <f>IF(OR($F173="",$G173=""),"",IF(AND(N$5&lt;=$G173,N$5+6&gt;=$F173),IF($H173="Complétée","F",IF(OR($H173="En cours",$H173="En revue"),"E",IF($H173="Bloquée","B","P"))),""))</f>
        <v/>
      </c>
      <c r="O173" s="53">
        <f>IF(OR($F173="",$G173=""),"",IF(AND(O$5&lt;=$G173,O$5+6&gt;=$F173),IF($H173="Complétée","F",IF(OR($H173="En cours",$H173="En revue"),"E",IF($H173="Bloquée","B","P"))),""))</f>
        <v/>
      </c>
      <c r="P173" s="53">
        <f>IF(OR($F173="",$G173=""),"",IF(AND(P$5&lt;=$G173,P$5+6&gt;=$F173),IF($H173="Complétée","F",IF(OR($H173="En cours",$H173="En revue"),"E",IF($H173="Bloquée","B","P"))),""))</f>
        <v/>
      </c>
      <c r="Q173" s="53">
        <f>IF(OR($F173="",$G173=""),"",IF(AND(Q$5&lt;=$G173,Q$5+6&gt;=$F173),IF($H173="Complétée","F",IF(OR($H173="En cours",$H173="En revue"),"E",IF($H173="Bloquée","B","P"))),""))</f>
        <v/>
      </c>
      <c r="R173" s="53">
        <f>IF(OR($F173="",$G173=""),"",IF(AND(R$5&lt;=$G173,R$5+6&gt;=$F173),IF($H173="Complétée","F",IF(OR($H173="En cours",$H173="En revue"),"E",IF($H173="Bloquée","B","P"))),""))</f>
        <v/>
      </c>
      <c r="S173" s="53">
        <f>IF(OR($F173="",$G173=""),"",IF(AND(S$5&lt;=$G173,S$5+6&gt;=$F173),IF($H173="Complétée","F",IF(OR($H173="En cours",$H173="En revue"),"E",IF($H173="Bloquée","B","P"))),""))</f>
        <v/>
      </c>
      <c r="T173" s="53">
        <f>IF(OR($F173="",$G173=""),"",IF(AND(T$5&lt;=$G173,T$5+6&gt;=$F173),IF($H173="Complétée","F",IF(OR($H173="En cours",$H173="En revue"),"E",IF($H173="Bloquée","B","P"))),""))</f>
        <v/>
      </c>
      <c r="U173" s="53">
        <f>IF(OR($F173="",$G173=""),"",IF(AND(U$5&lt;=$G173,U$5+6&gt;=$F173),IF($H173="Complétée","F",IF(OR($H173="En cours",$H173="En revue"),"E",IF($H173="Bloquée","B","P"))),""))</f>
        <v/>
      </c>
      <c r="V173" s="53">
        <f>IF(OR($F173="",$G173=""),"",IF(AND(V$5&lt;=$G173,V$5+6&gt;=$F173),IF($H173="Complétée","F",IF(OR($H173="En cours",$H173="En revue"),"E",IF($H173="Bloquée","B","P"))),""))</f>
        <v/>
      </c>
      <c r="W173" s="53">
        <f>IF(OR($F173="",$G173=""),"",IF(AND(W$5&lt;=$G173,W$5+6&gt;=$F173),IF($H173="Complétée","F",IF(OR($H173="En cours",$H173="En revue"),"E",IF($H173="Bloquée","B","P"))),""))</f>
        <v/>
      </c>
      <c r="X173" s="53">
        <f>IF(OR($F173="",$G173=""),"",IF(AND(X$5&lt;=$G173,X$5+6&gt;=$F173),IF($H173="Complétée","F",IF(OR($H173="En cours",$H173="En revue"),"E",IF($H173="Bloquée","B","P"))),""))</f>
        <v/>
      </c>
      <c r="Y173" s="53">
        <f>IF(OR($F173="",$G173=""),"",IF(AND(Y$5&lt;=$G173,Y$5+6&gt;=$F173),IF($H173="Complétée","F",IF(OR($H173="En cours",$H173="En revue"),"E",IF($H173="Bloquée","B","P"))),""))</f>
        <v/>
      </c>
      <c r="Z173" s="53">
        <f>IF(OR($F173="",$G173=""),"",IF(AND(Z$5&lt;=$G173,Z$5+6&gt;=$F173),IF($H173="Complétée","F",IF(OR($H173="En cours",$H173="En revue"),"E",IF($H173="Bloquée","B","P"))),""))</f>
        <v/>
      </c>
      <c r="AA173" s="53">
        <f>IF(OR($F173="",$G173=""),"",IF(AND(AA$5&lt;=$G173,AA$5+6&gt;=$F173),IF($H173="Complétée","F",IF(OR($H173="En cours",$H173="En revue"),"E",IF($H173="Bloquée","B","P"))),""))</f>
        <v/>
      </c>
      <c r="AB173" s="53">
        <f>IF(OR($F173="",$G173=""),"",IF(AND(AB$5&lt;=$G173,AB$5+6&gt;=$F173),IF($H173="Complétée","F",IF(OR($H173="En cours",$H173="En revue"),"E",IF($H173="Bloquée","B","P"))),""))</f>
        <v/>
      </c>
      <c r="AC173" s="53">
        <f>IF(OR($F173="",$G173=""),"",IF(AND(AC$5&lt;=$G173,AC$5+6&gt;=$F173),IF($H173="Complétée","F",IF(OR($H173="En cours",$H173="En revue"),"E",IF($H173="Bloquée","B","P"))),""))</f>
        <v/>
      </c>
      <c r="AD173" s="53">
        <f>IF(OR($F173="",$G173=""),"",IF(AND(AD$5&lt;=$G173,AD$5+6&gt;=$F173),IF($H173="Complétée","F",IF(OR($H173="En cours",$H173="En revue"),"E",IF($H173="Bloquée","B","P"))),""))</f>
        <v/>
      </c>
      <c r="AE173" s="53">
        <f>IF(OR($F173="",$G173=""),"",IF(AND(AE$5&lt;=$G173,AE$5+6&gt;=$F173),IF($H173="Complétée","F",IF(OR($H173="En cours",$H173="En revue"),"E",IF($H173="Bloquée","B","P"))),""))</f>
        <v/>
      </c>
      <c r="AF173" s="53">
        <f>IF(OR($F173="",$G173=""),"",IF(AND(AF$5&lt;=$G173,AF$5+6&gt;=$F173),IF($H173="Complétée","F",IF(OR($H173="En cours",$H173="En revue"),"E",IF($H173="Bloquée","B","P"))),""))</f>
        <v/>
      </c>
      <c r="AG173" s="53">
        <f>IF(OR($F173="",$G173=""),"",IF(AND(AG$5&lt;=$G173,AG$5+6&gt;=$F173),IF($H173="Complétée","F",IF(OR($H173="En cours",$H173="En revue"),"E",IF($H173="Bloquée","B","P"))),""))</f>
        <v/>
      </c>
      <c r="AH173" s="53">
        <f>IF(OR($F173="",$G173=""),"",IF(AND(AH$5&lt;=$G173,AH$5+6&gt;=$F173),IF($H173="Complétée","F",IF(OR($H173="En cours",$H173="En revue"),"E",IF($H173="Bloquée","B","P"))),""))</f>
        <v/>
      </c>
      <c r="AI173" s="53">
        <f>IF(OR($F173="",$G173=""),"",IF(AND(AI$5&lt;=$G173,AI$5+6&gt;=$F173),IF($H173="Complétée","F",IF(OR($H173="En cours",$H173="En revue"),"E",IF($H173="Bloquée","B","P"))),""))</f>
        <v/>
      </c>
      <c r="AJ173" s="53">
        <f>IF(OR($F173="",$G173=""),"",IF(AND(AJ$5&lt;=$G173,AJ$5+6&gt;=$F173),IF($H173="Complétée","F",IF(OR($H173="En cours",$H173="En revue"),"E",IF($H173="Bloquée","B","P"))),""))</f>
        <v/>
      </c>
      <c r="AK173" s="53">
        <f>IF(OR($F173="",$G173=""),"",IF(AND(AK$5&lt;=$G173,AK$5+6&gt;=$F173),IF($H173="Complétée","F",IF(OR($H173="En cours",$H173="En revue"),"E",IF($H173="Bloquée","B","P"))),""))</f>
        <v/>
      </c>
      <c r="AL173" s="53">
        <f>IF(OR($F173="",$G173=""),"",IF(AND(AL$5&lt;=$G173,AL$5+6&gt;=$F173),IF($H173="Complétée","F",IF(OR($H173="En cours",$H173="En revue"),"E",IF($H173="Bloquée","B","P"))),""))</f>
        <v/>
      </c>
      <c r="AM173" s="53">
        <f>IF(OR($F173="",$G173=""),"",IF(AND(AM$5&lt;=$G173,AM$5+6&gt;=$F173),IF($H173="Complétée","F",IF(OR($H173="En cours",$H173="En revue"),"E",IF($H173="Bloquée","B","P"))),""))</f>
        <v/>
      </c>
      <c r="AN173" s="53">
        <f>IF(OR($F173="",$G173=""),"",IF(AND(AN$5&lt;=$G173,AN$5+6&gt;=$F173),IF($H173="Complétée","F",IF(OR($H173="En cours",$H173="En revue"),"E",IF($H173="Bloquée","B","P"))),""))</f>
        <v/>
      </c>
      <c r="AO173" s="53">
        <f>IF(OR($F173="",$G173=""),"",IF(AND(AO$5&lt;=$G173,AO$5+6&gt;=$F173),IF($H173="Complétée","F",IF(OR($H173="En cours",$H173="En revue"),"E",IF($H173="Bloquée","B","P"))),""))</f>
        <v/>
      </c>
      <c r="AP173" s="53">
        <f>IF(OR($F173="",$G173=""),"",IF(AND(AP$5&lt;=$G173,AP$5+6&gt;=$F173),IF($H173="Complétée","F",IF(OR($H173="En cours",$H173="En revue"),"E",IF($H173="Bloquée","B","P"))),""))</f>
        <v/>
      </c>
      <c r="AQ173" s="53">
        <f>IF(OR($F173="",$G173=""),"",IF(AND(AQ$5&lt;=$G173,AQ$5+6&gt;=$F173),IF($H173="Complétée","F",IF(OR($H173="En cours",$H173="En revue"),"E",IF($H173="Bloquée","B","P"))),""))</f>
        <v/>
      </c>
      <c r="AR173" s="53">
        <f>IF(OR($F173="",$G173=""),"",IF(AND(AR$5&lt;=$G173,AR$5+6&gt;=$F173),IF($H173="Complétée","F",IF(OR($H173="En cours",$H173="En revue"),"E",IF($H173="Bloquée","B","P"))),""))</f>
        <v/>
      </c>
      <c r="AS173" s="53">
        <f>IF(OR($F173="",$G173=""),"",IF(AND(AS$5&lt;=$G173,AS$5+6&gt;=$F173),IF($H173="Complétée","F",IF(OR($H173="En cours",$H173="En revue"),"E",IF($H173="Bloquée","B","P"))),""))</f>
        <v/>
      </c>
      <c r="AT173" s="53">
        <f>IF(OR($F173="",$G173=""),"",IF(AND(AT$5&lt;=$G173,AT$5+6&gt;=$F173),IF($H173="Complétée","F",IF(OR($H173="En cours",$H173="En revue"),"E",IF($H173="Bloquée","B","P"))),""))</f>
        <v/>
      </c>
      <c r="AU173" s="53">
        <f>IF(OR($F173="",$G173=""),"",IF(AND(AU$5&lt;=$G173,AU$5+6&gt;=$F173),IF($H173="Complétée","F",IF(OR($H173="En cours",$H173="En revue"),"E",IF($H173="Bloquée","B","P"))),""))</f>
        <v/>
      </c>
      <c r="AV173" s="53">
        <f>IF(OR($F173="",$G173=""),"",IF(AND(AV$5&lt;=$G173,AV$5+6&gt;=$F173),IF($H173="Complétée","F",IF(OR($H173="En cours",$H173="En revue"),"E",IF($H173="Bloquée","B","P"))),""))</f>
        <v/>
      </c>
      <c r="AW173" s="53">
        <f>IF(OR($F173="",$G173=""),"",IF(AND(AW$5&lt;=$G173,AW$5+6&gt;=$F173),IF($H173="Complétée","F",IF(OR($H173="En cours",$H173="En revue"),"E",IF($H173="Bloquée","B","P"))),""))</f>
        <v/>
      </c>
    </row>
    <row r="174">
      <c r="B174" s="50">
        <f>IF(Taches!B174="","",Taches!B174)</f>
        <v/>
      </c>
      <c r="C174" s="51">
        <f>IF(Taches!B174="","",Taches!F174)</f>
        <v/>
      </c>
      <c r="D174" s="50">
        <f>IF(Taches!B174="","",Taches!C174)</f>
        <v/>
      </c>
      <c r="E174" s="50">
        <f>IF(Taches!B174="","",Taches!D174)</f>
        <v/>
      </c>
      <c r="F174" s="52">
        <f>IF(Taches!P174="","",Taches!P174)</f>
        <v/>
      </c>
      <c r="G174" s="52">
        <f>IF(Taches!Q174="","",Taches!Q174)</f>
        <v/>
      </c>
      <c r="H174" s="50">
        <f>IF(Taches!B174="","",Taches!J174)</f>
        <v/>
      </c>
      <c r="I174" s="53">
        <f>IF(OR($F174="",$G174=""),"",IF(AND(I$5&lt;=$G174,I$5+6&gt;=$F174),IF($H174="Complétée","F",IF(OR($H174="En cours",$H174="En revue"),"E",IF($H174="Bloquée","B","P"))),""))</f>
        <v/>
      </c>
      <c r="J174" s="53">
        <f>IF(OR($F174="",$G174=""),"",IF(AND(J$5&lt;=$G174,J$5+6&gt;=$F174),IF($H174="Complétée","F",IF(OR($H174="En cours",$H174="En revue"),"E",IF($H174="Bloquée","B","P"))),""))</f>
        <v/>
      </c>
      <c r="K174" s="53">
        <f>IF(OR($F174="",$G174=""),"",IF(AND(K$5&lt;=$G174,K$5+6&gt;=$F174),IF($H174="Complétée","F",IF(OR($H174="En cours",$H174="En revue"),"E",IF($H174="Bloquée","B","P"))),""))</f>
        <v/>
      </c>
      <c r="L174" s="53">
        <f>IF(OR($F174="",$G174=""),"",IF(AND(L$5&lt;=$G174,L$5+6&gt;=$F174),IF($H174="Complétée","F",IF(OR($H174="En cours",$H174="En revue"),"E",IF($H174="Bloquée","B","P"))),""))</f>
        <v/>
      </c>
      <c r="M174" s="53">
        <f>IF(OR($F174="",$G174=""),"",IF(AND(M$5&lt;=$G174,M$5+6&gt;=$F174),IF($H174="Complétée","F",IF(OR($H174="En cours",$H174="En revue"),"E",IF($H174="Bloquée","B","P"))),""))</f>
        <v/>
      </c>
      <c r="N174" s="53">
        <f>IF(OR($F174="",$G174=""),"",IF(AND(N$5&lt;=$G174,N$5+6&gt;=$F174),IF($H174="Complétée","F",IF(OR($H174="En cours",$H174="En revue"),"E",IF($H174="Bloquée","B","P"))),""))</f>
        <v/>
      </c>
      <c r="O174" s="53">
        <f>IF(OR($F174="",$G174=""),"",IF(AND(O$5&lt;=$G174,O$5+6&gt;=$F174),IF($H174="Complétée","F",IF(OR($H174="En cours",$H174="En revue"),"E",IF($H174="Bloquée","B","P"))),""))</f>
        <v/>
      </c>
      <c r="P174" s="53">
        <f>IF(OR($F174="",$G174=""),"",IF(AND(P$5&lt;=$G174,P$5+6&gt;=$F174),IF($H174="Complétée","F",IF(OR($H174="En cours",$H174="En revue"),"E",IF($H174="Bloquée","B","P"))),""))</f>
        <v/>
      </c>
      <c r="Q174" s="53">
        <f>IF(OR($F174="",$G174=""),"",IF(AND(Q$5&lt;=$G174,Q$5+6&gt;=$F174),IF($H174="Complétée","F",IF(OR($H174="En cours",$H174="En revue"),"E",IF($H174="Bloquée","B","P"))),""))</f>
        <v/>
      </c>
      <c r="R174" s="53">
        <f>IF(OR($F174="",$G174=""),"",IF(AND(R$5&lt;=$G174,R$5+6&gt;=$F174),IF($H174="Complétée","F",IF(OR($H174="En cours",$H174="En revue"),"E",IF($H174="Bloquée","B","P"))),""))</f>
        <v/>
      </c>
      <c r="S174" s="53">
        <f>IF(OR($F174="",$G174=""),"",IF(AND(S$5&lt;=$G174,S$5+6&gt;=$F174),IF($H174="Complétée","F",IF(OR($H174="En cours",$H174="En revue"),"E",IF($H174="Bloquée","B","P"))),""))</f>
        <v/>
      </c>
      <c r="T174" s="53">
        <f>IF(OR($F174="",$G174=""),"",IF(AND(T$5&lt;=$G174,T$5+6&gt;=$F174),IF($H174="Complétée","F",IF(OR($H174="En cours",$H174="En revue"),"E",IF($H174="Bloquée","B","P"))),""))</f>
        <v/>
      </c>
      <c r="U174" s="53">
        <f>IF(OR($F174="",$G174=""),"",IF(AND(U$5&lt;=$G174,U$5+6&gt;=$F174),IF($H174="Complétée","F",IF(OR($H174="En cours",$H174="En revue"),"E",IF($H174="Bloquée","B","P"))),""))</f>
        <v/>
      </c>
      <c r="V174" s="53">
        <f>IF(OR($F174="",$G174=""),"",IF(AND(V$5&lt;=$G174,V$5+6&gt;=$F174),IF($H174="Complétée","F",IF(OR($H174="En cours",$H174="En revue"),"E",IF($H174="Bloquée","B","P"))),""))</f>
        <v/>
      </c>
      <c r="W174" s="53">
        <f>IF(OR($F174="",$G174=""),"",IF(AND(W$5&lt;=$G174,W$5+6&gt;=$F174),IF($H174="Complétée","F",IF(OR($H174="En cours",$H174="En revue"),"E",IF($H174="Bloquée","B","P"))),""))</f>
        <v/>
      </c>
      <c r="X174" s="53">
        <f>IF(OR($F174="",$G174=""),"",IF(AND(X$5&lt;=$G174,X$5+6&gt;=$F174),IF($H174="Complétée","F",IF(OR($H174="En cours",$H174="En revue"),"E",IF($H174="Bloquée","B","P"))),""))</f>
        <v/>
      </c>
      <c r="Y174" s="53">
        <f>IF(OR($F174="",$G174=""),"",IF(AND(Y$5&lt;=$G174,Y$5+6&gt;=$F174),IF($H174="Complétée","F",IF(OR($H174="En cours",$H174="En revue"),"E",IF($H174="Bloquée","B","P"))),""))</f>
        <v/>
      </c>
      <c r="Z174" s="53">
        <f>IF(OR($F174="",$G174=""),"",IF(AND(Z$5&lt;=$G174,Z$5+6&gt;=$F174),IF($H174="Complétée","F",IF(OR($H174="En cours",$H174="En revue"),"E",IF($H174="Bloquée","B","P"))),""))</f>
        <v/>
      </c>
      <c r="AA174" s="53">
        <f>IF(OR($F174="",$G174=""),"",IF(AND(AA$5&lt;=$G174,AA$5+6&gt;=$F174),IF($H174="Complétée","F",IF(OR($H174="En cours",$H174="En revue"),"E",IF($H174="Bloquée","B","P"))),""))</f>
        <v/>
      </c>
      <c r="AB174" s="53">
        <f>IF(OR($F174="",$G174=""),"",IF(AND(AB$5&lt;=$G174,AB$5+6&gt;=$F174),IF($H174="Complétée","F",IF(OR($H174="En cours",$H174="En revue"),"E",IF($H174="Bloquée","B","P"))),""))</f>
        <v/>
      </c>
      <c r="AC174" s="53">
        <f>IF(OR($F174="",$G174=""),"",IF(AND(AC$5&lt;=$G174,AC$5+6&gt;=$F174),IF($H174="Complétée","F",IF(OR($H174="En cours",$H174="En revue"),"E",IF($H174="Bloquée","B","P"))),""))</f>
        <v/>
      </c>
      <c r="AD174" s="53">
        <f>IF(OR($F174="",$G174=""),"",IF(AND(AD$5&lt;=$G174,AD$5+6&gt;=$F174),IF($H174="Complétée","F",IF(OR($H174="En cours",$H174="En revue"),"E",IF($H174="Bloquée","B","P"))),""))</f>
        <v/>
      </c>
      <c r="AE174" s="53">
        <f>IF(OR($F174="",$G174=""),"",IF(AND(AE$5&lt;=$G174,AE$5+6&gt;=$F174),IF($H174="Complétée","F",IF(OR($H174="En cours",$H174="En revue"),"E",IF($H174="Bloquée","B","P"))),""))</f>
        <v/>
      </c>
      <c r="AF174" s="53">
        <f>IF(OR($F174="",$G174=""),"",IF(AND(AF$5&lt;=$G174,AF$5+6&gt;=$F174),IF($H174="Complétée","F",IF(OR($H174="En cours",$H174="En revue"),"E",IF($H174="Bloquée","B","P"))),""))</f>
        <v/>
      </c>
      <c r="AG174" s="53">
        <f>IF(OR($F174="",$G174=""),"",IF(AND(AG$5&lt;=$G174,AG$5+6&gt;=$F174),IF($H174="Complétée","F",IF(OR($H174="En cours",$H174="En revue"),"E",IF($H174="Bloquée","B","P"))),""))</f>
        <v/>
      </c>
      <c r="AH174" s="53">
        <f>IF(OR($F174="",$G174=""),"",IF(AND(AH$5&lt;=$G174,AH$5+6&gt;=$F174),IF($H174="Complétée","F",IF(OR($H174="En cours",$H174="En revue"),"E",IF($H174="Bloquée","B","P"))),""))</f>
        <v/>
      </c>
      <c r="AI174" s="53">
        <f>IF(OR($F174="",$G174=""),"",IF(AND(AI$5&lt;=$G174,AI$5+6&gt;=$F174),IF($H174="Complétée","F",IF(OR($H174="En cours",$H174="En revue"),"E",IF($H174="Bloquée","B","P"))),""))</f>
        <v/>
      </c>
      <c r="AJ174" s="53">
        <f>IF(OR($F174="",$G174=""),"",IF(AND(AJ$5&lt;=$G174,AJ$5+6&gt;=$F174),IF($H174="Complétée","F",IF(OR($H174="En cours",$H174="En revue"),"E",IF($H174="Bloquée","B","P"))),""))</f>
        <v/>
      </c>
      <c r="AK174" s="53">
        <f>IF(OR($F174="",$G174=""),"",IF(AND(AK$5&lt;=$G174,AK$5+6&gt;=$F174),IF($H174="Complétée","F",IF(OR($H174="En cours",$H174="En revue"),"E",IF($H174="Bloquée","B","P"))),""))</f>
        <v/>
      </c>
      <c r="AL174" s="53">
        <f>IF(OR($F174="",$G174=""),"",IF(AND(AL$5&lt;=$G174,AL$5+6&gt;=$F174),IF($H174="Complétée","F",IF(OR($H174="En cours",$H174="En revue"),"E",IF($H174="Bloquée","B","P"))),""))</f>
        <v/>
      </c>
      <c r="AM174" s="53">
        <f>IF(OR($F174="",$G174=""),"",IF(AND(AM$5&lt;=$G174,AM$5+6&gt;=$F174),IF($H174="Complétée","F",IF(OR($H174="En cours",$H174="En revue"),"E",IF($H174="Bloquée","B","P"))),""))</f>
        <v/>
      </c>
      <c r="AN174" s="53">
        <f>IF(OR($F174="",$G174=""),"",IF(AND(AN$5&lt;=$G174,AN$5+6&gt;=$F174),IF($H174="Complétée","F",IF(OR($H174="En cours",$H174="En revue"),"E",IF($H174="Bloquée","B","P"))),""))</f>
        <v/>
      </c>
      <c r="AO174" s="53">
        <f>IF(OR($F174="",$G174=""),"",IF(AND(AO$5&lt;=$G174,AO$5+6&gt;=$F174),IF($H174="Complétée","F",IF(OR($H174="En cours",$H174="En revue"),"E",IF($H174="Bloquée","B","P"))),""))</f>
        <v/>
      </c>
      <c r="AP174" s="53">
        <f>IF(OR($F174="",$G174=""),"",IF(AND(AP$5&lt;=$G174,AP$5+6&gt;=$F174),IF($H174="Complétée","F",IF(OR($H174="En cours",$H174="En revue"),"E",IF($H174="Bloquée","B","P"))),""))</f>
        <v/>
      </c>
      <c r="AQ174" s="53">
        <f>IF(OR($F174="",$G174=""),"",IF(AND(AQ$5&lt;=$G174,AQ$5+6&gt;=$F174),IF($H174="Complétée","F",IF(OR($H174="En cours",$H174="En revue"),"E",IF($H174="Bloquée","B","P"))),""))</f>
        <v/>
      </c>
      <c r="AR174" s="53">
        <f>IF(OR($F174="",$G174=""),"",IF(AND(AR$5&lt;=$G174,AR$5+6&gt;=$F174),IF($H174="Complétée","F",IF(OR($H174="En cours",$H174="En revue"),"E",IF($H174="Bloquée","B","P"))),""))</f>
        <v/>
      </c>
      <c r="AS174" s="53">
        <f>IF(OR($F174="",$G174=""),"",IF(AND(AS$5&lt;=$G174,AS$5+6&gt;=$F174),IF($H174="Complétée","F",IF(OR($H174="En cours",$H174="En revue"),"E",IF($H174="Bloquée","B","P"))),""))</f>
        <v/>
      </c>
      <c r="AT174" s="53">
        <f>IF(OR($F174="",$G174=""),"",IF(AND(AT$5&lt;=$G174,AT$5+6&gt;=$F174),IF($H174="Complétée","F",IF(OR($H174="En cours",$H174="En revue"),"E",IF($H174="Bloquée","B","P"))),""))</f>
        <v/>
      </c>
      <c r="AU174" s="53">
        <f>IF(OR($F174="",$G174=""),"",IF(AND(AU$5&lt;=$G174,AU$5+6&gt;=$F174),IF($H174="Complétée","F",IF(OR($H174="En cours",$H174="En revue"),"E",IF($H174="Bloquée","B","P"))),""))</f>
        <v/>
      </c>
      <c r="AV174" s="53">
        <f>IF(OR($F174="",$G174=""),"",IF(AND(AV$5&lt;=$G174,AV$5+6&gt;=$F174),IF($H174="Complétée","F",IF(OR($H174="En cours",$H174="En revue"),"E",IF($H174="Bloquée","B","P"))),""))</f>
        <v/>
      </c>
      <c r="AW174" s="53">
        <f>IF(OR($F174="",$G174=""),"",IF(AND(AW$5&lt;=$G174,AW$5+6&gt;=$F174),IF($H174="Complétée","F",IF(OR($H174="En cours",$H174="En revue"),"E",IF($H174="Bloquée","B","P"))),""))</f>
        <v/>
      </c>
    </row>
    <row r="175">
      <c r="B175" s="50">
        <f>IF(Taches!B175="","",Taches!B175)</f>
        <v/>
      </c>
      <c r="C175" s="51">
        <f>IF(Taches!B175="","",Taches!F175)</f>
        <v/>
      </c>
      <c r="D175" s="50">
        <f>IF(Taches!B175="","",Taches!C175)</f>
        <v/>
      </c>
      <c r="E175" s="50">
        <f>IF(Taches!B175="","",Taches!D175)</f>
        <v/>
      </c>
      <c r="F175" s="52">
        <f>IF(Taches!P175="","",Taches!P175)</f>
        <v/>
      </c>
      <c r="G175" s="52">
        <f>IF(Taches!Q175="","",Taches!Q175)</f>
        <v/>
      </c>
      <c r="H175" s="50">
        <f>IF(Taches!B175="","",Taches!J175)</f>
        <v/>
      </c>
      <c r="I175" s="53">
        <f>IF(OR($F175="",$G175=""),"",IF(AND(I$5&lt;=$G175,I$5+6&gt;=$F175),IF($H175="Complétée","F",IF(OR($H175="En cours",$H175="En revue"),"E",IF($H175="Bloquée","B","P"))),""))</f>
        <v/>
      </c>
      <c r="J175" s="53">
        <f>IF(OR($F175="",$G175=""),"",IF(AND(J$5&lt;=$G175,J$5+6&gt;=$F175),IF($H175="Complétée","F",IF(OR($H175="En cours",$H175="En revue"),"E",IF($H175="Bloquée","B","P"))),""))</f>
        <v/>
      </c>
      <c r="K175" s="53">
        <f>IF(OR($F175="",$G175=""),"",IF(AND(K$5&lt;=$G175,K$5+6&gt;=$F175),IF($H175="Complétée","F",IF(OR($H175="En cours",$H175="En revue"),"E",IF($H175="Bloquée","B","P"))),""))</f>
        <v/>
      </c>
      <c r="L175" s="53">
        <f>IF(OR($F175="",$G175=""),"",IF(AND(L$5&lt;=$G175,L$5+6&gt;=$F175),IF($H175="Complétée","F",IF(OR($H175="En cours",$H175="En revue"),"E",IF($H175="Bloquée","B","P"))),""))</f>
        <v/>
      </c>
      <c r="M175" s="53">
        <f>IF(OR($F175="",$G175=""),"",IF(AND(M$5&lt;=$G175,M$5+6&gt;=$F175),IF($H175="Complétée","F",IF(OR($H175="En cours",$H175="En revue"),"E",IF($H175="Bloquée","B","P"))),""))</f>
        <v/>
      </c>
      <c r="N175" s="53">
        <f>IF(OR($F175="",$G175=""),"",IF(AND(N$5&lt;=$G175,N$5+6&gt;=$F175),IF($H175="Complétée","F",IF(OR($H175="En cours",$H175="En revue"),"E",IF($H175="Bloquée","B","P"))),""))</f>
        <v/>
      </c>
      <c r="O175" s="53">
        <f>IF(OR($F175="",$G175=""),"",IF(AND(O$5&lt;=$G175,O$5+6&gt;=$F175),IF($H175="Complétée","F",IF(OR($H175="En cours",$H175="En revue"),"E",IF($H175="Bloquée","B","P"))),""))</f>
        <v/>
      </c>
      <c r="P175" s="53">
        <f>IF(OR($F175="",$G175=""),"",IF(AND(P$5&lt;=$G175,P$5+6&gt;=$F175),IF($H175="Complétée","F",IF(OR($H175="En cours",$H175="En revue"),"E",IF($H175="Bloquée","B","P"))),""))</f>
        <v/>
      </c>
      <c r="Q175" s="53">
        <f>IF(OR($F175="",$G175=""),"",IF(AND(Q$5&lt;=$G175,Q$5+6&gt;=$F175),IF($H175="Complétée","F",IF(OR($H175="En cours",$H175="En revue"),"E",IF($H175="Bloquée","B","P"))),""))</f>
        <v/>
      </c>
      <c r="R175" s="53">
        <f>IF(OR($F175="",$G175=""),"",IF(AND(R$5&lt;=$G175,R$5+6&gt;=$F175),IF($H175="Complétée","F",IF(OR($H175="En cours",$H175="En revue"),"E",IF($H175="Bloquée","B","P"))),""))</f>
        <v/>
      </c>
      <c r="S175" s="53">
        <f>IF(OR($F175="",$G175=""),"",IF(AND(S$5&lt;=$G175,S$5+6&gt;=$F175),IF($H175="Complétée","F",IF(OR($H175="En cours",$H175="En revue"),"E",IF($H175="Bloquée","B","P"))),""))</f>
        <v/>
      </c>
      <c r="T175" s="53">
        <f>IF(OR($F175="",$G175=""),"",IF(AND(T$5&lt;=$G175,T$5+6&gt;=$F175),IF($H175="Complétée","F",IF(OR($H175="En cours",$H175="En revue"),"E",IF($H175="Bloquée","B","P"))),""))</f>
        <v/>
      </c>
      <c r="U175" s="53">
        <f>IF(OR($F175="",$G175=""),"",IF(AND(U$5&lt;=$G175,U$5+6&gt;=$F175),IF($H175="Complétée","F",IF(OR($H175="En cours",$H175="En revue"),"E",IF($H175="Bloquée","B","P"))),""))</f>
        <v/>
      </c>
      <c r="V175" s="53">
        <f>IF(OR($F175="",$G175=""),"",IF(AND(V$5&lt;=$G175,V$5+6&gt;=$F175),IF($H175="Complétée","F",IF(OR($H175="En cours",$H175="En revue"),"E",IF($H175="Bloquée","B","P"))),""))</f>
        <v/>
      </c>
      <c r="W175" s="53">
        <f>IF(OR($F175="",$G175=""),"",IF(AND(W$5&lt;=$G175,W$5+6&gt;=$F175),IF($H175="Complétée","F",IF(OR($H175="En cours",$H175="En revue"),"E",IF($H175="Bloquée","B","P"))),""))</f>
        <v/>
      </c>
      <c r="X175" s="53">
        <f>IF(OR($F175="",$G175=""),"",IF(AND(X$5&lt;=$G175,X$5+6&gt;=$F175),IF($H175="Complétée","F",IF(OR($H175="En cours",$H175="En revue"),"E",IF($H175="Bloquée","B","P"))),""))</f>
        <v/>
      </c>
      <c r="Y175" s="53">
        <f>IF(OR($F175="",$G175=""),"",IF(AND(Y$5&lt;=$G175,Y$5+6&gt;=$F175),IF($H175="Complétée","F",IF(OR($H175="En cours",$H175="En revue"),"E",IF($H175="Bloquée","B","P"))),""))</f>
        <v/>
      </c>
      <c r="Z175" s="53">
        <f>IF(OR($F175="",$G175=""),"",IF(AND(Z$5&lt;=$G175,Z$5+6&gt;=$F175),IF($H175="Complétée","F",IF(OR($H175="En cours",$H175="En revue"),"E",IF($H175="Bloquée","B","P"))),""))</f>
        <v/>
      </c>
      <c r="AA175" s="53">
        <f>IF(OR($F175="",$G175=""),"",IF(AND(AA$5&lt;=$G175,AA$5+6&gt;=$F175),IF($H175="Complétée","F",IF(OR($H175="En cours",$H175="En revue"),"E",IF($H175="Bloquée","B","P"))),""))</f>
        <v/>
      </c>
      <c r="AB175" s="53">
        <f>IF(OR($F175="",$G175=""),"",IF(AND(AB$5&lt;=$G175,AB$5+6&gt;=$F175),IF($H175="Complétée","F",IF(OR($H175="En cours",$H175="En revue"),"E",IF($H175="Bloquée","B","P"))),""))</f>
        <v/>
      </c>
      <c r="AC175" s="53">
        <f>IF(OR($F175="",$G175=""),"",IF(AND(AC$5&lt;=$G175,AC$5+6&gt;=$F175),IF($H175="Complétée","F",IF(OR($H175="En cours",$H175="En revue"),"E",IF($H175="Bloquée","B","P"))),""))</f>
        <v/>
      </c>
      <c r="AD175" s="53">
        <f>IF(OR($F175="",$G175=""),"",IF(AND(AD$5&lt;=$G175,AD$5+6&gt;=$F175),IF($H175="Complétée","F",IF(OR($H175="En cours",$H175="En revue"),"E",IF($H175="Bloquée","B","P"))),""))</f>
        <v/>
      </c>
      <c r="AE175" s="53">
        <f>IF(OR($F175="",$G175=""),"",IF(AND(AE$5&lt;=$G175,AE$5+6&gt;=$F175),IF($H175="Complétée","F",IF(OR($H175="En cours",$H175="En revue"),"E",IF($H175="Bloquée","B","P"))),""))</f>
        <v/>
      </c>
      <c r="AF175" s="53">
        <f>IF(OR($F175="",$G175=""),"",IF(AND(AF$5&lt;=$G175,AF$5+6&gt;=$F175),IF($H175="Complétée","F",IF(OR($H175="En cours",$H175="En revue"),"E",IF($H175="Bloquée","B","P"))),""))</f>
        <v/>
      </c>
      <c r="AG175" s="53">
        <f>IF(OR($F175="",$G175=""),"",IF(AND(AG$5&lt;=$G175,AG$5+6&gt;=$F175),IF($H175="Complétée","F",IF(OR($H175="En cours",$H175="En revue"),"E",IF($H175="Bloquée","B","P"))),""))</f>
        <v/>
      </c>
      <c r="AH175" s="53">
        <f>IF(OR($F175="",$G175=""),"",IF(AND(AH$5&lt;=$G175,AH$5+6&gt;=$F175),IF($H175="Complétée","F",IF(OR($H175="En cours",$H175="En revue"),"E",IF($H175="Bloquée","B","P"))),""))</f>
        <v/>
      </c>
      <c r="AI175" s="53">
        <f>IF(OR($F175="",$G175=""),"",IF(AND(AI$5&lt;=$G175,AI$5+6&gt;=$F175),IF($H175="Complétée","F",IF(OR($H175="En cours",$H175="En revue"),"E",IF($H175="Bloquée","B","P"))),""))</f>
        <v/>
      </c>
      <c r="AJ175" s="53">
        <f>IF(OR($F175="",$G175=""),"",IF(AND(AJ$5&lt;=$G175,AJ$5+6&gt;=$F175),IF($H175="Complétée","F",IF(OR($H175="En cours",$H175="En revue"),"E",IF($H175="Bloquée","B","P"))),""))</f>
        <v/>
      </c>
      <c r="AK175" s="53">
        <f>IF(OR($F175="",$G175=""),"",IF(AND(AK$5&lt;=$G175,AK$5+6&gt;=$F175),IF($H175="Complétée","F",IF(OR($H175="En cours",$H175="En revue"),"E",IF($H175="Bloquée","B","P"))),""))</f>
        <v/>
      </c>
      <c r="AL175" s="53">
        <f>IF(OR($F175="",$G175=""),"",IF(AND(AL$5&lt;=$G175,AL$5+6&gt;=$F175),IF($H175="Complétée","F",IF(OR($H175="En cours",$H175="En revue"),"E",IF($H175="Bloquée","B","P"))),""))</f>
        <v/>
      </c>
      <c r="AM175" s="53">
        <f>IF(OR($F175="",$G175=""),"",IF(AND(AM$5&lt;=$G175,AM$5+6&gt;=$F175),IF($H175="Complétée","F",IF(OR($H175="En cours",$H175="En revue"),"E",IF($H175="Bloquée","B","P"))),""))</f>
        <v/>
      </c>
      <c r="AN175" s="53">
        <f>IF(OR($F175="",$G175=""),"",IF(AND(AN$5&lt;=$G175,AN$5+6&gt;=$F175),IF($H175="Complétée","F",IF(OR($H175="En cours",$H175="En revue"),"E",IF($H175="Bloquée","B","P"))),""))</f>
        <v/>
      </c>
      <c r="AO175" s="53">
        <f>IF(OR($F175="",$G175=""),"",IF(AND(AO$5&lt;=$G175,AO$5+6&gt;=$F175),IF($H175="Complétée","F",IF(OR($H175="En cours",$H175="En revue"),"E",IF($H175="Bloquée","B","P"))),""))</f>
        <v/>
      </c>
      <c r="AP175" s="53">
        <f>IF(OR($F175="",$G175=""),"",IF(AND(AP$5&lt;=$G175,AP$5+6&gt;=$F175),IF($H175="Complétée","F",IF(OR($H175="En cours",$H175="En revue"),"E",IF($H175="Bloquée","B","P"))),""))</f>
        <v/>
      </c>
      <c r="AQ175" s="53">
        <f>IF(OR($F175="",$G175=""),"",IF(AND(AQ$5&lt;=$G175,AQ$5+6&gt;=$F175),IF($H175="Complétée","F",IF(OR($H175="En cours",$H175="En revue"),"E",IF($H175="Bloquée","B","P"))),""))</f>
        <v/>
      </c>
      <c r="AR175" s="53">
        <f>IF(OR($F175="",$G175=""),"",IF(AND(AR$5&lt;=$G175,AR$5+6&gt;=$F175),IF($H175="Complétée","F",IF(OR($H175="En cours",$H175="En revue"),"E",IF($H175="Bloquée","B","P"))),""))</f>
        <v/>
      </c>
      <c r="AS175" s="53">
        <f>IF(OR($F175="",$G175=""),"",IF(AND(AS$5&lt;=$G175,AS$5+6&gt;=$F175),IF($H175="Complétée","F",IF(OR($H175="En cours",$H175="En revue"),"E",IF($H175="Bloquée","B","P"))),""))</f>
        <v/>
      </c>
      <c r="AT175" s="53">
        <f>IF(OR($F175="",$G175=""),"",IF(AND(AT$5&lt;=$G175,AT$5+6&gt;=$F175),IF($H175="Complétée","F",IF(OR($H175="En cours",$H175="En revue"),"E",IF($H175="Bloquée","B","P"))),""))</f>
        <v/>
      </c>
      <c r="AU175" s="53">
        <f>IF(OR($F175="",$G175=""),"",IF(AND(AU$5&lt;=$G175,AU$5+6&gt;=$F175),IF($H175="Complétée","F",IF(OR($H175="En cours",$H175="En revue"),"E",IF($H175="Bloquée","B","P"))),""))</f>
        <v/>
      </c>
      <c r="AV175" s="53">
        <f>IF(OR($F175="",$G175=""),"",IF(AND(AV$5&lt;=$G175,AV$5+6&gt;=$F175),IF($H175="Complétée","F",IF(OR($H175="En cours",$H175="En revue"),"E",IF($H175="Bloquée","B","P"))),""))</f>
        <v/>
      </c>
      <c r="AW175" s="53">
        <f>IF(OR($F175="",$G175=""),"",IF(AND(AW$5&lt;=$G175,AW$5+6&gt;=$F175),IF($H175="Complétée","F",IF(OR($H175="En cours",$H175="En revue"),"E",IF($H175="Bloquée","B","P"))),""))</f>
        <v/>
      </c>
    </row>
    <row r="176">
      <c r="B176" s="50">
        <f>IF(Taches!B176="","",Taches!B176)</f>
        <v/>
      </c>
      <c r="C176" s="51">
        <f>IF(Taches!B176="","",Taches!F176)</f>
        <v/>
      </c>
      <c r="D176" s="50">
        <f>IF(Taches!B176="","",Taches!C176)</f>
        <v/>
      </c>
      <c r="E176" s="50">
        <f>IF(Taches!B176="","",Taches!D176)</f>
        <v/>
      </c>
      <c r="F176" s="52">
        <f>IF(Taches!P176="","",Taches!P176)</f>
        <v/>
      </c>
      <c r="G176" s="52">
        <f>IF(Taches!Q176="","",Taches!Q176)</f>
        <v/>
      </c>
      <c r="H176" s="50">
        <f>IF(Taches!B176="","",Taches!J176)</f>
        <v/>
      </c>
      <c r="I176" s="53">
        <f>IF(OR($F176="",$G176=""),"",IF(AND(I$5&lt;=$G176,I$5+6&gt;=$F176),IF($H176="Complétée","F",IF(OR($H176="En cours",$H176="En revue"),"E",IF($H176="Bloquée","B","P"))),""))</f>
        <v/>
      </c>
      <c r="J176" s="53">
        <f>IF(OR($F176="",$G176=""),"",IF(AND(J$5&lt;=$G176,J$5+6&gt;=$F176),IF($H176="Complétée","F",IF(OR($H176="En cours",$H176="En revue"),"E",IF($H176="Bloquée","B","P"))),""))</f>
        <v/>
      </c>
      <c r="K176" s="53">
        <f>IF(OR($F176="",$G176=""),"",IF(AND(K$5&lt;=$G176,K$5+6&gt;=$F176),IF($H176="Complétée","F",IF(OR($H176="En cours",$H176="En revue"),"E",IF($H176="Bloquée","B","P"))),""))</f>
        <v/>
      </c>
      <c r="L176" s="53">
        <f>IF(OR($F176="",$G176=""),"",IF(AND(L$5&lt;=$G176,L$5+6&gt;=$F176),IF($H176="Complétée","F",IF(OR($H176="En cours",$H176="En revue"),"E",IF($H176="Bloquée","B","P"))),""))</f>
        <v/>
      </c>
      <c r="M176" s="53">
        <f>IF(OR($F176="",$G176=""),"",IF(AND(M$5&lt;=$G176,M$5+6&gt;=$F176),IF($H176="Complétée","F",IF(OR($H176="En cours",$H176="En revue"),"E",IF($H176="Bloquée","B","P"))),""))</f>
        <v/>
      </c>
      <c r="N176" s="53">
        <f>IF(OR($F176="",$G176=""),"",IF(AND(N$5&lt;=$G176,N$5+6&gt;=$F176),IF($H176="Complétée","F",IF(OR($H176="En cours",$H176="En revue"),"E",IF($H176="Bloquée","B","P"))),""))</f>
        <v/>
      </c>
      <c r="O176" s="53">
        <f>IF(OR($F176="",$G176=""),"",IF(AND(O$5&lt;=$G176,O$5+6&gt;=$F176),IF($H176="Complétée","F",IF(OR($H176="En cours",$H176="En revue"),"E",IF($H176="Bloquée","B","P"))),""))</f>
        <v/>
      </c>
      <c r="P176" s="53">
        <f>IF(OR($F176="",$G176=""),"",IF(AND(P$5&lt;=$G176,P$5+6&gt;=$F176),IF($H176="Complétée","F",IF(OR($H176="En cours",$H176="En revue"),"E",IF($H176="Bloquée","B","P"))),""))</f>
        <v/>
      </c>
      <c r="Q176" s="53">
        <f>IF(OR($F176="",$G176=""),"",IF(AND(Q$5&lt;=$G176,Q$5+6&gt;=$F176),IF($H176="Complétée","F",IF(OR($H176="En cours",$H176="En revue"),"E",IF($H176="Bloquée","B","P"))),""))</f>
        <v/>
      </c>
      <c r="R176" s="53">
        <f>IF(OR($F176="",$G176=""),"",IF(AND(R$5&lt;=$G176,R$5+6&gt;=$F176),IF($H176="Complétée","F",IF(OR($H176="En cours",$H176="En revue"),"E",IF($H176="Bloquée","B","P"))),""))</f>
        <v/>
      </c>
      <c r="S176" s="53">
        <f>IF(OR($F176="",$G176=""),"",IF(AND(S$5&lt;=$G176,S$5+6&gt;=$F176),IF($H176="Complétée","F",IF(OR($H176="En cours",$H176="En revue"),"E",IF($H176="Bloquée","B","P"))),""))</f>
        <v/>
      </c>
      <c r="T176" s="53">
        <f>IF(OR($F176="",$G176=""),"",IF(AND(T$5&lt;=$G176,T$5+6&gt;=$F176),IF($H176="Complétée","F",IF(OR($H176="En cours",$H176="En revue"),"E",IF($H176="Bloquée","B","P"))),""))</f>
        <v/>
      </c>
      <c r="U176" s="53">
        <f>IF(OR($F176="",$G176=""),"",IF(AND(U$5&lt;=$G176,U$5+6&gt;=$F176),IF($H176="Complétée","F",IF(OR($H176="En cours",$H176="En revue"),"E",IF($H176="Bloquée","B","P"))),""))</f>
        <v/>
      </c>
      <c r="V176" s="53">
        <f>IF(OR($F176="",$G176=""),"",IF(AND(V$5&lt;=$G176,V$5+6&gt;=$F176),IF($H176="Complétée","F",IF(OR($H176="En cours",$H176="En revue"),"E",IF($H176="Bloquée","B","P"))),""))</f>
        <v/>
      </c>
      <c r="W176" s="53">
        <f>IF(OR($F176="",$G176=""),"",IF(AND(W$5&lt;=$G176,W$5+6&gt;=$F176),IF($H176="Complétée","F",IF(OR($H176="En cours",$H176="En revue"),"E",IF($H176="Bloquée","B","P"))),""))</f>
        <v/>
      </c>
      <c r="X176" s="53">
        <f>IF(OR($F176="",$G176=""),"",IF(AND(X$5&lt;=$G176,X$5+6&gt;=$F176),IF($H176="Complétée","F",IF(OR($H176="En cours",$H176="En revue"),"E",IF($H176="Bloquée","B","P"))),""))</f>
        <v/>
      </c>
      <c r="Y176" s="53">
        <f>IF(OR($F176="",$G176=""),"",IF(AND(Y$5&lt;=$G176,Y$5+6&gt;=$F176),IF($H176="Complétée","F",IF(OR($H176="En cours",$H176="En revue"),"E",IF($H176="Bloquée","B","P"))),""))</f>
        <v/>
      </c>
      <c r="Z176" s="53">
        <f>IF(OR($F176="",$G176=""),"",IF(AND(Z$5&lt;=$G176,Z$5+6&gt;=$F176),IF($H176="Complétée","F",IF(OR($H176="En cours",$H176="En revue"),"E",IF($H176="Bloquée","B","P"))),""))</f>
        <v/>
      </c>
      <c r="AA176" s="53">
        <f>IF(OR($F176="",$G176=""),"",IF(AND(AA$5&lt;=$G176,AA$5+6&gt;=$F176),IF($H176="Complétée","F",IF(OR($H176="En cours",$H176="En revue"),"E",IF($H176="Bloquée","B","P"))),""))</f>
        <v/>
      </c>
      <c r="AB176" s="53">
        <f>IF(OR($F176="",$G176=""),"",IF(AND(AB$5&lt;=$G176,AB$5+6&gt;=$F176),IF($H176="Complétée","F",IF(OR($H176="En cours",$H176="En revue"),"E",IF($H176="Bloquée","B","P"))),""))</f>
        <v/>
      </c>
      <c r="AC176" s="53">
        <f>IF(OR($F176="",$G176=""),"",IF(AND(AC$5&lt;=$G176,AC$5+6&gt;=$F176),IF($H176="Complétée","F",IF(OR($H176="En cours",$H176="En revue"),"E",IF($H176="Bloquée","B","P"))),""))</f>
        <v/>
      </c>
      <c r="AD176" s="53">
        <f>IF(OR($F176="",$G176=""),"",IF(AND(AD$5&lt;=$G176,AD$5+6&gt;=$F176),IF($H176="Complétée","F",IF(OR($H176="En cours",$H176="En revue"),"E",IF($H176="Bloquée","B","P"))),""))</f>
        <v/>
      </c>
      <c r="AE176" s="53">
        <f>IF(OR($F176="",$G176=""),"",IF(AND(AE$5&lt;=$G176,AE$5+6&gt;=$F176),IF($H176="Complétée","F",IF(OR($H176="En cours",$H176="En revue"),"E",IF($H176="Bloquée","B","P"))),""))</f>
        <v/>
      </c>
      <c r="AF176" s="53">
        <f>IF(OR($F176="",$G176=""),"",IF(AND(AF$5&lt;=$G176,AF$5+6&gt;=$F176),IF($H176="Complétée","F",IF(OR($H176="En cours",$H176="En revue"),"E",IF($H176="Bloquée","B","P"))),""))</f>
        <v/>
      </c>
      <c r="AG176" s="53">
        <f>IF(OR($F176="",$G176=""),"",IF(AND(AG$5&lt;=$G176,AG$5+6&gt;=$F176),IF($H176="Complétée","F",IF(OR($H176="En cours",$H176="En revue"),"E",IF($H176="Bloquée","B","P"))),""))</f>
        <v/>
      </c>
      <c r="AH176" s="53">
        <f>IF(OR($F176="",$G176=""),"",IF(AND(AH$5&lt;=$G176,AH$5+6&gt;=$F176),IF($H176="Complétée","F",IF(OR($H176="En cours",$H176="En revue"),"E",IF($H176="Bloquée","B","P"))),""))</f>
        <v/>
      </c>
      <c r="AI176" s="53">
        <f>IF(OR($F176="",$G176=""),"",IF(AND(AI$5&lt;=$G176,AI$5+6&gt;=$F176),IF($H176="Complétée","F",IF(OR($H176="En cours",$H176="En revue"),"E",IF($H176="Bloquée","B","P"))),""))</f>
        <v/>
      </c>
      <c r="AJ176" s="53">
        <f>IF(OR($F176="",$G176=""),"",IF(AND(AJ$5&lt;=$G176,AJ$5+6&gt;=$F176),IF($H176="Complétée","F",IF(OR($H176="En cours",$H176="En revue"),"E",IF($H176="Bloquée","B","P"))),""))</f>
        <v/>
      </c>
      <c r="AK176" s="53">
        <f>IF(OR($F176="",$G176=""),"",IF(AND(AK$5&lt;=$G176,AK$5+6&gt;=$F176),IF($H176="Complétée","F",IF(OR($H176="En cours",$H176="En revue"),"E",IF($H176="Bloquée","B","P"))),""))</f>
        <v/>
      </c>
      <c r="AL176" s="53">
        <f>IF(OR($F176="",$G176=""),"",IF(AND(AL$5&lt;=$G176,AL$5+6&gt;=$F176),IF($H176="Complétée","F",IF(OR($H176="En cours",$H176="En revue"),"E",IF($H176="Bloquée","B","P"))),""))</f>
        <v/>
      </c>
      <c r="AM176" s="53">
        <f>IF(OR($F176="",$G176=""),"",IF(AND(AM$5&lt;=$G176,AM$5+6&gt;=$F176),IF($H176="Complétée","F",IF(OR($H176="En cours",$H176="En revue"),"E",IF($H176="Bloquée","B","P"))),""))</f>
        <v/>
      </c>
      <c r="AN176" s="53">
        <f>IF(OR($F176="",$G176=""),"",IF(AND(AN$5&lt;=$G176,AN$5+6&gt;=$F176),IF($H176="Complétée","F",IF(OR($H176="En cours",$H176="En revue"),"E",IF($H176="Bloquée","B","P"))),""))</f>
        <v/>
      </c>
      <c r="AO176" s="53">
        <f>IF(OR($F176="",$G176=""),"",IF(AND(AO$5&lt;=$G176,AO$5+6&gt;=$F176),IF($H176="Complétée","F",IF(OR($H176="En cours",$H176="En revue"),"E",IF($H176="Bloquée","B","P"))),""))</f>
        <v/>
      </c>
      <c r="AP176" s="53">
        <f>IF(OR($F176="",$G176=""),"",IF(AND(AP$5&lt;=$G176,AP$5+6&gt;=$F176),IF($H176="Complétée","F",IF(OR($H176="En cours",$H176="En revue"),"E",IF($H176="Bloquée","B","P"))),""))</f>
        <v/>
      </c>
      <c r="AQ176" s="53">
        <f>IF(OR($F176="",$G176=""),"",IF(AND(AQ$5&lt;=$G176,AQ$5+6&gt;=$F176),IF($H176="Complétée","F",IF(OR($H176="En cours",$H176="En revue"),"E",IF($H176="Bloquée","B","P"))),""))</f>
        <v/>
      </c>
      <c r="AR176" s="53">
        <f>IF(OR($F176="",$G176=""),"",IF(AND(AR$5&lt;=$G176,AR$5+6&gt;=$F176),IF($H176="Complétée","F",IF(OR($H176="En cours",$H176="En revue"),"E",IF($H176="Bloquée","B","P"))),""))</f>
        <v/>
      </c>
      <c r="AS176" s="53">
        <f>IF(OR($F176="",$G176=""),"",IF(AND(AS$5&lt;=$G176,AS$5+6&gt;=$F176),IF($H176="Complétée","F",IF(OR($H176="En cours",$H176="En revue"),"E",IF($H176="Bloquée","B","P"))),""))</f>
        <v/>
      </c>
      <c r="AT176" s="53">
        <f>IF(OR($F176="",$G176=""),"",IF(AND(AT$5&lt;=$G176,AT$5+6&gt;=$F176),IF($H176="Complétée","F",IF(OR($H176="En cours",$H176="En revue"),"E",IF($H176="Bloquée","B","P"))),""))</f>
        <v/>
      </c>
      <c r="AU176" s="53">
        <f>IF(OR($F176="",$G176=""),"",IF(AND(AU$5&lt;=$G176,AU$5+6&gt;=$F176),IF($H176="Complétée","F",IF(OR($H176="En cours",$H176="En revue"),"E",IF($H176="Bloquée","B","P"))),""))</f>
        <v/>
      </c>
      <c r="AV176" s="53">
        <f>IF(OR($F176="",$G176=""),"",IF(AND(AV$5&lt;=$G176,AV$5+6&gt;=$F176),IF($H176="Complétée","F",IF(OR($H176="En cours",$H176="En revue"),"E",IF($H176="Bloquée","B","P"))),""))</f>
        <v/>
      </c>
      <c r="AW176" s="53">
        <f>IF(OR($F176="",$G176=""),"",IF(AND(AW$5&lt;=$G176,AW$5+6&gt;=$F176),IF($H176="Complétée","F",IF(OR($H176="En cours",$H176="En revue"),"E",IF($H176="Bloquée","B","P"))),""))</f>
        <v/>
      </c>
    </row>
    <row r="177">
      <c r="B177" s="50">
        <f>IF(Taches!B177="","",Taches!B177)</f>
        <v/>
      </c>
      <c r="C177" s="51">
        <f>IF(Taches!B177="","",Taches!F177)</f>
        <v/>
      </c>
      <c r="D177" s="50">
        <f>IF(Taches!B177="","",Taches!C177)</f>
        <v/>
      </c>
      <c r="E177" s="50">
        <f>IF(Taches!B177="","",Taches!D177)</f>
        <v/>
      </c>
      <c r="F177" s="52">
        <f>IF(Taches!P177="","",Taches!P177)</f>
        <v/>
      </c>
      <c r="G177" s="52">
        <f>IF(Taches!Q177="","",Taches!Q177)</f>
        <v/>
      </c>
      <c r="H177" s="50">
        <f>IF(Taches!B177="","",Taches!J177)</f>
        <v/>
      </c>
      <c r="I177" s="53">
        <f>IF(OR($F177="",$G177=""),"",IF(AND(I$5&lt;=$G177,I$5+6&gt;=$F177),IF($H177="Complétée","F",IF(OR($H177="En cours",$H177="En revue"),"E",IF($H177="Bloquée","B","P"))),""))</f>
        <v/>
      </c>
      <c r="J177" s="53">
        <f>IF(OR($F177="",$G177=""),"",IF(AND(J$5&lt;=$G177,J$5+6&gt;=$F177),IF($H177="Complétée","F",IF(OR($H177="En cours",$H177="En revue"),"E",IF($H177="Bloquée","B","P"))),""))</f>
        <v/>
      </c>
      <c r="K177" s="53">
        <f>IF(OR($F177="",$G177=""),"",IF(AND(K$5&lt;=$G177,K$5+6&gt;=$F177),IF($H177="Complétée","F",IF(OR($H177="En cours",$H177="En revue"),"E",IF($H177="Bloquée","B","P"))),""))</f>
        <v/>
      </c>
      <c r="L177" s="53">
        <f>IF(OR($F177="",$G177=""),"",IF(AND(L$5&lt;=$G177,L$5+6&gt;=$F177),IF($H177="Complétée","F",IF(OR($H177="En cours",$H177="En revue"),"E",IF($H177="Bloquée","B","P"))),""))</f>
        <v/>
      </c>
      <c r="M177" s="53">
        <f>IF(OR($F177="",$G177=""),"",IF(AND(M$5&lt;=$G177,M$5+6&gt;=$F177),IF($H177="Complétée","F",IF(OR($H177="En cours",$H177="En revue"),"E",IF($H177="Bloquée","B","P"))),""))</f>
        <v/>
      </c>
      <c r="N177" s="53">
        <f>IF(OR($F177="",$G177=""),"",IF(AND(N$5&lt;=$G177,N$5+6&gt;=$F177),IF($H177="Complétée","F",IF(OR($H177="En cours",$H177="En revue"),"E",IF($H177="Bloquée","B","P"))),""))</f>
        <v/>
      </c>
      <c r="O177" s="53">
        <f>IF(OR($F177="",$G177=""),"",IF(AND(O$5&lt;=$G177,O$5+6&gt;=$F177),IF($H177="Complétée","F",IF(OR($H177="En cours",$H177="En revue"),"E",IF($H177="Bloquée","B","P"))),""))</f>
        <v/>
      </c>
      <c r="P177" s="53">
        <f>IF(OR($F177="",$G177=""),"",IF(AND(P$5&lt;=$G177,P$5+6&gt;=$F177),IF($H177="Complétée","F",IF(OR($H177="En cours",$H177="En revue"),"E",IF($H177="Bloquée","B","P"))),""))</f>
        <v/>
      </c>
      <c r="Q177" s="53">
        <f>IF(OR($F177="",$G177=""),"",IF(AND(Q$5&lt;=$G177,Q$5+6&gt;=$F177),IF($H177="Complétée","F",IF(OR($H177="En cours",$H177="En revue"),"E",IF($H177="Bloquée","B","P"))),""))</f>
        <v/>
      </c>
      <c r="R177" s="53">
        <f>IF(OR($F177="",$G177=""),"",IF(AND(R$5&lt;=$G177,R$5+6&gt;=$F177),IF($H177="Complétée","F",IF(OR($H177="En cours",$H177="En revue"),"E",IF($H177="Bloquée","B","P"))),""))</f>
        <v/>
      </c>
      <c r="S177" s="53">
        <f>IF(OR($F177="",$G177=""),"",IF(AND(S$5&lt;=$G177,S$5+6&gt;=$F177),IF($H177="Complétée","F",IF(OR($H177="En cours",$H177="En revue"),"E",IF($H177="Bloquée","B","P"))),""))</f>
        <v/>
      </c>
      <c r="T177" s="53">
        <f>IF(OR($F177="",$G177=""),"",IF(AND(T$5&lt;=$G177,T$5+6&gt;=$F177),IF($H177="Complétée","F",IF(OR($H177="En cours",$H177="En revue"),"E",IF($H177="Bloquée","B","P"))),""))</f>
        <v/>
      </c>
      <c r="U177" s="53">
        <f>IF(OR($F177="",$G177=""),"",IF(AND(U$5&lt;=$G177,U$5+6&gt;=$F177),IF($H177="Complétée","F",IF(OR($H177="En cours",$H177="En revue"),"E",IF($H177="Bloquée","B","P"))),""))</f>
        <v/>
      </c>
      <c r="V177" s="53">
        <f>IF(OR($F177="",$G177=""),"",IF(AND(V$5&lt;=$G177,V$5+6&gt;=$F177),IF($H177="Complétée","F",IF(OR($H177="En cours",$H177="En revue"),"E",IF($H177="Bloquée","B","P"))),""))</f>
        <v/>
      </c>
      <c r="W177" s="53">
        <f>IF(OR($F177="",$G177=""),"",IF(AND(W$5&lt;=$G177,W$5+6&gt;=$F177),IF($H177="Complétée","F",IF(OR($H177="En cours",$H177="En revue"),"E",IF($H177="Bloquée","B","P"))),""))</f>
        <v/>
      </c>
      <c r="X177" s="53">
        <f>IF(OR($F177="",$G177=""),"",IF(AND(X$5&lt;=$G177,X$5+6&gt;=$F177),IF($H177="Complétée","F",IF(OR($H177="En cours",$H177="En revue"),"E",IF($H177="Bloquée","B","P"))),""))</f>
        <v/>
      </c>
      <c r="Y177" s="53">
        <f>IF(OR($F177="",$G177=""),"",IF(AND(Y$5&lt;=$G177,Y$5+6&gt;=$F177),IF($H177="Complétée","F",IF(OR($H177="En cours",$H177="En revue"),"E",IF($H177="Bloquée","B","P"))),""))</f>
        <v/>
      </c>
      <c r="Z177" s="53">
        <f>IF(OR($F177="",$G177=""),"",IF(AND(Z$5&lt;=$G177,Z$5+6&gt;=$F177),IF($H177="Complétée","F",IF(OR($H177="En cours",$H177="En revue"),"E",IF($H177="Bloquée","B","P"))),""))</f>
        <v/>
      </c>
      <c r="AA177" s="53">
        <f>IF(OR($F177="",$G177=""),"",IF(AND(AA$5&lt;=$G177,AA$5+6&gt;=$F177),IF($H177="Complétée","F",IF(OR($H177="En cours",$H177="En revue"),"E",IF($H177="Bloquée","B","P"))),""))</f>
        <v/>
      </c>
      <c r="AB177" s="53">
        <f>IF(OR($F177="",$G177=""),"",IF(AND(AB$5&lt;=$G177,AB$5+6&gt;=$F177),IF($H177="Complétée","F",IF(OR($H177="En cours",$H177="En revue"),"E",IF($H177="Bloquée","B","P"))),""))</f>
        <v/>
      </c>
      <c r="AC177" s="53">
        <f>IF(OR($F177="",$G177=""),"",IF(AND(AC$5&lt;=$G177,AC$5+6&gt;=$F177),IF($H177="Complétée","F",IF(OR($H177="En cours",$H177="En revue"),"E",IF($H177="Bloquée","B","P"))),""))</f>
        <v/>
      </c>
      <c r="AD177" s="53">
        <f>IF(OR($F177="",$G177=""),"",IF(AND(AD$5&lt;=$G177,AD$5+6&gt;=$F177),IF($H177="Complétée","F",IF(OR($H177="En cours",$H177="En revue"),"E",IF($H177="Bloquée","B","P"))),""))</f>
        <v/>
      </c>
      <c r="AE177" s="53">
        <f>IF(OR($F177="",$G177=""),"",IF(AND(AE$5&lt;=$G177,AE$5+6&gt;=$F177),IF($H177="Complétée","F",IF(OR($H177="En cours",$H177="En revue"),"E",IF($H177="Bloquée","B","P"))),""))</f>
        <v/>
      </c>
      <c r="AF177" s="53">
        <f>IF(OR($F177="",$G177=""),"",IF(AND(AF$5&lt;=$G177,AF$5+6&gt;=$F177),IF($H177="Complétée","F",IF(OR($H177="En cours",$H177="En revue"),"E",IF($H177="Bloquée","B","P"))),""))</f>
        <v/>
      </c>
      <c r="AG177" s="53">
        <f>IF(OR($F177="",$G177=""),"",IF(AND(AG$5&lt;=$G177,AG$5+6&gt;=$F177),IF($H177="Complétée","F",IF(OR($H177="En cours",$H177="En revue"),"E",IF($H177="Bloquée","B","P"))),""))</f>
        <v/>
      </c>
      <c r="AH177" s="53">
        <f>IF(OR($F177="",$G177=""),"",IF(AND(AH$5&lt;=$G177,AH$5+6&gt;=$F177),IF($H177="Complétée","F",IF(OR($H177="En cours",$H177="En revue"),"E",IF($H177="Bloquée","B","P"))),""))</f>
        <v/>
      </c>
      <c r="AI177" s="53">
        <f>IF(OR($F177="",$G177=""),"",IF(AND(AI$5&lt;=$G177,AI$5+6&gt;=$F177),IF($H177="Complétée","F",IF(OR($H177="En cours",$H177="En revue"),"E",IF($H177="Bloquée","B","P"))),""))</f>
        <v/>
      </c>
      <c r="AJ177" s="53">
        <f>IF(OR($F177="",$G177=""),"",IF(AND(AJ$5&lt;=$G177,AJ$5+6&gt;=$F177),IF($H177="Complétée","F",IF(OR($H177="En cours",$H177="En revue"),"E",IF($H177="Bloquée","B","P"))),""))</f>
        <v/>
      </c>
      <c r="AK177" s="53">
        <f>IF(OR($F177="",$G177=""),"",IF(AND(AK$5&lt;=$G177,AK$5+6&gt;=$F177),IF($H177="Complétée","F",IF(OR($H177="En cours",$H177="En revue"),"E",IF($H177="Bloquée","B","P"))),""))</f>
        <v/>
      </c>
      <c r="AL177" s="53">
        <f>IF(OR($F177="",$G177=""),"",IF(AND(AL$5&lt;=$G177,AL$5+6&gt;=$F177),IF($H177="Complétée","F",IF(OR($H177="En cours",$H177="En revue"),"E",IF($H177="Bloquée","B","P"))),""))</f>
        <v/>
      </c>
      <c r="AM177" s="53">
        <f>IF(OR($F177="",$G177=""),"",IF(AND(AM$5&lt;=$G177,AM$5+6&gt;=$F177),IF($H177="Complétée","F",IF(OR($H177="En cours",$H177="En revue"),"E",IF($H177="Bloquée","B","P"))),""))</f>
        <v/>
      </c>
      <c r="AN177" s="53">
        <f>IF(OR($F177="",$G177=""),"",IF(AND(AN$5&lt;=$G177,AN$5+6&gt;=$F177),IF($H177="Complétée","F",IF(OR($H177="En cours",$H177="En revue"),"E",IF($H177="Bloquée","B","P"))),""))</f>
        <v/>
      </c>
      <c r="AO177" s="53">
        <f>IF(OR($F177="",$G177=""),"",IF(AND(AO$5&lt;=$G177,AO$5+6&gt;=$F177),IF($H177="Complétée","F",IF(OR($H177="En cours",$H177="En revue"),"E",IF($H177="Bloquée","B","P"))),""))</f>
        <v/>
      </c>
      <c r="AP177" s="53">
        <f>IF(OR($F177="",$G177=""),"",IF(AND(AP$5&lt;=$G177,AP$5+6&gt;=$F177),IF($H177="Complétée","F",IF(OR($H177="En cours",$H177="En revue"),"E",IF($H177="Bloquée","B","P"))),""))</f>
        <v/>
      </c>
      <c r="AQ177" s="53">
        <f>IF(OR($F177="",$G177=""),"",IF(AND(AQ$5&lt;=$G177,AQ$5+6&gt;=$F177),IF($H177="Complétée","F",IF(OR($H177="En cours",$H177="En revue"),"E",IF($H177="Bloquée","B","P"))),""))</f>
        <v/>
      </c>
      <c r="AR177" s="53">
        <f>IF(OR($F177="",$G177=""),"",IF(AND(AR$5&lt;=$G177,AR$5+6&gt;=$F177),IF($H177="Complétée","F",IF(OR($H177="En cours",$H177="En revue"),"E",IF($H177="Bloquée","B","P"))),""))</f>
        <v/>
      </c>
      <c r="AS177" s="53">
        <f>IF(OR($F177="",$G177=""),"",IF(AND(AS$5&lt;=$G177,AS$5+6&gt;=$F177),IF($H177="Complétée","F",IF(OR($H177="En cours",$H177="En revue"),"E",IF($H177="Bloquée","B","P"))),""))</f>
        <v/>
      </c>
      <c r="AT177" s="53">
        <f>IF(OR($F177="",$G177=""),"",IF(AND(AT$5&lt;=$G177,AT$5+6&gt;=$F177),IF($H177="Complétée","F",IF(OR($H177="En cours",$H177="En revue"),"E",IF($H177="Bloquée","B","P"))),""))</f>
        <v/>
      </c>
      <c r="AU177" s="53">
        <f>IF(OR($F177="",$G177=""),"",IF(AND(AU$5&lt;=$G177,AU$5+6&gt;=$F177),IF($H177="Complétée","F",IF(OR($H177="En cours",$H177="En revue"),"E",IF($H177="Bloquée","B","P"))),""))</f>
        <v/>
      </c>
      <c r="AV177" s="53">
        <f>IF(OR($F177="",$G177=""),"",IF(AND(AV$5&lt;=$G177,AV$5+6&gt;=$F177),IF($H177="Complétée","F",IF(OR($H177="En cours",$H177="En revue"),"E",IF($H177="Bloquée","B","P"))),""))</f>
        <v/>
      </c>
      <c r="AW177" s="53">
        <f>IF(OR($F177="",$G177=""),"",IF(AND(AW$5&lt;=$G177,AW$5+6&gt;=$F177),IF($H177="Complétée","F",IF(OR($H177="En cours",$H177="En revue"),"E",IF($H177="Bloquée","B","P"))),""))</f>
        <v/>
      </c>
    </row>
    <row r="178">
      <c r="B178" s="50">
        <f>IF(Taches!B178="","",Taches!B178)</f>
        <v/>
      </c>
      <c r="C178" s="51">
        <f>IF(Taches!B178="","",Taches!F178)</f>
        <v/>
      </c>
      <c r="D178" s="50">
        <f>IF(Taches!B178="","",Taches!C178)</f>
        <v/>
      </c>
      <c r="E178" s="50">
        <f>IF(Taches!B178="","",Taches!D178)</f>
        <v/>
      </c>
      <c r="F178" s="52">
        <f>IF(Taches!P178="","",Taches!P178)</f>
        <v/>
      </c>
      <c r="G178" s="52">
        <f>IF(Taches!Q178="","",Taches!Q178)</f>
        <v/>
      </c>
      <c r="H178" s="50">
        <f>IF(Taches!B178="","",Taches!J178)</f>
        <v/>
      </c>
      <c r="I178" s="53">
        <f>IF(OR($F178="",$G178=""),"",IF(AND(I$5&lt;=$G178,I$5+6&gt;=$F178),IF($H178="Complétée","F",IF(OR($H178="En cours",$H178="En revue"),"E",IF($H178="Bloquée","B","P"))),""))</f>
        <v/>
      </c>
      <c r="J178" s="53">
        <f>IF(OR($F178="",$G178=""),"",IF(AND(J$5&lt;=$G178,J$5+6&gt;=$F178),IF($H178="Complétée","F",IF(OR($H178="En cours",$H178="En revue"),"E",IF($H178="Bloquée","B","P"))),""))</f>
        <v/>
      </c>
      <c r="K178" s="53">
        <f>IF(OR($F178="",$G178=""),"",IF(AND(K$5&lt;=$G178,K$5+6&gt;=$F178),IF($H178="Complétée","F",IF(OR($H178="En cours",$H178="En revue"),"E",IF($H178="Bloquée","B","P"))),""))</f>
        <v/>
      </c>
      <c r="L178" s="53">
        <f>IF(OR($F178="",$G178=""),"",IF(AND(L$5&lt;=$G178,L$5+6&gt;=$F178),IF($H178="Complétée","F",IF(OR($H178="En cours",$H178="En revue"),"E",IF($H178="Bloquée","B","P"))),""))</f>
        <v/>
      </c>
      <c r="M178" s="53">
        <f>IF(OR($F178="",$G178=""),"",IF(AND(M$5&lt;=$G178,M$5+6&gt;=$F178),IF($H178="Complétée","F",IF(OR($H178="En cours",$H178="En revue"),"E",IF($H178="Bloquée","B","P"))),""))</f>
        <v/>
      </c>
      <c r="N178" s="53">
        <f>IF(OR($F178="",$G178=""),"",IF(AND(N$5&lt;=$G178,N$5+6&gt;=$F178),IF($H178="Complétée","F",IF(OR($H178="En cours",$H178="En revue"),"E",IF($H178="Bloquée","B","P"))),""))</f>
        <v/>
      </c>
      <c r="O178" s="53">
        <f>IF(OR($F178="",$G178=""),"",IF(AND(O$5&lt;=$G178,O$5+6&gt;=$F178),IF($H178="Complétée","F",IF(OR($H178="En cours",$H178="En revue"),"E",IF($H178="Bloquée","B","P"))),""))</f>
        <v/>
      </c>
      <c r="P178" s="53">
        <f>IF(OR($F178="",$G178=""),"",IF(AND(P$5&lt;=$G178,P$5+6&gt;=$F178),IF($H178="Complétée","F",IF(OR($H178="En cours",$H178="En revue"),"E",IF($H178="Bloquée","B","P"))),""))</f>
        <v/>
      </c>
      <c r="Q178" s="53">
        <f>IF(OR($F178="",$G178=""),"",IF(AND(Q$5&lt;=$G178,Q$5+6&gt;=$F178),IF($H178="Complétée","F",IF(OR($H178="En cours",$H178="En revue"),"E",IF($H178="Bloquée","B","P"))),""))</f>
        <v/>
      </c>
      <c r="R178" s="53">
        <f>IF(OR($F178="",$G178=""),"",IF(AND(R$5&lt;=$G178,R$5+6&gt;=$F178),IF($H178="Complétée","F",IF(OR($H178="En cours",$H178="En revue"),"E",IF($H178="Bloquée","B","P"))),""))</f>
        <v/>
      </c>
      <c r="S178" s="53">
        <f>IF(OR($F178="",$G178=""),"",IF(AND(S$5&lt;=$G178,S$5+6&gt;=$F178),IF($H178="Complétée","F",IF(OR($H178="En cours",$H178="En revue"),"E",IF($H178="Bloquée","B","P"))),""))</f>
        <v/>
      </c>
      <c r="T178" s="53">
        <f>IF(OR($F178="",$G178=""),"",IF(AND(T$5&lt;=$G178,T$5+6&gt;=$F178),IF($H178="Complétée","F",IF(OR($H178="En cours",$H178="En revue"),"E",IF($H178="Bloquée","B","P"))),""))</f>
        <v/>
      </c>
      <c r="U178" s="53">
        <f>IF(OR($F178="",$G178=""),"",IF(AND(U$5&lt;=$G178,U$5+6&gt;=$F178),IF($H178="Complétée","F",IF(OR($H178="En cours",$H178="En revue"),"E",IF($H178="Bloquée","B","P"))),""))</f>
        <v/>
      </c>
      <c r="V178" s="53">
        <f>IF(OR($F178="",$G178=""),"",IF(AND(V$5&lt;=$G178,V$5+6&gt;=$F178),IF($H178="Complétée","F",IF(OR($H178="En cours",$H178="En revue"),"E",IF($H178="Bloquée","B","P"))),""))</f>
        <v/>
      </c>
      <c r="W178" s="53">
        <f>IF(OR($F178="",$G178=""),"",IF(AND(W$5&lt;=$G178,W$5+6&gt;=$F178),IF($H178="Complétée","F",IF(OR($H178="En cours",$H178="En revue"),"E",IF($H178="Bloquée","B","P"))),""))</f>
        <v/>
      </c>
      <c r="X178" s="53">
        <f>IF(OR($F178="",$G178=""),"",IF(AND(X$5&lt;=$G178,X$5+6&gt;=$F178),IF($H178="Complétée","F",IF(OR($H178="En cours",$H178="En revue"),"E",IF($H178="Bloquée","B","P"))),""))</f>
        <v/>
      </c>
      <c r="Y178" s="53">
        <f>IF(OR($F178="",$G178=""),"",IF(AND(Y$5&lt;=$G178,Y$5+6&gt;=$F178),IF($H178="Complétée","F",IF(OR($H178="En cours",$H178="En revue"),"E",IF($H178="Bloquée","B","P"))),""))</f>
        <v/>
      </c>
      <c r="Z178" s="53">
        <f>IF(OR($F178="",$G178=""),"",IF(AND(Z$5&lt;=$G178,Z$5+6&gt;=$F178),IF($H178="Complétée","F",IF(OR($H178="En cours",$H178="En revue"),"E",IF($H178="Bloquée","B","P"))),""))</f>
        <v/>
      </c>
      <c r="AA178" s="53">
        <f>IF(OR($F178="",$G178=""),"",IF(AND(AA$5&lt;=$G178,AA$5+6&gt;=$F178),IF($H178="Complétée","F",IF(OR($H178="En cours",$H178="En revue"),"E",IF($H178="Bloquée","B","P"))),""))</f>
        <v/>
      </c>
      <c r="AB178" s="53">
        <f>IF(OR($F178="",$G178=""),"",IF(AND(AB$5&lt;=$G178,AB$5+6&gt;=$F178),IF($H178="Complétée","F",IF(OR($H178="En cours",$H178="En revue"),"E",IF($H178="Bloquée","B","P"))),""))</f>
        <v/>
      </c>
      <c r="AC178" s="53">
        <f>IF(OR($F178="",$G178=""),"",IF(AND(AC$5&lt;=$G178,AC$5+6&gt;=$F178),IF($H178="Complétée","F",IF(OR($H178="En cours",$H178="En revue"),"E",IF($H178="Bloquée","B","P"))),""))</f>
        <v/>
      </c>
      <c r="AD178" s="53">
        <f>IF(OR($F178="",$G178=""),"",IF(AND(AD$5&lt;=$G178,AD$5+6&gt;=$F178),IF($H178="Complétée","F",IF(OR($H178="En cours",$H178="En revue"),"E",IF($H178="Bloquée","B","P"))),""))</f>
        <v/>
      </c>
      <c r="AE178" s="53">
        <f>IF(OR($F178="",$G178=""),"",IF(AND(AE$5&lt;=$G178,AE$5+6&gt;=$F178),IF($H178="Complétée","F",IF(OR($H178="En cours",$H178="En revue"),"E",IF($H178="Bloquée","B","P"))),""))</f>
        <v/>
      </c>
      <c r="AF178" s="53">
        <f>IF(OR($F178="",$G178=""),"",IF(AND(AF$5&lt;=$G178,AF$5+6&gt;=$F178),IF($H178="Complétée","F",IF(OR($H178="En cours",$H178="En revue"),"E",IF($H178="Bloquée","B","P"))),""))</f>
        <v/>
      </c>
      <c r="AG178" s="53">
        <f>IF(OR($F178="",$G178=""),"",IF(AND(AG$5&lt;=$G178,AG$5+6&gt;=$F178),IF($H178="Complétée","F",IF(OR($H178="En cours",$H178="En revue"),"E",IF($H178="Bloquée","B","P"))),""))</f>
        <v/>
      </c>
      <c r="AH178" s="53">
        <f>IF(OR($F178="",$G178=""),"",IF(AND(AH$5&lt;=$G178,AH$5+6&gt;=$F178),IF($H178="Complétée","F",IF(OR($H178="En cours",$H178="En revue"),"E",IF($H178="Bloquée","B","P"))),""))</f>
        <v/>
      </c>
      <c r="AI178" s="53">
        <f>IF(OR($F178="",$G178=""),"",IF(AND(AI$5&lt;=$G178,AI$5+6&gt;=$F178),IF($H178="Complétée","F",IF(OR($H178="En cours",$H178="En revue"),"E",IF($H178="Bloquée","B","P"))),""))</f>
        <v/>
      </c>
      <c r="AJ178" s="53">
        <f>IF(OR($F178="",$G178=""),"",IF(AND(AJ$5&lt;=$G178,AJ$5+6&gt;=$F178),IF($H178="Complétée","F",IF(OR($H178="En cours",$H178="En revue"),"E",IF($H178="Bloquée","B","P"))),""))</f>
        <v/>
      </c>
      <c r="AK178" s="53">
        <f>IF(OR($F178="",$G178=""),"",IF(AND(AK$5&lt;=$G178,AK$5+6&gt;=$F178),IF($H178="Complétée","F",IF(OR($H178="En cours",$H178="En revue"),"E",IF($H178="Bloquée","B","P"))),""))</f>
        <v/>
      </c>
      <c r="AL178" s="53">
        <f>IF(OR($F178="",$G178=""),"",IF(AND(AL$5&lt;=$G178,AL$5+6&gt;=$F178),IF($H178="Complétée","F",IF(OR($H178="En cours",$H178="En revue"),"E",IF($H178="Bloquée","B","P"))),""))</f>
        <v/>
      </c>
      <c r="AM178" s="53">
        <f>IF(OR($F178="",$G178=""),"",IF(AND(AM$5&lt;=$G178,AM$5+6&gt;=$F178),IF($H178="Complétée","F",IF(OR($H178="En cours",$H178="En revue"),"E",IF($H178="Bloquée","B","P"))),""))</f>
        <v/>
      </c>
      <c r="AN178" s="53">
        <f>IF(OR($F178="",$G178=""),"",IF(AND(AN$5&lt;=$G178,AN$5+6&gt;=$F178),IF($H178="Complétée","F",IF(OR($H178="En cours",$H178="En revue"),"E",IF($H178="Bloquée","B","P"))),""))</f>
        <v/>
      </c>
      <c r="AO178" s="53">
        <f>IF(OR($F178="",$G178=""),"",IF(AND(AO$5&lt;=$G178,AO$5+6&gt;=$F178),IF($H178="Complétée","F",IF(OR($H178="En cours",$H178="En revue"),"E",IF($H178="Bloquée","B","P"))),""))</f>
        <v/>
      </c>
      <c r="AP178" s="53">
        <f>IF(OR($F178="",$G178=""),"",IF(AND(AP$5&lt;=$G178,AP$5+6&gt;=$F178),IF($H178="Complétée","F",IF(OR($H178="En cours",$H178="En revue"),"E",IF($H178="Bloquée","B","P"))),""))</f>
        <v/>
      </c>
      <c r="AQ178" s="53">
        <f>IF(OR($F178="",$G178=""),"",IF(AND(AQ$5&lt;=$G178,AQ$5+6&gt;=$F178),IF($H178="Complétée","F",IF(OR($H178="En cours",$H178="En revue"),"E",IF($H178="Bloquée","B","P"))),""))</f>
        <v/>
      </c>
      <c r="AR178" s="53">
        <f>IF(OR($F178="",$G178=""),"",IF(AND(AR$5&lt;=$G178,AR$5+6&gt;=$F178),IF($H178="Complétée","F",IF(OR($H178="En cours",$H178="En revue"),"E",IF($H178="Bloquée","B","P"))),""))</f>
        <v/>
      </c>
      <c r="AS178" s="53">
        <f>IF(OR($F178="",$G178=""),"",IF(AND(AS$5&lt;=$G178,AS$5+6&gt;=$F178),IF($H178="Complétée","F",IF(OR($H178="En cours",$H178="En revue"),"E",IF($H178="Bloquée","B","P"))),""))</f>
        <v/>
      </c>
      <c r="AT178" s="53">
        <f>IF(OR($F178="",$G178=""),"",IF(AND(AT$5&lt;=$G178,AT$5+6&gt;=$F178),IF($H178="Complétée","F",IF(OR($H178="En cours",$H178="En revue"),"E",IF($H178="Bloquée","B","P"))),""))</f>
        <v/>
      </c>
      <c r="AU178" s="53">
        <f>IF(OR($F178="",$G178=""),"",IF(AND(AU$5&lt;=$G178,AU$5+6&gt;=$F178),IF($H178="Complétée","F",IF(OR($H178="En cours",$H178="En revue"),"E",IF($H178="Bloquée","B","P"))),""))</f>
        <v/>
      </c>
      <c r="AV178" s="53">
        <f>IF(OR($F178="",$G178=""),"",IF(AND(AV$5&lt;=$G178,AV$5+6&gt;=$F178),IF($H178="Complétée","F",IF(OR($H178="En cours",$H178="En revue"),"E",IF($H178="Bloquée","B","P"))),""))</f>
        <v/>
      </c>
      <c r="AW178" s="53">
        <f>IF(OR($F178="",$G178=""),"",IF(AND(AW$5&lt;=$G178,AW$5+6&gt;=$F178),IF($H178="Complétée","F",IF(OR($H178="En cours",$H178="En revue"),"E",IF($H178="Bloquée","B","P"))),""))</f>
        <v/>
      </c>
    </row>
    <row r="179">
      <c r="B179" s="50">
        <f>IF(Taches!B179="","",Taches!B179)</f>
        <v/>
      </c>
      <c r="C179" s="51">
        <f>IF(Taches!B179="","",Taches!F179)</f>
        <v/>
      </c>
      <c r="D179" s="50">
        <f>IF(Taches!B179="","",Taches!C179)</f>
        <v/>
      </c>
      <c r="E179" s="50">
        <f>IF(Taches!B179="","",Taches!D179)</f>
        <v/>
      </c>
      <c r="F179" s="52">
        <f>IF(Taches!P179="","",Taches!P179)</f>
        <v/>
      </c>
      <c r="G179" s="52">
        <f>IF(Taches!Q179="","",Taches!Q179)</f>
        <v/>
      </c>
      <c r="H179" s="50">
        <f>IF(Taches!B179="","",Taches!J179)</f>
        <v/>
      </c>
      <c r="I179" s="53">
        <f>IF(OR($F179="",$G179=""),"",IF(AND(I$5&lt;=$G179,I$5+6&gt;=$F179),IF($H179="Complétée","F",IF(OR($H179="En cours",$H179="En revue"),"E",IF($H179="Bloquée","B","P"))),""))</f>
        <v/>
      </c>
      <c r="J179" s="53">
        <f>IF(OR($F179="",$G179=""),"",IF(AND(J$5&lt;=$G179,J$5+6&gt;=$F179),IF($H179="Complétée","F",IF(OR($H179="En cours",$H179="En revue"),"E",IF($H179="Bloquée","B","P"))),""))</f>
        <v/>
      </c>
      <c r="K179" s="53">
        <f>IF(OR($F179="",$G179=""),"",IF(AND(K$5&lt;=$G179,K$5+6&gt;=$F179),IF($H179="Complétée","F",IF(OR($H179="En cours",$H179="En revue"),"E",IF($H179="Bloquée","B","P"))),""))</f>
        <v/>
      </c>
      <c r="L179" s="53">
        <f>IF(OR($F179="",$G179=""),"",IF(AND(L$5&lt;=$G179,L$5+6&gt;=$F179),IF($H179="Complétée","F",IF(OR($H179="En cours",$H179="En revue"),"E",IF($H179="Bloquée","B","P"))),""))</f>
        <v/>
      </c>
      <c r="M179" s="53">
        <f>IF(OR($F179="",$G179=""),"",IF(AND(M$5&lt;=$G179,M$5+6&gt;=$F179),IF($H179="Complétée","F",IF(OR($H179="En cours",$H179="En revue"),"E",IF($H179="Bloquée","B","P"))),""))</f>
        <v/>
      </c>
      <c r="N179" s="53">
        <f>IF(OR($F179="",$G179=""),"",IF(AND(N$5&lt;=$G179,N$5+6&gt;=$F179),IF($H179="Complétée","F",IF(OR($H179="En cours",$H179="En revue"),"E",IF($H179="Bloquée","B","P"))),""))</f>
        <v/>
      </c>
      <c r="O179" s="53">
        <f>IF(OR($F179="",$G179=""),"",IF(AND(O$5&lt;=$G179,O$5+6&gt;=$F179),IF($H179="Complétée","F",IF(OR($H179="En cours",$H179="En revue"),"E",IF($H179="Bloquée","B","P"))),""))</f>
        <v/>
      </c>
      <c r="P179" s="53">
        <f>IF(OR($F179="",$G179=""),"",IF(AND(P$5&lt;=$G179,P$5+6&gt;=$F179),IF($H179="Complétée","F",IF(OR($H179="En cours",$H179="En revue"),"E",IF($H179="Bloquée","B","P"))),""))</f>
        <v/>
      </c>
      <c r="Q179" s="53">
        <f>IF(OR($F179="",$G179=""),"",IF(AND(Q$5&lt;=$G179,Q$5+6&gt;=$F179),IF($H179="Complétée","F",IF(OR($H179="En cours",$H179="En revue"),"E",IF($H179="Bloquée","B","P"))),""))</f>
        <v/>
      </c>
      <c r="R179" s="53">
        <f>IF(OR($F179="",$G179=""),"",IF(AND(R$5&lt;=$G179,R$5+6&gt;=$F179),IF($H179="Complétée","F",IF(OR($H179="En cours",$H179="En revue"),"E",IF($H179="Bloquée","B","P"))),""))</f>
        <v/>
      </c>
      <c r="S179" s="53">
        <f>IF(OR($F179="",$G179=""),"",IF(AND(S$5&lt;=$G179,S$5+6&gt;=$F179),IF($H179="Complétée","F",IF(OR($H179="En cours",$H179="En revue"),"E",IF($H179="Bloquée","B","P"))),""))</f>
        <v/>
      </c>
      <c r="T179" s="53">
        <f>IF(OR($F179="",$G179=""),"",IF(AND(T$5&lt;=$G179,T$5+6&gt;=$F179),IF($H179="Complétée","F",IF(OR($H179="En cours",$H179="En revue"),"E",IF($H179="Bloquée","B","P"))),""))</f>
        <v/>
      </c>
      <c r="U179" s="53">
        <f>IF(OR($F179="",$G179=""),"",IF(AND(U$5&lt;=$G179,U$5+6&gt;=$F179),IF($H179="Complétée","F",IF(OR($H179="En cours",$H179="En revue"),"E",IF($H179="Bloquée","B","P"))),""))</f>
        <v/>
      </c>
      <c r="V179" s="53">
        <f>IF(OR($F179="",$G179=""),"",IF(AND(V$5&lt;=$G179,V$5+6&gt;=$F179),IF($H179="Complétée","F",IF(OR($H179="En cours",$H179="En revue"),"E",IF($H179="Bloquée","B","P"))),""))</f>
        <v/>
      </c>
      <c r="W179" s="53">
        <f>IF(OR($F179="",$G179=""),"",IF(AND(W$5&lt;=$G179,W$5+6&gt;=$F179),IF($H179="Complétée","F",IF(OR($H179="En cours",$H179="En revue"),"E",IF($H179="Bloquée","B","P"))),""))</f>
        <v/>
      </c>
      <c r="X179" s="53">
        <f>IF(OR($F179="",$G179=""),"",IF(AND(X$5&lt;=$G179,X$5+6&gt;=$F179),IF($H179="Complétée","F",IF(OR($H179="En cours",$H179="En revue"),"E",IF($H179="Bloquée","B","P"))),""))</f>
        <v/>
      </c>
      <c r="Y179" s="53">
        <f>IF(OR($F179="",$G179=""),"",IF(AND(Y$5&lt;=$G179,Y$5+6&gt;=$F179),IF($H179="Complétée","F",IF(OR($H179="En cours",$H179="En revue"),"E",IF($H179="Bloquée","B","P"))),""))</f>
        <v/>
      </c>
      <c r="Z179" s="53">
        <f>IF(OR($F179="",$G179=""),"",IF(AND(Z$5&lt;=$G179,Z$5+6&gt;=$F179),IF($H179="Complétée","F",IF(OR($H179="En cours",$H179="En revue"),"E",IF($H179="Bloquée","B","P"))),""))</f>
        <v/>
      </c>
      <c r="AA179" s="53">
        <f>IF(OR($F179="",$G179=""),"",IF(AND(AA$5&lt;=$G179,AA$5+6&gt;=$F179),IF($H179="Complétée","F",IF(OR($H179="En cours",$H179="En revue"),"E",IF($H179="Bloquée","B","P"))),""))</f>
        <v/>
      </c>
      <c r="AB179" s="53">
        <f>IF(OR($F179="",$G179=""),"",IF(AND(AB$5&lt;=$G179,AB$5+6&gt;=$F179),IF($H179="Complétée","F",IF(OR($H179="En cours",$H179="En revue"),"E",IF($H179="Bloquée","B","P"))),""))</f>
        <v/>
      </c>
      <c r="AC179" s="53">
        <f>IF(OR($F179="",$G179=""),"",IF(AND(AC$5&lt;=$G179,AC$5+6&gt;=$F179),IF($H179="Complétée","F",IF(OR($H179="En cours",$H179="En revue"),"E",IF($H179="Bloquée","B","P"))),""))</f>
        <v/>
      </c>
      <c r="AD179" s="53">
        <f>IF(OR($F179="",$G179=""),"",IF(AND(AD$5&lt;=$G179,AD$5+6&gt;=$F179),IF($H179="Complétée","F",IF(OR($H179="En cours",$H179="En revue"),"E",IF($H179="Bloquée","B","P"))),""))</f>
        <v/>
      </c>
      <c r="AE179" s="53">
        <f>IF(OR($F179="",$G179=""),"",IF(AND(AE$5&lt;=$G179,AE$5+6&gt;=$F179),IF($H179="Complétée","F",IF(OR($H179="En cours",$H179="En revue"),"E",IF($H179="Bloquée","B","P"))),""))</f>
        <v/>
      </c>
      <c r="AF179" s="53">
        <f>IF(OR($F179="",$G179=""),"",IF(AND(AF$5&lt;=$G179,AF$5+6&gt;=$F179),IF($H179="Complétée","F",IF(OR($H179="En cours",$H179="En revue"),"E",IF($H179="Bloquée","B","P"))),""))</f>
        <v/>
      </c>
      <c r="AG179" s="53">
        <f>IF(OR($F179="",$G179=""),"",IF(AND(AG$5&lt;=$G179,AG$5+6&gt;=$F179),IF($H179="Complétée","F",IF(OR($H179="En cours",$H179="En revue"),"E",IF($H179="Bloquée","B","P"))),""))</f>
        <v/>
      </c>
      <c r="AH179" s="53">
        <f>IF(OR($F179="",$G179=""),"",IF(AND(AH$5&lt;=$G179,AH$5+6&gt;=$F179),IF($H179="Complétée","F",IF(OR($H179="En cours",$H179="En revue"),"E",IF($H179="Bloquée","B","P"))),""))</f>
        <v/>
      </c>
      <c r="AI179" s="53">
        <f>IF(OR($F179="",$G179=""),"",IF(AND(AI$5&lt;=$G179,AI$5+6&gt;=$F179),IF($H179="Complétée","F",IF(OR($H179="En cours",$H179="En revue"),"E",IF($H179="Bloquée","B","P"))),""))</f>
        <v/>
      </c>
      <c r="AJ179" s="53">
        <f>IF(OR($F179="",$G179=""),"",IF(AND(AJ$5&lt;=$G179,AJ$5+6&gt;=$F179),IF($H179="Complétée","F",IF(OR($H179="En cours",$H179="En revue"),"E",IF($H179="Bloquée","B","P"))),""))</f>
        <v/>
      </c>
      <c r="AK179" s="53">
        <f>IF(OR($F179="",$G179=""),"",IF(AND(AK$5&lt;=$G179,AK$5+6&gt;=$F179),IF($H179="Complétée","F",IF(OR($H179="En cours",$H179="En revue"),"E",IF($H179="Bloquée","B","P"))),""))</f>
        <v/>
      </c>
      <c r="AL179" s="53">
        <f>IF(OR($F179="",$G179=""),"",IF(AND(AL$5&lt;=$G179,AL$5+6&gt;=$F179),IF($H179="Complétée","F",IF(OR($H179="En cours",$H179="En revue"),"E",IF($H179="Bloquée","B","P"))),""))</f>
        <v/>
      </c>
      <c r="AM179" s="53">
        <f>IF(OR($F179="",$G179=""),"",IF(AND(AM$5&lt;=$G179,AM$5+6&gt;=$F179),IF($H179="Complétée","F",IF(OR($H179="En cours",$H179="En revue"),"E",IF($H179="Bloquée","B","P"))),""))</f>
        <v/>
      </c>
      <c r="AN179" s="53">
        <f>IF(OR($F179="",$G179=""),"",IF(AND(AN$5&lt;=$G179,AN$5+6&gt;=$F179),IF($H179="Complétée","F",IF(OR($H179="En cours",$H179="En revue"),"E",IF($H179="Bloquée","B","P"))),""))</f>
        <v/>
      </c>
      <c r="AO179" s="53">
        <f>IF(OR($F179="",$G179=""),"",IF(AND(AO$5&lt;=$G179,AO$5+6&gt;=$F179),IF($H179="Complétée","F",IF(OR($H179="En cours",$H179="En revue"),"E",IF($H179="Bloquée","B","P"))),""))</f>
        <v/>
      </c>
      <c r="AP179" s="53">
        <f>IF(OR($F179="",$G179=""),"",IF(AND(AP$5&lt;=$G179,AP$5+6&gt;=$F179),IF($H179="Complétée","F",IF(OR($H179="En cours",$H179="En revue"),"E",IF($H179="Bloquée","B","P"))),""))</f>
        <v/>
      </c>
      <c r="AQ179" s="53">
        <f>IF(OR($F179="",$G179=""),"",IF(AND(AQ$5&lt;=$G179,AQ$5+6&gt;=$F179),IF($H179="Complétée","F",IF(OR($H179="En cours",$H179="En revue"),"E",IF($H179="Bloquée","B","P"))),""))</f>
        <v/>
      </c>
      <c r="AR179" s="53">
        <f>IF(OR($F179="",$G179=""),"",IF(AND(AR$5&lt;=$G179,AR$5+6&gt;=$F179),IF($H179="Complétée","F",IF(OR($H179="En cours",$H179="En revue"),"E",IF($H179="Bloquée","B","P"))),""))</f>
        <v/>
      </c>
      <c r="AS179" s="53">
        <f>IF(OR($F179="",$G179=""),"",IF(AND(AS$5&lt;=$G179,AS$5+6&gt;=$F179),IF($H179="Complétée","F",IF(OR($H179="En cours",$H179="En revue"),"E",IF($H179="Bloquée","B","P"))),""))</f>
        <v/>
      </c>
      <c r="AT179" s="53">
        <f>IF(OR($F179="",$G179=""),"",IF(AND(AT$5&lt;=$G179,AT$5+6&gt;=$F179),IF($H179="Complétée","F",IF(OR($H179="En cours",$H179="En revue"),"E",IF($H179="Bloquée","B","P"))),""))</f>
        <v/>
      </c>
      <c r="AU179" s="53">
        <f>IF(OR($F179="",$G179=""),"",IF(AND(AU$5&lt;=$G179,AU$5+6&gt;=$F179),IF($H179="Complétée","F",IF(OR($H179="En cours",$H179="En revue"),"E",IF($H179="Bloquée","B","P"))),""))</f>
        <v/>
      </c>
      <c r="AV179" s="53">
        <f>IF(OR($F179="",$G179=""),"",IF(AND(AV$5&lt;=$G179,AV$5+6&gt;=$F179),IF($H179="Complétée","F",IF(OR($H179="En cours",$H179="En revue"),"E",IF($H179="Bloquée","B","P"))),""))</f>
        <v/>
      </c>
      <c r="AW179" s="53">
        <f>IF(OR($F179="",$G179=""),"",IF(AND(AW$5&lt;=$G179,AW$5+6&gt;=$F179),IF($H179="Complétée","F",IF(OR($H179="En cours",$H179="En revue"),"E",IF($H179="Bloquée","B","P"))),""))</f>
        <v/>
      </c>
    </row>
    <row r="180">
      <c r="B180" s="50">
        <f>IF(Taches!B180="","",Taches!B180)</f>
        <v/>
      </c>
      <c r="C180" s="51">
        <f>IF(Taches!B180="","",Taches!F180)</f>
        <v/>
      </c>
      <c r="D180" s="50">
        <f>IF(Taches!B180="","",Taches!C180)</f>
        <v/>
      </c>
      <c r="E180" s="50">
        <f>IF(Taches!B180="","",Taches!D180)</f>
        <v/>
      </c>
      <c r="F180" s="52">
        <f>IF(Taches!P180="","",Taches!P180)</f>
        <v/>
      </c>
      <c r="G180" s="52">
        <f>IF(Taches!Q180="","",Taches!Q180)</f>
        <v/>
      </c>
      <c r="H180" s="50">
        <f>IF(Taches!B180="","",Taches!J180)</f>
        <v/>
      </c>
      <c r="I180" s="53">
        <f>IF(OR($F180="",$G180=""),"",IF(AND(I$5&lt;=$G180,I$5+6&gt;=$F180),IF($H180="Complétée","F",IF(OR($H180="En cours",$H180="En revue"),"E",IF($H180="Bloquée","B","P"))),""))</f>
        <v/>
      </c>
      <c r="J180" s="53">
        <f>IF(OR($F180="",$G180=""),"",IF(AND(J$5&lt;=$G180,J$5+6&gt;=$F180),IF($H180="Complétée","F",IF(OR($H180="En cours",$H180="En revue"),"E",IF($H180="Bloquée","B","P"))),""))</f>
        <v/>
      </c>
      <c r="K180" s="53">
        <f>IF(OR($F180="",$G180=""),"",IF(AND(K$5&lt;=$G180,K$5+6&gt;=$F180),IF($H180="Complétée","F",IF(OR($H180="En cours",$H180="En revue"),"E",IF($H180="Bloquée","B","P"))),""))</f>
        <v/>
      </c>
      <c r="L180" s="53">
        <f>IF(OR($F180="",$G180=""),"",IF(AND(L$5&lt;=$G180,L$5+6&gt;=$F180),IF($H180="Complétée","F",IF(OR($H180="En cours",$H180="En revue"),"E",IF($H180="Bloquée","B","P"))),""))</f>
        <v/>
      </c>
      <c r="M180" s="53">
        <f>IF(OR($F180="",$G180=""),"",IF(AND(M$5&lt;=$G180,M$5+6&gt;=$F180),IF($H180="Complétée","F",IF(OR($H180="En cours",$H180="En revue"),"E",IF($H180="Bloquée","B","P"))),""))</f>
        <v/>
      </c>
      <c r="N180" s="53">
        <f>IF(OR($F180="",$G180=""),"",IF(AND(N$5&lt;=$G180,N$5+6&gt;=$F180),IF($H180="Complétée","F",IF(OR($H180="En cours",$H180="En revue"),"E",IF($H180="Bloquée","B","P"))),""))</f>
        <v/>
      </c>
      <c r="O180" s="53">
        <f>IF(OR($F180="",$G180=""),"",IF(AND(O$5&lt;=$G180,O$5+6&gt;=$F180),IF($H180="Complétée","F",IF(OR($H180="En cours",$H180="En revue"),"E",IF($H180="Bloquée","B","P"))),""))</f>
        <v/>
      </c>
      <c r="P180" s="53">
        <f>IF(OR($F180="",$G180=""),"",IF(AND(P$5&lt;=$G180,P$5+6&gt;=$F180),IF($H180="Complétée","F",IF(OR($H180="En cours",$H180="En revue"),"E",IF($H180="Bloquée","B","P"))),""))</f>
        <v/>
      </c>
      <c r="Q180" s="53">
        <f>IF(OR($F180="",$G180=""),"",IF(AND(Q$5&lt;=$G180,Q$5+6&gt;=$F180),IF($H180="Complétée","F",IF(OR($H180="En cours",$H180="En revue"),"E",IF($H180="Bloquée","B","P"))),""))</f>
        <v/>
      </c>
      <c r="R180" s="53">
        <f>IF(OR($F180="",$G180=""),"",IF(AND(R$5&lt;=$G180,R$5+6&gt;=$F180),IF($H180="Complétée","F",IF(OR($H180="En cours",$H180="En revue"),"E",IF($H180="Bloquée","B","P"))),""))</f>
        <v/>
      </c>
      <c r="S180" s="53">
        <f>IF(OR($F180="",$G180=""),"",IF(AND(S$5&lt;=$G180,S$5+6&gt;=$F180),IF($H180="Complétée","F",IF(OR($H180="En cours",$H180="En revue"),"E",IF($H180="Bloquée","B","P"))),""))</f>
        <v/>
      </c>
      <c r="T180" s="53">
        <f>IF(OR($F180="",$G180=""),"",IF(AND(T$5&lt;=$G180,T$5+6&gt;=$F180),IF($H180="Complétée","F",IF(OR($H180="En cours",$H180="En revue"),"E",IF($H180="Bloquée","B","P"))),""))</f>
        <v/>
      </c>
      <c r="U180" s="53">
        <f>IF(OR($F180="",$G180=""),"",IF(AND(U$5&lt;=$G180,U$5+6&gt;=$F180),IF($H180="Complétée","F",IF(OR($H180="En cours",$H180="En revue"),"E",IF($H180="Bloquée","B","P"))),""))</f>
        <v/>
      </c>
      <c r="V180" s="53">
        <f>IF(OR($F180="",$G180=""),"",IF(AND(V$5&lt;=$G180,V$5+6&gt;=$F180),IF($H180="Complétée","F",IF(OR($H180="En cours",$H180="En revue"),"E",IF($H180="Bloquée","B","P"))),""))</f>
        <v/>
      </c>
      <c r="W180" s="53">
        <f>IF(OR($F180="",$G180=""),"",IF(AND(W$5&lt;=$G180,W$5+6&gt;=$F180),IF($H180="Complétée","F",IF(OR($H180="En cours",$H180="En revue"),"E",IF($H180="Bloquée","B","P"))),""))</f>
        <v/>
      </c>
      <c r="X180" s="53">
        <f>IF(OR($F180="",$G180=""),"",IF(AND(X$5&lt;=$G180,X$5+6&gt;=$F180),IF($H180="Complétée","F",IF(OR($H180="En cours",$H180="En revue"),"E",IF($H180="Bloquée","B","P"))),""))</f>
        <v/>
      </c>
      <c r="Y180" s="53">
        <f>IF(OR($F180="",$G180=""),"",IF(AND(Y$5&lt;=$G180,Y$5+6&gt;=$F180),IF($H180="Complétée","F",IF(OR($H180="En cours",$H180="En revue"),"E",IF($H180="Bloquée","B","P"))),""))</f>
        <v/>
      </c>
      <c r="Z180" s="53">
        <f>IF(OR($F180="",$G180=""),"",IF(AND(Z$5&lt;=$G180,Z$5+6&gt;=$F180),IF($H180="Complétée","F",IF(OR($H180="En cours",$H180="En revue"),"E",IF($H180="Bloquée","B","P"))),""))</f>
        <v/>
      </c>
      <c r="AA180" s="53">
        <f>IF(OR($F180="",$G180=""),"",IF(AND(AA$5&lt;=$G180,AA$5+6&gt;=$F180),IF($H180="Complétée","F",IF(OR($H180="En cours",$H180="En revue"),"E",IF($H180="Bloquée","B","P"))),""))</f>
        <v/>
      </c>
      <c r="AB180" s="53">
        <f>IF(OR($F180="",$G180=""),"",IF(AND(AB$5&lt;=$G180,AB$5+6&gt;=$F180),IF($H180="Complétée","F",IF(OR($H180="En cours",$H180="En revue"),"E",IF($H180="Bloquée","B","P"))),""))</f>
        <v/>
      </c>
      <c r="AC180" s="53">
        <f>IF(OR($F180="",$G180=""),"",IF(AND(AC$5&lt;=$G180,AC$5+6&gt;=$F180),IF($H180="Complétée","F",IF(OR($H180="En cours",$H180="En revue"),"E",IF($H180="Bloquée","B","P"))),""))</f>
        <v/>
      </c>
      <c r="AD180" s="53">
        <f>IF(OR($F180="",$G180=""),"",IF(AND(AD$5&lt;=$G180,AD$5+6&gt;=$F180),IF($H180="Complétée","F",IF(OR($H180="En cours",$H180="En revue"),"E",IF($H180="Bloquée","B","P"))),""))</f>
        <v/>
      </c>
      <c r="AE180" s="53">
        <f>IF(OR($F180="",$G180=""),"",IF(AND(AE$5&lt;=$G180,AE$5+6&gt;=$F180),IF($H180="Complétée","F",IF(OR($H180="En cours",$H180="En revue"),"E",IF($H180="Bloquée","B","P"))),""))</f>
        <v/>
      </c>
      <c r="AF180" s="53">
        <f>IF(OR($F180="",$G180=""),"",IF(AND(AF$5&lt;=$G180,AF$5+6&gt;=$F180),IF($H180="Complétée","F",IF(OR($H180="En cours",$H180="En revue"),"E",IF($H180="Bloquée","B","P"))),""))</f>
        <v/>
      </c>
      <c r="AG180" s="53">
        <f>IF(OR($F180="",$G180=""),"",IF(AND(AG$5&lt;=$G180,AG$5+6&gt;=$F180),IF($H180="Complétée","F",IF(OR($H180="En cours",$H180="En revue"),"E",IF($H180="Bloquée","B","P"))),""))</f>
        <v/>
      </c>
      <c r="AH180" s="53">
        <f>IF(OR($F180="",$G180=""),"",IF(AND(AH$5&lt;=$G180,AH$5+6&gt;=$F180),IF($H180="Complétée","F",IF(OR($H180="En cours",$H180="En revue"),"E",IF($H180="Bloquée","B","P"))),""))</f>
        <v/>
      </c>
      <c r="AI180" s="53">
        <f>IF(OR($F180="",$G180=""),"",IF(AND(AI$5&lt;=$G180,AI$5+6&gt;=$F180),IF($H180="Complétée","F",IF(OR($H180="En cours",$H180="En revue"),"E",IF($H180="Bloquée","B","P"))),""))</f>
        <v/>
      </c>
      <c r="AJ180" s="53">
        <f>IF(OR($F180="",$G180=""),"",IF(AND(AJ$5&lt;=$G180,AJ$5+6&gt;=$F180),IF($H180="Complétée","F",IF(OR($H180="En cours",$H180="En revue"),"E",IF($H180="Bloquée","B","P"))),""))</f>
        <v/>
      </c>
      <c r="AK180" s="53">
        <f>IF(OR($F180="",$G180=""),"",IF(AND(AK$5&lt;=$G180,AK$5+6&gt;=$F180),IF($H180="Complétée","F",IF(OR($H180="En cours",$H180="En revue"),"E",IF($H180="Bloquée","B","P"))),""))</f>
        <v/>
      </c>
      <c r="AL180" s="53">
        <f>IF(OR($F180="",$G180=""),"",IF(AND(AL$5&lt;=$G180,AL$5+6&gt;=$F180),IF($H180="Complétée","F",IF(OR($H180="En cours",$H180="En revue"),"E",IF($H180="Bloquée","B","P"))),""))</f>
        <v/>
      </c>
      <c r="AM180" s="53">
        <f>IF(OR($F180="",$G180=""),"",IF(AND(AM$5&lt;=$G180,AM$5+6&gt;=$F180),IF($H180="Complétée","F",IF(OR($H180="En cours",$H180="En revue"),"E",IF($H180="Bloquée","B","P"))),""))</f>
        <v/>
      </c>
      <c r="AN180" s="53">
        <f>IF(OR($F180="",$G180=""),"",IF(AND(AN$5&lt;=$G180,AN$5+6&gt;=$F180),IF($H180="Complétée","F",IF(OR($H180="En cours",$H180="En revue"),"E",IF($H180="Bloquée","B","P"))),""))</f>
        <v/>
      </c>
      <c r="AO180" s="53">
        <f>IF(OR($F180="",$G180=""),"",IF(AND(AO$5&lt;=$G180,AO$5+6&gt;=$F180),IF($H180="Complétée","F",IF(OR($H180="En cours",$H180="En revue"),"E",IF($H180="Bloquée","B","P"))),""))</f>
        <v/>
      </c>
      <c r="AP180" s="53">
        <f>IF(OR($F180="",$G180=""),"",IF(AND(AP$5&lt;=$G180,AP$5+6&gt;=$F180),IF($H180="Complétée","F",IF(OR($H180="En cours",$H180="En revue"),"E",IF($H180="Bloquée","B","P"))),""))</f>
        <v/>
      </c>
      <c r="AQ180" s="53">
        <f>IF(OR($F180="",$G180=""),"",IF(AND(AQ$5&lt;=$G180,AQ$5+6&gt;=$F180),IF($H180="Complétée","F",IF(OR($H180="En cours",$H180="En revue"),"E",IF($H180="Bloquée","B","P"))),""))</f>
        <v/>
      </c>
      <c r="AR180" s="53">
        <f>IF(OR($F180="",$G180=""),"",IF(AND(AR$5&lt;=$G180,AR$5+6&gt;=$F180),IF($H180="Complétée","F",IF(OR($H180="En cours",$H180="En revue"),"E",IF($H180="Bloquée","B","P"))),""))</f>
        <v/>
      </c>
      <c r="AS180" s="53">
        <f>IF(OR($F180="",$G180=""),"",IF(AND(AS$5&lt;=$G180,AS$5+6&gt;=$F180),IF($H180="Complétée","F",IF(OR($H180="En cours",$H180="En revue"),"E",IF($H180="Bloquée","B","P"))),""))</f>
        <v/>
      </c>
      <c r="AT180" s="53">
        <f>IF(OR($F180="",$G180=""),"",IF(AND(AT$5&lt;=$G180,AT$5+6&gt;=$F180),IF($H180="Complétée","F",IF(OR($H180="En cours",$H180="En revue"),"E",IF($H180="Bloquée","B","P"))),""))</f>
        <v/>
      </c>
      <c r="AU180" s="53">
        <f>IF(OR($F180="",$G180=""),"",IF(AND(AU$5&lt;=$G180,AU$5+6&gt;=$F180),IF($H180="Complétée","F",IF(OR($H180="En cours",$H180="En revue"),"E",IF($H180="Bloquée","B","P"))),""))</f>
        <v/>
      </c>
      <c r="AV180" s="53">
        <f>IF(OR($F180="",$G180=""),"",IF(AND(AV$5&lt;=$G180,AV$5+6&gt;=$F180),IF($H180="Complétée","F",IF(OR($H180="En cours",$H180="En revue"),"E",IF($H180="Bloquée","B","P"))),""))</f>
        <v/>
      </c>
      <c r="AW180" s="53">
        <f>IF(OR($F180="",$G180=""),"",IF(AND(AW$5&lt;=$G180,AW$5+6&gt;=$F180),IF($H180="Complétée","F",IF(OR($H180="En cours",$H180="En revue"),"E",IF($H180="Bloquée","B","P"))),""))</f>
        <v/>
      </c>
    </row>
    <row r="181">
      <c r="B181" s="50">
        <f>IF(Taches!B181="","",Taches!B181)</f>
        <v/>
      </c>
      <c r="C181" s="51">
        <f>IF(Taches!B181="","",Taches!F181)</f>
        <v/>
      </c>
      <c r="D181" s="50">
        <f>IF(Taches!B181="","",Taches!C181)</f>
        <v/>
      </c>
      <c r="E181" s="50">
        <f>IF(Taches!B181="","",Taches!D181)</f>
        <v/>
      </c>
      <c r="F181" s="52">
        <f>IF(Taches!P181="","",Taches!P181)</f>
        <v/>
      </c>
      <c r="G181" s="52">
        <f>IF(Taches!Q181="","",Taches!Q181)</f>
        <v/>
      </c>
      <c r="H181" s="50">
        <f>IF(Taches!B181="","",Taches!J181)</f>
        <v/>
      </c>
      <c r="I181" s="53">
        <f>IF(OR($F181="",$G181=""),"",IF(AND(I$5&lt;=$G181,I$5+6&gt;=$F181),IF($H181="Complétée","F",IF(OR($H181="En cours",$H181="En revue"),"E",IF($H181="Bloquée","B","P"))),""))</f>
        <v/>
      </c>
      <c r="J181" s="53">
        <f>IF(OR($F181="",$G181=""),"",IF(AND(J$5&lt;=$G181,J$5+6&gt;=$F181),IF($H181="Complétée","F",IF(OR($H181="En cours",$H181="En revue"),"E",IF($H181="Bloquée","B","P"))),""))</f>
        <v/>
      </c>
      <c r="K181" s="53">
        <f>IF(OR($F181="",$G181=""),"",IF(AND(K$5&lt;=$G181,K$5+6&gt;=$F181),IF($H181="Complétée","F",IF(OR($H181="En cours",$H181="En revue"),"E",IF($H181="Bloquée","B","P"))),""))</f>
        <v/>
      </c>
      <c r="L181" s="53">
        <f>IF(OR($F181="",$G181=""),"",IF(AND(L$5&lt;=$G181,L$5+6&gt;=$F181),IF($H181="Complétée","F",IF(OR($H181="En cours",$H181="En revue"),"E",IF($H181="Bloquée","B","P"))),""))</f>
        <v/>
      </c>
      <c r="M181" s="53">
        <f>IF(OR($F181="",$G181=""),"",IF(AND(M$5&lt;=$G181,M$5+6&gt;=$F181),IF($H181="Complétée","F",IF(OR($H181="En cours",$H181="En revue"),"E",IF($H181="Bloquée","B","P"))),""))</f>
        <v/>
      </c>
      <c r="N181" s="53">
        <f>IF(OR($F181="",$G181=""),"",IF(AND(N$5&lt;=$G181,N$5+6&gt;=$F181),IF($H181="Complétée","F",IF(OR($H181="En cours",$H181="En revue"),"E",IF($H181="Bloquée","B","P"))),""))</f>
        <v/>
      </c>
      <c r="O181" s="53">
        <f>IF(OR($F181="",$G181=""),"",IF(AND(O$5&lt;=$G181,O$5+6&gt;=$F181),IF($H181="Complétée","F",IF(OR($H181="En cours",$H181="En revue"),"E",IF($H181="Bloquée","B","P"))),""))</f>
        <v/>
      </c>
      <c r="P181" s="53">
        <f>IF(OR($F181="",$G181=""),"",IF(AND(P$5&lt;=$G181,P$5+6&gt;=$F181),IF($H181="Complétée","F",IF(OR($H181="En cours",$H181="En revue"),"E",IF($H181="Bloquée","B","P"))),""))</f>
        <v/>
      </c>
      <c r="Q181" s="53">
        <f>IF(OR($F181="",$G181=""),"",IF(AND(Q$5&lt;=$G181,Q$5+6&gt;=$F181),IF($H181="Complétée","F",IF(OR($H181="En cours",$H181="En revue"),"E",IF($H181="Bloquée","B","P"))),""))</f>
        <v/>
      </c>
      <c r="R181" s="53">
        <f>IF(OR($F181="",$G181=""),"",IF(AND(R$5&lt;=$G181,R$5+6&gt;=$F181),IF($H181="Complétée","F",IF(OR($H181="En cours",$H181="En revue"),"E",IF($H181="Bloquée","B","P"))),""))</f>
        <v/>
      </c>
      <c r="S181" s="53">
        <f>IF(OR($F181="",$G181=""),"",IF(AND(S$5&lt;=$G181,S$5+6&gt;=$F181),IF($H181="Complétée","F",IF(OR($H181="En cours",$H181="En revue"),"E",IF($H181="Bloquée","B","P"))),""))</f>
        <v/>
      </c>
      <c r="T181" s="53">
        <f>IF(OR($F181="",$G181=""),"",IF(AND(T$5&lt;=$G181,T$5+6&gt;=$F181),IF($H181="Complétée","F",IF(OR($H181="En cours",$H181="En revue"),"E",IF($H181="Bloquée","B","P"))),""))</f>
        <v/>
      </c>
      <c r="U181" s="53">
        <f>IF(OR($F181="",$G181=""),"",IF(AND(U$5&lt;=$G181,U$5+6&gt;=$F181),IF($H181="Complétée","F",IF(OR($H181="En cours",$H181="En revue"),"E",IF($H181="Bloquée","B","P"))),""))</f>
        <v/>
      </c>
      <c r="V181" s="53">
        <f>IF(OR($F181="",$G181=""),"",IF(AND(V$5&lt;=$G181,V$5+6&gt;=$F181),IF($H181="Complétée","F",IF(OR($H181="En cours",$H181="En revue"),"E",IF($H181="Bloquée","B","P"))),""))</f>
        <v/>
      </c>
      <c r="W181" s="53">
        <f>IF(OR($F181="",$G181=""),"",IF(AND(W$5&lt;=$G181,W$5+6&gt;=$F181),IF($H181="Complétée","F",IF(OR($H181="En cours",$H181="En revue"),"E",IF($H181="Bloquée","B","P"))),""))</f>
        <v/>
      </c>
      <c r="X181" s="53">
        <f>IF(OR($F181="",$G181=""),"",IF(AND(X$5&lt;=$G181,X$5+6&gt;=$F181),IF($H181="Complétée","F",IF(OR($H181="En cours",$H181="En revue"),"E",IF($H181="Bloquée","B","P"))),""))</f>
        <v/>
      </c>
      <c r="Y181" s="53">
        <f>IF(OR($F181="",$G181=""),"",IF(AND(Y$5&lt;=$G181,Y$5+6&gt;=$F181),IF($H181="Complétée","F",IF(OR($H181="En cours",$H181="En revue"),"E",IF($H181="Bloquée","B","P"))),""))</f>
        <v/>
      </c>
      <c r="Z181" s="53">
        <f>IF(OR($F181="",$G181=""),"",IF(AND(Z$5&lt;=$G181,Z$5+6&gt;=$F181),IF($H181="Complétée","F",IF(OR($H181="En cours",$H181="En revue"),"E",IF($H181="Bloquée","B","P"))),""))</f>
        <v/>
      </c>
      <c r="AA181" s="53">
        <f>IF(OR($F181="",$G181=""),"",IF(AND(AA$5&lt;=$G181,AA$5+6&gt;=$F181),IF($H181="Complétée","F",IF(OR($H181="En cours",$H181="En revue"),"E",IF($H181="Bloquée","B","P"))),""))</f>
        <v/>
      </c>
      <c r="AB181" s="53">
        <f>IF(OR($F181="",$G181=""),"",IF(AND(AB$5&lt;=$G181,AB$5+6&gt;=$F181),IF($H181="Complétée","F",IF(OR($H181="En cours",$H181="En revue"),"E",IF($H181="Bloquée","B","P"))),""))</f>
        <v/>
      </c>
      <c r="AC181" s="53">
        <f>IF(OR($F181="",$G181=""),"",IF(AND(AC$5&lt;=$G181,AC$5+6&gt;=$F181),IF($H181="Complétée","F",IF(OR($H181="En cours",$H181="En revue"),"E",IF($H181="Bloquée","B","P"))),""))</f>
        <v/>
      </c>
      <c r="AD181" s="53">
        <f>IF(OR($F181="",$G181=""),"",IF(AND(AD$5&lt;=$G181,AD$5+6&gt;=$F181),IF($H181="Complétée","F",IF(OR($H181="En cours",$H181="En revue"),"E",IF($H181="Bloquée","B","P"))),""))</f>
        <v/>
      </c>
      <c r="AE181" s="53">
        <f>IF(OR($F181="",$G181=""),"",IF(AND(AE$5&lt;=$G181,AE$5+6&gt;=$F181),IF($H181="Complétée","F",IF(OR($H181="En cours",$H181="En revue"),"E",IF($H181="Bloquée","B","P"))),""))</f>
        <v/>
      </c>
      <c r="AF181" s="53">
        <f>IF(OR($F181="",$G181=""),"",IF(AND(AF$5&lt;=$G181,AF$5+6&gt;=$F181),IF($H181="Complétée","F",IF(OR($H181="En cours",$H181="En revue"),"E",IF($H181="Bloquée","B","P"))),""))</f>
        <v/>
      </c>
      <c r="AG181" s="53">
        <f>IF(OR($F181="",$G181=""),"",IF(AND(AG$5&lt;=$G181,AG$5+6&gt;=$F181),IF($H181="Complétée","F",IF(OR($H181="En cours",$H181="En revue"),"E",IF($H181="Bloquée","B","P"))),""))</f>
        <v/>
      </c>
      <c r="AH181" s="53">
        <f>IF(OR($F181="",$G181=""),"",IF(AND(AH$5&lt;=$G181,AH$5+6&gt;=$F181),IF($H181="Complétée","F",IF(OR($H181="En cours",$H181="En revue"),"E",IF($H181="Bloquée","B","P"))),""))</f>
        <v/>
      </c>
      <c r="AI181" s="53">
        <f>IF(OR($F181="",$G181=""),"",IF(AND(AI$5&lt;=$G181,AI$5+6&gt;=$F181),IF($H181="Complétée","F",IF(OR($H181="En cours",$H181="En revue"),"E",IF($H181="Bloquée","B","P"))),""))</f>
        <v/>
      </c>
      <c r="AJ181" s="53">
        <f>IF(OR($F181="",$G181=""),"",IF(AND(AJ$5&lt;=$G181,AJ$5+6&gt;=$F181),IF($H181="Complétée","F",IF(OR($H181="En cours",$H181="En revue"),"E",IF($H181="Bloquée","B","P"))),""))</f>
        <v/>
      </c>
      <c r="AK181" s="53">
        <f>IF(OR($F181="",$G181=""),"",IF(AND(AK$5&lt;=$G181,AK$5+6&gt;=$F181),IF($H181="Complétée","F",IF(OR($H181="En cours",$H181="En revue"),"E",IF($H181="Bloquée","B","P"))),""))</f>
        <v/>
      </c>
      <c r="AL181" s="53">
        <f>IF(OR($F181="",$G181=""),"",IF(AND(AL$5&lt;=$G181,AL$5+6&gt;=$F181),IF($H181="Complétée","F",IF(OR($H181="En cours",$H181="En revue"),"E",IF($H181="Bloquée","B","P"))),""))</f>
        <v/>
      </c>
      <c r="AM181" s="53">
        <f>IF(OR($F181="",$G181=""),"",IF(AND(AM$5&lt;=$G181,AM$5+6&gt;=$F181),IF($H181="Complétée","F",IF(OR($H181="En cours",$H181="En revue"),"E",IF($H181="Bloquée","B","P"))),""))</f>
        <v/>
      </c>
      <c r="AN181" s="53">
        <f>IF(OR($F181="",$G181=""),"",IF(AND(AN$5&lt;=$G181,AN$5+6&gt;=$F181),IF($H181="Complétée","F",IF(OR($H181="En cours",$H181="En revue"),"E",IF($H181="Bloquée","B","P"))),""))</f>
        <v/>
      </c>
      <c r="AO181" s="53">
        <f>IF(OR($F181="",$G181=""),"",IF(AND(AO$5&lt;=$G181,AO$5+6&gt;=$F181),IF($H181="Complétée","F",IF(OR($H181="En cours",$H181="En revue"),"E",IF($H181="Bloquée","B","P"))),""))</f>
        <v/>
      </c>
      <c r="AP181" s="53">
        <f>IF(OR($F181="",$G181=""),"",IF(AND(AP$5&lt;=$G181,AP$5+6&gt;=$F181),IF($H181="Complétée","F",IF(OR($H181="En cours",$H181="En revue"),"E",IF($H181="Bloquée","B","P"))),""))</f>
        <v/>
      </c>
      <c r="AQ181" s="53">
        <f>IF(OR($F181="",$G181=""),"",IF(AND(AQ$5&lt;=$G181,AQ$5+6&gt;=$F181),IF($H181="Complétée","F",IF(OR($H181="En cours",$H181="En revue"),"E",IF($H181="Bloquée","B","P"))),""))</f>
        <v/>
      </c>
      <c r="AR181" s="53">
        <f>IF(OR($F181="",$G181=""),"",IF(AND(AR$5&lt;=$G181,AR$5+6&gt;=$F181),IF($H181="Complétée","F",IF(OR($H181="En cours",$H181="En revue"),"E",IF($H181="Bloquée","B","P"))),""))</f>
        <v/>
      </c>
      <c r="AS181" s="53">
        <f>IF(OR($F181="",$G181=""),"",IF(AND(AS$5&lt;=$G181,AS$5+6&gt;=$F181),IF($H181="Complétée","F",IF(OR($H181="En cours",$H181="En revue"),"E",IF($H181="Bloquée","B","P"))),""))</f>
        <v/>
      </c>
      <c r="AT181" s="53">
        <f>IF(OR($F181="",$G181=""),"",IF(AND(AT$5&lt;=$G181,AT$5+6&gt;=$F181),IF($H181="Complétée","F",IF(OR($H181="En cours",$H181="En revue"),"E",IF($H181="Bloquée","B","P"))),""))</f>
        <v/>
      </c>
      <c r="AU181" s="53">
        <f>IF(OR($F181="",$G181=""),"",IF(AND(AU$5&lt;=$G181,AU$5+6&gt;=$F181),IF($H181="Complétée","F",IF(OR($H181="En cours",$H181="En revue"),"E",IF($H181="Bloquée","B","P"))),""))</f>
        <v/>
      </c>
      <c r="AV181" s="53">
        <f>IF(OR($F181="",$G181=""),"",IF(AND(AV$5&lt;=$G181,AV$5+6&gt;=$F181),IF($H181="Complétée","F",IF(OR($H181="En cours",$H181="En revue"),"E",IF($H181="Bloquée","B","P"))),""))</f>
        <v/>
      </c>
      <c r="AW181" s="53">
        <f>IF(OR($F181="",$G181=""),"",IF(AND(AW$5&lt;=$G181,AW$5+6&gt;=$F181),IF($H181="Complétée","F",IF(OR($H181="En cours",$H181="En revue"),"E",IF($H181="Bloquée","B","P"))),""))</f>
        <v/>
      </c>
    </row>
    <row r="182">
      <c r="B182" s="50">
        <f>IF(Taches!B182="","",Taches!B182)</f>
        <v/>
      </c>
      <c r="C182" s="51">
        <f>IF(Taches!B182="","",Taches!F182)</f>
        <v/>
      </c>
      <c r="D182" s="50">
        <f>IF(Taches!B182="","",Taches!C182)</f>
        <v/>
      </c>
      <c r="E182" s="50">
        <f>IF(Taches!B182="","",Taches!D182)</f>
        <v/>
      </c>
      <c r="F182" s="52">
        <f>IF(Taches!P182="","",Taches!P182)</f>
        <v/>
      </c>
      <c r="G182" s="52">
        <f>IF(Taches!Q182="","",Taches!Q182)</f>
        <v/>
      </c>
      <c r="H182" s="50">
        <f>IF(Taches!B182="","",Taches!J182)</f>
        <v/>
      </c>
      <c r="I182" s="53">
        <f>IF(OR($F182="",$G182=""),"",IF(AND(I$5&lt;=$G182,I$5+6&gt;=$F182),IF($H182="Complétée","F",IF(OR($H182="En cours",$H182="En revue"),"E",IF($H182="Bloquée","B","P"))),""))</f>
        <v/>
      </c>
      <c r="J182" s="53">
        <f>IF(OR($F182="",$G182=""),"",IF(AND(J$5&lt;=$G182,J$5+6&gt;=$F182),IF($H182="Complétée","F",IF(OR($H182="En cours",$H182="En revue"),"E",IF($H182="Bloquée","B","P"))),""))</f>
        <v/>
      </c>
      <c r="K182" s="53">
        <f>IF(OR($F182="",$G182=""),"",IF(AND(K$5&lt;=$G182,K$5+6&gt;=$F182),IF($H182="Complétée","F",IF(OR($H182="En cours",$H182="En revue"),"E",IF($H182="Bloquée","B","P"))),""))</f>
        <v/>
      </c>
      <c r="L182" s="53">
        <f>IF(OR($F182="",$G182=""),"",IF(AND(L$5&lt;=$G182,L$5+6&gt;=$F182),IF($H182="Complétée","F",IF(OR($H182="En cours",$H182="En revue"),"E",IF($H182="Bloquée","B","P"))),""))</f>
        <v/>
      </c>
      <c r="M182" s="53">
        <f>IF(OR($F182="",$G182=""),"",IF(AND(M$5&lt;=$G182,M$5+6&gt;=$F182),IF($H182="Complétée","F",IF(OR($H182="En cours",$H182="En revue"),"E",IF($H182="Bloquée","B","P"))),""))</f>
        <v/>
      </c>
      <c r="N182" s="53">
        <f>IF(OR($F182="",$G182=""),"",IF(AND(N$5&lt;=$G182,N$5+6&gt;=$F182),IF($H182="Complétée","F",IF(OR($H182="En cours",$H182="En revue"),"E",IF($H182="Bloquée","B","P"))),""))</f>
        <v/>
      </c>
      <c r="O182" s="53">
        <f>IF(OR($F182="",$G182=""),"",IF(AND(O$5&lt;=$G182,O$5+6&gt;=$F182),IF($H182="Complétée","F",IF(OR($H182="En cours",$H182="En revue"),"E",IF($H182="Bloquée","B","P"))),""))</f>
        <v/>
      </c>
      <c r="P182" s="53">
        <f>IF(OR($F182="",$G182=""),"",IF(AND(P$5&lt;=$G182,P$5+6&gt;=$F182),IF($H182="Complétée","F",IF(OR($H182="En cours",$H182="En revue"),"E",IF($H182="Bloquée","B","P"))),""))</f>
        <v/>
      </c>
      <c r="Q182" s="53">
        <f>IF(OR($F182="",$G182=""),"",IF(AND(Q$5&lt;=$G182,Q$5+6&gt;=$F182),IF($H182="Complétée","F",IF(OR($H182="En cours",$H182="En revue"),"E",IF($H182="Bloquée","B","P"))),""))</f>
        <v/>
      </c>
      <c r="R182" s="53">
        <f>IF(OR($F182="",$G182=""),"",IF(AND(R$5&lt;=$G182,R$5+6&gt;=$F182),IF($H182="Complétée","F",IF(OR($H182="En cours",$H182="En revue"),"E",IF($H182="Bloquée","B","P"))),""))</f>
        <v/>
      </c>
      <c r="S182" s="53">
        <f>IF(OR($F182="",$G182=""),"",IF(AND(S$5&lt;=$G182,S$5+6&gt;=$F182),IF($H182="Complétée","F",IF(OR($H182="En cours",$H182="En revue"),"E",IF($H182="Bloquée","B","P"))),""))</f>
        <v/>
      </c>
      <c r="T182" s="53">
        <f>IF(OR($F182="",$G182=""),"",IF(AND(T$5&lt;=$G182,T$5+6&gt;=$F182),IF($H182="Complétée","F",IF(OR($H182="En cours",$H182="En revue"),"E",IF($H182="Bloquée","B","P"))),""))</f>
        <v/>
      </c>
      <c r="U182" s="53">
        <f>IF(OR($F182="",$G182=""),"",IF(AND(U$5&lt;=$G182,U$5+6&gt;=$F182),IF($H182="Complétée","F",IF(OR($H182="En cours",$H182="En revue"),"E",IF($H182="Bloquée","B","P"))),""))</f>
        <v/>
      </c>
      <c r="V182" s="53">
        <f>IF(OR($F182="",$G182=""),"",IF(AND(V$5&lt;=$G182,V$5+6&gt;=$F182),IF($H182="Complétée","F",IF(OR($H182="En cours",$H182="En revue"),"E",IF($H182="Bloquée","B","P"))),""))</f>
        <v/>
      </c>
      <c r="W182" s="53">
        <f>IF(OR($F182="",$G182=""),"",IF(AND(W$5&lt;=$G182,W$5+6&gt;=$F182),IF($H182="Complétée","F",IF(OR($H182="En cours",$H182="En revue"),"E",IF($H182="Bloquée","B","P"))),""))</f>
        <v/>
      </c>
      <c r="X182" s="53">
        <f>IF(OR($F182="",$G182=""),"",IF(AND(X$5&lt;=$G182,X$5+6&gt;=$F182),IF($H182="Complétée","F",IF(OR($H182="En cours",$H182="En revue"),"E",IF($H182="Bloquée","B","P"))),""))</f>
        <v/>
      </c>
      <c r="Y182" s="53">
        <f>IF(OR($F182="",$G182=""),"",IF(AND(Y$5&lt;=$G182,Y$5+6&gt;=$F182),IF($H182="Complétée","F",IF(OR($H182="En cours",$H182="En revue"),"E",IF($H182="Bloquée","B","P"))),""))</f>
        <v/>
      </c>
      <c r="Z182" s="53">
        <f>IF(OR($F182="",$G182=""),"",IF(AND(Z$5&lt;=$G182,Z$5+6&gt;=$F182),IF($H182="Complétée","F",IF(OR($H182="En cours",$H182="En revue"),"E",IF($H182="Bloquée","B","P"))),""))</f>
        <v/>
      </c>
      <c r="AA182" s="53">
        <f>IF(OR($F182="",$G182=""),"",IF(AND(AA$5&lt;=$G182,AA$5+6&gt;=$F182),IF($H182="Complétée","F",IF(OR($H182="En cours",$H182="En revue"),"E",IF($H182="Bloquée","B","P"))),""))</f>
        <v/>
      </c>
      <c r="AB182" s="53">
        <f>IF(OR($F182="",$G182=""),"",IF(AND(AB$5&lt;=$G182,AB$5+6&gt;=$F182),IF($H182="Complétée","F",IF(OR($H182="En cours",$H182="En revue"),"E",IF($H182="Bloquée","B","P"))),""))</f>
        <v/>
      </c>
      <c r="AC182" s="53">
        <f>IF(OR($F182="",$G182=""),"",IF(AND(AC$5&lt;=$G182,AC$5+6&gt;=$F182),IF($H182="Complétée","F",IF(OR($H182="En cours",$H182="En revue"),"E",IF($H182="Bloquée","B","P"))),""))</f>
        <v/>
      </c>
      <c r="AD182" s="53">
        <f>IF(OR($F182="",$G182=""),"",IF(AND(AD$5&lt;=$G182,AD$5+6&gt;=$F182),IF($H182="Complétée","F",IF(OR($H182="En cours",$H182="En revue"),"E",IF($H182="Bloquée","B","P"))),""))</f>
        <v/>
      </c>
      <c r="AE182" s="53">
        <f>IF(OR($F182="",$G182=""),"",IF(AND(AE$5&lt;=$G182,AE$5+6&gt;=$F182),IF($H182="Complétée","F",IF(OR($H182="En cours",$H182="En revue"),"E",IF($H182="Bloquée","B","P"))),""))</f>
        <v/>
      </c>
      <c r="AF182" s="53">
        <f>IF(OR($F182="",$G182=""),"",IF(AND(AF$5&lt;=$G182,AF$5+6&gt;=$F182),IF($H182="Complétée","F",IF(OR($H182="En cours",$H182="En revue"),"E",IF($H182="Bloquée","B","P"))),""))</f>
        <v/>
      </c>
      <c r="AG182" s="53">
        <f>IF(OR($F182="",$G182=""),"",IF(AND(AG$5&lt;=$G182,AG$5+6&gt;=$F182),IF($H182="Complétée","F",IF(OR($H182="En cours",$H182="En revue"),"E",IF($H182="Bloquée","B","P"))),""))</f>
        <v/>
      </c>
      <c r="AH182" s="53">
        <f>IF(OR($F182="",$G182=""),"",IF(AND(AH$5&lt;=$G182,AH$5+6&gt;=$F182),IF($H182="Complétée","F",IF(OR($H182="En cours",$H182="En revue"),"E",IF($H182="Bloquée","B","P"))),""))</f>
        <v/>
      </c>
      <c r="AI182" s="53">
        <f>IF(OR($F182="",$G182=""),"",IF(AND(AI$5&lt;=$G182,AI$5+6&gt;=$F182),IF($H182="Complétée","F",IF(OR($H182="En cours",$H182="En revue"),"E",IF($H182="Bloquée","B","P"))),""))</f>
        <v/>
      </c>
      <c r="AJ182" s="53">
        <f>IF(OR($F182="",$G182=""),"",IF(AND(AJ$5&lt;=$G182,AJ$5+6&gt;=$F182),IF($H182="Complétée","F",IF(OR($H182="En cours",$H182="En revue"),"E",IF($H182="Bloquée","B","P"))),""))</f>
        <v/>
      </c>
      <c r="AK182" s="53">
        <f>IF(OR($F182="",$G182=""),"",IF(AND(AK$5&lt;=$G182,AK$5+6&gt;=$F182),IF($H182="Complétée","F",IF(OR($H182="En cours",$H182="En revue"),"E",IF($H182="Bloquée","B","P"))),""))</f>
        <v/>
      </c>
      <c r="AL182" s="53">
        <f>IF(OR($F182="",$G182=""),"",IF(AND(AL$5&lt;=$G182,AL$5+6&gt;=$F182),IF($H182="Complétée","F",IF(OR($H182="En cours",$H182="En revue"),"E",IF($H182="Bloquée","B","P"))),""))</f>
        <v/>
      </c>
      <c r="AM182" s="53">
        <f>IF(OR($F182="",$G182=""),"",IF(AND(AM$5&lt;=$G182,AM$5+6&gt;=$F182),IF($H182="Complétée","F",IF(OR($H182="En cours",$H182="En revue"),"E",IF($H182="Bloquée","B","P"))),""))</f>
        <v/>
      </c>
      <c r="AN182" s="53">
        <f>IF(OR($F182="",$G182=""),"",IF(AND(AN$5&lt;=$G182,AN$5+6&gt;=$F182),IF($H182="Complétée","F",IF(OR($H182="En cours",$H182="En revue"),"E",IF($H182="Bloquée","B","P"))),""))</f>
        <v/>
      </c>
      <c r="AO182" s="53">
        <f>IF(OR($F182="",$G182=""),"",IF(AND(AO$5&lt;=$G182,AO$5+6&gt;=$F182),IF($H182="Complétée","F",IF(OR($H182="En cours",$H182="En revue"),"E",IF($H182="Bloquée","B","P"))),""))</f>
        <v/>
      </c>
      <c r="AP182" s="53">
        <f>IF(OR($F182="",$G182=""),"",IF(AND(AP$5&lt;=$G182,AP$5+6&gt;=$F182),IF($H182="Complétée","F",IF(OR($H182="En cours",$H182="En revue"),"E",IF($H182="Bloquée","B","P"))),""))</f>
        <v/>
      </c>
      <c r="AQ182" s="53">
        <f>IF(OR($F182="",$G182=""),"",IF(AND(AQ$5&lt;=$G182,AQ$5+6&gt;=$F182),IF($H182="Complétée","F",IF(OR($H182="En cours",$H182="En revue"),"E",IF($H182="Bloquée","B","P"))),""))</f>
        <v/>
      </c>
      <c r="AR182" s="53">
        <f>IF(OR($F182="",$G182=""),"",IF(AND(AR$5&lt;=$G182,AR$5+6&gt;=$F182),IF($H182="Complétée","F",IF(OR($H182="En cours",$H182="En revue"),"E",IF($H182="Bloquée","B","P"))),""))</f>
        <v/>
      </c>
      <c r="AS182" s="53">
        <f>IF(OR($F182="",$G182=""),"",IF(AND(AS$5&lt;=$G182,AS$5+6&gt;=$F182),IF($H182="Complétée","F",IF(OR($H182="En cours",$H182="En revue"),"E",IF($H182="Bloquée","B","P"))),""))</f>
        <v/>
      </c>
      <c r="AT182" s="53">
        <f>IF(OR($F182="",$G182=""),"",IF(AND(AT$5&lt;=$G182,AT$5+6&gt;=$F182),IF($H182="Complétée","F",IF(OR($H182="En cours",$H182="En revue"),"E",IF($H182="Bloquée","B","P"))),""))</f>
        <v/>
      </c>
      <c r="AU182" s="53">
        <f>IF(OR($F182="",$G182=""),"",IF(AND(AU$5&lt;=$G182,AU$5+6&gt;=$F182),IF($H182="Complétée","F",IF(OR($H182="En cours",$H182="En revue"),"E",IF($H182="Bloquée","B","P"))),""))</f>
        <v/>
      </c>
      <c r="AV182" s="53">
        <f>IF(OR($F182="",$G182=""),"",IF(AND(AV$5&lt;=$G182,AV$5+6&gt;=$F182),IF($H182="Complétée","F",IF(OR($H182="En cours",$H182="En revue"),"E",IF($H182="Bloquée","B","P"))),""))</f>
        <v/>
      </c>
      <c r="AW182" s="53">
        <f>IF(OR($F182="",$G182=""),"",IF(AND(AW$5&lt;=$G182,AW$5+6&gt;=$F182),IF($H182="Complétée","F",IF(OR($H182="En cours",$H182="En revue"),"E",IF($H182="Bloquée","B","P"))),""))</f>
        <v/>
      </c>
    </row>
    <row r="183">
      <c r="B183" s="50">
        <f>IF(Taches!B183="","",Taches!B183)</f>
        <v/>
      </c>
      <c r="C183" s="51">
        <f>IF(Taches!B183="","",Taches!F183)</f>
        <v/>
      </c>
      <c r="D183" s="50">
        <f>IF(Taches!B183="","",Taches!C183)</f>
        <v/>
      </c>
      <c r="E183" s="50">
        <f>IF(Taches!B183="","",Taches!D183)</f>
        <v/>
      </c>
      <c r="F183" s="52">
        <f>IF(Taches!P183="","",Taches!P183)</f>
        <v/>
      </c>
      <c r="G183" s="52">
        <f>IF(Taches!Q183="","",Taches!Q183)</f>
        <v/>
      </c>
      <c r="H183" s="50">
        <f>IF(Taches!B183="","",Taches!J183)</f>
        <v/>
      </c>
      <c r="I183" s="53">
        <f>IF(OR($F183="",$G183=""),"",IF(AND(I$5&lt;=$G183,I$5+6&gt;=$F183),IF($H183="Complétée","F",IF(OR($H183="En cours",$H183="En revue"),"E",IF($H183="Bloquée","B","P"))),""))</f>
        <v/>
      </c>
      <c r="J183" s="53">
        <f>IF(OR($F183="",$G183=""),"",IF(AND(J$5&lt;=$G183,J$5+6&gt;=$F183),IF($H183="Complétée","F",IF(OR($H183="En cours",$H183="En revue"),"E",IF($H183="Bloquée","B","P"))),""))</f>
        <v/>
      </c>
      <c r="K183" s="53">
        <f>IF(OR($F183="",$G183=""),"",IF(AND(K$5&lt;=$G183,K$5+6&gt;=$F183),IF($H183="Complétée","F",IF(OR($H183="En cours",$H183="En revue"),"E",IF($H183="Bloquée","B","P"))),""))</f>
        <v/>
      </c>
      <c r="L183" s="53">
        <f>IF(OR($F183="",$G183=""),"",IF(AND(L$5&lt;=$G183,L$5+6&gt;=$F183),IF($H183="Complétée","F",IF(OR($H183="En cours",$H183="En revue"),"E",IF($H183="Bloquée","B","P"))),""))</f>
        <v/>
      </c>
      <c r="M183" s="53">
        <f>IF(OR($F183="",$G183=""),"",IF(AND(M$5&lt;=$G183,M$5+6&gt;=$F183),IF($H183="Complétée","F",IF(OR($H183="En cours",$H183="En revue"),"E",IF($H183="Bloquée","B","P"))),""))</f>
        <v/>
      </c>
      <c r="N183" s="53">
        <f>IF(OR($F183="",$G183=""),"",IF(AND(N$5&lt;=$G183,N$5+6&gt;=$F183),IF($H183="Complétée","F",IF(OR($H183="En cours",$H183="En revue"),"E",IF($H183="Bloquée","B","P"))),""))</f>
        <v/>
      </c>
      <c r="O183" s="53">
        <f>IF(OR($F183="",$G183=""),"",IF(AND(O$5&lt;=$G183,O$5+6&gt;=$F183),IF($H183="Complétée","F",IF(OR($H183="En cours",$H183="En revue"),"E",IF($H183="Bloquée","B","P"))),""))</f>
        <v/>
      </c>
      <c r="P183" s="53">
        <f>IF(OR($F183="",$G183=""),"",IF(AND(P$5&lt;=$G183,P$5+6&gt;=$F183),IF($H183="Complétée","F",IF(OR($H183="En cours",$H183="En revue"),"E",IF($H183="Bloquée","B","P"))),""))</f>
        <v/>
      </c>
      <c r="Q183" s="53">
        <f>IF(OR($F183="",$G183=""),"",IF(AND(Q$5&lt;=$G183,Q$5+6&gt;=$F183),IF($H183="Complétée","F",IF(OR($H183="En cours",$H183="En revue"),"E",IF($H183="Bloquée","B","P"))),""))</f>
        <v/>
      </c>
      <c r="R183" s="53">
        <f>IF(OR($F183="",$G183=""),"",IF(AND(R$5&lt;=$G183,R$5+6&gt;=$F183),IF($H183="Complétée","F",IF(OR($H183="En cours",$H183="En revue"),"E",IF($H183="Bloquée","B","P"))),""))</f>
        <v/>
      </c>
      <c r="S183" s="53">
        <f>IF(OR($F183="",$G183=""),"",IF(AND(S$5&lt;=$G183,S$5+6&gt;=$F183),IF($H183="Complétée","F",IF(OR($H183="En cours",$H183="En revue"),"E",IF($H183="Bloquée","B","P"))),""))</f>
        <v/>
      </c>
      <c r="T183" s="53">
        <f>IF(OR($F183="",$G183=""),"",IF(AND(T$5&lt;=$G183,T$5+6&gt;=$F183),IF($H183="Complétée","F",IF(OR($H183="En cours",$H183="En revue"),"E",IF($H183="Bloquée","B","P"))),""))</f>
        <v/>
      </c>
      <c r="U183" s="53">
        <f>IF(OR($F183="",$G183=""),"",IF(AND(U$5&lt;=$G183,U$5+6&gt;=$F183),IF($H183="Complétée","F",IF(OR($H183="En cours",$H183="En revue"),"E",IF($H183="Bloquée","B","P"))),""))</f>
        <v/>
      </c>
      <c r="V183" s="53">
        <f>IF(OR($F183="",$G183=""),"",IF(AND(V$5&lt;=$G183,V$5+6&gt;=$F183),IF($H183="Complétée","F",IF(OR($H183="En cours",$H183="En revue"),"E",IF($H183="Bloquée","B","P"))),""))</f>
        <v/>
      </c>
      <c r="W183" s="53">
        <f>IF(OR($F183="",$G183=""),"",IF(AND(W$5&lt;=$G183,W$5+6&gt;=$F183),IF($H183="Complétée","F",IF(OR($H183="En cours",$H183="En revue"),"E",IF($H183="Bloquée","B","P"))),""))</f>
        <v/>
      </c>
      <c r="X183" s="53">
        <f>IF(OR($F183="",$G183=""),"",IF(AND(X$5&lt;=$G183,X$5+6&gt;=$F183),IF($H183="Complétée","F",IF(OR($H183="En cours",$H183="En revue"),"E",IF($H183="Bloquée","B","P"))),""))</f>
        <v/>
      </c>
      <c r="Y183" s="53">
        <f>IF(OR($F183="",$G183=""),"",IF(AND(Y$5&lt;=$G183,Y$5+6&gt;=$F183),IF($H183="Complétée","F",IF(OR($H183="En cours",$H183="En revue"),"E",IF($H183="Bloquée","B","P"))),""))</f>
        <v/>
      </c>
      <c r="Z183" s="53">
        <f>IF(OR($F183="",$G183=""),"",IF(AND(Z$5&lt;=$G183,Z$5+6&gt;=$F183),IF($H183="Complétée","F",IF(OR($H183="En cours",$H183="En revue"),"E",IF($H183="Bloquée","B","P"))),""))</f>
        <v/>
      </c>
      <c r="AA183" s="53">
        <f>IF(OR($F183="",$G183=""),"",IF(AND(AA$5&lt;=$G183,AA$5+6&gt;=$F183),IF($H183="Complétée","F",IF(OR($H183="En cours",$H183="En revue"),"E",IF($H183="Bloquée","B","P"))),""))</f>
        <v/>
      </c>
      <c r="AB183" s="53">
        <f>IF(OR($F183="",$G183=""),"",IF(AND(AB$5&lt;=$G183,AB$5+6&gt;=$F183),IF($H183="Complétée","F",IF(OR($H183="En cours",$H183="En revue"),"E",IF($H183="Bloquée","B","P"))),""))</f>
        <v/>
      </c>
      <c r="AC183" s="53">
        <f>IF(OR($F183="",$G183=""),"",IF(AND(AC$5&lt;=$G183,AC$5+6&gt;=$F183),IF($H183="Complétée","F",IF(OR($H183="En cours",$H183="En revue"),"E",IF($H183="Bloquée","B","P"))),""))</f>
        <v/>
      </c>
      <c r="AD183" s="53">
        <f>IF(OR($F183="",$G183=""),"",IF(AND(AD$5&lt;=$G183,AD$5+6&gt;=$F183),IF($H183="Complétée","F",IF(OR($H183="En cours",$H183="En revue"),"E",IF($H183="Bloquée","B","P"))),""))</f>
        <v/>
      </c>
      <c r="AE183" s="53">
        <f>IF(OR($F183="",$G183=""),"",IF(AND(AE$5&lt;=$G183,AE$5+6&gt;=$F183),IF($H183="Complétée","F",IF(OR($H183="En cours",$H183="En revue"),"E",IF($H183="Bloquée","B","P"))),""))</f>
        <v/>
      </c>
      <c r="AF183" s="53">
        <f>IF(OR($F183="",$G183=""),"",IF(AND(AF$5&lt;=$G183,AF$5+6&gt;=$F183),IF($H183="Complétée","F",IF(OR($H183="En cours",$H183="En revue"),"E",IF($H183="Bloquée","B","P"))),""))</f>
        <v/>
      </c>
      <c r="AG183" s="53">
        <f>IF(OR($F183="",$G183=""),"",IF(AND(AG$5&lt;=$G183,AG$5+6&gt;=$F183),IF($H183="Complétée","F",IF(OR($H183="En cours",$H183="En revue"),"E",IF($H183="Bloquée","B","P"))),""))</f>
        <v/>
      </c>
      <c r="AH183" s="53">
        <f>IF(OR($F183="",$G183=""),"",IF(AND(AH$5&lt;=$G183,AH$5+6&gt;=$F183),IF($H183="Complétée","F",IF(OR($H183="En cours",$H183="En revue"),"E",IF($H183="Bloquée","B","P"))),""))</f>
        <v/>
      </c>
      <c r="AI183" s="53">
        <f>IF(OR($F183="",$G183=""),"",IF(AND(AI$5&lt;=$G183,AI$5+6&gt;=$F183),IF($H183="Complétée","F",IF(OR($H183="En cours",$H183="En revue"),"E",IF($H183="Bloquée","B","P"))),""))</f>
        <v/>
      </c>
      <c r="AJ183" s="53">
        <f>IF(OR($F183="",$G183=""),"",IF(AND(AJ$5&lt;=$G183,AJ$5+6&gt;=$F183),IF($H183="Complétée","F",IF(OR($H183="En cours",$H183="En revue"),"E",IF($H183="Bloquée","B","P"))),""))</f>
        <v/>
      </c>
      <c r="AK183" s="53">
        <f>IF(OR($F183="",$G183=""),"",IF(AND(AK$5&lt;=$G183,AK$5+6&gt;=$F183),IF($H183="Complétée","F",IF(OR($H183="En cours",$H183="En revue"),"E",IF($H183="Bloquée","B","P"))),""))</f>
        <v/>
      </c>
      <c r="AL183" s="53">
        <f>IF(OR($F183="",$G183=""),"",IF(AND(AL$5&lt;=$G183,AL$5+6&gt;=$F183),IF($H183="Complétée","F",IF(OR($H183="En cours",$H183="En revue"),"E",IF($H183="Bloquée","B","P"))),""))</f>
        <v/>
      </c>
      <c r="AM183" s="53">
        <f>IF(OR($F183="",$G183=""),"",IF(AND(AM$5&lt;=$G183,AM$5+6&gt;=$F183),IF($H183="Complétée","F",IF(OR($H183="En cours",$H183="En revue"),"E",IF($H183="Bloquée","B","P"))),""))</f>
        <v/>
      </c>
      <c r="AN183" s="53">
        <f>IF(OR($F183="",$G183=""),"",IF(AND(AN$5&lt;=$G183,AN$5+6&gt;=$F183),IF($H183="Complétée","F",IF(OR($H183="En cours",$H183="En revue"),"E",IF($H183="Bloquée","B","P"))),""))</f>
        <v/>
      </c>
      <c r="AO183" s="53">
        <f>IF(OR($F183="",$G183=""),"",IF(AND(AO$5&lt;=$G183,AO$5+6&gt;=$F183),IF($H183="Complétée","F",IF(OR($H183="En cours",$H183="En revue"),"E",IF($H183="Bloquée","B","P"))),""))</f>
        <v/>
      </c>
      <c r="AP183" s="53">
        <f>IF(OR($F183="",$G183=""),"",IF(AND(AP$5&lt;=$G183,AP$5+6&gt;=$F183),IF($H183="Complétée","F",IF(OR($H183="En cours",$H183="En revue"),"E",IF($H183="Bloquée","B","P"))),""))</f>
        <v/>
      </c>
      <c r="AQ183" s="53">
        <f>IF(OR($F183="",$G183=""),"",IF(AND(AQ$5&lt;=$G183,AQ$5+6&gt;=$F183),IF($H183="Complétée","F",IF(OR($H183="En cours",$H183="En revue"),"E",IF($H183="Bloquée","B","P"))),""))</f>
        <v/>
      </c>
      <c r="AR183" s="53">
        <f>IF(OR($F183="",$G183=""),"",IF(AND(AR$5&lt;=$G183,AR$5+6&gt;=$F183),IF($H183="Complétée","F",IF(OR($H183="En cours",$H183="En revue"),"E",IF($H183="Bloquée","B","P"))),""))</f>
        <v/>
      </c>
      <c r="AS183" s="53">
        <f>IF(OR($F183="",$G183=""),"",IF(AND(AS$5&lt;=$G183,AS$5+6&gt;=$F183),IF($H183="Complétée","F",IF(OR($H183="En cours",$H183="En revue"),"E",IF($H183="Bloquée","B","P"))),""))</f>
        <v/>
      </c>
      <c r="AT183" s="53">
        <f>IF(OR($F183="",$G183=""),"",IF(AND(AT$5&lt;=$G183,AT$5+6&gt;=$F183),IF($H183="Complétée","F",IF(OR($H183="En cours",$H183="En revue"),"E",IF($H183="Bloquée","B","P"))),""))</f>
        <v/>
      </c>
      <c r="AU183" s="53">
        <f>IF(OR($F183="",$G183=""),"",IF(AND(AU$5&lt;=$G183,AU$5+6&gt;=$F183),IF($H183="Complétée","F",IF(OR($H183="En cours",$H183="En revue"),"E",IF($H183="Bloquée","B","P"))),""))</f>
        <v/>
      </c>
      <c r="AV183" s="53">
        <f>IF(OR($F183="",$G183=""),"",IF(AND(AV$5&lt;=$G183,AV$5+6&gt;=$F183),IF($H183="Complétée","F",IF(OR($H183="En cours",$H183="En revue"),"E",IF($H183="Bloquée","B","P"))),""))</f>
        <v/>
      </c>
      <c r="AW183" s="53">
        <f>IF(OR($F183="",$G183=""),"",IF(AND(AW$5&lt;=$G183,AW$5+6&gt;=$F183),IF($H183="Complétée","F",IF(OR($H183="En cours",$H183="En revue"),"E",IF($H183="Bloquée","B","P"))),""))</f>
        <v/>
      </c>
    </row>
    <row r="184">
      <c r="B184" s="50">
        <f>IF(Taches!B184="","",Taches!B184)</f>
        <v/>
      </c>
      <c r="C184" s="51">
        <f>IF(Taches!B184="","",Taches!F184)</f>
        <v/>
      </c>
      <c r="D184" s="50">
        <f>IF(Taches!B184="","",Taches!C184)</f>
        <v/>
      </c>
      <c r="E184" s="50">
        <f>IF(Taches!B184="","",Taches!D184)</f>
        <v/>
      </c>
      <c r="F184" s="52">
        <f>IF(Taches!P184="","",Taches!P184)</f>
        <v/>
      </c>
      <c r="G184" s="52">
        <f>IF(Taches!Q184="","",Taches!Q184)</f>
        <v/>
      </c>
      <c r="H184" s="50">
        <f>IF(Taches!B184="","",Taches!J184)</f>
        <v/>
      </c>
      <c r="I184" s="53">
        <f>IF(OR($F184="",$G184=""),"",IF(AND(I$5&lt;=$G184,I$5+6&gt;=$F184),IF($H184="Complétée","F",IF(OR($H184="En cours",$H184="En revue"),"E",IF($H184="Bloquée","B","P"))),""))</f>
        <v/>
      </c>
      <c r="J184" s="53">
        <f>IF(OR($F184="",$G184=""),"",IF(AND(J$5&lt;=$G184,J$5+6&gt;=$F184),IF($H184="Complétée","F",IF(OR($H184="En cours",$H184="En revue"),"E",IF($H184="Bloquée","B","P"))),""))</f>
        <v/>
      </c>
      <c r="K184" s="53">
        <f>IF(OR($F184="",$G184=""),"",IF(AND(K$5&lt;=$G184,K$5+6&gt;=$F184),IF($H184="Complétée","F",IF(OR($H184="En cours",$H184="En revue"),"E",IF($H184="Bloquée","B","P"))),""))</f>
        <v/>
      </c>
      <c r="L184" s="53">
        <f>IF(OR($F184="",$G184=""),"",IF(AND(L$5&lt;=$G184,L$5+6&gt;=$F184),IF($H184="Complétée","F",IF(OR($H184="En cours",$H184="En revue"),"E",IF($H184="Bloquée","B","P"))),""))</f>
        <v/>
      </c>
      <c r="M184" s="53">
        <f>IF(OR($F184="",$G184=""),"",IF(AND(M$5&lt;=$G184,M$5+6&gt;=$F184),IF($H184="Complétée","F",IF(OR($H184="En cours",$H184="En revue"),"E",IF($H184="Bloquée","B","P"))),""))</f>
        <v/>
      </c>
      <c r="N184" s="53">
        <f>IF(OR($F184="",$G184=""),"",IF(AND(N$5&lt;=$G184,N$5+6&gt;=$F184),IF($H184="Complétée","F",IF(OR($H184="En cours",$H184="En revue"),"E",IF($H184="Bloquée","B","P"))),""))</f>
        <v/>
      </c>
      <c r="O184" s="53">
        <f>IF(OR($F184="",$G184=""),"",IF(AND(O$5&lt;=$G184,O$5+6&gt;=$F184),IF($H184="Complétée","F",IF(OR($H184="En cours",$H184="En revue"),"E",IF($H184="Bloquée","B","P"))),""))</f>
        <v/>
      </c>
      <c r="P184" s="53">
        <f>IF(OR($F184="",$G184=""),"",IF(AND(P$5&lt;=$G184,P$5+6&gt;=$F184),IF($H184="Complétée","F",IF(OR($H184="En cours",$H184="En revue"),"E",IF($H184="Bloquée","B","P"))),""))</f>
        <v/>
      </c>
      <c r="Q184" s="53">
        <f>IF(OR($F184="",$G184=""),"",IF(AND(Q$5&lt;=$G184,Q$5+6&gt;=$F184),IF($H184="Complétée","F",IF(OR($H184="En cours",$H184="En revue"),"E",IF($H184="Bloquée","B","P"))),""))</f>
        <v/>
      </c>
      <c r="R184" s="53">
        <f>IF(OR($F184="",$G184=""),"",IF(AND(R$5&lt;=$G184,R$5+6&gt;=$F184),IF($H184="Complétée","F",IF(OR($H184="En cours",$H184="En revue"),"E",IF($H184="Bloquée","B","P"))),""))</f>
        <v/>
      </c>
      <c r="S184" s="53">
        <f>IF(OR($F184="",$G184=""),"",IF(AND(S$5&lt;=$G184,S$5+6&gt;=$F184),IF($H184="Complétée","F",IF(OR($H184="En cours",$H184="En revue"),"E",IF($H184="Bloquée","B","P"))),""))</f>
        <v/>
      </c>
      <c r="T184" s="53">
        <f>IF(OR($F184="",$G184=""),"",IF(AND(T$5&lt;=$G184,T$5+6&gt;=$F184),IF($H184="Complétée","F",IF(OR($H184="En cours",$H184="En revue"),"E",IF($H184="Bloquée","B","P"))),""))</f>
        <v/>
      </c>
      <c r="U184" s="53">
        <f>IF(OR($F184="",$G184=""),"",IF(AND(U$5&lt;=$G184,U$5+6&gt;=$F184),IF($H184="Complétée","F",IF(OR($H184="En cours",$H184="En revue"),"E",IF($H184="Bloquée","B","P"))),""))</f>
        <v/>
      </c>
      <c r="V184" s="53">
        <f>IF(OR($F184="",$G184=""),"",IF(AND(V$5&lt;=$G184,V$5+6&gt;=$F184),IF($H184="Complétée","F",IF(OR($H184="En cours",$H184="En revue"),"E",IF($H184="Bloquée","B","P"))),""))</f>
        <v/>
      </c>
      <c r="W184" s="53">
        <f>IF(OR($F184="",$G184=""),"",IF(AND(W$5&lt;=$G184,W$5+6&gt;=$F184),IF($H184="Complétée","F",IF(OR($H184="En cours",$H184="En revue"),"E",IF($H184="Bloquée","B","P"))),""))</f>
        <v/>
      </c>
      <c r="X184" s="53">
        <f>IF(OR($F184="",$G184=""),"",IF(AND(X$5&lt;=$G184,X$5+6&gt;=$F184),IF($H184="Complétée","F",IF(OR($H184="En cours",$H184="En revue"),"E",IF($H184="Bloquée","B","P"))),""))</f>
        <v/>
      </c>
      <c r="Y184" s="53">
        <f>IF(OR($F184="",$G184=""),"",IF(AND(Y$5&lt;=$G184,Y$5+6&gt;=$F184),IF($H184="Complétée","F",IF(OR($H184="En cours",$H184="En revue"),"E",IF($H184="Bloquée","B","P"))),""))</f>
        <v/>
      </c>
      <c r="Z184" s="53">
        <f>IF(OR($F184="",$G184=""),"",IF(AND(Z$5&lt;=$G184,Z$5+6&gt;=$F184),IF($H184="Complétée","F",IF(OR($H184="En cours",$H184="En revue"),"E",IF($H184="Bloquée","B","P"))),""))</f>
        <v/>
      </c>
      <c r="AA184" s="53">
        <f>IF(OR($F184="",$G184=""),"",IF(AND(AA$5&lt;=$G184,AA$5+6&gt;=$F184),IF($H184="Complétée","F",IF(OR($H184="En cours",$H184="En revue"),"E",IF($H184="Bloquée","B","P"))),""))</f>
        <v/>
      </c>
      <c r="AB184" s="53">
        <f>IF(OR($F184="",$G184=""),"",IF(AND(AB$5&lt;=$G184,AB$5+6&gt;=$F184),IF($H184="Complétée","F",IF(OR($H184="En cours",$H184="En revue"),"E",IF($H184="Bloquée","B","P"))),""))</f>
        <v/>
      </c>
      <c r="AC184" s="53">
        <f>IF(OR($F184="",$G184=""),"",IF(AND(AC$5&lt;=$G184,AC$5+6&gt;=$F184),IF($H184="Complétée","F",IF(OR($H184="En cours",$H184="En revue"),"E",IF($H184="Bloquée","B","P"))),""))</f>
        <v/>
      </c>
      <c r="AD184" s="53">
        <f>IF(OR($F184="",$G184=""),"",IF(AND(AD$5&lt;=$G184,AD$5+6&gt;=$F184),IF($H184="Complétée","F",IF(OR($H184="En cours",$H184="En revue"),"E",IF($H184="Bloquée","B","P"))),""))</f>
        <v/>
      </c>
      <c r="AE184" s="53">
        <f>IF(OR($F184="",$G184=""),"",IF(AND(AE$5&lt;=$G184,AE$5+6&gt;=$F184),IF($H184="Complétée","F",IF(OR($H184="En cours",$H184="En revue"),"E",IF($H184="Bloquée","B","P"))),""))</f>
        <v/>
      </c>
      <c r="AF184" s="53">
        <f>IF(OR($F184="",$G184=""),"",IF(AND(AF$5&lt;=$G184,AF$5+6&gt;=$F184),IF($H184="Complétée","F",IF(OR($H184="En cours",$H184="En revue"),"E",IF($H184="Bloquée","B","P"))),""))</f>
        <v/>
      </c>
      <c r="AG184" s="53">
        <f>IF(OR($F184="",$G184=""),"",IF(AND(AG$5&lt;=$G184,AG$5+6&gt;=$F184),IF($H184="Complétée","F",IF(OR($H184="En cours",$H184="En revue"),"E",IF($H184="Bloquée","B","P"))),""))</f>
        <v/>
      </c>
      <c r="AH184" s="53">
        <f>IF(OR($F184="",$G184=""),"",IF(AND(AH$5&lt;=$G184,AH$5+6&gt;=$F184),IF($H184="Complétée","F",IF(OR($H184="En cours",$H184="En revue"),"E",IF($H184="Bloquée","B","P"))),""))</f>
        <v/>
      </c>
      <c r="AI184" s="53">
        <f>IF(OR($F184="",$G184=""),"",IF(AND(AI$5&lt;=$G184,AI$5+6&gt;=$F184),IF($H184="Complétée","F",IF(OR($H184="En cours",$H184="En revue"),"E",IF($H184="Bloquée","B","P"))),""))</f>
        <v/>
      </c>
      <c r="AJ184" s="53">
        <f>IF(OR($F184="",$G184=""),"",IF(AND(AJ$5&lt;=$G184,AJ$5+6&gt;=$F184),IF($H184="Complétée","F",IF(OR($H184="En cours",$H184="En revue"),"E",IF($H184="Bloquée","B","P"))),""))</f>
        <v/>
      </c>
      <c r="AK184" s="53">
        <f>IF(OR($F184="",$G184=""),"",IF(AND(AK$5&lt;=$G184,AK$5+6&gt;=$F184),IF($H184="Complétée","F",IF(OR($H184="En cours",$H184="En revue"),"E",IF($H184="Bloquée","B","P"))),""))</f>
        <v/>
      </c>
      <c r="AL184" s="53">
        <f>IF(OR($F184="",$G184=""),"",IF(AND(AL$5&lt;=$G184,AL$5+6&gt;=$F184),IF($H184="Complétée","F",IF(OR($H184="En cours",$H184="En revue"),"E",IF($H184="Bloquée","B","P"))),""))</f>
        <v/>
      </c>
      <c r="AM184" s="53">
        <f>IF(OR($F184="",$G184=""),"",IF(AND(AM$5&lt;=$G184,AM$5+6&gt;=$F184),IF($H184="Complétée","F",IF(OR($H184="En cours",$H184="En revue"),"E",IF($H184="Bloquée","B","P"))),""))</f>
        <v/>
      </c>
      <c r="AN184" s="53">
        <f>IF(OR($F184="",$G184=""),"",IF(AND(AN$5&lt;=$G184,AN$5+6&gt;=$F184),IF($H184="Complétée","F",IF(OR($H184="En cours",$H184="En revue"),"E",IF($H184="Bloquée","B","P"))),""))</f>
        <v/>
      </c>
      <c r="AO184" s="53">
        <f>IF(OR($F184="",$G184=""),"",IF(AND(AO$5&lt;=$G184,AO$5+6&gt;=$F184),IF($H184="Complétée","F",IF(OR($H184="En cours",$H184="En revue"),"E",IF($H184="Bloquée","B","P"))),""))</f>
        <v/>
      </c>
      <c r="AP184" s="53">
        <f>IF(OR($F184="",$G184=""),"",IF(AND(AP$5&lt;=$G184,AP$5+6&gt;=$F184),IF($H184="Complétée","F",IF(OR($H184="En cours",$H184="En revue"),"E",IF($H184="Bloquée","B","P"))),""))</f>
        <v/>
      </c>
      <c r="AQ184" s="53">
        <f>IF(OR($F184="",$G184=""),"",IF(AND(AQ$5&lt;=$G184,AQ$5+6&gt;=$F184),IF($H184="Complétée","F",IF(OR($H184="En cours",$H184="En revue"),"E",IF($H184="Bloquée","B","P"))),""))</f>
        <v/>
      </c>
      <c r="AR184" s="53">
        <f>IF(OR($F184="",$G184=""),"",IF(AND(AR$5&lt;=$G184,AR$5+6&gt;=$F184),IF($H184="Complétée","F",IF(OR($H184="En cours",$H184="En revue"),"E",IF($H184="Bloquée","B","P"))),""))</f>
        <v/>
      </c>
      <c r="AS184" s="53">
        <f>IF(OR($F184="",$G184=""),"",IF(AND(AS$5&lt;=$G184,AS$5+6&gt;=$F184),IF($H184="Complétée","F",IF(OR($H184="En cours",$H184="En revue"),"E",IF($H184="Bloquée","B","P"))),""))</f>
        <v/>
      </c>
      <c r="AT184" s="53">
        <f>IF(OR($F184="",$G184=""),"",IF(AND(AT$5&lt;=$G184,AT$5+6&gt;=$F184),IF($H184="Complétée","F",IF(OR($H184="En cours",$H184="En revue"),"E",IF($H184="Bloquée","B","P"))),""))</f>
        <v/>
      </c>
      <c r="AU184" s="53">
        <f>IF(OR($F184="",$G184=""),"",IF(AND(AU$5&lt;=$G184,AU$5+6&gt;=$F184),IF($H184="Complétée","F",IF(OR($H184="En cours",$H184="En revue"),"E",IF($H184="Bloquée","B","P"))),""))</f>
        <v/>
      </c>
      <c r="AV184" s="53">
        <f>IF(OR($F184="",$G184=""),"",IF(AND(AV$5&lt;=$G184,AV$5+6&gt;=$F184),IF($H184="Complétée","F",IF(OR($H184="En cours",$H184="En revue"),"E",IF($H184="Bloquée","B","P"))),""))</f>
        <v/>
      </c>
      <c r="AW184" s="53">
        <f>IF(OR($F184="",$G184=""),"",IF(AND(AW$5&lt;=$G184,AW$5+6&gt;=$F184),IF($H184="Complétée","F",IF(OR($H184="En cours",$H184="En revue"),"E",IF($H184="Bloquée","B","P"))),""))</f>
        <v/>
      </c>
    </row>
    <row r="185">
      <c r="B185" s="50">
        <f>IF(Taches!B185="","",Taches!B185)</f>
        <v/>
      </c>
      <c r="C185" s="51">
        <f>IF(Taches!B185="","",Taches!F185)</f>
        <v/>
      </c>
      <c r="D185" s="50">
        <f>IF(Taches!B185="","",Taches!C185)</f>
        <v/>
      </c>
      <c r="E185" s="50">
        <f>IF(Taches!B185="","",Taches!D185)</f>
        <v/>
      </c>
      <c r="F185" s="52">
        <f>IF(Taches!P185="","",Taches!P185)</f>
        <v/>
      </c>
      <c r="G185" s="52">
        <f>IF(Taches!Q185="","",Taches!Q185)</f>
        <v/>
      </c>
      <c r="H185" s="50">
        <f>IF(Taches!B185="","",Taches!J185)</f>
        <v/>
      </c>
      <c r="I185" s="53">
        <f>IF(OR($F185="",$G185=""),"",IF(AND(I$5&lt;=$G185,I$5+6&gt;=$F185),IF($H185="Complétée","F",IF(OR($H185="En cours",$H185="En revue"),"E",IF($H185="Bloquée","B","P"))),""))</f>
        <v/>
      </c>
      <c r="J185" s="53">
        <f>IF(OR($F185="",$G185=""),"",IF(AND(J$5&lt;=$G185,J$5+6&gt;=$F185),IF($H185="Complétée","F",IF(OR($H185="En cours",$H185="En revue"),"E",IF($H185="Bloquée","B","P"))),""))</f>
        <v/>
      </c>
      <c r="K185" s="53">
        <f>IF(OR($F185="",$G185=""),"",IF(AND(K$5&lt;=$G185,K$5+6&gt;=$F185),IF($H185="Complétée","F",IF(OR($H185="En cours",$H185="En revue"),"E",IF($H185="Bloquée","B","P"))),""))</f>
        <v/>
      </c>
      <c r="L185" s="53">
        <f>IF(OR($F185="",$G185=""),"",IF(AND(L$5&lt;=$G185,L$5+6&gt;=$F185),IF($H185="Complétée","F",IF(OR($H185="En cours",$H185="En revue"),"E",IF($H185="Bloquée","B","P"))),""))</f>
        <v/>
      </c>
      <c r="M185" s="53">
        <f>IF(OR($F185="",$G185=""),"",IF(AND(M$5&lt;=$G185,M$5+6&gt;=$F185),IF($H185="Complétée","F",IF(OR($H185="En cours",$H185="En revue"),"E",IF($H185="Bloquée","B","P"))),""))</f>
        <v/>
      </c>
      <c r="N185" s="53">
        <f>IF(OR($F185="",$G185=""),"",IF(AND(N$5&lt;=$G185,N$5+6&gt;=$F185),IF($H185="Complétée","F",IF(OR($H185="En cours",$H185="En revue"),"E",IF($H185="Bloquée","B","P"))),""))</f>
        <v/>
      </c>
      <c r="O185" s="53">
        <f>IF(OR($F185="",$G185=""),"",IF(AND(O$5&lt;=$G185,O$5+6&gt;=$F185),IF($H185="Complétée","F",IF(OR($H185="En cours",$H185="En revue"),"E",IF($H185="Bloquée","B","P"))),""))</f>
        <v/>
      </c>
      <c r="P185" s="53">
        <f>IF(OR($F185="",$G185=""),"",IF(AND(P$5&lt;=$G185,P$5+6&gt;=$F185),IF($H185="Complétée","F",IF(OR($H185="En cours",$H185="En revue"),"E",IF($H185="Bloquée","B","P"))),""))</f>
        <v/>
      </c>
      <c r="Q185" s="53">
        <f>IF(OR($F185="",$G185=""),"",IF(AND(Q$5&lt;=$G185,Q$5+6&gt;=$F185),IF($H185="Complétée","F",IF(OR($H185="En cours",$H185="En revue"),"E",IF($H185="Bloquée","B","P"))),""))</f>
        <v/>
      </c>
      <c r="R185" s="53">
        <f>IF(OR($F185="",$G185=""),"",IF(AND(R$5&lt;=$G185,R$5+6&gt;=$F185),IF($H185="Complétée","F",IF(OR($H185="En cours",$H185="En revue"),"E",IF($H185="Bloquée","B","P"))),""))</f>
        <v/>
      </c>
      <c r="S185" s="53">
        <f>IF(OR($F185="",$G185=""),"",IF(AND(S$5&lt;=$G185,S$5+6&gt;=$F185),IF($H185="Complétée","F",IF(OR($H185="En cours",$H185="En revue"),"E",IF($H185="Bloquée","B","P"))),""))</f>
        <v/>
      </c>
      <c r="T185" s="53">
        <f>IF(OR($F185="",$G185=""),"",IF(AND(T$5&lt;=$G185,T$5+6&gt;=$F185),IF($H185="Complétée","F",IF(OR($H185="En cours",$H185="En revue"),"E",IF($H185="Bloquée","B","P"))),""))</f>
        <v/>
      </c>
      <c r="U185" s="53">
        <f>IF(OR($F185="",$G185=""),"",IF(AND(U$5&lt;=$G185,U$5+6&gt;=$F185),IF($H185="Complétée","F",IF(OR($H185="En cours",$H185="En revue"),"E",IF($H185="Bloquée","B","P"))),""))</f>
        <v/>
      </c>
      <c r="V185" s="53">
        <f>IF(OR($F185="",$G185=""),"",IF(AND(V$5&lt;=$G185,V$5+6&gt;=$F185),IF($H185="Complétée","F",IF(OR($H185="En cours",$H185="En revue"),"E",IF($H185="Bloquée","B","P"))),""))</f>
        <v/>
      </c>
      <c r="W185" s="53">
        <f>IF(OR($F185="",$G185=""),"",IF(AND(W$5&lt;=$G185,W$5+6&gt;=$F185),IF($H185="Complétée","F",IF(OR($H185="En cours",$H185="En revue"),"E",IF($H185="Bloquée","B","P"))),""))</f>
        <v/>
      </c>
      <c r="X185" s="53">
        <f>IF(OR($F185="",$G185=""),"",IF(AND(X$5&lt;=$G185,X$5+6&gt;=$F185),IF($H185="Complétée","F",IF(OR($H185="En cours",$H185="En revue"),"E",IF($H185="Bloquée","B","P"))),""))</f>
        <v/>
      </c>
      <c r="Y185" s="53">
        <f>IF(OR($F185="",$G185=""),"",IF(AND(Y$5&lt;=$G185,Y$5+6&gt;=$F185),IF($H185="Complétée","F",IF(OR($H185="En cours",$H185="En revue"),"E",IF($H185="Bloquée","B","P"))),""))</f>
        <v/>
      </c>
      <c r="Z185" s="53">
        <f>IF(OR($F185="",$G185=""),"",IF(AND(Z$5&lt;=$G185,Z$5+6&gt;=$F185),IF($H185="Complétée","F",IF(OR($H185="En cours",$H185="En revue"),"E",IF($H185="Bloquée","B","P"))),""))</f>
        <v/>
      </c>
      <c r="AA185" s="53">
        <f>IF(OR($F185="",$G185=""),"",IF(AND(AA$5&lt;=$G185,AA$5+6&gt;=$F185),IF($H185="Complétée","F",IF(OR($H185="En cours",$H185="En revue"),"E",IF($H185="Bloquée","B","P"))),""))</f>
        <v/>
      </c>
      <c r="AB185" s="53">
        <f>IF(OR($F185="",$G185=""),"",IF(AND(AB$5&lt;=$G185,AB$5+6&gt;=$F185),IF($H185="Complétée","F",IF(OR($H185="En cours",$H185="En revue"),"E",IF($H185="Bloquée","B","P"))),""))</f>
        <v/>
      </c>
      <c r="AC185" s="53">
        <f>IF(OR($F185="",$G185=""),"",IF(AND(AC$5&lt;=$G185,AC$5+6&gt;=$F185),IF($H185="Complétée","F",IF(OR($H185="En cours",$H185="En revue"),"E",IF($H185="Bloquée","B","P"))),""))</f>
        <v/>
      </c>
      <c r="AD185" s="53">
        <f>IF(OR($F185="",$G185=""),"",IF(AND(AD$5&lt;=$G185,AD$5+6&gt;=$F185),IF($H185="Complétée","F",IF(OR($H185="En cours",$H185="En revue"),"E",IF($H185="Bloquée","B","P"))),""))</f>
        <v/>
      </c>
      <c r="AE185" s="53">
        <f>IF(OR($F185="",$G185=""),"",IF(AND(AE$5&lt;=$G185,AE$5+6&gt;=$F185),IF($H185="Complétée","F",IF(OR($H185="En cours",$H185="En revue"),"E",IF($H185="Bloquée","B","P"))),""))</f>
        <v/>
      </c>
      <c r="AF185" s="53">
        <f>IF(OR($F185="",$G185=""),"",IF(AND(AF$5&lt;=$G185,AF$5+6&gt;=$F185),IF($H185="Complétée","F",IF(OR($H185="En cours",$H185="En revue"),"E",IF($H185="Bloquée","B","P"))),""))</f>
        <v/>
      </c>
      <c r="AG185" s="53">
        <f>IF(OR($F185="",$G185=""),"",IF(AND(AG$5&lt;=$G185,AG$5+6&gt;=$F185),IF($H185="Complétée","F",IF(OR($H185="En cours",$H185="En revue"),"E",IF($H185="Bloquée","B","P"))),""))</f>
        <v/>
      </c>
      <c r="AH185" s="53">
        <f>IF(OR($F185="",$G185=""),"",IF(AND(AH$5&lt;=$G185,AH$5+6&gt;=$F185),IF($H185="Complétée","F",IF(OR($H185="En cours",$H185="En revue"),"E",IF($H185="Bloquée","B","P"))),""))</f>
        <v/>
      </c>
      <c r="AI185" s="53">
        <f>IF(OR($F185="",$G185=""),"",IF(AND(AI$5&lt;=$G185,AI$5+6&gt;=$F185),IF($H185="Complétée","F",IF(OR($H185="En cours",$H185="En revue"),"E",IF($H185="Bloquée","B","P"))),""))</f>
        <v/>
      </c>
      <c r="AJ185" s="53">
        <f>IF(OR($F185="",$G185=""),"",IF(AND(AJ$5&lt;=$G185,AJ$5+6&gt;=$F185),IF($H185="Complétée","F",IF(OR($H185="En cours",$H185="En revue"),"E",IF($H185="Bloquée","B","P"))),""))</f>
        <v/>
      </c>
      <c r="AK185" s="53">
        <f>IF(OR($F185="",$G185=""),"",IF(AND(AK$5&lt;=$G185,AK$5+6&gt;=$F185),IF($H185="Complétée","F",IF(OR($H185="En cours",$H185="En revue"),"E",IF($H185="Bloquée","B","P"))),""))</f>
        <v/>
      </c>
      <c r="AL185" s="53">
        <f>IF(OR($F185="",$G185=""),"",IF(AND(AL$5&lt;=$G185,AL$5+6&gt;=$F185),IF($H185="Complétée","F",IF(OR($H185="En cours",$H185="En revue"),"E",IF($H185="Bloquée","B","P"))),""))</f>
        <v/>
      </c>
      <c r="AM185" s="53">
        <f>IF(OR($F185="",$G185=""),"",IF(AND(AM$5&lt;=$G185,AM$5+6&gt;=$F185),IF($H185="Complétée","F",IF(OR($H185="En cours",$H185="En revue"),"E",IF($H185="Bloquée","B","P"))),""))</f>
        <v/>
      </c>
      <c r="AN185" s="53">
        <f>IF(OR($F185="",$G185=""),"",IF(AND(AN$5&lt;=$G185,AN$5+6&gt;=$F185),IF($H185="Complétée","F",IF(OR($H185="En cours",$H185="En revue"),"E",IF($H185="Bloquée","B","P"))),""))</f>
        <v/>
      </c>
      <c r="AO185" s="53">
        <f>IF(OR($F185="",$G185=""),"",IF(AND(AO$5&lt;=$G185,AO$5+6&gt;=$F185),IF($H185="Complétée","F",IF(OR($H185="En cours",$H185="En revue"),"E",IF($H185="Bloquée","B","P"))),""))</f>
        <v/>
      </c>
      <c r="AP185" s="53">
        <f>IF(OR($F185="",$G185=""),"",IF(AND(AP$5&lt;=$G185,AP$5+6&gt;=$F185),IF($H185="Complétée","F",IF(OR($H185="En cours",$H185="En revue"),"E",IF($H185="Bloquée","B","P"))),""))</f>
        <v/>
      </c>
      <c r="AQ185" s="53">
        <f>IF(OR($F185="",$G185=""),"",IF(AND(AQ$5&lt;=$G185,AQ$5+6&gt;=$F185),IF($H185="Complétée","F",IF(OR($H185="En cours",$H185="En revue"),"E",IF($H185="Bloquée","B","P"))),""))</f>
        <v/>
      </c>
      <c r="AR185" s="53">
        <f>IF(OR($F185="",$G185=""),"",IF(AND(AR$5&lt;=$G185,AR$5+6&gt;=$F185),IF($H185="Complétée","F",IF(OR($H185="En cours",$H185="En revue"),"E",IF($H185="Bloquée","B","P"))),""))</f>
        <v/>
      </c>
      <c r="AS185" s="53">
        <f>IF(OR($F185="",$G185=""),"",IF(AND(AS$5&lt;=$G185,AS$5+6&gt;=$F185),IF($H185="Complétée","F",IF(OR($H185="En cours",$H185="En revue"),"E",IF($H185="Bloquée","B","P"))),""))</f>
        <v/>
      </c>
      <c r="AT185" s="53">
        <f>IF(OR($F185="",$G185=""),"",IF(AND(AT$5&lt;=$G185,AT$5+6&gt;=$F185),IF($H185="Complétée","F",IF(OR($H185="En cours",$H185="En revue"),"E",IF($H185="Bloquée","B","P"))),""))</f>
        <v/>
      </c>
      <c r="AU185" s="53">
        <f>IF(OR($F185="",$G185=""),"",IF(AND(AU$5&lt;=$G185,AU$5+6&gt;=$F185),IF($H185="Complétée","F",IF(OR($H185="En cours",$H185="En revue"),"E",IF($H185="Bloquée","B","P"))),""))</f>
        <v/>
      </c>
      <c r="AV185" s="53">
        <f>IF(OR($F185="",$G185=""),"",IF(AND(AV$5&lt;=$G185,AV$5+6&gt;=$F185),IF($H185="Complétée","F",IF(OR($H185="En cours",$H185="En revue"),"E",IF($H185="Bloquée","B","P"))),""))</f>
        <v/>
      </c>
      <c r="AW185" s="53">
        <f>IF(OR($F185="",$G185=""),"",IF(AND(AW$5&lt;=$G185,AW$5+6&gt;=$F185),IF($H185="Complétée","F",IF(OR($H185="En cours",$H185="En revue"),"E",IF($H185="Bloquée","B","P"))),""))</f>
        <v/>
      </c>
    </row>
    <row r="186">
      <c r="B186" s="50">
        <f>IF(Taches!B186="","",Taches!B186)</f>
        <v/>
      </c>
      <c r="C186" s="51">
        <f>IF(Taches!B186="","",Taches!F186)</f>
        <v/>
      </c>
      <c r="D186" s="50">
        <f>IF(Taches!B186="","",Taches!C186)</f>
        <v/>
      </c>
      <c r="E186" s="50">
        <f>IF(Taches!B186="","",Taches!D186)</f>
        <v/>
      </c>
      <c r="F186" s="52">
        <f>IF(Taches!P186="","",Taches!P186)</f>
        <v/>
      </c>
      <c r="G186" s="52">
        <f>IF(Taches!Q186="","",Taches!Q186)</f>
        <v/>
      </c>
      <c r="H186" s="50">
        <f>IF(Taches!B186="","",Taches!J186)</f>
        <v/>
      </c>
      <c r="I186" s="53">
        <f>IF(OR($F186="",$G186=""),"",IF(AND(I$5&lt;=$G186,I$5+6&gt;=$F186),IF($H186="Complétée","F",IF(OR($H186="En cours",$H186="En revue"),"E",IF($H186="Bloquée","B","P"))),""))</f>
        <v/>
      </c>
      <c r="J186" s="53">
        <f>IF(OR($F186="",$G186=""),"",IF(AND(J$5&lt;=$G186,J$5+6&gt;=$F186),IF($H186="Complétée","F",IF(OR($H186="En cours",$H186="En revue"),"E",IF($H186="Bloquée","B","P"))),""))</f>
        <v/>
      </c>
      <c r="K186" s="53">
        <f>IF(OR($F186="",$G186=""),"",IF(AND(K$5&lt;=$G186,K$5+6&gt;=$F186),IF($H186="Complétée","F",IF(OR($H186="En cours",$H186="En revue"),"E",IF($H186="Bloquée","B","P"))),""))</f>
        <v/>
      </c>
      <c r="L186" s="53">
        <f>IF(OR($F186="",$G186=""),"",IF(AND(L$5&lt;=$G186,L$5+6&gt;=$F186),IF($H186="Complétée","F",IF(OR($H186="En cours",$H186="En revue"),"E",IF($H186="Bloquée","B","P"))),""))</f>
        <v/>
      </c>
      <c r="M186" s="53">
        <f>IF(OR($F186="",$G186=""),"",IF(AND(M$5&lt;=$G186,M$5+6&gt;=$F186),IF($H186="Complétée","F",IF(OR($H186="En cours",$H186="En revue"),"E",IF($H186="Bloquée","B","P"))),""))</f>
        <v/>
      </c>
      <c r="N186" s="53">
        <f>IF(OR($F186="",$G186=""),"",IF(AND(N$5&lt;=$G186,N$5+6&gt;=$F186),IF($H186="Complétée","F",IF(OR($H186="En cours",$H186="En revue"),"E",IF($H186="Bloquée","B","P"))),""))</f>
        <v/>
      </c>
      <c r="O186" s="53">
        <f>IF(OR($F186="",$G186=""),"",IF(AND(O$5&lt;=$G186,O$5+6&gt;=$F186),IF($H186="Complétée","F",IF(OR($H186="En cours",$H186="En revue"),"E",IF($H186="Bloquée","B","P"))),""))</f>
        <v/>
      </c>
      <c r="P186" s="53">
        <f>IF(OR($F186="",$G186=""),"",IF(AND(P$5&lt;=$G186,P$5+6&gt;=$F186),IF($H186="Complétée","F",IF(OR($H186="En cours",$H186="En revue"),"E",IF($H186="Bloquée","B","P"))),""))</f>
        <v/>
      </c>
      <c r="Q186" s="53">
        <f>IF(OR($F186="",$G186=""),"",IF(AND(Q$5&lt;=$G186,Q$5+6&gt;=$F186),IF($H186="Complétée","F",IF(OR($H186="En cours",$H186="En revue"),"E",IF($H186="Bloquée","B","P"))),""))</f>
        <v/>
      </c>
      <c r="R186" s="53">
        <f>IF(OR($F186="",$G186=""),"",IF(AND(R$5&lt;=$G186,R$5+6&gt;=$F186),IF($H186="Complétée","F",IF(OR($H186="En cours",$H186="En revue"),"E",IF($H186="Bloquée","B","P"))),""))</f>
        <v/>
      </c>
      <c r="S186" s="53">
        <f>IF(OR($F186="",$G186=""),"",IF(AND(S$5&lt;=$G186,S$5+6&gt;=$F186),IF($H186="Complétée","F",IF(OR($H186="En cours",$H186="En revue"),"E",IF($H186="Bloquée","B","P"))),""))</f>
        <v/>
      </c>
      <c r="T186" s="53">
        <f>IF(OR($F186="",$G186=""),"",IF(AND(T$5&lt;=$G186,T$5+6&gt;=$F186),IF($H186="Complétée","F",IF(OR($H186="En cours",$H186="En revue"),"E",IF($H186="Bloquée","B","P"))),""))</f>
        <v/>
      </c>
      <c r="U186" s="53">
        <f>IF(OR($F186="",$G186=""),"",IF(AND(U$5&lt;=$G186,U$5+6&gt;=$F186),IF($H186="Complétée","F",IF(OR($H186="En cours",$H186="En revue"),"E",IF($H186="Bloquée","B","P"))),""))</f>
        <v/>
      </c>
      <c r="V186" s="53">
        <f>IF(OR($F186="",$G186=""),"",IF(AND(V$5&lt;=$G186,V$5+6&gt;=$F186),IF($H186="Complétée","F",IF(OR($H186="En cours",$H186="En revue"),"E",IF($H186="Bloquée","B","P"))),""))</f>
        <v/>
      </c>
      <c r="W186" s="53">
        <f>IF(OR($F186="",$G186=""),"",IF(AND(W$5&lt;=$G186,W$5+6&gt;=$F186),IF($H186="Complétée","F",IF(OR($H186="En cours",$H186="En revue"),"E",IF($H186="Bloquée","B","P"))),""))</f>
        <v/>
      </c>
      <c r="X186" s="53">
        <f>IF(OR($F186="",$G186=""),"",IF(AND(X$5&lt;=$G186,X$5+6&gt;=$F186),IF($H186="Complétée","F",IF(OR($H186="En cours",$H186="En revue"),"E",IF($H186="Bloquée","B","P"))),""))</f>
        <v/>
      </c>
      <c r="Y186" s="53">
        <f>IF(OR($F186="",$G186=""),"",IF(AND(Y$5&lt;=$G186,Y$5+6&gt;=$F186),IF($H186="Complétée","F",IF(OR($H186="En cours",$H186="En revue"),"E",IF($H186="Bloquée","B","P"))),""))</f>
        <v/>
      </c>
      <c r="Z186" s="53">
        <f>IF(OR($F186="",$G186=""),"",IF(AND(Z$5&lt;=$G186,Z$5+6&gt;=$F186),IF($H186="Complétée","F",IF(OR($H186="En cours",$H186="En revue"),"E",IF($H186="Bloquée","B","P"))),""))</f>
        <v/>
      </c>
      <c r="AA186" s="53">
        <f>IF(OR($F186="",$G186=""),"",IF(AND(AA$5&lt;=$G186,AA$5+6&gt;=$F186),IF($H186="Complétée","F",IF(OR($H186="En cours",$H186="En revue"),"E",IF($H186="Bloquée","B","P"))),""))</f>
        <v/>
      </c>
      <c r="AB186" s="53">
        <f>IF(OR($F186="",$G186=""),"",IF(AND(AB$5&lt;=$G186,AB$5+6&gt;=$F186),IF($H186="Complétée","F",IF(OR($H186="En cours",$H186="En revue"),"E",IF($H186="Bloquée","B","P"))),""))</f>
        <v/>
      </c>
      <c r="AC186" s="53">
        <f>IF(OR($F186="",$G186=""),"",IF(AND(AC$5&lt;=$G186,AC$5+6&gt;=$F186),IF($H186="Complétée","F",IF(OR($H186="En cours",$H186="En revue"),"E",IF($H186="Bloquée","B","P"))),""))</f>
        <v/>
      </c>
      <c r="AD186" s="53">
        <f>IF(OR($F186="",$G186=""),"",IF(AND(AD$5&lt;=$G186,AD$5+6&gt;=$F186),IF($H186="Complétée","F",IF(OR($H186="En cours",$H186="En revue"),"E",IF($H186="Bloquée","B","P"))),""))</f>
        <v/>
      </c>
      <c r="AE186" s="53">
        <f>IF(OR($F186="",$G186=""),"",IF(AND(AE$5&lt;=$G186,AE$5+6&gt;=$F186),IF($H186="Complétée","F",IF(OR($H186="En cours",$H186="En revue"),"E",IF($H186="Bloquée","B","P"))),""))</f>
        <v/>
      </c>
      <c r="AF186" s="53">
        <f>IF(OR($F186="",$G186=""),"",IF(AND(AF$5&lt;=$G186,AF$5+6&gt;=$F186),IF($H186="Complétée","F",IF(OR($H186="En cours",$H186="En revue"),"E",IF($H186="Bloquée","B","P"))),""))</f>
        <v/>
      </c>
      <c r="AG186" s="53">
        <f>IF(OR($F186="",$G186=""),"",IF(AND(AG$5&lt;=$G186,AG$5+6&gt;=$F186),IF($H186="Complétée","F",IF(OR($H186="En cours",$H186="En revue"),"E",IF($H186="Bloquée","B","P"))),""))</f>
        <v/>
      </c>
      <c r="AH186" s="53">
        <f>IF(OR($F186="",$G186=""),"",IF(AND(AH$5&lt;=$G186,AH$5+6&gt;=$F186),IF($H186="Complétée","F",IF(OR($H186="En cours",$H186="En revue"),"E",IF($H186="Bloquée","B","P"))),""))</f>
        <v/>
      </c>
      <c r="AI186" s="53">
        <f>IF(OR($F186="",$G186=""),"",IF(AND(AI$5&lt;=$G186,AI$5+6&gt;=$F186),IF($H186="Complétée","F",IF(OR($H186="En cours",$H186="En revue"),"E",IF($H186="Bloquée","B","P"))),""))</f>
        <v/>
      </c>
      <c r="AJ186" s="53">
        <f>IF(OR($F186="",$G186=""),"",IF(AND(AJ$5&lt;=$G186,AJ$5+6&gt;=$F186),IF($H186="Complétée","F",IF(OR($H186="En cours",$H186="En revue"),"E",IF($H186="Bloquée","B","P"))),""))</f>
        <v/>
      </c>
      <c r="AK186" s="53">
        <f>IF(OR($F186="",$G186=""),"",IF(AND(AK$5&lt;=$G186,AK$5+6&gt;=$F186),IF($H186="Complétée","F",IF(OR($H186="En cours",$H186="En revue"),"E",IF($H186="Bloquée","B","P"))),""))</f>
        <v/>
      </c>
      <c r="AL186" s="53">
        <f>IF(OR($F186="",$G186=""),"",IF(AND(AL$5&lt;=$G186,AL$5+6&gt;=$F186),IF($H186="Complétée","F",IF(OR($H186="En cours",$H186="En revue"),"E",IF($H186="Bloquée","B","P"))),""))</f>
        <v/>
      </c>
      <c r="AM186" s="53">
        <f>IF(OR($F186="",$G186=""),"",IF(AND(AM$5&lt;=$G186,AM$5+6&gt;=$F186),IF($H186="Complétée","F",IF(OR($H186="En cours",$H186="En revue"),"E",IF($H186="Bloquée","B","P"))),""))</f>
        <v/>
      </c>
      <c r="AN186" s="53">
        <f>IF(OR($F186="",$G186=""),"",IF(AND(AN$5&lt;=$G186,AN$5+6&gt;=$F186),IF($H186="Complétée","F",IF(OR($H186="En cours",$H186="En revue"),"E",IF($H186="Bloquée","B","P"))),""))</f>
        <v/>
      </c>
      <c r="AO186" s="53">
        <f>IF(OR($F186="",$G186=""),"",IF(AND(AO$5&lt;=$G186,AO$5+6&gt;=$F186),IF($H186="Complétée","F",IF(OR($H186="En cours",$H186="En revue"),"E",IF($H186="Bloquée","B","P"))),""))</f>
        <v/>
      </c>
      <c r="AP186" s="53">
        <f>IF(OR($F186="",$G186=""),"",IF(AND(AP$5&lt;=$G186,AP$5+6&gt;=$F186),IF($H186="Complétée","F",IF(OR($H186="En cours",$H186="En revue"),"E",IF($H186="Bloquée","B","P"))),""))</f>
        <v/>
      </c>
      <c r="AQ186" s="53">
        <f>IF(OR($F186="",$G186=""),"",IF(AND(AQ$5&lt;=$G186,AQ$5+6&gt;=$F186),IF($H186="Complétée","F",IF(OR($H186="En cours",$H186="En revue"),"E",IF($H186="Bloquée","B","P"))),""))</f>
        <v/>
      </c>
      <c r="AR186" s="53">
        <f>IF(OR($F186="",$G186=""),"",IF(AND(AR$5&lt;=$G186,AR$5+6&gt;=$F186),IF($H186="Complétée","F",IF(OR($H186="En cours",$H186="En revue"),"E",IF($H186="Bloquée","B","P"))),""))</f>
        <v/>
      </c>
      <c r="AS186" s="53">
        <f>IF(OR($F186="",$G186=""),"",IF(AND(AS$5&lt;=$G186,AS$5+6&gt;=$F186),IF($H186="Complétée","F",IF(OR($H186="En cours",$H186="En revue"),"E",IF($H186="Bloquée","B","P"))),""))</f>
        <v/>
      </c>
      <c r="AT186" s="53">
        <f>IF(OR($F186="",$G186=""),"",IF(AND(AT$5&lt;=$G186,AT$5+6&gt;=$F186),IF($H186="Complétée","F",IF(OR($H186="En cours",$H186="En revue"),"E",IF($H186="Bloquée","B","P"))),""))</f>
        <v/>
      </c>
      <c r="AU186" s="53">
        <f>IF(OR($F186="",$G186=""),"",IF(AND(AU$5&lt;=$G186,AU$5+6&gt;=$F186),IF($H186="Complétée","F",IF(OR($H186="En cours",$H186="En revue"),"E",IF($H186="Bloquée","B","P"))),""))</f>
        <v/>
      </c>
      <c r="AV186" s="53">
        <f>IF(OR($F186="",$G186=""),"",IF(AND(AV$5&lt;=$G186,AV$5+6&gt;=$F186),IF($H186="Complétée","F",IF(OR($H186="En cours",$H186="En revue"),"E",IF($H186="Bloquée","B","P"))),""))</f>
        <v/>
      </c>
      <c r="AW186" s="53">
        <f>IF(OR($F186="",$G186=""),"",IF(AND(AW$5&lt;=$G186,AW$5+6&gt;=$F186),IF($H186="Complétée","F",IF(OR($H186="En cours",$H186="En revue"),"E",IF($H186="Bloquée","B","P"))),""))</f>
        <v/>
      </c>
    </row>
    <row r="187">
      <c r="B187" s="50">
        <f>IF(Taches!B187="","",Taches!B187)</f>
        <v/>
      </c>
      <c r="C187" s="51">
        <f>IF(Taches!B187="","",Taches!F187)</f>
        <v/>
      </c>
      <c r="D187" s="50">
        <f>IF(Taches!B187="","",Taches!C187)</f>
        <v/>
      </c>
      <c r="E187" s="50">
        <f>IF(Taches!B187="","",Taches!D187)</f>
        <v/>
      </c>
      <c r="F187" s="52">
        <f>IF(Taches!P187="","",Taches!P187)</f>
        <v/>
      </c>
      <c r="G187" s="52">
        <f>IF(Taches!Q187="","",Taches!Q187)</f>
        <v/>
      </c>
      <c r="H187" s="50">
        <f>IF(Taches!B187="","",Taches!J187)</f>
        <v/>
      </c>
      <c r="I187" s="53">
        <f>IF(OR($F187="",$G187=""),"",IF(AND(I$5&lt;=$G187,I$5+6&gt;=$F187),IF($H187="Complétée","F",IF(OR($H187="En cours",$H187="En revue"),"E",IF($H187="Bloquée","B","P"))),""))</f>
        <v/>
      </c>
      <c r="J187" s="53">
        <f>IF(OR($F187="",$G187=""),"",IF(AND(J$5&lt;=$G187,J$5+6&gt;=$F187),IF($H187="Complétée","F",IF(OR($H187="En cours",$H187="En revue"),"E",IF($H187="Bloquée","B","P"))),""))</f>
        <v/>
      </c>
      <c r="K187" s="53">
        <f>IF(OR($F187="",$G187=""),"",IF(AND(K$5&lt;=$G187,K$5+6&gt;=$F187),IF($H187="Complétée","F",IF(OR($H187="En cours",$H187="En revue"),"E",IF($H187="Bloquée","B","P"))),""))</f>
        <v/>
      </c>
      <c r="L187" s="53">
        <f>IF(OR($F187="",$G187=""),"",IF(AND(L$5&lt;=$G187,L$5+6&gt;=$F187),IF($H187="Complétée","F",IF(OR($H187="En cours",$H187="En revue"),"E",IF($H187="Bloquée","B","P"))),""))</f>
        <v/>
      </c>
      <c r="M187" s="53">
        <f>IF(OR($F187="",$G187=""),"",IF(AND(M$5&lt;=$G187,M$5+6&gt;=$F187),IF($H187="Complétée","F",IF(OR($H187="En cours",$H187="En revue"),"E",IF($H187="Bloquée","B","P"))),""))</f>
        <v/>
      </c>
      <c r="N187" s="53">
        <f>IF(OR($F187="",$G187=""),"",IF(AND(N$5&lt;=$G187,N$5+6&gt;=$F187),IF($H187="Complétée","F",IF(OR($H187="En cours",$H187="En revue"),"E",IF($H187="Bloquée","B","P"))),""))</f>
        <v/>
      </c>
      <c r="O187" s="53">
        <f>IF(OR($F187="",$G187=""),"",IF(AND(O$5&lt;=$G187,O$5+6&gt;=$F187),IF($H187="Complétée","F",IF(OR($H187="En cours",$H187="En revue"),"E",IF($H187="Bloquée","B","P"))),""))</f>
        <v/>
      </c>
      <c r="P187" s="53">
        <f>IF(OR($F187="",$G187=""),"",IF(AND(P$5&lt;=$G187,P$5+6&gt;=$F187),IF($H187="Complétée","F",IF(OR($H187="En cours",$H187="En revue"),"E",IF($H187="Bloquée","B","P"))),""))</f>
        <v/>
      </c>
      <c r="Q187" s="53">
        <f>IF(OR($F187="",$G187=""),"",IF(AND(Q$5&lt;=$G187,Q$5+6&gt;=$F187),IF($H187="Complétée","F",IF(OR($H187="En cours",$H187="En revue"),"E",IF($H187="Bloquée","B","P"))),""))</f>
        <v/>
      </c>
      <c r="R187" s="53">
        <f>IF(OR($F187="",$G187=""),"",IF(AND(R$5&lt;=$G187,R$5+6&gt;=$F187),IF($H187="Complétée","F",IF(OR($H187="En cours",$H187="En revue"),"E",IF($H187="Bloquée","B","P"))),""))</f>
        <v/>
      </c>
      <c r="S187" s="53">
        <f>IF(OR($F187="",$G187=""),"",IF(AND(S$5&lt;=$G187,S$5+6&gt;=$F187),IF($H187="Complétée","F",IF(OR($H187="En cours",$H187="En revue"),"E",IF($H187="Bloquée","B","P"))),""))</f>
        <v/>
      </c>
      <c r="T187" s="53">
        <f>IF(OR($F187="",$G187=""),"",IF(AND(T$5&lt;=$G187,T$5+6&gt;=$F187),IF($H187="Complétée","F",IF(OR($H187="En cours",$H187="En revue"),"E",IF($H187="Bloquée","B","P"))),""))</f>
        <v/>
      </c>
      <c r="U187" s="53">
        <f>IF(OR($F187="",$G187=""),"",IF(AND(U$5&lt;=$G187,U$5+6&gt;=$F187),IF($H187="Complétée","F",IF(OR($H187="En cours",$H187="En revue"),"E",IF($H187="Bloquée","B","P"))),""))</f>
        <v/>
      </c>
      <c r="V187" s="53">
        <f>IF(OR($F187="",$G187=""),"",IF(AND(V$5&lt;=$G187,V$5+6&gt;=$F187),IF($H187="Complétée","F",IF(OR($H187="En cours",$H187="En revue"),"E",IF($H187="Bloquée","B","P"))),""))</f>
        <v/>
      </c>
      <c r="W187" s="53">
        <f>IF(OR($F187="",$G187=""),"",IF(AND(W$5&lt;=$G187,W$5+6&gt;=$F187),IF($H187="Complétée","F",IF(OR($H187="En cours",$H187="En revue"),"E",IF($H187="Bloquée","B","P"))),""))</f>
        <v/>
      </c>
      <c r="X187" s="53">
        <f>IF(OR($F187="",$G187=""),"",IF(AND(X$5&lt;=$G187,X$5+6&gt;=$F187),IF($H187="Complétée","F",IF(OR($H187="En cours",$H187="En revue"),"E",IF($H187="Bloquée","B","P"))),""))</f>
        <v/>
      </c>
      <c r="Y187" s="53">
        <f>IF(OR($F187="",$G187=""),"",IF(AND(Y$5&lt;=$G187,Y$5+6&gt;=$F187),IF($H187="Complétée","F",IF(OR($H187="En cours",$H187="En revue"),"E",IF($H187="Bloquée","B","P"))),""))</f>
        <v/>
      </c>
      <c r="Z187" s="53">
        <f>IF(OR($F187="",$G187=""),"",IF(AND(Z$5&lt;=$G187,Z$5+6&gt;=$F187),IF($H187="Complétée","F",IF(OR($H187="En cours",$H187="En revue"),"E",IF($H187="Bloquée","B","P"))),""))</f>
        <v/>
      </c>
      <c r="AA187" s="53">
        <f>IF(OR($F187="",$G187=""),"",IF(AND(AA$5&lt;=$G187,AA$5+6&gt;=$F187),IF($H187="Complétée","F",IF(OR($H187="En cours",$H187="En revue"),"E",IF($H187="Bloquée","B","P"))),""))</f>
        <v/>
      </c>
      <c r="AB187" s="53">
        <f>IF(OR($F187="",$G187=""),"",IF(AND(AB$5&lt;=$G187,AB$5+6&gt;=$F187),IF($H187="Complétée","F",IF(OR($H187="En cours",$H187="En revue"),"E",IF($H187="Bloquée","B","P"))),""))</f>
        <v/>
      </c>
      <c r="AC187" s="53">
        <f>IF(OR($F187="",$G187=""),"",IF(AND(AC$5&lt;=$G187,AC$5+6&gt;=$F187),IF($H187="Complétée","F",IF(OR($H187="En cours",$H187="En revue"),"E",IF($H187="Bloquée","B","P"))),""))</f>
        <v/>
      </c>
      <c r="AD187" s="53">
        <f>IF(OR($F187="",$G187=""),"",IF(AND(AD$5&lt;=$G187,AD$5+6&gt;=$F187),IF($H187="Complétée","F",IF(OR($H187="En cours",$H187="En revue"),"E",IF($H187="Bloquée","B","P"))),""))</f>
        <v/>
      </c>
      <c r="AE187" s="53">
        <f>IF(OR($F187="",$G187=""),"",IF(AND(AE$5&lt;=$G187,AE$5+6&gt;=$F187),IF($H187="Complétée","F",IF(OR($H187="En cours",$H187="En revue"),"E",IF($H187="Bloquée","B","P"))),""))</f>
        <v/>
      </c>
      <c r="AF187" s="53">
        <f>IF(OR($F187="",$G187=""),"",IF(AND(AF$5&lt;=$G187,AF$5+6&gt;=$F187),IF($H187="Complétée","F",IF(OR($H187="En cours",$H187="En revue"),"E",IF($H187="Bloquée","B","P"))),""))</f>
        <v/>
      </c>
      <c r="AG187" s="53">
        <f>IF(OR($F187="",$G187=""),"",IF(AND(AG$5&lt;=$G187,AG$5+6&gt;=$F187),IF($H187="Complétée","F",IF(OR($H187="En cours",$H187="En revue"),"E",IF($H187="Bloquée","B","P"))),""))</f>
        <v/>
      </c>
      <c r="AH187" s="53">
        <f>IF(OR($F187="",$G187=""),"",IF(AND(AH$5&lt;=$G187,AH$5+6&gt;=$F187),IF($H187="Complétée","F",IF(OR($H187="En cours",$H187="En revue"),"E",IF($H187="Bloquée","B","P"))),""))</f>
        <v/>
      </c>
      <c r="AI187" s="53">
        <f>IF(OR($F187="",$G187=""),"",IF(AND(AI$5&lt;=$G187,AI$5+6&gt;=$F187),IF($H187="Complétée","F",IF(OR($H187="En cours",$H187="En revue"),"E",IF($H187="Bloquée","B","P"))),""))</f>
        <v/>
      </c>
      <c r="AJ187" s="53">
        <f>IF(OR($F187="",$G187=""),"",IF(AND(AJ$5&lt;=$G187,AJ$5+6&gt;=$F187),IF($H187="Complétée","F",IF(OR($H187="En cours",$H187="En revue"),"E",IF($H187="Bloquée","B","P"))),""))</f>
        <v/>
      </c>
      <c r="AK187" s="53">
        <f>IF(OR($F187="",$G187=""),"",IF(AND(AK$5&lt;=$G187,AK$5+6&gt;=$F187),IF($H187="Complétée","F",IF(OR($H187="En cours",$H187="En revue"),"E",IF($H187="Bloquée","B","P"))),""))</f>
        <v/>
      </c>
      <c r="AL187" s="53">
        <f>IF(OR($F187="",$G187=""),"",IF(AND(AL$5&lt;=$G187,AL$5+6&gt;=$F187),IF($H187="Complétée","F",IF(OR($H187="En cours",$H187="En revue"),"E",IF($H187="Bloquée","B","P"))),""))</f>
        <v/>
      </c>
      <c r="AM187" s="53">
        <f>IF(OR($F187="",$G187=""),"",IF(AND(AM$5&lt;=$G187,AM$5+6&gt;=$F187),IF($H187="Complétée","F",IF(OR($H187="En cours",$H187="En revue"),"E",IF($H187="Bloquée","B","P"))),""))</f>
        <v/>
      </c>
      <c r="AN187" s="53">
        <f>IF(OR($F187="",$G187=""),"",IF(AND(AN$5&lt;=$G187,AN$5+6&gt;=$F187),IF($H187="Complétée","F",IF(OR($H187="En cours",$H187="En revue"),"E",IF($H187="Bloquée","B","P"))),""))</f>
        <v/>
      </c>
      <c r="AO187" s="53">
        <f>IF(OR($F187="",$G187=""),"",IF(AND(AO$5&lt;=$G187,AO$5+6&gt;=$F187),IF($H187="Complétée","F",IF(OR($H187="En cours",$H187="En revue"),"E",IF($H187="Bloquée","B","P"))),""))</f>
        <v/>
      </c>
      <c r="AP187" s="53">
        <f>IF(OR($F187="",$G187=""),"",IF(AND(AP$5&lt;=$G187,AP$5+6&gt;=$F187),IF($H187="Complétée","F",IF(OR($H187="En cours",$H187="En revue"),"E",IF($H187="Bloquée","B","P"))),""))</f>
        <v/>
      </c>
      <c r="AQ187" s="53">
        <f>IF(OR($F187="",$G187=""),"",IF(AND(AQ$5&lt;=$G187,AQ$5+6&gt;=$F187),IF($H187="Complétée","F",IF(OR($H187="En cours",$H187="En revue"),"E",IF($H187="Bloquée","B","P"))),""))</f>
        <v/>
      </c>
      <c r="AR187" s="53">
        <f>IF(OR($F187="",$G187=""),"",IF(AND(AR$5&lt;=$G187,AR$5+6&gt;=$F187),IF($H187="Complétée","F",IF(OR($H187="En cours",$H187="En revue"),"E",IF($H187="Bloquée","B","P"))),""))</f>
        <v/>
      </c>
      <c r="AS187" s="53">
        <f>IF(OR($F187="",$G187=""),"",IF(AND(AS$5&lt;=$G187,AS$5+6&gt;=$F187),IF($H187="Complétée","F",IF(OR($H187="En cours",$H187="En revue"),"E",IF($H187="Bloquée","B","P"))),""))</f>
        <v/>
      </c>
      <c r="AT187" s="53">
        <f>IF(OR($F187="",$G187=""),"",IF(AND(AT$5&lt;=$G187,AT$5+6&gt;=$F187),IF($H187="Complétée","F",IF(OR($H187="En cours",$H187="En revue"),"E",IF($H187="Bloquée","B","P"))),""))</f>
        <v/>
      </c>
      <c r="AU187" s="53">
        <f>IF(OR($F187="",$G187=""),"",IF(AND(AU$5&lt;=$G187,AU$5+6&gt;=$F187),IF($H187="Complétée","F",IF(OR($H187="En cours",$H187="En revue"),"E",IF($H187="Bloquée","B","P"))),""))</f>
        <v/>
      </c>
      <c r="AV187" s="53">
        <f>IF(OR($F187="",$G187=""),"",IF(AND(AV$5&lt;=$G187,AV$5+6&gt;=$F187),IF($H187="Complétée","F",IF(OR($H187="En cours",$H187="En revue"),"E",IF($H187="Bloquée","B","P"))),""))</f>
        <v/>
      </c>
      <c r="AW187" s="53">
        <f>IF(OR($F187="",$G187=""),"",IF(AND(AW$5&lt;=$G187,AW$5+6&gt;=$F187),IF($H187="Complétée","F",IF(OR($H187="En cours",$H187="En revue"),"E",IF($H187="Bloquée","B","P"))),""))</f>
        <v/>
      </c>
    </row>
    <row r="188">
      <c r="B188" s="50">
        <f>IF(Taches!B188="","",Taches!B188)</f>
        <v/>
      </c>
      <c r="C188" s="51">
        <f>IF(Taches!B188="","",Taches!F188)</f>
        <v/>
      </c>
      <c r="D188" s="50">
        <f>IF(Taches!B188="","",Taches!C188)</f>
        <v/>
      </c>
      <c r="E188" s="50">
        <f>IF(Taches!B188="","",Taches!D188)</f>
        <v/>
      </c>
      <c r="F188" s="52">
        <f>IF(Taches!P188="","",Taches!P188)</f>
        <v/>
      </c>
      <c r="G188" s="52">
        <f>IF(Taches!Q188="","",Taches!Q188)</f>
        <v/>
      </c>
      <c r="H188" s="50">
        <f>IF(Taches!B188="","",Taches!J188)</f>
        <v/>
      </c>
      <c r="I188" s="53">
        <f>IF(OR($F188="",$G188=""),"",IF(AND(I$5&lt;=$G188,I$5+6&gt;=$F188),IF($H188="Complétée","F",IF(OR($H188="En cours",$H188="En revue"),"E",IF($H188="Bloquée","B","P"))),""))</f>
        <v/>
      </c>
      <c r="J188" s="53">
        <f>IF(OR($F188="",$G188=""),"",IF(AND(J$5&lt;=$G188,J$5+6&gt;=$F188),IF($H188="Complétée","F",IF(OR($H188="En cours",$H188="En revue"),"E",IF($H188="Bloquée","B","P"))),""))</f>
        <v/>
      </c>
      <c r="K188" s="53">
        <f>IF(OR($F188="",$G188=""),"",IF(AND(K$5&lt;=$G188,K$5+6&gt;=$F188),IF($H188="Complétée","F",IF(OR($H188="En cours",$H188="En revue"),"E",IF($H188="Bloquée","B","P"))),""))</f>
        <v/>
      </c>
      <c r="L188" s="53">
        <f>IF(OR($F188="",$G188=""),"",IF(AND(L$5&lt;=$G188,L$5+6&gt;=$F188),IF($H188="Complétée","F",IF(OR($H188="En cours",$H188="En revue"),"E",IF($H188="Bloquée","B","P"))),""))</f>
        <v/>
      </c>
      <c r="M188" s="53">
        <f>IF(OR($F188="",$G188=""),"",IF(AND(M$5&lt;=$G188,M$5+6&gt;=$F188),IF($H188="Complétée","F",IF(OR($H188="En cours",$H188="En revue"),"E",IF($H188="Bloquée","B","P"))),""))</f>
        <v/>
      </c>
      <c r="N188" s="53">
        <f>IF(OR($F188="",$G188=""),"",IF(AND(N$5&lt;=$G188,N$5+6&gt;=$F188),IF($H188="Complétée","F",IF(OR($H188="En cours",$H188="En revue"),"E",IF($H188="Bloquée","B","P"))),""))</f>
        <v/>
      </c>
      <c r="O188" s="53">
        <f>IF(OR($F188="",$G188=""),"",IF(AND(O$5&lt;=$G188,O$5+6&gt;=$F188),IF($H188="Complétée","F",IF(OR($H188="En cours",$H188="En revue"),"E",IF($H188="Bloquée","B","P"))),""))</f>
        <v/>
      </c>
      <c r="P188" s="53">
        <f>IF(OR($F188="",$G188=""),"",IF(AND(P$5&lt;=$G188,P$5+6&gt;=$F188),IF($H188="Complétée","F",IF(OR($H188="En cours",$H188="En revue"),"E",IF($H188="Bloquée","B","P"))),""))</f>
        <v/>
      </c>
      <c r="Q188" s="53">
        <f>IF(OR($F188="",$G188=""),"",IF(AND(Q$5&lt;=$G188,Q$5+6&gt;=$F188),IF($H188="Complétée","F",IF(OR($H188="En cours",$H188="En revue"),"E",IF($H188="Bloquée","B","P"))),""))</f>
        <v/>
      </c>
      <c r="R188" s="53">
        <f>IF(OR($F188="",$G188=""),"",IF(AND(R$5&lt;=$G188,R$5+6&gt;=$F188),IF($H188="Complétée","F",IF(OR($H188="En cours",$H188="En revue"),"E",IF($H188="Bloquée","B","P"))),""))</f>
        <v/>
      </c>
      <c r="S188" s="53">
        <f>IF(OR($F188="",$G188=""),"",IF(AND(S$5&lt;=$G188,S$5+6&gt;=$F188),IF($H188="Complétée","F",IF(OR($H188="En cours",$H188="En revue"),"E",IF($H188="Bloquée","B","P"))),""))</f>
        <v/>
      </c>
      <c r="T188" s="53">
        <f>IF(OR($F188="",$G188=""),"",IF(AND(T$5&lt;=$G188,T$5+6&gt;=$F188),IF($H188="Complétée","F",IF(OR($H188="En cours",$H188="En revue"),"E",IF($H188="Bloquée","B","P"))),""))</f>
        <v/>
      </c>
      <c r="U188" s="53">
        <f>IF(OR($F188="",$G188=""),"",IF(AND(U$5&lt;=$G188,U$5+6&gt;=$F188),IF($H188="Complétée","F",IF(OR($H188="En cours",$H188="En revue"),"E",IF($H188="Bloquée","B","P"))),""))</f>
        <v/>
      </c>
      <c r="V188" s="53">
        <f>IF(OR($F188="",$G188=""),"",IF(AND(V$5&lt;=$G188,V$5+6&gt;=$F188),IF($H188="Complétée","F",IF(OR($H188="En cours",$H188="En revue"),"E",IF($H188="Bloquée","B","P"))),""))</f>
        <v/>
      </c>
      <c r="W188" s="53">
        <f>IF(OR($F188="",$G188=""),"",IF(AND(W$5&lt;=$G188,W$5+6&gt;=$F188),IF($H188="Complétée","F",IF(OR($H188="En cours",$H188="En revue"),"E",IF($H188="Bloquée","B","P"))),""))</f>
        <v/>
      </c>
      <c r="X188" s="53">
        <f>IF(OR($F188="",$G188=""),"",IF(AND(X$5&lt;=$G188,X$5+6&gt;=$F188),IF($H188="Complétée","F",IF(OR($H188="En cours",$H188="En revue"),"E",IF($H188="Bloquée","B","P"))),""))</f>
        <v/>
      </c>
      <c r="Y188" s="53">
        <f>IF(OR($F188="",$G188=""),"",IF(AND(Y$5&lt;=$G188,Y$5+6&gt;=$F188),IF($H188="Complétée","F",IF(OR($H188="En cours",$H188="En revue"),"E",IF($H188="Bloquée","B","P"))),""))</f>
        <v/>
      </c>
      <c r="Z188" s="53">
        <f>IF(OR($F188="",$G188=""),"",IF(AND(Z$5&lt;=$G188,Z$5+6&gt;=$F188),IF($H188="Complétée","F",IF(OR($H188="En cours",$H188="En revue"),"E",IF($H188="Bloquée","B","P"))),""))</f>
        <v/>
      </c>
      <c r="AA188" s="53">
        <f>IF(OR($F188="",$G188=""),"",IF(AND(AA$5&lt;=$G188,AA$5+6&gt;=$F188),IF($H188="Complétée","F",IF(OR($H188="En cours",$H188="En revue"),"E",IF($H188="Bloquée","B","P"))),""))</f>
        <v/>
      </c>
      <c r="AB188" s="53">
        <f>IF(OR($F188="",$G188=""),"",IF(AND(AB$5&lt;=$G188,AB$5+6&gt;=$F188),IF($H188="Complétée","F",IF(OR($H188="En cours",$H188="En revue"),"E",IF($H188="Bloquée","B","P"))),""))</f>
        <v/>
      </c>
      <c r="AC188" s="53">
        <f>IF(OR($F188="",$G188=""),"",IF(AND(AC$5&lt;=$G188,AC$5+6&gt;=$F188),IF($H188="Complétée","F",IF(OR($H188="En cours",$H188="En revue"),"E",IF($H188="Bloquée","B","P"))),""))</f>
        <v/>
      </c>
      <c r="AD188" s="53">
        <f>IF(OR($F188="",$G188=""),"",IF(AND(AD$5&lt;=$G188,AD$5+6&gt;=$F188),IF($H188="Complétée","F",IF(OR($H188="En cours",$H188="En revue"),"E",IF($H188="Bloquée","B","P"))),""))</f>
        <v/>
      </c>
      <c r="AE188" s="53">
        <f>IF(OR($F188="",$G188=""),"",IF(AND(AE$5&lt;=$G188,AE$5+6&gt;=$F188),IF($H188="Complétée","F",IF(OR($H188="En cours",$H188="En revue"),"E",IF($H188="Bloquée","B","P"))),""))</f>
        <v/>
      </c>
      <c r="AF188" s="53">
        <f>IF(OR($F188="",$G188=""),"",IF(AND(AF$5&lt;=$G188,AF$5+6&gt;=$F188),IF($H188="Complétée","F",IF(OR($H188="En cours",$H188="En revue"),"E",IF($H188="Bloquée","B","P"))),""))</f>
        <v/>
      </c>
      <c r="AG188" s="53">
        <f>IF(OR($F188="",$G188=""),"",IF(AND(AG$5&lt;=$G188,AG$5+6&gt;=$F188),IF($H188="Complétée","F",IF(OR($H188="En cours",$H188="En revue"),"E",IF($H188="Bloquée","B","P"))),""))</f>
        <v/>
      </c>
      <c r="AH188" s="53">
        <f>IF(OR($F188="",$G188=""),"",IF(AND(AH$5&lt;=$G188,AH$5+6&gt;=$F188),IF($H188="Complétée","F",IF(OR($H188="En cours",$H188="En revue"),"E",IF($H188="Bloquée","B","P"))),""))</f>
        <v/>
      </c>
      <c r="AI188" s="53">
        <f>IF(OR($F188="",$G188=""),"",IF(AND(AI$5&lt;=$G188,AI$5+6&gt;=$F188),IF($H188="Complétée","F",IF(OR($H188="En cours",$H188="En revue"),"E",IF($H188="Bloquée","B","P"))),""))</f>
        <v/>
      </c>
      <c r="AJ188" s="53">
        <f>IF(OR($F188="",$G188=""),"",IF(AND(AJ$5&lt;=$G188,AJ$5+6&gt;=$F188),IF($H188="Complétée","F",IF(OR($H188="En cours",$H188="En revue"),"E",IF($H188="Bloquée","B","P"))),""))</f>
        <v/>
      </c>
      <c r="AK188" s="53">
        <f>IF(OR($F188="",$G188=""),"",IF(AND(AK$5&lt;=$G188,AK$5+6&gt;=$F188),IF($H188="Complétée","F",IF(OR($H188="En cours",$H188="En revue"),"E",IF($H188="Bloquée","B","P"))),""))</f>
        <v/>
      </c>
      <c r="AL188" s="53">
        <f>IF(OR($F188="",$G188=""),"",IF(AND(AL$5&lt;=$G188,AL$5+6&gt;=$F188),IF($H188="Complétée","F",IF(OR($H188="En cours",$H188="En revue"),"E",IF($H188="Bloquée","B","P"))),""))</f>
        <v/>
      </c>
      <c r="AM188" s="53">
        <f>IF(OR($F188="",$G188=""),"",IF(AND(AM$5&lt;=$G188,AM$5+6&gt;=$F188),IF($H188="Complétée","F",IF(OR($H188="En cours",$H188="En revue"),"E",IF($H188="Bloquée","B","P"))),""))</f>
        <v/>
      </c>
      <c r="AN188" s="53">
        <f>IF(OR($F188="",$G188=""),"",IF(AND(AN$5&lt;=$G188,AN$5+6&gt;=$F188),IF($H188="Complétée","F",IF(OR($H188="En cours",$H188="En revue"),"E",IF($H188="Bloquée","B","P"))),""))</f>
        <v/>
      </c>
      <c r="AO188" s="53">
        <f>IF(OR($F188="",$G188=""),"",IF(AND(AO$5&lt;=$G188,AO$5+6&gt;=$F188),IF($H188="Complétée","F",IF(OR($H188="En cours",$H188="En revue"),"E",IF($H188="Bloquée","B","P"))),""))</f>
        <v/>
      </c>
      <c r="AP188" s="53">
        <f>IF(OR($F188="",$G188=""),"",IF(AND(AP$5&lt;=$G188,AP$5+6&gt;=$F188),IF($H188="Complétée","F",IF(OR($H188="En cours",$H188="En revue"),"E",IF($H188="Bloquée","B","P"))),""))</f>
        <v/>
      </c>
      <c r="AQ188" s="53">
        <f>IF(OR($F188="",$G188=""),"",IF(AND(AQ$5&lt;=$G188,AQ$5+6&gt;=$F188),IF($H188="Complétée","F",IF(OR($H188="En cours",$H188="En revue"),"E",IF($H188="Bloquée","B","P"))),""))</f>
        <v/>
      </c>
      <c r="AR188" s="53">
        <f>IF(OR($F188="",$G188=""),"",IF(AND(AR$5&lt;=$G188,AR$5+6&gt;=$F188),IF($H188="Complétée","F",IF(OR($H188="En cours",$H188="En revue"),"E",IF($H188="Bloquée","B","P"))),""))</f>
        <v/>
      </c>
      <c r="AS188" s="53">
        <f>IF(OR($F188="",$G188=""),"",IF(AND(AS$5&lt;=$G188,AS$5+6&gt;=$F188),IF($H188="Complétée","F",IF(OR($H188="En cours",$H188="En revue"),"E",IF($H188="Bloquée","B","P"))),""))</f>
        <v/>
      </c>
      <c r="AT188" s="53">
        <f>IF(OR($F188="",$G188=""),"",IF(AND(AT$5&lt;=$G188,AT$5+6&gt;=$F188),IF($H188="Complétée","F",IF(OR($H188="En cours",$H188="En revue"),"E",IF($H188="Bloquée","B","P"))),""))</f>
        <v/>
      </c>
      <c r="AU188" s="53">
        <f>IF(OR($F188="",$G188=""),"",IF(AND(AU$5&lt;=$G188,AU$5+6&gt;=$F188),IF($H188="Complétée","F",IF(OR($H188="En cours",$H188="En revue"),"E",IF($H188="Bloquée","B","P"))),""))</f>
        <v/>
      </c>
      <c r="AV188" s="53">
        <f>IF(OR($F188="",$G188=""),"",IF(AND(AV$5&lt;=$G188,AV$5+6&gt;=$F188),IF($H188="Complétée","F",IF(OR($H188="En cours",$H188="En revue"),"E",IF($H188="Bloquée","B","P"))),""))</f>
        <v/>
      </c>
      <c r="AW188" s="53">
        <f>IF(OR($F188="",$G188=""),"",IF(AND(AW$5&lt;=$G188,AW$5+6&gt;=$F188),IF($H188="Complétée","F",IF(OR($H188="En cours",$H188="En revue"),"E",IF($H188="Bloquée","B","P"))),""))</f>
        <v/>
      </c>
    </row>
    <row r="189">
      <c r="B189" s="50">
        <f>IF(Taches!B189="","",Taches!B189)</f>
        <v/>
      </c>
      <c r="C189" s="51">
        <f>IF(Taches!B189="","",Taches!F189)</f>
        <v/>
      </c>
      <c r="D189" s="50">
        <f>IF(Taches!B189="","",Taches!C189)</f>
        <v/>
      </c>
      <c r="E189" s="50">
        <f>IF(Taches!B189="","",Taches!D189)</f>
        <v/>
      </c>
      <c r="F189" s="52">
        <f>IF(Taches!P189="","",Taches!P189)</f>
        <v/>
      </c>
      <c r="G189" s="52">
        <f>IF(Taches!Q189="","",Taches!Q189)</f>
        <v/>
      </c>
      <c r="H189" s="50">
        <f>IF(Taches!B189="","",Taches!J189)</f>
        <v/>
      </c>
      <c r="I189" s="53">
        <f>IF(OR($F189="",$G189=""),"",IF(AND(I$5&lt;=$G189,I$5+6&gt;=$F189),IF($H189="Complétée","F",IF(OR($H189="En cours",$H189="En revue"),"E",IF($H189="Bloquée","B","P"))),""))</f>
        <v/>
      </c>
      <c r="J189" s="53">
        <f>IF(OR($F189="",$G189=""),"",IF(AND(J$5&lt;=$G189,J$5+6&gt;=$F189),IF($H189="Complétée","F",IF(OR($H189="En cours",$H189="En revue"),"E",IF($H189="Bloquée","B","P"))),""))</f>
        <v/>
      </c>
      <c r="K189" s="53">
        <f>IF(OR($F189="",$G189=""),"",IF(AND(K$5&lt;=$G189,K$5+6&gt;=$F189),IF($H189="Complétée","F",IF(OR($H189="En cours",$H189="En revue"),"E",IF($H189="Bloquée","B","P"))),""))</f>
        <v/>
      </c>
      <c r="L189" s="53">
        <f>IF(OR($F189="",$G189=""),"",IF(AND(L$5&lt;=$G189,L$5+6&gt;=$F189),IF($H189="Complétée","F",IF(OR($H189="En cours",$H189="En revue"),"E",IF($H189="Bloquée","B","P"))),""))</f>
        <v/>
      </c>
      <c r="M189" s="53">
        <f>IF(OR($F189="",$G189=""),"",IF(AND(M$5&lt;=$G189,M$5+6&gt;=$F189),IF($H189="Complétée","F",IF(OR($H189="En cours",$H189="En revue"),"E",IF($H189="Bloquée","B","P"))),""))</f>
        <v/>
      </c>
      <c r="N189" s="53">
        <f>IF(OR($F189="",$G189=""),"",IF(AND(N$5&lt;=$G189,N$5+6&gt;=$F189),IF($H189="Complétée","F",IF(OR($H189="En cours",$H189="En revue"),"E",IF($H189="Bloquée","B","P"))),""))</f>
        <v/>
      </c>
      <c r="O189" s="53">
        <f>IF(OR($F189="",$G189=""),"",IF(AND(O$5&lt;=$G189,O$5+6&gt;=$F189),IF($H189="Complétée","F",IF(OR($H189="En cours",$H189="En revue"),"E",IF($H189="Bloquée","B","P"))),""))</f>
        <v/>
      </c>
      <c r="P189" s="53">
        <f>IF(OR($F189="",$G189=""),"",IF(AND(P$5&lt;=$G189,P$5+6&gt;=$F189),IF($H189="Complétée","F",IF(OR($H189="En cours",$H189="En revue"),"E",IF($H189="Bloquée","B","P"))),""))</f>
        <v/>
      </c>
      <c r="Q189" s="53">
        <f>IF(OR($F189="",$G189=""),"",IF(AND(Q$5&lt;=$G189,Q$5+6&gt;=$F189),IF($H189="Complétée","F",IF(OR($H189="En cours",$H189="En revue"),"E",IF($H189="Bloquée","B","P"))),""))</f>
        <v/>
      </c>
      <c r="R189" s="53">
        <f>IF(OR($F189="",$G189=""),"",IF(AND(R$5&lt;=$G189,R$5+6&gt;=$F189),IF($H189="Complétée","F",IF(OR($H189="En cours",$H189="En revue"),"E",IF($H189="Bloquée","B","P"))),""))</f>
        <v/>
      </c>
      <c r="S189" s="53">
        <f>IF(OR($F189="",$G189=""),"",IF(AND(S$5&lt;=$G189,S$5+6&gt;=$F189),IF($H189="Complétée","F",IF(OR($H189="En cours",$H189="En revue"),"E",IF($H189="Bloquée","B","P"))),""))</f>
        <v/>
      </c>
      <c r="T189" s="53">
        <f>IF(OR($F189="",$G189=""),"",IF(AND(T$5&lt;=$G189,T$5+6&gt;=$F189),IF($H189="Complétée","F",IF(OR($H189="En cours",$H189="En revue"),"E",IF($H189="Bloquée","B","P"))),""))</f>
        <v/>
      </c>
      <c r="U189" s="53">
        <f>IF(OR($F189="",$G189=""),"",IF(AND(U$5&lt;=$G189,U$5+6&gt;=$F189),IF($H189="Complétée","F",IF(OR($H189="En cours",$H189="En revue"),"E",IF($H189="Bloquée","B","P"))),""))</f>
        <v/>
      </c>
      <c r="V189" s="53">
        <f>IF(OR($F189="",$G189=""),"",IF(AND(V$5&lt;=$G189,V$5+6&gt;=$F189),IF($H189="Complétée","F",IF(OR($H189="En cours",$H189="En revue"),"E",IF($H189="Bloquée","B","P"))),""))</f>
        <v/>
      </c>
      <c r="W189" s="53">
        <f>IF(OR($F189="",$G189=""),"",IF(AND(W$5&lt;=$G189,W$5+6&gt;=$F189),IF($H189="Complétée","F",IF(OR($H189="En cours",$H189="En revue"),"E",IF($H189="Bloquée","B","P"))),""))</f>
        <v/>
      </c>
      <c r="X189" s="53">
        <f>IF(OR($F189="",$G189=""),"",IF(AND(X$5&lt;=$G189,X$5+6&gt;=$F189),IF($H189="Complétée","F",IF(OR($H189="En cours",$H189="En revue"),"E",IF($H189="Bloquée","B","P"))),""))</f>
        <v/>
      </c>
      <c r="Y189" s="53">
        <f>IF(OR($F189="",$G189=""),"",IF(AND(Y$5&lt;=$G189,Y$5+6&gt;=$F189),IF($H189="Complétée","F",IF(OR($H189="En cours",$H189="En revue"),"E",IF($H189="Bloquée","B","P"))),""))</f>
        <v/>
      </c>
      <c r="Z189" s="53">
        <f>IF(OR($F189="",$G189=""),"",IF(AND(Z$5&lt;=$G189,Z$5+6&gt;=$F189),IF($H189="Complétée","F",IF(OR($H189="En cours",$H189="En revue"),"E",IF($H189="Bloquée","B","P"))),""))</f>
        <v/>
      </c>
      <c r="AA189" s="53">
        <f>IF(OR($F189="",$G189=""),"",IF(AND(AA$5&lt;=$G189,AA$5+6&gt;=$F189),IF($H189="Complétée","F",IF(OR($H189="En cours",$H189="En revue"),"E",IF($H189="Bloquée","B","P"))),""))</f>
        <v/>
      </c>
      <c r="AB189" s="53">
        <f>IF(OR($F189="",$G189=""),"",IF(AND(AB$5&lt;=$G189,AB$5+6&gt;=$F189),IF($H189="Complétée","F",IF(OR($H189="En cours",$H189="En revue"),"E",IF($H189="Bloquée","B","P"))),""))</f>
        <v/>
      </c>
      <c r="AC189" s="53">
        <f>IF(OR($F189="",$G189=""),"",IF(AND(AC$5&lt;=$G189,AC$5+6&gt;=$F189),IF($H189="Complétée","F",IF(OR($H189="En cours",$H189="En revue"),"E",IF($H189="Bloquée","B","P"))),""))</f>
        <v/>
      </c>
      <c r="AD189" s="53">
        <f>IF(OR($F189="",$G189=""),"",IF(AND(AD$5&lt;=$G189,AD$5+6&gt;=$F189),IF($H189="Complétée","F",IF(OR($H189="En cours",$H189="En revue"),"E",IF($H189="Bloquée","B","P"))),""))</f>
        <v/>
      </c>
      <c r="AE189" s="53">
        <f>IF(OR($F189="",$G189=""),"",IF(AND(AE$5&lt;=$G189,AE$5+6&gt;=$F189),IF($H189="Complétée","F",IF(OR($H189="En cours",$H189="En revue"),"E",IF($H189="Bloquée","B","P"))),""))</f>
        <v/>
      </c>
      <c r="AF189" s="53">
        <f>IF(OR($F189="",$G189=""),"",IF(AND(AF$5&lt;=$G189,AF$5+6&gt;=$F189),IF($H189="Complétée","F",IF(OR($H189="En cours",$H189="En revue"),"E",IF($H189="Bloquée","B","P"))),""))</f>
        <v/>
      </c>
      <c r="AG189" s="53">
        <f>IF(OR($F189="",$G189=""),"",IF(AND(AG$5&lt;=$G189,AG$5+6&gt;=$F189),IF($H189="Complétée","F",IF(OR($H189="En cours",$H189="En revue"),"E",IF($H189="Bloquée","B","P"))),""))</f>
        <v/>
      </c>
      <c r="AH189" s="53">
        <f>IF(OR($F189="",$G189=""),"",IF(AND(AH$5&lt;=$G189,AH$5+6&gt;=$F189),IF($H189="Complétée","F",IF(OR($H189="En cours",$H189="En revue"),"E",IF($H189="Bloquée","B","P"))),""))</f>
        <v/>
      </c>
      <c r="AI189" s="53">
        <f>IF(OR($F189="",$G189=""),"",IF(AND(AI$5&lt;=$G189,AI$5+6&gt;=$F189),IF($H189="Complétée","F",IF(OR($H189="En cours",$H189="En revue"),"E",IF($H189="Bloquée","B","P"))),""))</f>
        <v/>
      </c>
      <c r="AJ189" s="53">
        <f>IF(OR($F189="",$G189=""),"",IF(AND(AJ$5&lt;=$G189,AJ$5+6&gt;=$F189),IF($H189="Complétée","F",IF(OR($H189="En cours",$H189="En revue"),"E",IF($H189="Bloquée","B","P"))),""))</f>
        <v/>
      </c>
      <c r="AK189" s="53">
        <f>IF(OR($F189="",$G189=""),"",IF(AND(AK$5&lt;=$G189,AK$5+6&gt;=$F189),IF($H189="Complétée","F",IF(OR($H189="En cours",$H189="En revue"),"E",IF($H189="Bloquée","B","P"))),""))</f>
        <v/>
      </c>
      <c r="AL189" s="53">
        <f>IF(OR($F189="",$G189=""),"",IF(AND(AL$5&lt;=$G189,AL$5+6&gt;=$F189),IF($H189="Complétée","F",IF(OR($H189="En cours",$H189="En revue"),"E",IF($H189="Bloquée","B","P"))),""))</f>
        <v/>
      </c>
      <c r="AM189" s="53">
        <f>IF(OR($F189="",$G189=""),"",IF(AND(AM$5&lt;=$G189,AM$5+6&gt;=$F189),IF($H189="Complétée","F",IF(OR($H189="En cours",$H189="En revue"),"E",IF($H189="Bloquée","B","P"))),""))</f>
        <v/>
      </c>
      <c r="AN189" s="53">
        <f>IF(OR($F189="",$G189=""),"",IF(AND(AN$5&lt;=$G189,AN$5+6&gt;=$F189),IF($H189="Complétée","F",IF(OR($H189="En cours",$H189="En revue"),"E",IF($H189="Bloquée","B","P"))),""))</f>
        <v/>
      </c>
      <c r="AO189" s="53">
        <f>IF(OR($F189="",$G189=""),"",IF(AND(AO$5&lt;=$G189,AO$5+6&gt;=$F189),IF($H189="Complétée","F",IF(OR($H189="En cours",$H189="En revue"),"E",IF($H189="Bloquée","B","P"))),""))</f>
        <v/>
      </c>
      <c r="AP189" s="53">
        <f>IF(OR($F189="",$G189=""),"",IF(AND(AP$5&lt;=$G189,AP$5+6&gt;=$F189),IF($H189="Complétée","F",IF(OR($H189="En cours",$H189="En revue"),"E",IF($H189="Bloquée","B","P"))),""))</f>
        <v/>
      </c>
      <c r="AQ189" s="53">
        <f>IF(OR($F189="",$G189=""),"",IF(AND(AQ$5&lt;=$G189,AQ$5+6&gt;=$F189),IF($H189="Complétée","F",IF(OR($H189="En cours",$H189="En revue"),"E",IF($H189="Bloquée","B","P"))),""))</f>
        <v/>
      </c>
      <c r="AR189" s="53">
        <f>IF(OR($F189="",$G189=""),"",IF(AND(AR$5&lt;=$G189,AR$5+6&gt;=$F189),IF($H189="Complétée","F",IF(OR($H189="En cours",$H189="En revue"),"E",IF($H189="Bloquée","B","P"))),""))</f>
        <v/>
      </c>
      <c r="AS189" s="53">
        <f>IF(OR($F189="",$G189=""),"",IF(AND(AS$5&lt;=$G189,AS$5+6&gt;=$F189),IF($H189="Complétée","F",IF(OR($H189="En cours",$H189="En revue"),"E",IF($H189="Bloquée","B","P"))),""))</f>
        <v/>
      </c>
      <c r="AT189" s="53">
        <f>IF(OR($F189="",$G189=""),"",IF(AND(AT$5&lt;=$G189,AT$5+6&gt;=$F189),IF($H189="Complétée","F",IF(OR($H189="En cours",$H189="En revue"),"E",IF($H189="Bloquée","B","P"))),""))</f>
        <v/>
      </c>
      <c r="AU189" s="53">
        <f>IF(OR($F189="",$G189=""),"",IF(AND(AU$5&lt;=$G189,AU$5+6&gt;=$F189),IF($H189="Complétée","F",IF(OR($H189="En cours",$H189="En revue"),"E",IF($H189="Bloquée","B","P"))),""))</f>
        <v/>
      </c>
      <c r="AV189" s="53">
        <f>IF(OR($F189="",$G189=""),"",IF(AND(AV$5&lt;=$G189,AV$5+6&gt;=$F189),IF($H189="Complétée","F",IF(OR($H189="En cours",$H189="En revue"),"E",IF($H189="Bloquée","B","P"))),""))</f>
        <v/>
      </c>
      <c r="AW189" s="53">
        <f>IF(OR($F189="",$G189=""),"",IF(AND(AW$5&lt;=$G189,AW$5+6&gt;=$F189),IF($H189="Complétée","F",IF(OR($H189="En cours",$H189="En revue"),"E",IF($H189="Bloquée","B","P"))),""))</f>
        <v/>
      </c>
    </row>
    <row r="190">
      <c r="B190" s="50">
        <f>IF(Taches!B190="","",Taches!B190)</f>
        <v/>
      </c>
      <c r="C190" s="51">
        <f>IF(Taches!B190="","",Taches!F190)</f>
        <v/>
      </c>
      <c r="D190" s="50">
        <f>IF(Taches!B190="","",Taches!C190)</f>
        <v/>
      </c>
      <c r="E190" s="50">
        <f>IF(Taches!B190="","",Taches!D190)</f>
        <v/>
      </c>
      <c r="F190" s="52">
        <f>IF(Taches!P190="","",Taches!P190)</f>
        <v/>
      </c>
      <c r="G190" s="52">
        <f>IF(Taches!Q190="","",Taches!Q190)</f>
        <v/>
      </c>
      <c r="H190" s="50">
        <f>IF(Taches!B190="","",Taches!J190)</f>
        <v/>
      </c>
      <c r="I190" s="53">
        <f>IF(OR($F190="",$G190=""),"",IF(AND(I$5&lt;=$G190,I$5+6&gt;=$F190),IF($H190="Complétée","F",IF(OR($H190="En cours",$H190="En revue"),"E",IF($H190="Bloquée","B","P"))),""))</f>
        <v/>
      </c>
      <c r="J190" s="53">
        <f>IF(OR($F190="",$G190=""),"",IF(AND(J$5&lt;=$G190,J$5+6&gt;=$F190),IF($H190="Complétée","F",IF(OR($H190="En cours",$H190="En revue"),"E",IF($H190="Bloquée","B","P"))),""))</f>
        <v/>
      </c>
      <c r="K190" s="53">
        <f>IF(OR($F190="",$G190=""),"",IF(AND(K$5&lt;=$G190,K$5+6&gt;=$F190),IF($H190="Complétée","F",IF(OR($H190="En cours",$H190="En revue"),"E",IF($H190="Bloquée","B","P"))),""))</f>
        <v/>
      </c>
      <c r="L190" s="53">
        <f>IF(OR($F190="",$G190=""),"",IF(AND(L$5&lt;=$G190,L$5+6&gt;=$F190),IF($H190="Complétée","F",IF(OR($H190="En cours",$H190="En revue"),"E",IF($H190="Bloquée","B","P"))),""))</f>
        <v/>
      </c>
      <c r="M190" s="53">
        <f>IF(OR($F190="",$G190=""),"",IF(AND(M$5&lt;=$G190,M$5+6&gt;=$F190),IF($H190="Complétée","F",IF(OR($H190="En cours",$H190="En revue"),"E",IF($H190="Bloquée","B","P"))),""))</f>
        <v/>
      </c>
      <c r="N190" s="53">
        <f>IF(OR($F190="",$G190=""),"",IF(AND(N$5&lt;=$G190,N$5+6&gt;=$F190),IF($H190="Complétée","F",IF(OR($H190="En cours",$H190="En revue"),"E",IF($H190="Bloquée","B","P"))),""))</f>
        <v/>
      </c>
      <c r="O190" s="53">
        <f>IF(OR($F190="",$G190=""),"",IF(AND(O$5&lt;=$G190,O$5+6&gt;=$F190),IF($H190="Complétée","F",IF(OR($H190="En cours",$H190="En revue"),"E",IF($H190="Bloquée","B","P"))),""))</f>
        <v/>
      </c>
      <c r="P190" s="53">
        <f>IF(OR($F190="",$G190=""),"",IF(AND(P$5&lt;=$G190,P$5+6&gt;=$F190),IF($H190="Complétée","F",IF(OR($H190="En cours",$H190="En revue"),"E",IF($H190="Bloquée","B","P"))),""))</f>
        <v/>
      </c>
      <c r="Q190" s="53">
        <f>IF(OR($F190="",$G190=""),"",IF(AND(Q$5&lt;=$G190,Q$5+6&gt;=$F190),IF($H190="Complétée","F",IF(OR($H190="En cours",$H190="En revue"),"E",IF($H190="Bloquée","B","P"))),""))</f>
        <v/>
      </c>
      <c r="R190" s="53">
        <f>IF(OR($F190="",$G190=""),"",IF(AND(R$5&lt;=$G190,R$5+6&gt;=$F190),IF($H190="Complétée","F",IF(OR($H190="En cours",$H190="En revue"),"E",IF($H190="Bloquée","B","P"))),""))</f>
        <v/>
      </c>
      <c r="S190" s="53">
        <f>IF(OR($F190="",$G190=""),"",IF(AND(S$5&lt;=$G190,S$5+6&gt;=$F190),IF($H190="Complétée","F",IF(OR($H190="En cours",$H190="En revue"),"E",IF($H190="Bloquée","B","P"))),""))</f>
        <v/>
      </c>
      <c r="T190" s="53">
        <f>IF(OR($F190="",$G190=""),"",IF(AND(T$5&lt;=$G190,T$5+6&gt;=$F190),IF($H190="Complétée","F",IF(OR($H190="En cours",$H190="En revue"),"E",IF($H190="Bloquée","B","P"))),""))</f>
        <v/>
      </c>
      <c r="U190" s="53">
        <f>IF(OR($F190="",$G190=""),"",IF(AND(U$5&lt;=$G190,U$5+6&gt;=$F190),IF($H190="Complétée","F",IF(OR($H190="En cours",$H190="En revue"),"E",IF($H190="Bloquée","B","P"))),""))</f>
        <v/>
      </c>
      <c r="V190" s="53">
        <f>IF(OR($F190="",$G190=""),"",IF(AND(V$5&lt;=$G190,V$5+6&gt;=$F190),IF($H190="Complétée","F",IF(OR($H190="En cours",$H190="En revue"),"E",IF($H190="Bloquée","B","P"))),""))</f>
        <v/>
      </c>
      <c r="W190" s="53">
        <f>IF(OR($F190="",$G190=""),"",IF(AND(W$5&lt;=$G190,W$5+6&gt;=$F190),IF($H190="Complétée","F",IF(OR($H190="En cours",$H190="En revue"),"E",IF($H190="Bloquée","B","P"))),""))</f>
        <v/>
      </c>
      <c r="X190" s="53">
        <f>IF(OR($F190="",$G190=""),"",IF(AND(X$5&lt;=$G190,X$5+6&gt;=$F190),IF($H190="Complétée","F",IF(OR($H190="En cours",$H190="En revue"),"E",IF($H190="Bloquée","B","P"))),""))</f>
        <v/>
      </c>
      <c r="Y190" s="53">
        <f>IF(OR($F190="",$G190=""),"",IF(AND(Y$5&lt;=$G190,Y$5+6&gt;=$F190),IF($H190="Complétée","F",IF(OR($H190="En cours",$H190="En revue"),"E",IF($H190="Bloquée","B","P"))),""))</f>
        <v/>
      </c>
      <c r="Z190" s="53">
        <f>IF(OR($F190="",$G190=""),"",IF(AND(Z$5&lt;=$G190,Z$5+6&gt;=$F190),IF($H190="Complétée","F",IF(OR($H190="En cours",$H190="En revue"),"E",IF($H190="Bloquée","B","P"))),""))</f>
        <v/>
      </c>
      <c r="AA190" s="53">
        <f>IF(OR($F190="",$G190=""),"",IF(AND(AA$5&lt;=$G190,AA$5+6&gt;=$F190),IF($H190="Complétée","F",IF(OR($H190="En cours",$H190="En revue"),"E",IF($H190="Bloquée","B","P"))),""))</f>
        <v/>
      </c>
      <c r="AB190" s="53">
        <f>IF(OR($F190="",$G190=""),"",IF(AND(AB$5&lt;=$G190,AB$5+6&gt;=$F190),IF($H190="Complétée","F",IF(OR($H190="En cours",$H190="En revue"),"E",IF($H190="Bloquée","B","P"))),""))</f>
        <v/>
      </c>
      <c r="AC190" s="53">
        <f>IF(OR($F190="",$G190=""),"",IF(AND(AC$5&lt;=$G190,AC$5+6&gt;=$F190),IF($H190="Complétée","F",IF(OR($H190="En cours",$H190="En revue"),"E",IF($H190="Bloquée","B","P"))),""))</f>
        <v/>
      </c>
      <c r="AD190" s="53">
        <f>IF(OR($F190="",$G190=""),"",IF(AND(AD$5&lt;=$G190,AD$5+6&gt;=$F190),IF($H190="Complétée","F",IF(OR($H190="En cours",$H190="En revue"),"E",IF($H190="Bloquée","B","P"))),""))</f>
        <v/>
      </c>
      <c r="AE190" s="53">
        <f>IF(OR($F190="",$G190=""),"",IF(AND(AE$5&lt;=$G190,AE$5+6&gt;=$F190),IF($H190="Complétée","F",IF(OR($H190="En cours",$H190="En revue"),"E",IF($H190="Bloquée","B","P"))),""))</f>
        <v/>
      </c>
      <c r="AF190" s="53">
        <f>IF(OR($F190="",$G190=""),"",IF(AND(AF$5&lt;=$G190,AF$5+6&gt;=$F190),IF($H190="Complétée","F",IF(OR($H190="En cours",$H190="En revue"),"E",IF($H190="Bloquée","B","P"))),""))</f>
        <v/>
      </c>
      <c r="AG190" s="53">
        <f>IF(OR($F190="",$G190=""),"",IF(AND(AG$5&lt;=$G190,AG$5+6&gt;=$F190),IF($H190="Complétée","F",IF(OR($H190="En cours",$H190="En revue"),"E",IF($H190="Bloquée","B","P"))),""))</f>
        <v/>
      </c>
      <c r="AH190" s="53">
        <f>IF(OR($F190="",$G190=""),"",IF(AND(AH$5&lt;=$G190,AH$5+6&gt;=$F190),IF($H190="Complétée","F",IF(OR($H190="En cours",$H190="En revue"),"E",IF($H190="Bloquée","B","P"))),""))</f>
        <v/>
      </c>
      <c r="AI190" s="53">
        <f>IF(OR($F190="",$G190=""),"",IF(AND(AI$5&lt;=$G190,AI$5+6&gt;=$F190),IF($H190="Complétée","F",IF(OR($H190="En cours",$H190="En revue"),"E",IF($H190="Bloquée","B","P"))),""))</f>
        <v/>
      </c>
      <c r="AJ190" s="53">
        <f>IF(OR($F190="",$G190=""),"",IF(AND(AJ$5&lt;=$G190,AJ$5+6&gt;=$F190),IF($H190="Complétée","F",IF(OR($H190="En cours",$H190="En revue"),"E",IF($H190="Bloquée","B","P"))),""))</f>
        <v/>
      </c>
      <c r="AK190" s="53">
        <f>IF(OR($F190="",$G190=""),"",IF(AND(AK$5&lt;=$G190,AK$5+6&gt;=$F190),IF($H190="Complétée","F",IF(OR($H190="En cours",$H190="En revue"),"E",IF($H190="Bloquée","B","P"))),""))</f>
        <v/>
      </c>
      <c r="AL190" s="53">
        <f>IF(OR($F190="",$G190=""),"",IF(AND(AL$5&lt;=$G190,AL$5+6&gt;=$F190),IF($H190="Complétée","F",IF(OR($H190="En cours",$H190="En revue"),"E",IF($H190="Bloquée","B","P"))),""))</f>
        <v/>
      </c>
      <c r="AM190" s="53">
        <f>IF(OR($F190="",$G190=""),"",IF(AND(AM$5&lt;=$G190,AM$5+6&gt;=$F190),IF($H190="Complétée","F",IF(OR($H190="En cours",$H190="En revue"),"E",IF($H190="Bloquée","B","P"))),""))</f>
        <v/>
      </c>
      <c r="AN190" s="53">
        <f>IF(OR($F190="",$G190=""),"",IF(AND(AN$5&lt;=$G190,AN$5+6&gt;=$F190),IF($H190="Complétée","F",IF(OR($H190="En cours",$H190="En revue"),"E",IF($H190="Bloquée","B","P"))),""))</f>
        <v/>
      </c>
      <c r="AO190" s="53">
        <f>IF(OR($F190="",$G190=""),"",IF(AND(AO$5&lt;=$G190,AO$5+6&gt;=$F190),IF($H190="Complétée","F",IF(OR($H190="En cours",$H190="En revue"),"E",IF($H190="Bloquée","B","P"))),""))</f>
        <v/>
      </c>
      <c r="AP190" s="53">
        <f>IF(OR($F190="",$G190=""),"",IF(AND(AP$5&lt;=$G190,AP$5+6&gt;=$F190),IF($H190="Complétée","F",IF(OR($H190="En cours",$H190="En revue"),"E",IF($H190="Bloquée","B","P"))),""))</f>
        <v/>
      </c>
      <c r="AQ190" s="53">
        <f>IF(OR($F190="",$G190=""),"",IF(AND(AQ$5&lt;=$G190,AQ$5+6&gt;=$F190),IF($H190="Complétée","F",IF(OR($H190="En cours",$H190="En revue"),"E",IF($H190="Bloquée","B","P"))),""))</f>
        <v/>
      </c>
      <c r="AR190" s="53">
        <f>IF(OR($F190="",$G190=""),"",IF(AND(AR$5&lt;=$G190,AR$5+6&gt;=$F190),IF($H190="Complétée","F",IF(OR($H190="En cours",$H190="En revue"),"E",IF($H190="Bloquée","B","P"))),""))</f>
        <v/>
      </c>
      <c r="AS190" s="53">
        <f>IF(OR($F190="",$G190=""),"",IF(AND(AS$5&lt;=$G190,AS$5+6&gt;=$F190),IF($H190="Complétée","F",IF(OR($H190="En cours",$H190="En revue"),"E",IF($H190="Bloquée","B","P"))),""))</f>
        <v/>
      </c>
      <c r="AT190" s="53">
        <f>IF(OR($F190="",$G190=""),"",IF(AND(AT$5&lt;=$G190,AT$5+6&gt;=$F190),IF($H190="Complétée","F",IF(OR($H190="En cours",$H190="En revue"),"E",IF($H190="Bloquée","B","P"))),""))</f>
        <v/>
      </c>
      <c r="AU190" s="53">
        <f>IF(OR($F190="",$G190=""),"",IF(AND(AU$5&lt;=$G190,AU$5+6&gt;=$F190),IF($H190="Complétée","F",IF(OR($H190="En cours",$H190="En revue"),"E",IF($H190="Bloquée","B","P"))),""))</f>
        <v/>
      </c>
      <c r="AV190" s="53">
        <f>IF(OR($F190="",$G190=""),"",IF(AND(AV$5&lt;=$G190,AV$5+6&gt;=$F190),IF($H190="Complétée","F",IF(OR($H190="En cours",$H190="En revue"),"E",IF($H190="Bloquée","B","P"))),""))</f>
        <v/>
      </c>
      <c r="AW190" s="53">
        <f>IF(OR($F190="",$G190=""),"",IF(AND(AW$5&lt;=$G190,AW$5+6&gt;=$F190),IF($H190="Complétée","F",IF(OR($H190="En cours",$H190="En revue"),"E",IF($H190="Bloquée","B","P"))),""))</f>
        <v/>
      </c>
    </row>
    <row r="191">
      <c r="B191" s="50">
        <f>IF(Taches!B191="","",Taches!B191)</f>
        <v/>
      </c>
      <c r="C191" s="51">
        <f>IF(Taches!B191="","",Taches!F191)</f>
        <v/>
      </c>
      <c r="D191" s="50">
        <f>IF(Taches!B191="","",Taches!C191)</f>
        <v/>
      </c>
      <c r="E191" s="50">
        <f>IF(Taches!B191="","",Taches!D191)</f>
        <v/>
      </c>
      <c r="F191" s="52">
        <f>IF(Taches!P191="","",Taches!P191)</f>
        <v/>
      </c>
      <c r="G191" s="52">
        <f>IF(Taches!Q191="","",Taches!Q191)</f>
        <v/>
      </c>
      <c r="H191" s="50">
        <f>IF(Taches!B191="","",Taches!J191)</f>
        <v/>
      </c>
      <c r="I191" s="53">
        <f>IF(OR($F191="",$G191=""),"",IF(AND(I$5&lt;=$G191,I$5+6&gt;=$F191),IF($H191="Complétée","F",IF(OR($H191="En cours",$H191="En revue"),"E",IF($H191="Bloquée","B","P"))),""))</f>
        <v/>
      </c>
      <c r="J191" s="53">
        <f>IF(OR($F191="",$G191=""),"",IF(AND(J$5&lt;=$G191,J$5+6&gt;=$F191),IF($H191="Complétée","F",IF(OR($H191="En cours",$H191="En revue"),"E",IF($H191="Bloquée","B","P"))),""))</f>
        <v/>
      </c>
      <c r="K191" s="53">
        <f>IF(OR($F191="",$G191=""),"",IF(AND(K$5&lt;=$G191,K$5+6&gt;=$F191),IF($H191="Complétée","F",IF(OR($H191="En cours",$H191="En revue"),"E",IF($H191="Bloquée","B","P"))),""))</f>
        <v/>
      </c>
      <c r="L191" s="53">
        <f>IF(OR($F191="",$G191=""),"",IF(AND(L$5&lt;=$G191,L$5+6&gt;=$F191),IF($H191="Complétée","F",IF(OR($H191="En cours",$H191="En revue"),"E",IF($H191="Bloquée","B","P"))),""))</f>
        <v/>
      </c>
      <c r="M191" s="53">
        <f>IF(OR($F191="",$G191=""),"",IF(AND(M$5&lt;=$G191,M$5+6&gt;=$F191),IF($H191="Complétée","F",IF(OR($H191="En cours",$H191="En revue"),"E",IF($H191="Bloquée","B","P"))),""))</f>
        <v/>
      </c>
      <c r="N191" s="53">
        <f>IF(OR($F191="",$G191=""),"",IF(AND(N$5&lt;=$G191,N$5+6&gt;=$F191),IF($H191="Complétée","F",IF(OR($H191="En cours",$H191="En revue"),"E",IF($H191="Bloquée","B","P"))),""))</f>
        <v/>
      </c>
      <c r="O191" s="53">
        <f>IF(OR($F191="",$G191=""),"",IF(AND(O$5&lt;=$G191,O$5+6&gt;=$F191),IF($H191="Complétée","F",IF(OR($H191="En cours",$H191="En revue"),"E",IF($H191="Bloquée","B","P"))),""))</f>
        <v/>
      </c>
      <c r="P191" s="53">
        <f>IF(OR($F191="",$G191=""),"",IF(AND(P$5&lt;=$G191,P$5+6&gt;=$F191),IF($H191="Complétée","F",IF(OR($H191="En cours",$H191="En revue"),"E",IF($H191="Bloquée","B","P"))),""))</f>
        <v/>
      </c>
      <c r="Q191" s="53">
        <f>IF(OR($F191="",$G191=""),"",IF(AND(Q$5&lt;=$G191,Q$5+6&gt;=$F191),IF($H191="Complétée","F",IF(OR($H191="En cours",$H191="En revue"),"E",IF($H191="Bloquée","B","P"))),""))</f>
        <v/>
      </c>
      <c r="R191" s="53">
        <f>IF(OR($F191="",$G191=""),"",IF(AND(R$5&lt;=$G191,R$5+6&gt;=$F191),IF($H191="Complétée","F",IF(OR($H191="En cours",$H191="En revue"),"E",IF($H191="Bloquée","B","P"))),""))</f>
        <v/>
      </c>
      <c r="S191" s="53">
        <f>IF(OR($F191="",$G191=""),"",IF(AND(S$5&lt;=$G191,S$5+6&gt;=$F191),IF($H191="Complétée","F",IF(OR($H191="En cours",$H191="En revue"),"E",IF($H191="Bloquée","B","P"))),""))</f>
        <v/>
      </c>
      <c r="T191" s="53">
        <f>IF(OR($F191="",$G191=""),"",IF(AND(T$5&lt;=$G191,T$5+6&gt;=$F191),IF($H191="Complétée","F",IF(OR($H191="En cours",$H191="En revue"),"E",IF($H191="Bloquée","B","P"))),""))</f>
        <v/>
      </c>
      <c r="U191" s="53">
        <f>IF(OR($F191="",$G191=""),"",IF(AND(U$5&lt;=$G191,U$5+6&gt;=$F191),IF($H191="Complétée","F",IF(OR($H191="En cours",$H191="En revue"),"E",IF($H191="Bloquée","B","P"))),""))</f>
        <v/>
      </c>
      <c r="V191" s="53">
        <f>IF(OR($F191="",$G191=""),"",IF(AND(V$5&lt;=$G191,V$5+6&gt;=$F191),IF($H191="Complétée","F",IF(OR($H191="En cours",$H191="En revue"),"E",IF($H191="Bloquée","B","P"))),""))</f>
        <v/>
      </c>
      <c r="W191" s="53">
        <f>IF(OR($F191="",$G191=""),"",IF(AND(W$5&lt;=$G191,W$5+6&gt;=$F191),IF($H191="Complétée","F",IF(OR($H191="En cours",$H191="En revue"),"E",IF($H191="Bloquée","B","P"))),""))</f>
        <v/>
      </c>
      <c r="X191" s="53">
        <f>IF(OR($F191="",$G191=""),"",IF(AND(X$5&lt;=$G191,X$5+6&gt;=$F191),IF($H191="Complétée","F",IF(OR($H191="En cours",$H191="En revue"),"E",IF($H191="Bloquée","B","P"))),""))</f>
        <v/>
      </c>
      <c r="Y191" s="53">
        <f>IF(OR($F191="",$G191=""),"",IF(AND(Y$5&lt;=$G191,Y$5+6&gt;=$F191),IF($H191="Complétée","F",IF(OR($H191="En cours",$H191="En revue"),"E",IF($H191="Bloquée","B","P"))),""))</f>
        <v/>
      </c>
      <c r="Z191" s="53">
        <f>IF(OR($F191="",$G191=""),"",IF(AND(Z$5&lt;=$G191,Z$5+6&gt;=$F191),IF($H191="Complétée","F",IF(OR($H191="En cours",$H191="En revue"),"E",IF($H191="Bloquée","B","P"))),""))</f>
        <v/>
      </c>
      <c r="AA191" s="53">
        <f>IF(OR($F191="",$G191=""),"",IF(AND(AA$5&lt;=$G191,AA$5+6&gt;=$F191),IF($H191="Complétée","F",IF(OR($H191="En cours",$H191="En revue"),"E",IF($H191="Bloquée","B","P"))),""))</f>
        <v/>
      </c>
      <c r="AB191" s="53">
        <f>IF(OR($F191="",$G191=""),"",IF(AND(AB$5&lt;=$G191,AB$5+6&gt;=$F191),IF($H191="Complétée","F",IF(OR($H191="En cours",$H191="En revue"),"E",IF($H191="Bloquée","B","P"))),""))</f>
        <v/>
      </c>
      <c r="AC191" s="53">
        <f>IF(OR($F191="",$G191=""),"",IF(AND(AC$5&lt;=$G191,AC$5+6&gt;=$F191),IF($H191="Complétée","F",IF(OR($H191="En cours",$H191="En revue"),"E",IF($H191="Bloquée","B","P"))),""))</f>
        <v/>
      </c>
      <c r="AD191" s="53">
        <f>IF(OR($F191="",$G191=""),"",IF(AND(AD$5&lt;=$G191,AD$5+6&gt;=$F191),IF($H191="Complétée","F",IF(OR($H191="En cours",$H191="En revue"),"E",IF($H191="Bloquée","B","P"))),""))</f>
        <v/>
      </c>
      <c r="AE191" s="53">
        <f>IF(OR($F191="",$G191=""),"",IF(AND(AE$5&lt;=$G191,AE$5+6&gt;=$F191),IF($H191="Complétée","F",IF(OR($H191="En cours",$H191="En revue"),"E",IF($H191="Bloquée","B","P"))),""))</f>
        <v/>
      </c>
      <c r="AF191" s="53">
        <f>IF(OR($F191="",$G191=""),"",IF(AND(AF$5&lt;=$G191,AF$5+6&gt;=$F191),IF($H191="Complétée","F",IF(OR($H191="En cours",$H191="En revue"),"E",IF($H191="Bloquée","B","P"))),""))</f>
        <v/>
      </c>
      <c r="AG191" s="53">
        <f>IF(OR($F191="",$G191=""),"",IF(AND(AG$5&lt;=$G191,AG$5+6&gt;=$F191),IF($H191="Complétée","F",IF(OR($H191="En cours",$H191="En revue"),"E",IF($H191="Bloquée","B","P"))),""))</f>
        <v/>
      </c>
      <c r="AH191" s="53">
        <f>IF(OR($F191="",$G191=""),"",IF(AND(AH$5&lt;=$G191,AH$5+6&gt;=$F191),IF($H191="Complétée","F",IF(OR($H191="En cours",$H191="En revue"),"E",IF($H191="Bloquée","B","P"))),""))</f>
        <v/>
      </c>
      <c r="AI191" s="53">
        <f>IF(OR($F191="",$G191=""),"",IF(AND(AI$5&lt;=$G191,AI$5+6&gt;=$F191),IF($H191="Complétée","F",IF(OR($H191="En cours",$H191="En revue"),"E",IF($H191="Bloquée","B","P"))),""))</f>
        <v/>
      </c>
      <c r="AJ191" s="53">
        <f>IF(OR($F191="",$G191=""),"",IF(AND(AJ$5&lt;=$G191,AJ$5+6&gt;=$F191),IF($H191="Complétée","F",IF(OR($H191="En cours",$H191="En revue"),"E",IF($H191="Bloquée","B","P"))),""))</f>
        <v/>
      </c>
      <c r="AK191" s="53">
        <f>IF(OR($F191="",$G191=""),"",IF(AND(AK$5&lt;=$G191,AK$5+6&gt;=$F191),IF($H191="Complétée","F",IF(OR($H191="En cours",$H191="En revue"),"E",IF($H191="Bloquée","B","P"))),""))</f>
        <v/>
      </c>
      <c r="AL191" s="53">
        <f>IF(OR($F191="",$G191=""),"",IF(AND(AL$5&lt;=$G191,AL$5+6&gt;=$F191),IF($H191="Complétée","F",IF(OR($H191="En cours",$H191="En revue"),"E",IF($H191="Bloquée","B","P"))),""))</f>
        <v/>
      </c>
      <c r="AM191" s="53">
        <f>IF(OR($F191="",$G191=""),"",IF(AND(AM$5&lt;=$G191,AM$5+6&gt;=$F191),IF($H191="Complétée","F",IF(OR($H191="En cours",$H191="En revue"),"E",IF($H191="Bloquée","B","P"))),""))</f>
        <v/>
      </c>
      <c r="AN191" s="53">
        <f>IF(OR($F191="",$G191=""),"",IF(AND(AN$5&lt;=$G191,AN$5+6&gt;=$F191),IF($H191="Complétée","F",IF(OR($H191="En cours",$H191="En revue"),"E",IF($H191="Bloquée","B","P"))),""))</f>
        <v/>
      </c>
      <c r="AO191" s="53">
        <f>IF(OR($F191="",$G191=""),"",IF(AND(AO$5&lt;=$G191,AO$5+6&gt;=$F191),IF($H191="Complétée","F",IF(OR($H191="En cours",$H191="En revue"),"E",IF($H191="Bloquée","B","P"))),""))</f>
        <v/>
      </c>
      <c r="AP191" s="53">
        <f>IF(OR($F191="",$G191=""),"",IF(AND(AP$5&lt;=$G191,AP$5+6&gt;=$F191),IF($H191="Complétée","F",IF(OR($H191="En cours",$H191="En revue"),"E",IF($H191="Bloquée","B","P"))),""))</f>
        <v/>
      </c>
      <c r="AQ191" s="53">
        <f>IF(OR($F191="",$G191=""),"",IF(AND(AQ$5&lt;=$G191,AQ$5+6&gt;=$F191),IF($H191="Complétée","F",IF(OR($H191="En cours",$H191="En revue"),"E",IF($H191="Bloquée","B","P"))),""))</f>
        <v/>
      </c>
      <c r="AR191" s="53">
        <f>IF(OR($F191="",$G191=""),"",IF(AND(AR$5&lt;=$G191,AR$5+6&gt;=$F191),IF($H191="Complétée","F",IF(OR($H191="En cours",$H191="En revue"),"E",IF($H191="Bloquée","B","P"))),""))</f>
        <v/>
      </c>
      <c r="AS191" s="53">
        <f>IF(OR($F191="",$G191=""),"",IF(AND(AS$5&lt;=$G191,AS$5+6&gt;=$F191),IF($H191="Complétée","F",IF(OR($H191="En cours",$H191="En revue"),"E",IF($H191="Bloquée","B","P"))),""))</f>
        <v/>
      </c>
      <c r="AT191" s="53">
        <f>IF(OR($F191="",$G191=""),"",IF(AND(AT$5&lt;=$G191,AT$5+6&gt;=$F191),IF($H191="Complétée","F",IF(OR($H191="En cours",$H191="En revue"),"E",IF($H191="Bloquée","B","P"))),""))</f>
        <v/>
      </c>
      <c r="AU191" s="53">
        <f>IF(OR($F191="",$G191=""),"",IF(AND(AU$5&lt;=$G191,AU$5+6&gt;=$F191),IF($H191="Complétée","F",IF(OR($H191="En cours",$H191="En revue"),"E",IF($H191="Bloquée","B","P"))),""))</f>
        <v/>
      </c>
      <c r="AV191" s="53">
        <f>IF(OR($F191="",$G191=""),"",IF(AND(AV$5&lt;=$G191,AV$5+6&gt;=$F191),IF($H191="Complétée","F",IF(OR($H191="En cours",$H191="En revue"),"E",IF($H191="Bloquée","B","P"))),""))</f>
        <v/>
      </c>
      <c r="AW191" s="53">
        <f>IF(OR($F191="",$G191=""),"",IF(AND(AW$5&lt;=$G191,AW$5+6&gt;=$F191),IF($H191="Complétée","F",IF(OR($H191="En cours",$H191="En revue"),"E",IF($H191="Bloquée","B","P"))),""))</f>
        <v/>
      </c>
    </row>
    <row r="192">
      <c r="B192" s="50">
        <f>IF(Taches!B192="","",Taches!B192)</f>
        <v/>
      </c>
      <c r="C192" s="51">
        <f>IF(Taches!B192="","",Taches!F192)</f>
        <v/>
      </c>
      <c r="D192" s="50">
        <f>IF(Taches!B192="","",Taches!C192)</f>
        <v/>
      </c>
      <c r="E192" s="50">
        <f>IF(Taches!B192="","",Taches!D192)</f>
        <v/>
      </c>
      <c r="F192" s="52">
        <f>IF(Taches!P192="","",Taches!P192)</f>
        <v/>
      </c>
      <c r="G192" s="52">
        <f>IF(Taches!Q192="","",Taches!Q192)</f>
        <v/>
      </c>
      <c r="H192" s="50">
        <f>IF(Taches!B192="","",Taches!J192)</f>
        <v/>
      </c>
      <c r="I192" s="53">
        <f>IF(OR($F192="",$G192=""),"",IF(AND(I$5&lt;=$G192,I$5+6&gt;=$F192),IF($H192="Complétée","F",IF(OR($H192="En cours",$H192="En revue"),"E",IF($H192="Bloquée","B","P"))),""))</f>
        <v/>
      </c>
      <c r="J192" s="53">
        <f>IF(OR($F192="",$G192=""),"",IF(AND(J$5&lt;=$G192,J$5+6&gt;=$F192),IF($H192="Complétée","F",IF(OR($H192="En cours",$H192="En revue"),"E",IF($H192="Bloquée","B","P"))),""))</f>
        <v/>
      </c>
      <c r="K192" s="53">
        <f>IF(OR($F192="",$G192=""),"",IF(AND(K$5&lt;=$G192,K$5+6&gt;=$F192),IF($H192="Complétée","F",IF(OR($H192="En cours",$H192="En revue"),"E",IF($H192="Bloquée","B","P"))),""))</f>
        <v/>
      </c>
      <c r="L192" s="53">
        <f>IF(OR($F192="",$G192=""),"",IF(AND(L$5&lt;=$G192,L$5+6&gt;=$F192),IF($H192="Complétée","F",IF(OR($H192="En cours",$H192="En revue"),"E",IF($H192="Bloquée","B","P"))),""))</f>
        <v/>
      </c>
      <c r="M192" s="53">
        <f>IF(OR($F192="",$G192=""),"",IF(AND(M$5&lt;=$G192,M$5+6&gt;=$F192),IF($H192="Complétée","F",IF(OR($H192="En cours",$H192="En revue"),"E",IF($H192="Bloquée","B","P"))),""))</f>
        <v/>
      </c>
      <c r="N192" s="53">
        <f>IF(OR($F192="",$G192=""),"",IF(AND(N$5&lt;=$G192,N$5+6&gt;=$F192),IF($H192="Complétée","F",IF(OR($H192="En cours",$H192="En revue"),"E",IF($H192="Bloquée","B","P"))),""))</f>
        <v/>
      </c>
      <c r="O192" s="53">
        <f>IF(OR($F192="",$G192=""),"",IF(AND(O$5&lt;=$G192,O$5+6&gt;=$F192),IF($H192="Complétée","F",IF(OR($H192="En cours",$H192="En revue"),"E",IF($H192="Bloquée","B","P"))),""))</f>
        <v/>
      </c>
      <c r="P192" s="53">
        <f>IF(OR($F192="",$G192=""),"",IF(AND(P$5&lt;=$G192,P$5+6&gt;=$F192),IF($H192="Complétée","F",IF(OR($H192="En cours",$H192="En revue"),"E",IF($H192="Bloquée","B","P"))),""))</f>
        <v/>
      </c>
      <c r="Q192" s="53">
        <f>IF(OR($F192="",$G192=""),"",IF(AND(Q$5&lt;=$G192,Q$5+6&gt;=$F192),IF($H192="Complétée","F",IF(OR($H192="En cours",$H192="En revue"),"E",IF($H192="Bloquée","B","P"))),""))</f>
        <v/>
      </c>
      <c r="R192" s="53">
        <f>IF(OR($F192="",$G192=""),"",IF(AND(R$5&lt;=$G192,R$5+6&gt;=$F192),IF($H192="Complétée","F",IF(OR($H192="En cours",$H192="En revue"),"E",IF($H192="Bloquée","B","P"))),""))</f>
        <v/>
      </c>
      <c r="S192" s="53">
        <f>IF(OR($F192="",$G192=""),"",IF(AND(S$5&lt;=$G192,S$5+6&gt;=$F192),IF($H192="Complétée","F",IF(OR($H192="En cours",$H192="En revue"),"E",IF($H192="Bloquée","B","P"))),""))</f>
        <v/>
      </c>
      <c r="T192" s="53">
        <f>IF(OR($F192="",$G192=""),"",IF(AND(T$5&lt;=$G192,T$5+6&gt;=$F192),IF($H192="Complétée","F",IF(OR($H192="En cours",$H192="En revue"),"E",IF($H192="Bloquée","B","P"))),""))</f>
        <v/>
      </c>
      <c r="U192" s="53">
        <f>IF(OR($F192="",$G192=""),"",IF(AND(U$5&lt;=$G192,U$5+6&gt;=$F192),IF($H192="Complétée","F",IF(OR($H192="En cours",$H192="En revue"),"E",IF($H192="Bloquée","B","P"))),""))</f>
        <v/>
      </c>
      <c r="V192" s="53">
        <f>IF(OR($F192="",$G192=""),"",IF(AND(V$5&lt;=$G192,V$5+6&gt;=$F192),IF($H192="Complétée","F",IF(OR($H192="En cours",$H192="En revue"),"E",IF($H192="Bloquée","B","P"))),""))</f>
        <v/>
      </c>
      <c r="W192" s="53">
        <f>IF(OR($F192="",$G192=""),"",IF(AND(W$5&lt;=$G192,W$5+6&gt;=$F192),IF($H192="Complétée","F",IF(OR($H192="En cours",$H192="En revue"),"E",IF($H192="Bloquée","B","P"))),""))</f>
        <v/>
      </c>
      <c r="X192" s="53">
        <f>IF(OR($F192="",$G192=""),"",IF(AND(X$5&lt;=$G192,X$5+6&gt;=$F192),IF($H192="Complétée","F",IF(OR($H192="En cours",$H192="En revue"),"E",IF($H192="Bloquée","B","P"))),""))</f>
        <v/>
      </c>
      <c r="Y192" s="53">
        <f>IF(OR($F192="",$G192=""),"",IF(AND(Y$5&lt;=$G192,Y$5+6&gt;=$F192),IF($H192="Complétée","F",IF(OR($H192="En cours",$H192="En revue"),"E",IF($H192="Bloquée","B","P"))),""))</f>
        <v/>
      </c>
      <c r="Z192" s="53">
        <f>IF(OR($F192="",$G192=""),"",IF(AND(Z$5&lt;=$G192,Z$5+6&gt;=$F192),IF($H192="Complétée","F",IF(OR($H192="En cours",$H192="En revue"),"E",IF($H192="Bloquée","B","P"))),""))</f>
        <v/>
      </c>
      <c r="AA192" s="53">
        <f>IF(OR($F192="",$G192=""),"",IF(AND(AA$5&lt;=$G192,AA$5+6&gt;=$F192),IF($H192="Complétée","F",IF(OR($H192="En cours",$H192="En revue"),"E",IF($H192="Bloquée","B","P"))),""))</f>
        <v/>
      </c>
      <c r="AB192" s="53">
        <f>IF(OR($F192="",$G192=""),"",IF(AND(AB$5&lt;=$G192,AB$5+6&gt;=$F192),IF($H192="Complétée","F",IF(OR($H192="En cours",$H192="En revue"),"E",IF($H192="Bloquée","B","P"))),""))</f>
        <v/>
      </c>
      <c r="AC192" s="53">
        <f>IF(OR($F192="",$G192=""),"",IF(AND(AC$5&lt;=$G192,AC$5+6&gt;=$F192),IF($H192="Complétée","F",IF(OR($H192="En cours",$H192="En revue"),"E",IF($H192="Bloquée","B","P"))),""))</f>
        <v/>
      </c>
      <c r="AD192" s="53">
        <f>IF(OR($F192="",$G192=""),"",IF(AND(AD$5&lt;=$G192,AD$5+6&gt;=$F192),IF($H192="Complétée","F",IF(OR($H192="En cours",$H192="En revue"),"E",IF($H192="Bloquée","B","P"))),""))</f>
        <v/>
      </c>
      <c r="AE192" s="53">
        <f>IF(OR($F192="",$G192=""),"",IF(AND(AE$5&lt;=$G192,AE$5+6&gt;=$F192),IF($H192="Complétée","F",IF(OR($H192="En cours",$H192="En revue"),"E",IF($H192="Bloquée","B","P"))),""))</f>
        <v/>
      </c>
      <c r="AF192" s="53">
        <f>IF(OR($F192="",$G192=""),"",IF(AND(AF$5&lt;=$G192,AF$5+6&gt;=$F192),IF($H192="Complétée","F",IF(OR($H192="En cours",$H192="En revue"),"E",IF($H192="Bloquée","B","P"))),""))</f>
        <v/>
      </c>
      <c r="AG192" s="53">
        <f>IF(OR($F192="",$G192=""),"",IF(AND(AG$5&lt;=$G192,AG$5+6&gt;=$F192),IF($H192="Complétée","F",IF(OR($H192="En cours",$H192="En revue"),"E",IF($H192="Bloquée","B","P"))),""))</f>
        <v/>
      </c>
      <c r="AH192" s="53">
        <f>IF(OR($F192="",$G192=""),"",IF(AND(AH$5&lt;=$G192,AH$5+6&gt;=$F192),IF($H192="Complétée","F",IF(OR($H192="En cours",$H192="En revue"),"E",IF($H192="Bloquée","B","P"))),""))</f>
        <v/>
      </c>
      <c r="AI192" s="53">
        <f>IF(OR($F192="",$G192=""),"",IF(AND(AI$5&lt;=$G192,AI$5+6&gt;=$F192),IF($H192="Complétée","F",IF(OR($H192="En cours",$H192="En revue"),"E",IF($H192="Bloquée","B","P"))),""))</f>
        <v/>
      </c>
      <c r="AJ192" s="53">
        <f>IF(OR($F192="",$G192=""),"",IF(AND(AJ$5&lt;=$G192,AJ$5+6&gt;=$F192),IF($H192="Complétée","F",IF(OR($H192="En cours",$H192="En revue"),"E",IF($H192="Bloquée","B","P"))),""))</f>
        <v/>
      </c>
      <c r="AK192" s="53">
        <f>IF(OR($F192="",$G192=""),"",IF(AND(AK$5&lt;=$G192,AK$5+6&gt;=$F192),IF($H192="Complétée","F",IF(OR($H192="En cours",$H192="En revue"),"E",IF($H192="Bloquée","B","P"))),""))</f>
        <v/>
      </c>
      <c r="AL192" s="53">
        <f>IF(OR($F192="",$G192=""),"",IF(AND(AL$5&lt;=$G192,AL$5+6&gt;=$F192),IF($H192="Complétée","F",IF(OR($H192="En cours",$H192="En revue"),"E",IF($H192="Bloquée","B","P"))),""))</f>
        <v/>
      </c>
      <c r="AM192" s="53">
        <f>IF(OR($F192="",$G192=""),"",IF(AND(AM$5&lt;=$G192,AM$5+6&gt;=$F192),IF($H192="Complétée","F",IF(OR($H192="En cours",$H192="En revue"),"E",IF($H192="Bloquée","B","P"))),""))</f>
        <v/>
      </c>
      <c r="AN192" s="53">
        <f>IF(OR($F192="",$G192=""),"",IF(AND(AN$5&lt;=$G192,AN$5+6&gt;=$F192),IF($H192="Complétée","F",IF(OR($H192="En cours",$H192="En revue"),"E",IF($H192="Bloquée","B","P"))),""))</f>
        <v/>
      </c>
      <c r="AO192" s="53">
        <f>IF(OR($F192="",$G192=""),"",IF(AND(AO$5&lt;=$G192,AO$5+6&gt;=$F192),IF($H192="Complétée","F",IF(OR($H192="En cours",$H192="En revue"),"E",IF($H192="Bloquée","B","P"))),""))</f>
        <v/>
      </c>
      <c r="AP192" s="53">
        <f>IF(OR($F192="",$G192=""),"",IF(AND(AP$5&lt;=$G192,AP$5+6&gt;=$F192),IF($H192="Complétée","F",IF(OR($H192="En cours",$H192="En revue"),"E",IF($H192="Bloquée","B","P"))),""))</f>
        <v/>
      </c>
      <c r="AQ192" s="53">
        <f>IF(OR($F192="",$G192=""),"",IF(AND(AQ$5&lt;=$G192,AQ$5+6&gt;=$F192),IF($H192="Complétée","F",IF(OR($H192="En cours",$H192="En revue"),"E",IF($H192="Bloquée","B","P"))),""))</f>
        <v/>
      </c>
      <c r="AR192" s="53">
        <f>IF(OR($F192="",$G192=""),"",IF(AND(AR$5&lt;=$G192,AR$5+6&gt;=$F192),IF($H192="Complétée","F",IF(OR($H192="En cours",$H192="En revue"),"E",IF($H192="Bloquée","B","P"))),""))</f>
        <v/>
      </c>
      <c r="AS192" s="53">
        <f>IF(OR($F192="",$G192=""),"",IF(AND(AS$5&lt;=$G192,AS$5+6&gt;=$F192),IF($H192="Complétée","F",IF(OR($H192="En cours",$H192="En revue"),"E",IF($H192="Bloquée","B","P"))),""))</f>
        <v/>
      </c>
      <c r="AT192" s="53">
        <f>IF(OR($F192="",$G192=""),"",IF(AND(AT$5&lt;=$G192,AT$5+6&gt;=$F192),IF($H192="Complétée","F",IF(OR($H192="En cours",$H192="En revue"),"E",IF($H192="Bloquée","B","P"))),""))</f>
        <v/>
      </c>
      <c r="AU192" s="53">
        <f>IF(OR($F192="",$G192=""),"",IF(AND(AU$5&lt;=$G192,AU$5+6&gt;=$F192),IF($H192="Complétée","F",IF(OR($H192="En cours",$H192="En revue"),"E",IF($H192="Bloquée","B","P"))),""))</f>
        <v/>
      </c>
      <c r="AV192" s="53">
        <f>IF(OR($F192="",$G192=""),"",IF(AND(AV$5&lt;=$G192,AV$5+6&gt;=$F192),IF($H192="Complétée","F",IF(OR($H192="En cours",$H192="En revue"),"E",IF($H192="Bloquée","B","P"))),""))</f>
        <v/>
      </c>
      <c r="AW192" s="53">
        <f>IF(OR($F192="",$G192=""),"",IF(AND(AW$5&lt;=$G192,AW$5+6&gt;=$F192),IF($H192="Complétée","F",IF(OR($H192="En cours",$H192="En revue"),"E",IF($H192="Bloquée","B","P"))),""))</f>
        <v/>
      </c>
    </row>
    <row r="193">
      <c r="B193" s="50">
        <f>IF(Taches!B193="","",Taches!B193)</f>
        <v/>
      </c>
      <c r="C193" s="51">
        <f>IF(Taches!B193="","",Taches!F193)</f>
        <v/>
      </c>
      <c r="D193" s="50">
        <f>IF(Taches!B193="","",Taches!C193)</f>
        <v/>
      </c>
      <c r="E193" s="50">
        <f>IF(Taches!B193="","",Taches!D193)</f>
        <v/>
      </c>
      <c r="F193" s="52">
        <f>IF(Taches!P193="","",Taches!P193)</f>
        <v/>
      </c>
      <c r="G193" s="52">
        <f>IF(Taches!Q193="","",Taches!Q193)</f>
        <v/>
      </c>
      <c r="H193" s="50">
        <f>IF(Taches!B193="","",Taches!J193)</f>
        <v/>
      </c>
      <c r="I193" s="53">
        <f>IF(OR($F193="",$G193=""),"",IF(AND(I$5&lt;=$G193,I$5+6&gt;=$F193),IF($H193="Complétée","F",IF(OR($H193="En cours",$H193="En revue"),"E",IF($H193="Bloquée","B","P"))),""))</f>
        <v/>
      </c>
      <c r="J193" s="53">
        <f>IF(OR($F193="",$G193=""),"",IF(AND(J$5&lt;=$G193,J$5+6&gt;=$F193),IF($H193="Complétée","F",IF(OR($H193="En cours",$H193="En revue"),"E",IF($H193="Bloquée","B","P"))),""))</f>
        <v/>
      </c>
      <c r="K193" s="53">
        <f>IF(OR($F193="",$G193=""),"",IF(AND(K$5&lt;=$G193,K$5+6&gt;=$F193),IF($H193="Complétée","F",IF(OR($H193="En cours",$H193="En revue"),"E",IF($H193="Bloquée","B","P"))),""))</f>
        <v/>
      </c>
      <c r="L193" s="53">
        <f>IF(OR($F193="",$G193=""),"",IF(AND(L$5&lt;=$G193,L$5+6&gt;=$F193),IF($H193="Complétée","F",IF(OR($H193="En cours",$H193="En revue"),"E",IF($H193="Bloquée","B","P"))),""))</f>
        <v/>
      </c>
      <c r="M193" s="53">
        <f>IF(OR($F193="",$G193=""),"",IF(AND(M$5&lt;=$G193,M$5+6&gt;=$F193),IF($H193="Complétée","F",IF(OR($H193="En cours",$H193="En revue"),"E",IF($H193="Bloquée","B","P"))),""))</f>
        <v/>
      </c>
      <c r="N193" s="53">
        <f>IF(OR($F193="",$G193=""),"",IF(AND(N$5&lt;=$G193,N$5+6&gt;=$F193),IF($H193="Complétée","F",IF(OR($H193="En cours",$H193="En revue"),"E",IF($H193="Bloquée","B","P"))),""))</f>
        <v/>
      </c>
      <c r="O193" s="53">
        <f>IF(OR($F193="",$G193=""),"",IF(AND(O$5&lt;=$G193,O$5+6&gt;=$F193),IF($H193="Complétée","F",IF(OR($H193="En cours",$H193="En revue"),"E",IF($H193="Bloquée","B","P"))),""))</f>
        <v/>
      </c>
      <c r="P193" s="53">
        <f>IF(OR($F193="",$G193=""),"",IF(AND(P$5&lt;=$G193,P$5+6&gt;=$F193),IF($H193="Complétée","F",IF(OR($H193="En cours",$H193="En revue"),"E",IF($H193="Bloquée","B","P"))),""))</f>
        <v/>
      </c>
      <c r="Q193" s="53">
        <f>IF(OR($F193="",$G193=""),"",IF(AND(Q$5&lt;=$G193,Q$5+6&gt;=$F193),IF($H193="Complétée","F",IF(OR($H193="En cours",$H193="En revue"),"E",IF($H193="Bloquée","B","P"))),""))</f>
        <v/>
      </c>
      <c r="R193" s="53">
        <f>IF(OR($F193="",$G193=""),"",IF(AND(R$5&lt;=$G193,R$5+6&gt;=$F193),IF($H193="Complétée","F",IF(OR($H193="En cours",$H193="En revue"),"E",IF($H193="Bloquée","B","P"))),""))</f>
        <v/>
      </c>
      <c r="S193" s="53">
        <f>IF(OR($F193="",$G193=""),"",IF(AND(S$5&lt;=$G193,S$5+6&gt;=$F193),IF($H193="Complétée","F",IF(OR($H193="En cours",$H193="En revue"),"E",IF($H193="Bloquée","B","P"))),""))</f>
        <v/>
      </c>
      <c r="T193" s="53">
        <f>IF(OR($F193="",$G193=""),"",IF(AND(T$5&lt;=$G193,T$5+6&gt;=$F193),IF($H193="Complétée","F",IF(OR($H193="En cours",$H193="En revue"),"E",IF($H193="Bloquée","B","P"))),""))</f>
        <v/>
      </c>
      <c r="U193" s="53">
        <f>IF(OR($F193="",$G193=""),"",IF(AND(U$5&lt;=$G193,U$5+6&gt;=$F193),IF($H193="Complétée","F",IF(OR($H193="En cours",$H193="En revue"),"E",IF($H193="Bloquée","B","P"))),""))</f>
        <v/>
      </c>
      <c r="V193" s="53">
        <f>IF(OR($F193="",$G193=""),"",IF(AND(V$5&lt;=$G193,V$5+6&gt;=$F193),IF($H193="Complétée","F",IF(OR($H193="En cours",$H193="En revue"),"E",IF($H193="Bloquée","B","P"))),""))</f>
        <v/>
      </c>
      <c r="W193" s="53">
        <f>IF(OR($F193="",$G193=""),"",IF(AND(W$5&lt;=$G193,W$5+6&gt;=$F193),IF($H193="Complétée","F",IF(OR($H193="En cours",$H193="En revue"),"E",IF($H193="Bloquée","B","P"))),""))</f>
        <v/>
      </c>
      <c r="X193" s="53">
        <f>IF(OR($F193="",$G193=""),"",IF(AND(X$5&lt;=$G193,X$5+6&gt;=$F193),IF($H193="Complétée","F",IF(OR($H193="En cours",$H193="En revue"),"E",IF($H193="Bloquée","B","P"))),""))</f>
        <v/>
      </c>
      <c r="Y193" s="53">
        <f>IF(OR($F193="",$G193=""),"",IF(AND(Y$5&lt;=$G193,Y$5+6&gt;=$F193),IF($H193="Complétée","F",IF(OR($H193="En cours",$H193="En revue"),"E",IF($H193="Bloquée","B","P"))),""))</f>
        <v/>
      </c>
      <c r="Z193" s="53">
        <f>IF(OR($F193="",$G193=""),"",IF(AND(Z$5&lt;=$G193,Z$5+6&gt;=$F193),IF($H193="Complétée","F",IF(OR($H193="En cours",$H193="En revue"),"E",IF($H193="Bloquée","B","P"))),""))</f>
        <v/>
      </c>
      <c r="AA193" s="53">
        <f>IF(OR($F193="",$G193=""),"",IF(AND(AA$5&lt;=$G193,AA$5+6&gt;=$F193),IF($H193="Complétée","F",IF(OR($H193="En cours",$H193="En revue"),"E",IF($H193="Bloquée","B","P"))),""))</f>
        <v/>
      </c>
      <c r="AB193" s="53">
        <f>IF(OR($F193="",$G193=""),"",IF(AND(AB$5&lt;=$G193,AB$5+6&gt;=$F193),IF($H193="Complétée","F",IF(OR($H193="En cours",$H193="En revue"),"E",IF($H193="Bloquée","B","P"))),""))</f>
        <v/>
      </c>
      <c r="AC193" s="53">
        <f>IF(OR($F193="",$G193=""),"",IF(AND(AC$5&lt;=$G193,AC$5+6&gt;=$F193),IF($H193="Complétée","F",IF(OR($H193="En cours",$H193="En revue"),"E",IF($H193="Bloquée","B","P"))),""))</f>
        <v/>
      </c>
      <c r="AD193" s="53">
        <f>IF(OR($F193="",$G193=""),"",IF(AND(AD$5&lt;=$G193,AD$5+6&gt;=$F193),IF($H193="Complétée","F",IF(OR($H193="En cours",$H193="En revue"),"E",IF($H193="Bloquée","B","P"))),""))</f>
        <v/>
      </c>
      <c r="AE193" s="53">
        <f>IF(OR($F193="",$G193=""),"",IF(AND(AE$5&lt;=$G193,AE$5+6&gt;=$F193),IF($H193="Complétée","F",IF(OR($H193="En cours",$H193="En revue"),"E",IF($H193="Bloquée","B","P"))),""))</f>
        <v/>
      </c>
      <c r="AF193" s="53">
        <f>IF(OR($F193="",$G193=""),"",IF(AND(AF$5&lt;=$G193,AF$5+6&gt;=$F193),IF($H193="Complétée","F",IF(OR($H193="En cours",$H193="En revue"),"E",IF($H193="Bloquée","B","P"))),""))</f>
        <v/>
      </c>
      <c r="AG193" s="53">
        <f>IF(OR($F193="",$G193=""),"",IF(AND(AG$5&lt;=$G193,AG$5+6&gt;=$F193),IF($H193="Complétée","F",IF(OR($H193="En cours",$H193="En revue"),"E",IF($H193="Bloquée","B","P"))),""))</f>
        <v/>
      </c>
      <c r="AH193" s="53">
        <f>IF(OR($F193="",$G193=""),"",IF(AND(AH$5&lt;=$G193,AH$5+6&gt;=$F193),IF($H193="Complétée","F",IF(OR($H193="En cours",$H193="En revue"),"E",IF($H193="Bloquée","B","P"))),""))</f>
        <v/>
      </c>
      <c r="AI193" s="53">
        <f>IF(OR($F193="",$G193=""),"",IF(AND(AI$5&lt;=$G193,AI$5+6&gt;=$F193),IF($H193="Complétée","F",IF(OR($H193="En cours",$H193="En revue"),"E",IF($H193="Bloquée","B","P"))),""))</f>
        <v/>
      </c>
      <c r="AJ193" s="53">
        <f>IF(OR($F193="",$G193=""),"",IF(AND(AJ$5&lt;=$G193,AJ$5+6&gt;=$F193),IF($H193="Complétée","F",IF(OR($H193="En cours",$H193="En revue"),"E",IF($H193="Bloquée","B","P"))),""))</f>
        <v/>
      </c>
      <c r="AK193" s="53">
        <f>IF(OR($F193="",$G193=""),"",IF(AND(AK$5&lt;=$G193,AK$5+6&gt;=$F193),IF($H193="Complétée","F",IF(OR($H193="En cours",$H193="En revue"),"E",IF($H193="Bloquée","B","P"))),""))</f>
        <v/>
      </c>
      <c r="AL193" s="53">
        <f>IF(OR($F193="",$G193=""),"",IF(AND(AL$5&lt;=$G193,AL$5+6&gt;=$F193),IF($H193="Complétée","F",IF(OR($H193="En cours",$H193="En revue"),"E",IF($H193="Bloquée","B","P"))),""))</f>
        <v/>
      </c>
      <c r="AM193" s="53">
        <f>IF(OR($F193="",$G193=""),"",IF(AND(AM$5&lt;=$G193,AM$5+6&gt;=$F193),IF($H193="Complétée","F",IF(OR($H193="En cours",$H193="En revue"),"E",IF($H193="Bloquée","B","P"))),""))</f>
        <v/>
      </c>
      <c r="AN193" s="53">
        <f>IF(OR($F193="",$G193=""),"",IF(AND(AN$5&lt;=$G193,AN$5+6&gt;=$F193),IF($H193="Complétée","F",IF(OR($H193="En cours",$H193="En revue"),"E",IF($H193="Bloquée","B","P"))),""))</f>
        <v/>
      </c>
      <c r="AO193" s="53">
        <f>IF(OR($F193="",$G193=""),"",IF(AND(AO$5&lt;=$G193,AO$5+6&gt;=$F193),IF($H193="Complétée","F",IF(OR($H193="En cours",$H193="En revue"),"E",IF($H193="Bloquée","B","P"))),""))</f>
        <v/>
      </c>
      <c r="AP193" s="53">
        <f>IF(OR($F193="",$G193=""),"",IF(AND(AP$5&lt;=$G193,AP$5+6&gt;=$F193),IF($H193="Complétée","F",IF(OR($H193="En cours",$H193="En revue"),"E",IF($H193="Bloquée","B","P"))),""))</f>
        <v/>
      </c>
      <c r="AQ193" s="53">
        <f>IF(OR($F193="",$G193=""),"",IF(AND(AQ$5&lt;=$G193,AQ$5+6&gt;=$F193),IF($H193="Complétée","F",IF(OR($H193="En cours",$H193="En revue"),"E",IF($H193="Bloquée","B","P"))),""))</f>
        <v/>
      </c>
      <c r="AR193" s="53">
        <f>IF(OR($F193="",$G193=""),"",IF(AND(AR$5&lt;=$G193,AR$5+6&gt;=$F193),IF($H193="Complétée","F",IF(OR($H193="En cours",$H193="En revue"),"E",IF($H193="Bloquée","B","P"))),""))</f>
        <v/>
      </c>
      <c r="AS193" s="53">
        <f>IF(OR($F193="",$G193=""),"",IF(AND(AS$5&lt;=$G193,AS$5+6&gt;=$F193),IF($H193="Complétée","F",IF(OR($H193="En cours",$H193="En revue"),"E",IF($H193="Bloquée","B","P"))),""))</f>
        <v/>
      </c>
      <c r="AT193" s="53">
        <f>IF(OR($F193="",$G193=""),"",IF(AND(AT$5&lt;=$G193,AT$5+6&gt;=$F193),IF($H193="Complétée","F",IF(OR($H193="En cours",$H193="En revue"),"E",IF($H193="Bloquée","B","P"))),""))</f>
        <v/>
      </c>
      <c r="AU193" s="53">
        <f>IF(OR($F193="",$G193=""),"",IF(AND(AU$5&lt;=$G193,AU$5+6&gt;=$F193),IF($H193="Complétée","F",IF(OR($H193="En cours",$H193="En revue"),"E",IF($H193="Bloquée","B","P"))),""))</f>
        <v/>
      </c>
      <c r="AV193" s="53">
        <f>IF(OR($F193="",$G193=""),"",IF(AND(AV$5&lt;=$G193,AV$5+6&gt;=$F193),IF($H193="Complétée","F",IF(OR($H193="En cours",$H193="En revue"),"E",IF($H193="Bloquée","B","P"))),""))</f>
        <v/>
      </c>
      <c r="AW193" s="53">
        <f>IF(OR($F193="",$G193=""),"",IF(AND(AW$5&lt;=$G193,AW$5+6&gt;=$F193),IF($H193="Complétée","F",IF(OR($H193="En cours",$H193="En revue"),"E",IF($H193="Bloquée","B","P"))),""))</f>
        <v/>
      </c>
    </row>
    <row r="194">
      <c r="B194" s="50">
        <f>IF(Taches!B194="","",Taches!B194)</f>
        <v/>
      </c>
      <c r="C194" s="51">
        <f>IF(Taches!B194="","",Taches!F194)</f>
        <v/>
      </c>
      <c r="D194" s="50">
        <f>IF(Taches!B194="","",Taches!C194)</f>
        <v/>
      </c>
      <c r="E194" s="50">
        <f>IF(Taches!B194="","",Taches!D194)</f>
        <v/>
      </c>
      <c r="F194" s="52">
        <f>IF(Taches!P194="","",Taches!P194)</f>
        <v/>
      </c>
      <c r="G194" s="52">
        <f>IF(Taches!Q194="","",Taches!Q194)</f>
        <v/>
      </c>
      <c r="H194" s="50">
        <f>IF(Taches!B194="","",Taches!J194)</f>
        <v/>
      </c>
      <c r="I194" s="53">
        <f>IF(OR($F194="",$G194=""),"",IF(AND(I$5&lt;=$G194,I$5+6&gt;=$F194),IF($H194="Complétée","F",IF(OR($H194="En cours",$H194="En revue"),"E",IF($H194="Bloquée","B","P"))),""))</f>
        <v/>
      </c>
      <c r="J194" s="53">
        <f>IF(OR($F194="",$G194=""),"",IF(AND(J$5&lt;=$G194,J$5+6&gt;=$F194),IF($H194="Complétée","F",IF(OR($H194="En cours",$H194="En revue"),"E",IF($H194="Bloquée","B","P"))),""))</f>
        <v/>
      </c>
      <c r="K194" s="53">
        <f>IF(OR($F194="",$G194=""),"",IF(AND(K$5&lt;=$G194,K$5+6&gt;=$F194),IF($H194="Complétée","F",IF(OR($H194="En cours",$H194="En revue"),"E",IF($H194="Bloquée","B","P"))),""))</f>
        <v/>
      </c>
      <c r="L194" s="53">
        <f>IF(OR($F194="",$G194=""),"",IF(AND(L$5&lt;=$G194,L$5+6&gt;=$F194),IF($H194="Complétée","F",IF(OR($H194="En cours",$H194="En revue"),"E",IF($H194="Bloquée","B","P"))),""))</f>
        <v/>
      </c>
      <c r="M194" s="53">
        <f>IF(OR($F194="",$G194=""),"",IF(AND(M$5&lt;=$G194,M$5+6&gt;=$F194),IF($H194="Complétée","F",IF(OR($H194="En cours",$H194="En revue"),"E",IF($H194="Bloquée","B","P"))),""))</f>
        <v/>
      </c>
      <c r="N194" s="53">
        <f>IF(OR($F194="",$G194=""),"",IF(AND(N$5&lt;=$G194,N$5+6&gt;=$F194),IF($H194="Complétée","F",IF(OR($H194="En cours",$H194="En revue"),"E",IF($H194="Bloquée","B","P"))),""))</f>
        <v/>
      </c>
      <c r="O194" s="53">
        <f>IF(OR($F194="",$G194=""),"",IF(AND(O$5&lt;=$G194,O$5+6&gt;=$F194),IF($H194="Complétée","F",IF(OR($H194="En cours",$H194="En revue"),"E",IF($H194="Bloquée","B","P"))),""))</f>
        <v/>
      </c>
      <c r="P194" s="53">
        <f>IF(OR($F194="",$G194=""),"",IF(AND(P$5&lt;=$G194,P$5+6&gt;=$F194),IF($H194="Complétée","F",IF(OR($H194="En cours",$H194="En revue"),"E",IF($H194="Bloquée","B","P"))),""))</f>
        <v/>
      </c>
      <c r="Q194" s="53">
        <f>IF(OR($F194="",$G194=""),"",IF(AND(Q$5&lt;=$G194,Q$5+6&gt;=$F194),IF($H194="Complétée","F",IF(OR($H194="En cours",$H194="En revue"),"E",IF($H194="Bloquée","B","P"))),""))</f>
        <v/>
      </c>
      <c r="R194" s="53">
        <f>IF(OR($F194="",$G194=""),"",IF(AND(R$5&lt;=$G194,R$5+6&gt;=$F194),IF($H194="Complétée","F",IF(OR($H194="En cours",$H194="En revue"),"E",IF($H194="Bloquée","B","P"))),""))</f>
        <v/>
      </c>
      <c r="S194" s="53">
        <f>IF(OR($F194="",$G194=""),"",IF(AND(S$5&lt;=$G194,S$5+6&gt;=$F194),IF($H194="Complétée","F",IF(OR($H194="En cours",$H194="En revue"),"E",IF($H194="Bloquée","B","P"))),""))</f>
        <v/>
      </c>
      <c r="T194" s="53">
        <f>IF(OR($F194="",$G194=""),"",IF(AND(T$5&lt;=$G194,T$5+6&gt;=$F194),IF($H194="Complétée","F",IF(OR($H194="En cours",$H194="En revue"),"E",IF($H194="Bloquée","B","P"))),""))</f>
        <v/>
      </c>
      <c r="U194" s="53">
        <f>IF(OR($F194="",$G194=""),"",IF(AND(U$5&lt;=$G194,U$5+6&gt;=$F194),IF($H194="Complétée","F",IF(OR($H194="En cours",$H194="En revue"),"E",IF($H194="Bloquée","B","P"))),""))</f>
        <v/>
      </c>
      <c r="V194" s="53">
        <f>IF(OR($F194="",$G194=""),"",IF(AND(V$5&lt;=$G194,V$5+6&gt;=$F194),IF($H194="Complétée","F",IF(OR($H194="En cours",$H194="En revue"),"E",IF($H194="Bloquée","B","P"))),""))</f>
        <v/>
      </c>
      <c r="W194" s="53">
        <f>IF(OR($F194="",$G194=""),"",IF(AND(W$5&lt;=$G194,W$5+6&gt;=$F194),IF($H194="Complétée","F",IF(OR($H194="En cours",$H194="En revue"),"E",IF($H194="Bloquée","B","P"))),""))</f>
        <v/>
      </c>
      <c r="X194" s="53">
        <f>IF(OR($F194="",$G194=""),"",IF(AND(X$5&lt;=$G194,X$5+6&gt;=$F194),IF($H194="Complétée","F",IF(OR($H194="En cours",$H194="En revue"),"E",IF($H194="Bloquée","B","P"))),""))</f>
        <v/>
      </c>
      <c r="Y194" s="53">
        <f>IF(OR($F194="",$G194=""),"",IF(AND(Y$5&lt;=$G194,Y$5+6&gt;=$F194),IF($H194="Complétée","F",IF(OR($H194="En cours",$H194="En revue"),"E",IF($H194="Bloquée","B","P"))),""))</f>
        <v/>
      </c>
      <c r="Z194" s="53">
        <f>IF(OR($F194="",$G194=""),"",IF(AND(Z$5&lt;=$G194,Z$5+6&gt;=$F194),IF($H194="Complétée","F",IF(OR($H194="En cours",$H194="En revue"),"E",IF($H194="Bloquée","B","P"))),""))</f>
        <v/>
      </c>
      <c r="AA194" s="53">
        <f>IF(OR($F194="",$G194=""),"",IF(AND(AA$5&lt;=$G194,AA$5+6&gt;=$F194),IF($H194="Complétée","F",IF(OR($H194="En cours",$H194="En revue"),"E",IF($H194="Bloquée","B","P"))),""))</f>
        <v/>
      </c>
      <c r="AB194" s="53">
        <f>IF(OR($F194="",$G194=""),"",IF(AND(AB$5&lt;=$G194,AB$5+6&gt;=$F194),IF($H194="Complétée","F",IF(OR($H194="En cours",$H194="En revue"),"E",IF($H194="Bloquée","B","P"))),""))</f>
        <v/>
      </c>
      <c r="AC194" s="53">
        <f>IF(OR($F194="",$G194=""),"",IF(AND(AC$5&lt;=$G194,AC$5+6&gt;=$F194),IF($H194="Complétée","F",IF(OR($H194="En cours",$H194="En revue"),"E",IF($H194="Bloquée","B","P"))),""))</f>
        <v/>
      </c>
      <c r="AD194" s="53">
        <f>IF(OR($F194="",$G194=""),"",IF(AND(AD$5&lt;=$G194,AD$5+6&gt;=$F194),IF($H194="Complétée","F",IF(OR($H194="En cours",$H194="En revue"),"E",IF($H194="Bloquée","B","P"))),""))</f>
        <v/>
      </c>
      <c r="AE194" s="53">
        <f>IF(OR($F194="",$G194=""),"",IF(AND(AE$5&lt;=$G194,AE$5+6&gt;=$F194),IF($H194="Complétée","F",IF(OR($H194="En cours",$H194="En revue"),"E",IF($H194="Bloquée","B","P"))),""))</f>
        <v/>
      </c>
      <c r="AF194" s="53">
        <f>IF(OR($F194="",$G194=""),"",IF(AND(AF$5&lt;=$G194,AF$5+6&gt;=$F194),IF($H194="Complétée","F",IF(OR($H194="En cours",$H194="En revue"),"E",IF($H194="Bloquée","B","P"))),""))</f>
        <v/>
      </c>
      <c r="AG194" s="53">
        <f>IF(OR($F194="",$G194=""),"",IF(AND(AG$5&lt;=$G194,AG$5+6&gt;=$F194),IF($H194="Complétée","F",IF(OR($H194="En cours",$H194="En revue"),"E",IF($H194="Bloquée","B","P"))),""))</f>
        <v/>
      </c>
      <c r="AH194" s="53">
        <f>IF(OR($F194="",$G194=""),"",IF(AND(AH$5&lt;=$G194,AH$5+6&gt;=$F194),IF($H194="Complétée","F",IF(OR($H194="En cours",$H194="En revue"),"E",IF($H194="Bloquée","B","P"))),""))</f>
        <v/>
      </c>
      <c r="AI194" s="53">
        <f>IF(OR($F194="",$G194=""),"",IF(AND(AI$5&lt;=$G194,AI$5+6&gt;=$F194),IF($H194="Complétée","F",IF(OR($H194="En cours",$H194="En revue"),"E",IF($H194="Bloquée","B","P"))),""))</f>
        <v/>
      </c>
      <c r="AJ194" s="53">
        <f>IF(OR($F194="",$G194=""),"",IF(AND(AJ$5&lt;=$G194,AJ$5+6&gt;=$F194),IF($H194="Complétée","F",IF(OR($H194="En cours",$H194="En revue"),"E",IF($H194="Bloquée","B","P"))),""))</f>
        <v/>
      </c>
      <c r="AK194" s="53">
        <f>IF(OR($F194="",$G194=""),"",IF(AND(AK$5&lt;=$G194,AK$5+6&gt;=$F194),IF($H194="Complétée","F",IF(OR($H194="En cours",$H194="En revue"),"E",IF($H194="Bloquée","B","P"))),""))</f>
        <v/>
      </c>
      <c r="AL194" s="53">
        <f>IF(OR($F194="",$G194=""),"",IF(AND(AL$5&lt;=$G194,AL$5+6&gt;=$F194),IF($H194="Complétée","F",IF(OR($H194="En cours",$H194="En revue"),"E",IF($H194="Bloquée","B","P"))),""))</f>
        <v/>
      </c>
      <c r="AM194" s="53">
        <f>IF(OR($F194="",$G194=""),"",IF(AND(AM$5&lt;=$G194,AM$5+6&gt;=$F194),IF($H194="Complétée","F",IF(OR($H194="En cours",$H194="En revue"),"E",IF($H194="Bloquée","B","P"))),""))</f>
        <v/>
      </c>
      <c r="AN194" s="53">
        <f>IF(OR($F194="",$G194=""),"",IF(AND(AN$5&lt;=$G194,AN$5+6&gt;=$F194),IF($H194="Complétée","F",IF(OR($H194="En cours",$H194="En revue"),"E",IF($H194="Bloquée","B","P"))),""))</f>
        <v/>
      </c>
      <c r="AO194" s="53">
        <f>IF(OR($F194="",$G194=""),"",IF(AND(AO$5&lt;=$G194,AO$5+6&gt;=$F194),IF($H194="Complétée","F",IF(OR($H194="En cours",$H194="En revue"),"E",IF($H194="Bloquée","B","P"))),""))</f>
        <v/>
      </c>
      <c r="AP194" s="53">
        <f>IF(OR($F194="",$G194=""),"",IF(AND(AP$5&lt;=$G194,AP$5+6&gt;=$F194),IF($H194="Complétée","F",IF(OR($H194="En cours",$H194="En revue"),"E",IF($H194="Bloquée","B","P"))),""))</f>
        <v/>
      </c>
      <c r="AQ194" s="53">
        <f>IF(OR($F194="",$G194=""),"",IF(AND(AQ$5&lt;=$G194,AQ$5+6&gt;=$F194),IF($H194="Complétée","F",IF(OR($H194="En cours",$H194="En revue"),"E",IF($H194="Bloquée","B","P"))),""))</f>
        <v/>
      </c>
      <c r="AR194" s="53">
        <f>IF(OR($F194="",$G194=""),"",IF(AND(AR$5&lt;=$G194,AR$5+6&gt;=$F194),IF($H194="Complétée","F",IF(OR($H194="En cours",$H194="En revue"),"E",IF($H194="Bloquée","B","P"))),""))</f>
        <v/>
      </c>
      <c r="AS194" s="53">
        <f>IF(OR($F194="",$G194=""),"",IF(AND(AS$5&lt;=$G194,AS$5+6&gt;=$F194),IF($H194="Complétée","F",IF(OR($H194="En cours",$H194="En revue"),"E",IF($H194="Bloquée","B","P"))),""))</f>
        <v/>
      </c>
      <c r="AT194" s="53">
        <f>IF(OR($F194="",$G194=""),"",IF(AND(AT$5&lt;=$G194,AT$5+6&gt;=$F194),IF($H194="Complétée","F",IF(OR($H194="En cours",$H194="En revue"),"E",IF($H194="Bloquée","B","P"))),""))</f>
        <v/>
      </c>
      <c r="AU194" s="53">
        <f>IF(OR($F194="",$G194=""),"",IF(AND(AU$5&lt;=$G194,AU$5+6&gt;=$F194),IF($H194="Complétée","F",IF(OR($H194="En cours",$H194="En revue"),"E",IF($H194="Bloquée","B","P"))),""))</f>
        <v/>
      </c>
      <c r="AV194" s="53">
        <f>IF(OR($F194="",$G194=""),"",IF(AND(AV$5&lt;=$G194,AV$5+6&gt;=$F194),IF($H194="Complétée","F",IF(OR($H194="En cours",$H194="En revue"),"E",IF($H194="Bloquée","B","P"))),""))</f>
        <v/>
      </c>
      <c r="AW194" s="53">
        <f>IF(OR($F194="",$G194=""),"",IF(AND(AW$5&lt;=$G194,AW$5+6&gt;=$F194),IF($H194="Complétée","F",IF(OR($H194="En cours",$H194="En revue"),"E",IF($H194="Bloquée","B","P"))),""))</f>
        <v/>
      </c>
    </row>
    <row r="195">
      <c r="B195" s="50">
        <f>IF(Taches!B195="","",Taches!B195)</f>
        <v/>
      </c>
      <c r="C195" s="51">
        <f>IF(Taches!B195="","",Taches!F195)</f>
        <v/>
      </c>
      <c r="D195" s="50">
        <f>IF(Taches!B195="","",Taches!C195)</f>
        <v/>
      </c>
      <c r="E195" s="50">
        <f>IF(Taches!B195="","",Taches!D195)</f>
        <v/>
      </c>
      <c r="F195" s="52">
        <f>IF(Taches!P195="","",Taches!P195)</f>
        <v/>
      </c>
      <c r="G195" s="52">
        <f>IF(Taches!Q195="","",Taches!Q195)</f>
        <v/>
      </c>
      <c r="H195" s="50">
        <f>IF(Taches!B195="","",Taches!J195)</f>
        <v/>
      </c>
      <c r="I195" s="53">
        <f>IF(OR($F195="",$G195=""),"",IF(AND(I$5&lt;=$G195,I$5+6&gt;=$F195),IF($H195="Complétée","F",IF(OR($H195="En cours",$H195="En revue"),"E",IF($H195="Bloquée","B","P"))),""))</f>
        <v/>
      </c>
      <c r="J195" s="53">
        <f>IF(OR($F195="",$G195=""),"",IF(AND(J$5&lt;=$G195,J$5+6&gt;=$F195),IF($H195="Complétée","F",IF(OR($H195="En cours",$H195="En revue"),"E",IF($H195="Bloquée","B","P"))),""))</f>
        <v/>
      </c>
      <c r="K195" s="53">
        <f>IF(OR($F195="",$G195=""),"",IF(AND(K$5&lt;=$G195,K$5+6&gt;=$F195),IF($H195="Complétée","F",IF(OR($H195="En cours",$H195="En revue"),"E",IF($H195="Bloquée","B","P"))),""))</f>
        <v/>
      </c>
      <c r="L195" s="53">
        <f>IF(OR($F195="",$G195=""),"",IF(AND(L$5&lt;=$G195,L$5+6&gt;=$F195),IF($H195="Complétée","F",IF(OR($H195="En cours",$H195="En revue"),"E",IF($H195="Bloquée","B","P"))),""))</f>
        <v/>
      </c>
      <c r="M195" s="53">
        <f>IF(OR($F195="",$G195=""),"",IF(AND(M$5&lt;=$G195,M$5+6&gt;=$F195),IF($H195="Complétée","F",IF(OR($H195="En cours",$H195="En revue"),"E",IF($H195="Bloquée","B","P"))),""))</f>
        <v/>
      </c>
      <c r="N195" s="53">
        <f>IF(OR($F195="",$G195=""),"",IF(AND(N$5&lt;=$G195,N$5+6&gt;=$F195),IF($H195="Complétée","F",IF(OR($H195="En cours",$H195="En revue"),"E",IF($H195="Bloquée","B","P"))),""))</f>
        <v/>
      </c>
      <c r="O195" s="53">
        <f>IF(OR($F195="",$G195=""),"",IF(AND(O$5&lt;=$G195,O$5+6&gt;=$F195),IF($H195="Complétée","F",IF(OR($H195="En cours",$H195="En revue"),"E",IF($H195="Bloquée","B","P"))),""))</f>
        <v/>
      </c>
      <c r="P195" s="53">
        <f>IF(OR($F195="",$G195=""),"",IF(AND(P$5&lt;=$G195,P$5+6&gt;=$F195),IF($H195="Complétée","F",IF(OR($H195="En cours",$H195="En revue"),"E",IF($H195="Bloquée","B","P"))),""))</f>
        <v/>
      </c>
      <c r="Q195" s="53">
        <f>IF(OR($F195="",$G195=""),"",IF(AND(Q$5&lt;=$G195,Q$5+6&gt;=$F195),IF($H195="Complétée","F",IF(OR($H195="En cours",$H195="En revue"),"E",IF($H195="Bloquée","B","P"))),""))</f>
        <v/>
      </c>
      <c r="R195" s="53">
        <f>IF(OR($F195="",$G195=""),"",IF(AND(R$5&lt;=$G195,R$5+6&gt;=$F195),IF($H195="Complétée","F",IF(OR($H195="En cours",$H195="En revue"),"E",IF($H195="Bloquée","B","P"))),""))</f>
        <v/>
      </c>
      <c r="S195" s="53">
        <f>IF(OR($F195="",$G195=""),"",IF(AND(S$5&lt;=$G195,S$5+6&gt;=$F195),IF($H195="Complétée","F",IF(OR($H195="En cours",$H195="En revue"),"E",IF($H195="Bloquée","B","P"))),""))</f>
        <v/>
      </c>
      <c r="T195" s="53">
        <f>IF(OR($F195="",$G195=""),"",IF(AND(T$5&lt;=$G195,T$5+6&gt;=$F195),IF($H195="Complétée","F",IF(OR($H195="En cours",$H195="En revue"),"E",IF($H195="Bloquée","B","P"))),""))</f>
        <v/>
      </c>
      <c r="U195" s="53">
        <f>IF(OR($F195="",$G195=""),"",IF(AND(U$5&lt;=$G195,U$5+6&gt;=$F195),IF($H195="Complétée","F",IF(OR($H195="En cours",$H195="En revue"),"E",IF($H195="Bloquée","B","P"))),""))</f>
        <v/>
      </c>
      <c r="V195" s="53">
        <f>IF(OR($F195="",$G195=""),"",IF(AND(V$5&lt;=$G195,V$5+6&gt;=$F195),IF($H195="Complétée","F",IF(OR($H195="En cours",$H195="En revue"),"E",IF($H195="Bloquée","B","P"))),""))</f>
        <v/>
      </c>
      <c r="W195" s="53">
        <f>IF(OR($F195="",$G195=""),"",IF(AND(W$5&lt;=$G195,W$5+6&gt;=$F195),IF($H195="Complétée","F",IF(OR($H195="En cours",$H195="En revue"),"E",IF($H195="Bloquée","B","P"))),""))</f>
        <v/>
      </c>
      <c r="X195" s="53">
        <f>IF(OR($F195="",$G195=""),"",IF(AND(X$5&lt;=$G195,X$5+6&gt;=$F195),IF($H195="Complétée","F",IF(OR($H195="En cours",$H195="En revue"),"E",IF($H195="Bloquée","B","P"))),""))</f>
        <v/>
      </c>
      <c r="Y195" s="53">
        <f>IF(OR($F195="",$G195=""),"",IF(AND(Y$5&lt;=$G195,Y$5+6&gt;=$F195),IF($H195="Complétée","F",IF(OR($H195="En cours",$H195="En revue"),"E",IF($H195="Bloquée","B","P"))),""))</f>
        <v/>
      </c>
      <c r="Z195" s="53">
        <f>IF(OR($F195="",$G195=""),"",IF(AND(Z$5&lt;=$G195,Z$5+6&gt;=$F195),IF($H195="Complétée","F",IF(OR($H195="En cours",$H195="En revue"),"E",IF($H195="Bloquée","B","P"))),""))</f>
        <v/>
      </c>
      <c r="AA195" s="53">
        <f>IF(OR($F195="",$G195=""),"",IF(AND(AA$5&lt;=$G195,AA$5+6&gt;=$F195),IF($H195="Complétée","F",IF(OR($H195="En cours",$H195="En revue"),"E",IF($H195="Bloquée","B","P"))),""))</f>
        <v/>
      </c>
      <c r="AB195" s="53">
        <f>IF(OR($F195="",$G195=""),"",IF(AND(AB$5&lt;=$G195,AB$5+6&gt;=$F195),IF($H195="Complétée","F",IF(OR($H195="En cours",$H195="En revue"),"E",IF($H195="Bloquée","B","P"))),""))</f>
        <v/>
      </c>
      <c r="AC195" s="53">
        <f>IF(OR($F195="",$G195=""),"",IF(AND(AC$5&lt;=$G195,AC$5+6&gt;=$F195),IF($H195="Complétée","F",IF(OR($H195="En cours",$H195="En revue"),"E",IF($H195="Bloquée","B","P"))),""))</f>
        <v/>
      </c>
      <c r="AD195" s="53">
        <f>IF(OR($F195="",$G195=""),"",IF(AND(AD$5&lt;=$G195,AD$5+6&gt;=$F195),IF($H195="Complétée","F",IF(OR($H195="En cours",$H195="En revue"),"E",IF($H195="Bloquée","B","P"))),""))</f>
        <v/>
      </c>
      <c r="AE195" s="53">
        <f>IF(OR($F195="",$G195=""),"",IF(AND(AE$5&lt;=$G195,AE$5+6&gt;=$F195),IF($H195="Complétée","F",IF(OR($H195="En cours",$H195="En revue"),"E",IF($H195="Bloquée","B","P"))),""))</f>
        <v/>
      </c>
      <c r="AF195" s="53">
        <f>IF(OR($F195="",$G195=""),"",IF(AND(AF$5&lt;=$G195,AF$5+6&gt;=$F195),IF($H195="Complétée","F",IF(OR($H195="En cours",$H195="En revue"),"E",IF($H195="Bloquée","B","P"))),""))</f>
        <v/>
      </c>
      <c r="AG195" s="53">
        <f>IF(OR($F195="",$G195=""),"",IF(AND(AG$5&lt;=$G195,AG$5+6&gt;=$F195),IF($H195="Complétée","F",IF(OR($H195="En cours",$H195="En revue"),"E",IF($H195="Bloquée","B","P"))),""))</f>
        <v/>
      </c>
      <c r="AH195" s="53">
        <f>IF(OR($F195="",$G195=""),"",IF(AND(AH$5&lt;=$G195,AH$5+6&gt;=$F195),IF($H195="Complétée","F",IF(OR($H195="En cours",$H195="En revue"),"E",IF($H195="Bloquée","B","P"))),""))</f>
        <v/>
      </c>
      <c r="AI195" s="53">
        <f>IF(OR($F195="",$G195=""),"",IF(AND(AI$5&lt;=$G195,AI$5+6&gt;=$F195),IF($H195="Complétée","F",IF(OR($H195="En cours",$H195="En revue"),"E",IF($H195="Bloquée","B","P"))),""))</f>
        <v/>
      </c>
      <c r="AJ195" s="53">
        <f>IF(OR($F195="",$G195=""),"",IF(AND(AJ$5&lt;=$G195,AJ$5+6&gt;=$F195),IF($H195="Complétée","F",IF(OR($H195="En cours",$H195="En revue"),"E",IF($H195="Bloquée","B","P"))),""))</f>
        <v/>
      </c>
      <c r="AK195" s="53">
        <f>IF(OR($F195="",$G195=""),"",IF(AND(AK$5&lt;=$G195,AK$5+6&gt;=$F195),IF($H195="Complétée","F",IF(OR($H195="En cours",$H195="En revue"),"E",IF($H195="Bloquée","B","P"))),""))</f>
        <v/>
      </c>
      <c r="AL195" s="53">
        <f>IF(OR($F195="",$G195=""),"",IF(AND(AL$5&lt;=$G195,AL$5+6&gt;=$F195),IF($H195="Complétée","F",IF(OR($H195="En cours",$H195="En revue"),"E",IF($H195="Bloquée","B","P"))),""))</f>
        <v/>
      </c>
      <c r="AM195" s="53">
        <f>IF(OR($F195="",$G195=""),"",IF(AND(AM$5&lt;=$G195,AM$5+6&gt;=$F195),IF($H195="Complétée","F",IF(OR($H195="En cours",$H195="En revue"),"E",IF($H195="Bloquée","B","P"))),""))</f>
        <v/>
      </c>
      <c r="AN195" s="53">
        <f>IF(OR($F195="",$G195=""),"",IF(AND(AN$5&lt;=$G195,AN$5+6&gt;=$F195),IF($H195="Complétée","F",IF(OR($H195="En cours",$H195="En revue"),"E",IF($H195="Bloquée","B","P"))),""))</f>
        <v/>
      </c>
      <c r="AO195" s="53">
        <f>IF(OR($F195="",$G195=""),"",IF(AND(AO$5&lt;=$G195,AO$5+6&gt;=$F195),IF($H195="Complétée","F",IF(OR($H195="En cours",$H195="En revue"),"E",IF($H195="Bloquée","B","P"))),""))</f>
        <v/>
      </c>
      <c r="AP195" s="53">
        <f>IF(OR($F195="",$G195=""),"",IF(AND(AP$5&lt;=$G195,AP$5+6&gt;=$F195),IF($H195="Complétée","F",IF(OR($H195="En cours",$H195="En revue"),"E",IF($H195="Bloquée","B","P"))),""))</f>
        <v/>
      </c>
      <c r="AQ195" s="53">
        <f>IF(OR($F195="",$G195=""),"",IF(AND(AQ$5&lt;=$G195,AQ$5+6&gt;=$F195),IF($H195="Complétée","F",IF(OR($H195="En cours",$H195="En revue"),"E",IF($H195="Bloquée","B","P"))),""))</f>
        <v/>
      </c>
      <c r="AR195" s="53">
        <f>IF(OR($F195="",$G195=""),"",IF(AND(AR$5&lt;=$G195,AR$5+6&gt;=$F195),IF($H195="Complétée","F",IF(OR($H195="En cours",$H195="En revue"),"E",IF($H195="Bloquée","B","P"))),""))</f>
        <v/>
      </c>
      <c r="AS195" s="53">
        <f>IF(OR($F195="",$G195=""),"",IF(AND(AS$5&lt;=$G195,AS$5+6&gt;=$F195),IF($H195="Complétée","F",IF(OR($H195="En cours",$H195="En revue"),"E",IF($H195="Bloquée","B","P"))),""))</f>
        <v/>
      </c>
      <c r="AT195" s="53">
        <f>IF(OR($F195="",$G195=""),"",IF(AND(AT$5&lt;=$G195,AT$5+6&gt;=$F195),IF($H195="Complétée","F",IF(OR($H195="En cours",$H195="En revue"),"E",IF($H195="Bloquée","B","P"))),""))</f>
        <v/>
      </c>
      <c r="AU195" s="53">
        <f>IF(OR($F195="",$G195=""),"",IF(AND(AU$5&lt;=$G195,AU$5+6&gt;=$F195),IF($H195="Complétée","F",IF(OR($H195="En cours",$H195="En revue"),"E",IF($H195="Bloquée","B","P"))),""))</f>
        <v/>
      </c>
      <c r="AV195" s="53">
        <f>IF(OR($F195="",$G195=""),"",IF(AND(AV$5&lt;=$G195,AV$5+6&gt;=$F195),IF($H195="Complétée","F",IF(OR($H195="En cours",$H195="En revue"),"E",IF($H195="Bloquée","B","P"))),""))</f>
        <v/>
      </c>
      <c r="AW195" s="53">
        <f>IF(OR($F195="",$G195=""),"",IF(AND(AW$5&lt;=$G195,AW$5+6&gt;=$F195),IF($H195="Complétée","F",IF(OR($H195="En cours",$H195="En revue"),"E",IF($H195="Bloquée","B","P"))),""))</f>
        <v/>
      </c>
    </row>
    <row r="196">
      <c r="B196" s="50">
        <f>IF(Taches!B196="","",Taches!B196)</f>
        <v/>
      </c>
      <c r="C196" s="51">
        <f>IF(Taches!B196="","",Taches!F196)</f>
        <v/>
      </c>
      <c r="D196" s="50">
        <f>IF(Taches!B196="","",Taches!C196)</f>
        <v/>
      </c>
      <c r="E196" s="50">
        <f>IF(Taches!B196="","",Taches!D196)</f>
        <v/>
      </c>
      <c r="F196" s="52">
        <f>IF(Taches!P196="","",Taches!P196)</f>
        <v/>
      </c>
      <c r="G196" s="52">
        <f>IF(Taches!Q196="","",Taches!Q196)</f>
        <v/>
      </c>
      <c r="H196" s="50">
        <f>IF(Taches!B196="","",Taches!J196)</f>
        <v/>
      </c>
      <c r="I196" s="53">
        <f>IF(OR($F196="",$G196=""),"",IF(AND(I$5&lt;=$G196,I$5+6&gt;=$F196),IF($H196="Complétée","F",IF(OR($H196="En cours",$H196="En revue"),"E",IF($H196="Bloquée","B","P"))),""))</f>
        <v/>
      </c>
      <c r="J196" s="53">
        <f>IF(OR($F196="",$G196=""),"",IF(AND(J$5&lt;=$G196,J$5+6&gt;=$F196),IF($H196="Complétée","F",IF(OR($H196="En cours",$H196="En revue"),"E",IF($H196="Bloquée","B","P"))),""))</f>
        <v/>
      </c>
      <c r="K196" s="53">
        <f>IF(OR($F196="",$G196=""),"",IF(AND(K$5&lt;=$G196,K$5+6&gt;=$F196),IF($H196="Complétée","F",IF(OR($H196="En cours",$H196="En revue"),"E",IF($H196="Bloquée","B","P"))),""))</f>
        <v/>
      </c>
      <c r="L196" s="53">
        <f>IF(OR($F196="",$G196=""),"",IF(AND(L$5&lt;=$G196,L$5+6&gt;=$F196),IF($H196="Complétée","F",IF(OR($H196="En cours",$H196="En revue"),"E",IF($H196="Bloquée","B","P"))),""))</f>
        <v/>
      </c>
      <c r="M196" s="53">
        <f>IF(OR($F196="",$G196=""),"",IF(AND(M$5&lt;=$G196,M$5+6&gt;=$F196),IF($H196="Complétée","F",IF(OR($H196="En cours",$H196="En revue"),"E",IF($H196="Bloquée","B","P"))),""))</f>
        <v/>
      </c>
      <c r="N196" s="53">
        <f>IF(OR($F196="",$G196=""),"",IF(AND(N$5&lt;=$G196,N$5+6&gt;=$F196),IF($H196="Complétée","F",IF(OR($H196="En cours",$H196="En revue"),"E",IF($H196="Bloquée","B","P"))),""))</f>
        <v/>
      </c>
      <c r="O196" s="53">
        <f>IF(OR($F196="",$G196=""),"",IF(AND(O$5&lt;=$G196,O$5+6&gt;=$F196),IF($H196="Complétée","F",IF(OR($H196="En cours",$H196="En revue"),"E",IF($H196="Bloquée","B","P"))),""))</f>
        <v/>
      </c>
      <c r="P196" s="53">
        <f>IF(OR($F196="",$G196=""),"",IF(AND(P$5&lt;=$G196,P$5+6&gt;=$F196),IF($H196="Complétée","F",IF(OR($H196="En cours",$H196="En revue"),"E",IF($H196="Bloquée","B","P"))),""))</f>
        <v/>
      </c>
      <c r="Q196" s="53">
        <f>IF(OR($F196="",$G196=""),"",IF(AND(Q$5&lt;=$G196,Q$5+6&gt;=$F196),IF($H196="Complétée","F",IF(OR($H196="En cours",$H196="En revue"),"E",IF($H196="Bloquée","B","P"))),""))</f>
        <v/>
      </c>
      <c r="R196" s="53">
        <f>IF(OR($F196="",$G196=""),"",IF(AND(R$5&lt;=$G196,R$5+6&gt;=$F196),IF($H196="Complétée","F",IF(OR($H196="En cours",$H196="En revue"),"E",IF($H196="Bloquée","B","P"))),""))</f>
        <v/>
      </c>
      <c r="S196" s="53">
        <f>IF(OR($F196="",$G196=""),"",IF(AND(S$5&lt;=$G196,S$5+6&gt;=$F196),IF($H196="Complétée","F",IF(OR($H196="En cours",$H196="En revue"),"E",IF($H196="Bloquée","B","P"))),""))</f>
        <v/>
      </c>
      <c r="T196" s="53">
        <f>IF(OR($F196="",$G196=""),"",IF(AND(T$5&lt;=$G196,T$5+6&gt;=$F196),IF($H196="Complétée","F",IF(OR($H196="En cours",$H196="En revue"),"E",IF($H196="Bloquée","B","P"))),""))</f>
        <v/>
      </c>
      <c r="U196" s="53">
        <f>IF(OR($F196="",$G196=""),"",IF(AND(U$5&lt;=$G196,U$5+6&gt;=$F196),IF($H196="Complétée","F",IF(OR($H196="En cours",$H196="En revue"),"E",IF($H196="Bloquée","B","P"))),""))</f>
        <v/>
      </c>
      <c r="V196" s="53">
        <f>IF(OR($F196="",$G196=""),"",IF(AND(V$5&lt;=$G196,V$5+6&gt;=$F196),IF($H196="Complétée","F",IF(OR($H196="En cours",$H196="En revue"),"E",IF($H196="Bloquée","B","P"))),""))</f>
        <v/>
      </c>
      <c r="W196" s="53">
        <f>IF(OR($F196="",$G196=""),"",IF(AND(W$5&lt;=$G196,W$5+6&gt;=$F196),IF($H196="Complétée","F",IF(OR($H196="En cours",$H196="En revue"),"E",IF($H196="Bloquée","B","P"))),""))</f>
        <v/>
      </c>
      <c r="X196" s="53">
        <f>IF(OR($F196="",$G196=""),"",IF(AND(X$5&lt;=$G196,X$5+6&gt;=$F196),IF($H196="Complétée","F",IF(OR($H196="En cours",$H196="En revue"),"E",IF($H196="Bloquée","B","P"))),""))</f>
        <v/>
      </c>
      <c r="Y196" s="53">
        <f>IF(OR($F196="",$G196=""),"",IF(AND(Y$5&lt;=$G196,Y$5+6&gt;=$F196),IF($H196="Complétée","F",IF(OR($H196="En cours",$H196="En revue"),"E",IF($H196="Bloquée","B","P"))),""))</f>
        <v/>
      </c>
      <c r="Z196" s="53">
        <f>IF(OR($F196="",$G196=""),"",IF(AND(Z$5&lt;=$G196,Z$5+6&gt;=$F196),IF($H196="Complétée","F",IF(OR($H196="En cours",$H196="En revue"),"E",IF($H196="Bloquée","B","P"))),""))</f>
        <v/>
      </c>
      <c r="AA196" s="53">
        <f>IF(OR($F196="",$G196=""),"",IF(AND(AA$5&lt;=$G196,AA$5+6&gt;=$F196),IF($H196="Complétée","F",IF(OR($H196="En cours",$H196="En revue"),"E",IF($H196="Bloquée","B","P"))),""))</f>
        <v/>
      </c>
      <c r="AB196" s="53">
        <f>IF(OR($F196="",$G196=""),"",IF(AND(AB$5&lt;=$G196,AB$5+6&gt;=$F196),IF($H196="Complétée","F",IF(OR($H196="En cours",$H196="En revue"),"E",IF($H196="Bloquée","B","P"))),""))</f>
        <v/>
      </c>
      <c r="AC196" s="53">
        <f>IF(OR($F196="",$G196=""),"",IF(AND(AC$5&lt;=$G196,AC$5+6&gt;=$F196),IF($H196="Complétée","F",IF(OR($H196="En cours",$H196="En revue"),"E",IF($H196="Bloquée","B","P"))),""))</f>
        <v/>
      </c>
      <c r="AD196" s="53">
        <f>IF(OR($F196="",$G196=""),"",IF(AND(AD$5&lt;=$G196,AD$5+6&gt;=$F196),IF($H196="Complétée","F",IF(OR($H196="En cours",$H196="En revue"),"E",IF($H196="Bloquée","B","P"))),""))</f>
        <v/>
      </c>
      <c r="AE196" s="53">
        <f>IF(OR($F196="",$G196=""),"",IF(AND(AE$5&lt;=$G196,AE$5+6&gt;=$F196),IF($H196="Complétée","F",IF(OR($H196="En cours",$H196="En revue"),"E",IF($H196="Bloquée","B","P"))),""))</f>
        <v/>
      </c>
      <c r="AF196" s="53">
        <f>IF(OR($F196="",$G196=""),"",IF(AND(AF$5&lt;=$G196,AF$5+6&gt;=$F196),IF($H196="Complétée","F",IF(OR($H196="En cours",$H196="En revue"),"E",IF($H196="Bloquée","B","P"))),""))</f>
        <v/>
      </c>
      <c r="AG196" s="53">
        <f>IF(OR($F196="",$G196=""),"",IF(AND(AG$5&lt;=$G196,AG$5+6&gt;=$F196),IF($H196="Complétée","F",IF(OR($H196="En cours",$H196="En revue"),"E",IF($H196="Bloquée","B","P"))),""))</f>
        <v/>
      </c>
      <c r="AH196" s="53">
        <f>IF(OR($F196="",$G196=""),"",IF(AND(AH$5&lt;=$G196,AH$5+6&gt;=$F196),IF($H196="Complétée","F",IF(OR($H196="En cours",$H196="En revue"),"E",IF($H196="Bloquée","B","P"))),""))</f>
        <v/>
      </c>
      <c r="AI196" s="53">
        <f>IF(OR($F196="",$G196=""),"",IF(AND(AI$5&lt;=$G196,AI$5+6&gt;=$F196),IF($H196="Complétée","F",IF(OR($H196="En cours",$H196="En revue"),"E",IF($H196="Bloquée","B","P"))),""))</f>
        <v/>
      </c>
      <c r="AJ196" s="53">
        <f>IF(OR($F196="",$G196=""),"",IF(AND(AJ$5&lt;=$G196,AJ$5+6&gt;=$F196),IF($H196="Complétée","F",IF(OR($H196="En cours",$H196="En revue"),"E",IF($H196="Bloquée","B","P"))),""))</f>
        <v/>
      </c>
      <c r="AK196" s="53">
        <f>IF(OR($F196="",$G196=""),"",IF(AND(AK$5&lt;=$G196,AK$5+6&gt;=$F196),IF($H196="Complétée","F",IF(OR($H196="En cours",$H196="En revue"),"E",IF($H196="Bloquée","B","P"))),""))</f>
        <v/>
      </c>
      <c r="AL196" s="53">
        <f>IF(OR($F196="",$G196=""),"",IF(AND(AL$5&lt;=$G196,AL$5+6&gt;=$F196),IF($H196="Complétée","F",IF(OR($H196="En cours",$H196="En revue"),"E",IF($H196="Bloquée","B","P"))),""))</f>
        <v/>
      </c>
      <c r="AM196" s="53">
        <f>IF(OR($F196="",$G196=""),"",IF(AND(AM$5&lt;=$G196,AM$5+6&gt;=$F196),IF($H196="Complétée","F",IF(OR($H196="En cours",$H196="En revue"),"E",IF($H196="Bloquée","B","P"))),""))</f>
        <v/>
      </c>
      <c r="AN196" s="53">
        <f>IF(OR($F196="",$G196=""),"",IF(AND(AN$5&lt;=$G196,AN$5+6&gt;=$F196),IF($H196="Complétée","F",IF(OR($H196="En cours",$H196="En revue"),"E",IF($H196="Bloquée","B","P"))),""))</f>
        <v/>
      </c>
      <c r="AO196" s="53">
        <f>IF(OR($F196="",$G196=""),"",IF(AND(AO$5&lt;=$G196,AO$5+6&gt;=$F196),IF($H196="Complétée","F",IF(OR($H196="En cours",$H196="En revue"),"E",IF($H196="Bloquée","B","P"))),""))</f>
        <v/>
      </c>
      <c r="AP196" s="53">
        <f>IF(OR($F196="",$G196=""),"",IF(AND(AP$5&lt;=$G196,AP$5+6&gt;=$F196),IF($H196="Complétée","F",IF(OR($H196="En cours",$H196="En revue"),"E",IF($H196="Bloquée","B","P"))),""))</f>
        <v/>
      </c>
      <c r="AQ196" s="53">
        <f>IF(OR($F196="",$G196=""),"",IF(AND(AQ$5&lt;=$G196,AQ$5+6&gt;=$F196),IF($H196="Complétée","F",IF(OR($H196="En cours",$H196="En revue"),"E",IF($H196="Bloquée","B","P"))),""))</f>
        <v/>
      </c>
      <c r="AR196" s="53">
        <f>IF(OR($F196="",$G196=""),"",IF(AND(AR$5&lt;=$G196,AR$5+6&gt;=$F196),IF($H196="Complétée","F",IF(OR($H196="En cours",$H196="En revue"),"E",IF($H196="Bloquée","B","P"))),""))</f>
        <v/>
      </c>
      <c r="AS196" s="53">
        <f>IF(OR($F196="",$G196=""),"",IF(AND(AS$5&lt;=$G196,AS$5+6&gt;=$F196),IF($H196="Complétée","F",IF(OR($H196="En cours",$H196="En revue"),"E",IF($H196="Bloquée","B","P"))),""))</f>
        <v/>
      </c>
      <c r="AT196" s="53">
        <f>IF(OR($F196="",$G196=""),"",IF(AND(AT$5&lt;=$G196,AT$5+6&gt;=$F196),IF($H196="Complétée","F",IF(OR($H196="En cours",$H196="En revue"),"E",IF($H196="Bloquée","B","P"))),""))</f>
        <v/>
      </c>
      <c r="AU196" s="53">
        <f>IF(OR($F196="",$G196=""),"",IF(AND(AU$5&lt;=$G196,AU$5+6&gt;=$F196),IF($H196="Complétée","F",IF(OR($H196="En cours",$H196="En revue"),"E",IF($H196="Bloquée","B","P"))),""))</f>
        <v/>
      </c>
      <c r="AV196" s="53">
        <f>IF(OR($F196="",$G196=""),"",IF(AND(AV$5&lt;=$G196,AV$5+6&gt;=$F196),IF($H196="Complétée","F",IF(OR($H196="En cours",$H196="En revue"),"E",IF($H196="Bloquée","B","P"))),""))</f>
        <v/>
      </c>
      <c r="AW196" s="53">
        <f>IF(OR($F196="",$G196=""),"",IF(AND(AW$5&lt;=$G196,AW$5+6&gt;=$F196),IF($H196="Complétée","F",IF(OR($H196="En cours",$H196="En revue"),"E",IF($H196="Bloquée","B","P"))),""))</f>
        <v/>
      </c>
    </row>
    <row r="197">
      <c r="B197" s="50">
        <f>IF(Taches!B197="","",Taches!B197)</f>
        <v/>
      </c>
      <c r="C197" s="51">
        <f>IF(Taches!B197="","",Taches!F197)</f>
        <v/>
      </c>
      <c r="D197" s="50">
        <f>IF(Taches!B197="","",Taches!C197)</f>
        <v/>
      </c>
      <c r="E197" s="50">
        <f>IF(Taches!B197="","",Taches!D197)</f>
        <v/>
      </c>
      <c r="F197" s="52">
        <f>IF(Taches!P197="","",Taches!P197)</f>
        <v/>
      </c>
      <c r="G197" s="52">
        <f>IF(Taches!Q197="","",Taches!Q197)</f>
        <v/>
      </c>
      <c r="H197" s="50">
        <f>IF(Taches!B197="","",Taches!J197)</f>
        <v/>
      </c>
      <c r="I197" s="53">
        <f>IF(OR($F197="",$G197=""),"",IF(AND(I$5&lt;=$G197,I$5+6&gt;=$F197),IF($H197="Complétée","F",IF(OR($H197="En cours",$H197="En revue"),"E",IF($H197="Bloquée","B","P"))),""))</f>
        <v/>
      </c>
      <c r="J197" s="53">
        <f>IF(OR($F197="",$G197=""),"",IF(AND(J$5&lt;=$G197,J$5+6&gt;=$F197),IF($H197="Complétée","F",IF(OR($H197="En cours",$H197="En revue"),"E",IF($H197="Bloquée","B","P"))),""))</f>
        <v/>
      </c>
      <c r="K197" s="53">
        <f>IF(OR($F197="",$G197=""),"",IF(AND(K$5&lt;=$G197,K$5+6&gt;=$F197),IF($H197="Complétée","F",IF(OR($H197="En cours",$H197="En revue"),"E",IF($H197="Bloquée","B","P"))),""))</f>
        <v/>
      </c>
      <c r="L197" s="53">
        <f>IF(OR($F197="",$G197=""),"",IF(AND(L$5&lt;=$G197,L$5+6&gt;=$F197),IF($H197="Complétée","F",IF(OR($H197="En cours",$H197="En revue"),"E",IF($H197="Bloquée","B","P"))),""))</f>
        <v/>
      </c>
      <c r="M197" s="53">
        <f>IF(OR($F197="",$G197=""),"",IF(AND(M$5&lt;=$G197,M$5+6&gt;=$F197),IF($H197="Complétée","F",IF(OR($H197="En cours",$H197="En revue"),"E",IF($H197="Bloquée","B","P"))),""))</f>
        <v/>
      </c>
      <c r="N197" s="53">
        <f>IF(OR($F197="",$G197=""),"",IF(AND(N$5&lt;=$G197,N$5+6&gt;=$F197),IF($H197="Complétée","F",IF(OR($H197="En cours",$H197="En revue"),"E",IF($H197="Bloquée","B","P"))),""))</f>
        <v/>
      </c>
      <c r="O197" s="53">
        <f>IF(OR($F197="",$G197=""),"",IF(AND(O$5&lt;=$G197,O$5+6&gt;=$F197),IF($H197="Complétée","F",IF(OR($H197="En cours",$H197="En revue"),"E",IF($H197="Bloquée","B","P"))),""))</f>
        <v/>
      </c>
      <c r="P197" s="53">
        <f>IF(OR($F197="",$G197=""),"",IF(AND(P$5&lt;=$G197,P$5+6&gt;=$F197),IF($H197="Complétée","F",IF(OR($H197="En cours",$H197="En revue"),"E",IF($H197="Bloquée","B","P"))),""))</f>
        <v/>
      </c>
      <c r="Q197" s="53">
        <f>IF(OR($F197="",$G197=""),"",IF(AND(Q$5&lt;=$G197,Q$5+6&gt;=$F197),IF($H197="Complétée","F",IF(OR($H197="En cours",$H197="En revue"),"E",IF($H197="Bloquée","B","P"))),""))</f>
        <v/>
      </c>
      <c r="R197" s="53">
        <f>IF(OR($F197="",$G197=""),"",IF(AND(R$5&lt;=$G197,R$5+6&gt;=$F197),IF($H197="Complétée","F",IF(OR($H197="En cours",$H197="En revue"),"E",IF($H197="Bloquée","B","P"))),""))</f>
        <v/>
      </c>
      <c r="S197" s="53">
        <f>IF(OR($F197="",$G197=""),"",IF(AND(S$5&lt;=$G197,S$5+6&gt;=$F197),IF($H197="Complétée","F",IF(OR($H197="En cours",$H197="En revue"),"E",IF($H197="Bloquée","B","P"))),""))</f>
        <v/>
      </c>
      <c r="T197" s="53">
        <f>IF(OR($F197="",$G197=""),"",IF(AND(T$5&lt;=$G197,T$5+6&gt;=$F197),IF($H197="Complétée","F",IF(OR($H197="En cours",$H197="En revue"),"E",IF($H197="Bloquée","B","P"))),""))</f>
        <v/>
      </c>
      <c r="U197" s="53">
        <f>IF(OR($F197="",$G197=""),"",IF(AND(U$5&lt;=$G197,U$5+6&gt;=$F197),IF($H197="Complétée","F",IF(OR($H197="En cours",$H197="En revue"),"E",IF($H197="Bloquée","B","P"))),""))</f>
        <v/>
      </c>
      <c r="V197" s="53">
        <f>IF(OR($F197="",$G197=""),"",IF(AND(V$5&lt;=$G197,V$5+6&gt;=$F197),IF($H197="Complétée","F",IF(OR($H197="En cours",$H197="En revue"),"E",IF($H197="Bloquée","B","P"))),""))</f>
        <v/>
      </c>
      <c r="W197" s="53">
        <f>IF(OR($F197="",$G197=""),"",IF(AND(W$5&lt;=$G197,W$5+6&gt;=$F197),IF($H197="Complétée","F",IF(OR($H197="En cours",$H197="En revue"),"E",IF($H197="Bloquée","B","P"))),""))</f>
        <v/>
      </c>
      <c r="X197" s="53">
        <f>IF(OR($F197="",$G197=""),"",IF(AND(X$5&lt;=$G197,X$5+6&gt;=$F197),IF($H197="Complétée","F",IF(OR($H197="En cours",$H197="En revue"),"E",IF($H197="Bloquée","B","P"))),""))</f>
        <v/>
      </c>
      <c r="Y197" s="53">
        <f>IF(OR($F197="",$G197=""),"",IF(AND(Y$5&lt;=$G197,Y$5+6&gt;=$F197),IF($H197="Complétée","F",IF(OR($H197="En cours",$H197="En revue"),"E",IF($H197="Bloquée","B","P"))),""))</f>
        <v/>
      </c>
      <c r="Z197" s="53">
        <f>IF(OR($F197="",$G197=""),"",IF(AND(Z$5&lt;=$G197,Z$5+6&gt;=$F197),IF($H197="Complétée","F",IF(OR($H197="En cours",$H197="En revue"),"E",IF($H197="Bloquée","B","P"))),""))</f>
        <v/>
      </c>
      <c r="AA197" s="53">
        <f>IF(OR($F197="",$G197=""),"",IF(AND(AA$5&lt;=$G197,AA$5+6&gt;=$F197),IF($H197="Complétée","F",IF(OR($H197="En cours",$H197="En revue"),"E",IF($H197="Bloquée","B","P"))),""))</f>
        <v/>
      </c>
      <c r="AB197" s="53">
        <f>IF(OR($F197="",$G197=""),"",IF(AND(AB$5&lt;=$G197,AB$5+6&gt;=$F197),IF($H197="Complétée","F",IF(OR($H197="En cours",$H197="En revue"),"E",IF($H197="Bloquée","B","P"))),""))</f>
        <v/>
      </c>
      <c r="AC197" s="53">
        <f>IF(OR($F197="",$G197=""),"",IF(AND(AC$5&lt;=$G197,AC$5+6&gt;=$F197),IF($H197="Complétée","F",IF(OR($H197="En cours",$H197="En revue"),"E",IF($H197="Bloquée","B","P"))),""))</f>
        <v/>
      </c>
      <c r="AD197" s="53">
        <f>IF(OR($F197="",$G197=""),"",IF(AND(AD$5&lt;=$G197,AD$5+6&gt;=$F197),IF($H197="Complétée","F",IF(OR($H197="En cours",$H197="En revue"),"E",IF($H197="Bloquée","B","P"))),""))</f>
        <v/>
      </c>
      <c r="AE197" s="53">
        <f>IF(OR($F197="",$G197=""),"",IF(AND(AE$5&lt;=$G197,AE$5+6&gt;=$F197),IF($H197="Complétée","F",IF(OR($H197="En cours",$H197="En revue"),"E",IF($H197="Bloquée","B","P"))),""))</f>
        <v/>
      </c>
      <c r="AF197" s="53">
        <f>IF(OR($F197="",$G197=""),"",IF(AND(AF$5&lt;=$G197,AF$5+6&gt;=$F197),IF($H197="Complétée","F",IF(OR($H197="En cours",$H197="En revue"),"E",IF($H197="Bloquée","B","P"))),""))</f>
        <v/>
      </c>
      <c r="AG197" s="53">
        <f>IF(OR($F197="",$G197=""),"",IF(AND(AG$5&lt;=$G197,AG$5+6&gt;=$F197),IF($H197="Complétée","F",IF(OR($H197="En cours",$H197="En revue"),"E",IF($H197="Bloquée","B","P"))),""))</f>
        <v/>
      </c>
      <c r="AH197" s="53">
        <f>IF(OR($F197="",$G197=""),"",IF(AND(AH$5&lt;=$G197,AH$5+6&gt;=$F197),IF($H197="Complétée","F",IF(OR($H197="En cours",$H197="En revue"),"E",IF($H197="Bloquée","B","P"))),""))</f>
        <v/>
      </c>
      <c r="AI197" s="53">
        <f>IF(OR($F197="",$G197=""),"",IF(AND(AI$5&lt;=$G197,AI$5+6&gt;=$F197),IF($H197="Complétée","F",IF(OR($H197="En cours",$H197="En revue"),"E",IF($H197="Bloquée","B","P"))),""))</f>
        <v/>
      </c>
      <c r="AJ197" s="53">
        <f>IF(OR($F197="",$G197=""),"",IF(AND(AJ$5&lt;=$G197,AJ$5+6&gt;=$F197),IF($H197="Complétée","F",IF(OR($H197="En cours",$H197="En revue"),"E",IF($H197="Bloquée","B","P"))),""))</f>
        <v/>
      </c>
      <c r="AK197" s="53">
        <f>IF(OR($F197="",$G197=""),"",IF(AND(AK$5&lt;=$G197,AK$5+6&gt;=$F197),IF($H197="Complétée","F",IF(OR($H197="En cours",$H197="En revue"),"E",IF($H197="Bloquée","B","P"))),""))</f>
        <v/>
      </c>
      <c r="AL197" s="53">
        <f>IF(OR($F197="",$G197=""),"",IF(AND(AL$5&lt;=$G197,AL$5+6&gt;=$F197),IF($H197="Complétée","F",IF(OR($H197="En cours",$H197="En revue"),"E",IF($H197="Bloquée","B","P"))),""))</f>
        <v/>
      </c>
      <c r="AM197" s="53">
        <f>IF(OR($F197="",$G197=""),"",IF(AND(AM$5&lt;=$G197,AM$5+6&gt;=$F197),IF($H197="Complétée","F",IF(OR($H197="En cours",$H197="En revue"),"E",IF($H197="Bloquée","B","P"))),""))</f>
        <v/>
      </c>
      <c r="AN197" s="53">
        <f>IF(OR($F197="",$G197=""),"",IF(AND(AN$5&lt;=$G197,AN$5+6&gt;=$F197),IF($H197="Complétée","F",IF(OR($H197="En cours",$H197="En revue"),"E",IF($H197="Bloquée","B","P"))),""))</f>
        <v/>
      </c>
      <c r="AO197" s="53">
        <f>IF(OR($F197="",$G197=""),"",IF(AND(AO$5&lt;=$G197,AO$5+6&gt;=$F197),IF($H197="Complétée","F",IF(OR($H197="En cours",$H197="En revue"),"E",IF($H197="Bloquée","B","P"))),""))</f>
        <v/>
      </c>
      <c r="AP197" s="53">
        <f>IF(OR($F197="",$G197=""),"",IF(AND(AP$5&lt;=$G197,AP$5+6&gt;=$F197),IF($H197="Complétée","F",IF(OR($H197="En cours",$H197="En revue"),"E",IF($H197="Bloquée","B","P"))),""))</f>
        <v/>
      </c>
      <c r="AQ197" s="53">
        <f>IF(OR($F197="",$G197=""),"",IF(AND(AQ$5&lt;=$G197,AQ$5+6&gt;=$F197),IF($H197="Complétée","F",IF(OR($H197="En cours",$H197="En revue"),"E",IF($H197="Bloquée","B","P"))),""))</f>
        <v/>
      </c>
      <c r="AR197" s="53">
        <f>IF(OR($F197="",$G197=""),"",IF(AND(AR$5&lt;=$G197,AR$5+6&gt;=$F197),IF($H197="Complétée","F",IF(OR($H197="En cours",$H197="En revue"),"E",IF($H197="Bloquée","B","P"))),""))</f>
        <v/>
      </c>
      <c r="AS197" s="53">
        <f>IF(OR($F197="",$G197=""),"",IF(AND(AS$5&lt;=$G197,AS$5+6&gt;=$F197),IF($H197="Complétée","F",IF(OR($H197="En cours",$H197="En revue"),"E",IF($H197="Bloquée","B","P"))),""))</f>
        <v/>
      </c>
      <c r="AT197" s="53">
        <f>IF(OR($F197="",$G197=""),"",IF(AND(AT$5&lt;=$G197,AT$5+6&gt;=$F197),IF($H197="Complétée","F",IF(OR($H197="En cours",$H197="En revue"),"E",IF($H197="Bloquée","B","P"))),""))</f>
        <v/>
      </c>
      <c r="AU197" s="53">
        <f>IF(OR($F197="",$G197=""),"",IF(AND(AU$5&lt;=$G197,AU$5+6&gt;=$F197),IF($H197="Complétée","F",IF(OR($H197="En cours",$H197="En revue"),"E",IF($H197="Bloquée","B","P"))),""))</f>
        <v/>
      </c>
      <c r="AV197" s="53">
        <f>IF(OR($F197="",$G197=""),"",IF(AND(AV$5&lt;=$G197,AV$5+6&gt;=$F197),IF($H197="Complétée","F",IF(OR($H197="En cours",$H197="En revue"),"E",IF($H197="Bloquée","B","P"))),""))</f>
        <v/>
      </c>
      <c r="AW197" s="53">
        <f>IF(OR($F197="",$G197=""),"",IF(AND(AW$5&lt;=$G197,AW$5+6&gt;=$F197),IF($H197="Complétée","F",IF(OR($H197="En cours",$H197="En revue"),"E",IF($H197="Bloquée","B","P"))),""))</f>
        <v/>
      </c>
    </row>
    <row r="198">
      <c r="B198" s="50">
        <f>IF(Taches!B198="","",Taches!B198)</f>
        <v/>
      </c>
      <c r="C198" s="51">
        <f>IF(Taches!B198="","",Taches!F198)</f>
        <v/>
      </c>
      <c r="D198" s="50">
        <f>IF(Taches!B198="","",Taches!C198)</f>
        <v/>
      </c>
      <c r="E198" s="50">
        <f>IF(Taches!B198="","",Taches!D198)</f>
        <v/>
      </c>
      <c r="F198" s="52">
        <f>IF(Taches!P198="","",Taches!P198)</f>
        <v/>
      </c>
      <c r="G198" s="52">
        <f>IF(Taches!Q198="","",Taches!Q198)</f>
        <v/>
      </c>
      <c r="H198" s="50">
        <f>IF(Taches!B198="","",Taches!J198)</f>
        <v/>
      </c>
      <c r="I198" s="53">
        <f>IF(OR($F198="",$G198=""),"",IF(AND(I$5&lt;=$G198,I$5+6&gt;=$F198),IF($H198="Complétée","F",IF(OR($H198="En cours",$H198="En revue"),"E",IF($H198="Bloquée","B","P"))),""))</f>
        <v/>
      </c>
      <c r="J198" s="53">
        <f>IF(OR($F198="",$G198=""),"",IF(AND(J$5&lt;=$G198,J$5+6&gt;=$F198),IF($H198="Complétée","F",IF(OR($H198="En cours",$H198="En revue"),"E",IF($H198="Bloquée","B","P"))),""))</f>
        <v/>
      </c>
      <c r="K198" s="53">
        <f>IF(OR($F198="",$G198=""),"",IF(AND(K$5&lt;=$G198,K$5+6&gt;=$F198),IF($H198="Complétée","F",IF(OR($H198="En cours",$H198="En revue"),"E",IF($H198="Bloquée","B","P"))),""))</f>
        <v/>
      </c>
      <c r="L198" s="53">
        <f>IF(OR($F198="",$G198=""),"",IF(AND(L$5&lt;=$G198,L$5+6&gt;=$F198),IF($H198="Complétée","F",IF(OR($H198="En cours",$H198="En revue"),"E",IF($H198="Bloquée","B","P"))),""))</f>
        <v/>
      </c>
      <c r="M198" s="53">
        <f>IF(OR($F198="",$G198=""),"",IF(AND(M$5&lt;=$G198,M$5+6&gt;=$F198),IF($H198="Complétée","F",IF(OR($H198="En cours",$H198="En revue"),"E",IF($H198="Bloquée","B","P"))),""))</f>
        <v/>
      </c>
      <c r="N198" s="53">
        <f>IF(OR($F198="",$G198=""),"",IF(AND(N$5&lt;=$G198,N$5+6&gt;=$F198),IF($H198="Complétée","F",IF(OR($H198="En cours",$H198="En revue"),"E",IF($H198="Bloquée","B","P"))),""))</f>
        <v/>
      </c>
      <c r="O198" s="53">
        <f>IF(OR($F198="",$G198=""),"",IF(AND(O$5&lt;=$G198,O$5+6&gt;=$F198),IF($H198="Complétée","F",IF(OR($H198="En cours",$H198="En revue"),"E",IF($H198="Bloquée","B","P"))),""))</f>
        <v/>
      </c>
      <c r="P198" s="53">
        <f>IF(OR($F198="",$G198=""),"",IF(AND(P$5&lt;=$G198,P$5+6&gt;=$F198),IF($H198="Complétée","F",IF(OR($H198="En cours",$H198="En revue"),"E",IF($H198="Bloquée","B","P"))),""))</f>
        <v/>
      </c>
      <c r="Q198" s="53">
        <f>IF(OR($F198="",$G198=""),"",IF(AND(Q$5&lt;=$G198,Q$5+6&gt;=$F198),IF($H198="Complétée","F",IF(OR($H198="En cours",$H198="En revue"),"E",IF($H198="Bloquée","B","P"))),""))</f>
        <v/>
      </c>
      <c r="R198" s="53">
        <f>IF(OR($F198="",$G198=""),"",IF(AND(R$5&lt;=$G198,R$5+6&gt;=$F198),IF($H198="Complétée","F",IF(OR($H198="En cours",$H198="En revue"),"E",IF($H198="Bloquée","B","P"))),""))</f>
        <v/>
      </c>
      <c r="S198" s="53">
        <f>IF(OR($F198="",$G198=""),"",IF(AND(S$5&lt;=$G198,S$5+6&gt;=$F198),IF($H198="Complétée","F",IF(OR($H198="En cours",$H198="En revue"),"E",IF($H198="Bloquée","B","P"))),""))</f>
        <v/>
      </c>
      <c r="T198" s="53">
        <f>IF(OR($F198="",$G198=""),"",IF(AND(T$5&lt;=$G198,T$5+6&gt;=$F198),IF($H198="Complétée","F",IF(OR($H198="En cours",$H198="En revue"),"E",IF($H198="Bloquée","B","P"))),""))</f>
        <v/>
      </c>
      <c r="U198" s="53">
        <f>IF(OR($F198="",$G198=""),"",IF(AND(U$5&lt;=$G198,U$5+6&gt;=$F198),IF($H198="Complétée","F",IF(OR($H198="En cours",$H198="En revue"),"E",IF($H198="Bloquée","B","P"))),""))</f>
        <v/>
      </c>
      <c r="V198" s="53">
        <f>IF(OR($F198="",$G198=""),"",IF(AND(V$5&lt;=$G198,V$5+6&gt;=$F198),IF($H198="Complétée","F",IF(OR($H198="En cours",$H198="En revue"),"E",IF($H198="Bloquée","B","P"))),""))</f>
        <v/>
      </c>
      <c r="W198" s="53">
        <f>IF(OR($F198="",$G198=""),"",IF(AND(W$5&lt;=$G198,W$5+6&gt;=$F198),IF($H198="Complétée","F",IF(OR($H198="En cours",$H198="En revue"),"E",IF($H198="Bloquée","B","P"))),""))</f>
        <v/>
      </c>
      <c r="X198" s="53">
        <f>IF(OR($F198="",$G198=""),"",IF(AND(X$5&lt;=$G198,X$5+6&gt;=$F198),IF($H198="Complétée","F",IF(OR($H198="En cours",$H198="En revue"),"E",IF($H198="Bloquée","B","P"))),""))</f>
        <v/>
      </c>
      <c r="Y198" s="53">
        <f>IF(OR($F198="",$G198=""),"",IF(AND(Y$5&lt;=$G198,Y$5+6&gt;=$F198),IF($H198="Complétée","F",IF(OR($H198="En cours",$H198="En revue"),"E",IF($H198="Bloquée","B","P"))),""))</f>
        <v/>
      </c>
      <c r="Z198" s="53">
        <f>IF(OR($F198="",$G198=""),"",IF(AND(Z$5&lt;=$G198,Z$5+6&gt;=$F198),IF($H198="Complétée","F",IF(OR($H198="En cours",$H198="En revue"),"E",IF($H198="Bloquée","B","P"))),""))</f>
        <v/>
      </c>
      <c r="AA198" s="53">
        <f>IF(OR($F198="",$G198=""),"",IF(AND(AA$5&lt;=$G198,AA$5+6&gt;=$F198),IF($H198="Complétée","F",IF(OR($H198="En cours",$H198="En revue"),"E",IF($H198="Bloquée","B","P"))),""))</f>
        <v/>
      </c>
      <c r="AB198" s="53">
        <f>IF(OR($F198="",$G198=""),"",IF(AND(AB$5&lt;=$G198,AB$5+6&gt;=$F198),IF($H198="Complétée","F",IF(OR($H198="En cours",$H198="En revue"),"E",IF($H198="Bloquée","B","P"))),""))</f>
        <v/>
      </c>
      <c r="AC198" s="53">
        <f>IF(OR($F198="",$G198=""),"",IF(AND(AC$5&lt;=$G198,AC$5+6&gt;=$F198),IF($H198="Complétée","F",IF(OR($H198="En cours",$H198="En revue"),"E",IF($H198="Bloquée","B","P"))),""))</f>
        <v/>
      </c>
      <c r="AD198" s="53">
        <f>IF(OR($F198="",$G198=""),"",IF(AND(AD$5&lt;=$G198,AD$5+6&gt;=$F198),IF($H198="Complétée","F",IF(OR($H198="En cours",$H198="En revue"),"E",IF($H198="Bloquée","B","P"))),""))</f>
        <v/>
      </c>
      <c r="AE198" s="53">
        <f>IF(OR($F198="",$G198=""),"",IF(AND(AE$5&lt;=$G198,AE$5+6&gt;=$F198),IF($H198="Complétée","F",IF(OR($H198="En cours",$H198="En revue"),"E",IF($H198="Bloquée","B","P"))),""))</f>
        <v/>
      </c>
      <c r="AF198" s="53">
        <f>IF(OR($F198="",$G198=""),"",IF(AND(AF$5&lt;=$G198,AF$5+6&gt;=$F198),IF($H198="Complétée","F",IF(OR($H198="En cours",$H198="En revue"),"E",IF($H198="Bloquée","B","P"))),""))</f>
        <v/>
      </c>
      <c r="AG198" s="53">
        <f>IF(OR($F198="",$G198=""),"",IF(AND(AG$5&lt;=$G198,AG$5+6&gt;=$F198),IF($H198="Complétée","F",IF(OR($H198="En cours",$H198="En revue"),"E",IF($H198="Bloquée","B","P"))),""))</f>
        <v/>
      </c>
      <c r="AH198" s="53">
        <f>IF(OR($F198="",$G198=""),"",IF(AND(AH$5&lt;=$G198,AH$5+6&gt;=$F198),IF($H198="Complétée","F",IF(OR($H198="En cours",$H198="En revue"),"E",IF($H198="Bloquée","B","P"))),""))</f>
        <v/>
      </c>
      <c r="AI198" s="53">
        <f>IF(OR($F198="",$G198=""),"",IF(AND(AI$5&lt;=$G198,AI$5+6&gt;=$F198),IF($H198="Complétée","F",IF(OR($H198="En cours",$H198="En revue"),"E",IF($H198="Bloquée","B","P"))),""))</f>
        <v/>
      </c>
      <c r="AJ198" s="53">
        <f>IF(OR($F198="",$G198=""),"",IF(AND(AJ$5&lt;=$G198,AJ$5+6&gt;=$F198),IF($H198="Complétée","F",IF(OR($H198="En cours",$H198="En revue"),"E",IF($H198="Bloquée","B","P"))),""))</f>
        <v/>
      </c>
      <c r="AK198" s="53">
        <f>IF(OR($F198="",$G198=""),"",IF(AND(AK$5&lt;=$G198,AK$5+6&gt;=$F198),IF($H198="Complétée","F",IF(OR($H198="En cours",$H198="En revue"),"E",IF($H198="Bloquée","B","P"))),""))</f>
        <v/>
      </c>
      <c r="AL198" s="53">
        <f>IF(OR($F198="",$G198=""),"",IF(AND(AL$5&lt;=$G198,AL$5+6&gt;=$F198),IF($H198="Complétée","F",IF(OR($H198="En cours",$H198="En revue"),"E",IF($H198="Bloquée","B","P"))),""))</f>
        <v/>
      </c>
      <c r="AM198" s="53">
        <f>IF(OR($F198="",$G198=""),"",IF(AND(AM$5&lt;=$G198,AM$5+6&gt;=$F198),IF($H198="Complétée","F",IF(OR($H198="En cours",$H198="En revue"),"E",IF($H198="Bloquée","B","P"))),""))</f>
        <v/>
      </c>
      <c r="AN198" s="53">
        <f>IF(OR($F198="",$G198=""),"",IF(AND(AN$5&lt;=$G198,AN$5+6&gt;=$F198),IF($H198="Complétée","F",IF(OR($H198="En cours",$H198="En revue"),"E",IF($H198="Bloquée","B","P"))),""))</f>
        <v/>
      </c>
      <c r="AO198" s="53">
        <f>IF(OR($F198="",$G198=""),"",IF(AND(AO$5&lt;=$G198,AO$5+6&gt;=$F198),IF($H198="Complétée","F",IF(OR($H198="En cours",$H198="En revue"),"E",IF($H198="Bloquée","B","P"))),""))</f>
        <v/>
      </c>
      <c r="AP198" s="53">
        <f>IF(OR($F198="",$G198=""),"",IF(AND(AP$5&lt;=$G198,AP$5+6&gt;=$F198),IF($H198="Complétée","F",IF(OR($H198="En cours",$H198="En revue"),"E",IF($H198="Bloquée","B","P"))),""))</f>
        <v/>
      </c>
      <c r="AQ198" s="53">
        <f>IF(OR($F198="",$G198=""),"",IF(AND(AQ$5&lt;=$G198,AQ$5+6&gt;=$F198),IF($H198="Complétée","F",IF(OR($H198="En cours",$H198="En revue"),"E",IF($H198="Bloquée","B","P"))),""))</f>
        <v/>
      </c>
      <c r="AR198" s="53">
        <f>IF(OR($F198="",$G198=""),"",IF(AND(AR$5&lt;=$G198,AR$5+6&gt;=$F198),IF($H198="Complétée","F",IF(OR($H198="En cours",$H198="En revue"),"E",IF($H198="Bloquée","B","P"))),""))</f>
        <v/>
      </c>
      <c r="AS198" s="53">
        <f>IF(OR($F198="",$G198=""),"",IF(AND(AS$5&lt;=$G198,AS$5+6&gt;=$F198),IF($H198="Complétée","F",IF(OR($H198="En cours",$H198="En revue"),"E",IF($H198="Bloquée","B","P"))),""))</f>
        <v/>
      </c>
      <c r="AT198" s="53">
        <f>IF(OR($F198="",$G198=""),"",IF(AND(AT$5&lt;=$G198,AT$5+6&gt;=$F198),IF($H198="Complétée","F",IF(OR($H198="En cours",$H198="En revue"),"E",IF($H198="Bloquée","B","P"))),""))</f>
        <v/>
      </c>
      <c r="AU198" s="53">
        <f>IF(OR($F198="",$G198=""),"",IF(AND(AU$5&lt;=$G198,AU$5+6&gt;=$F198),IF($H198="Complétée","F",IF(OR($H198="En cours",$H198="En revue"),"E",IF($H198="Bloquée","B","P"))),""))</f>
        <v/>
      </c>
      <c r="AV198" s="53">
        <f>IF(OR($F198="",$G198=""),"",IF(AND(AV$5&lt;=$G198,AV$5+6&gt;=$F198),IF($H198="Complétée","F",IF(OR($H198="En cours",$H198="En revue"),"E",IF($H198="Bloquée","B","P"))),""))</f>
        <v/>
      </c>
      <c r="AW198" s="53">
        <f>IF(OR($F198="",$G198=""),"",IF(AND(AW$5&lt;=$G198,AW$5+6&gt;=$F198),IF($H198="Complétée","F",IF(OR($H198="En cours",$H198="En revue"),"E",IF($H198="Bloquée","B","P"))),""))</f>
        <v/>
      </c>
    </row>
    <row r="199">
      <c r="B199" s="50">
        <f>IF(Taches!B199="","",Taches!B199)</f>
        <v/>
      </c>
      <c r="C199" s="51">
        <f>IF(Taches!B199="","",Taches!F199)</f>
        <v/>
      </c>
      <c r="D199" s="50">
        <f>IF(Taches!B199="","",Taches!C199)</f>
        <v/>
      </c>
      <c r="E199" s="50">
        <f>IF(Taches!B199="","",Taches!D199)</f>
        <v/>
      </c>
      <c r="F199" s="52">
        <f>IF(Taches!P199="","",Taches!P199)</f>
        <v/>
      </c>
      <c r="G199" s="52">
        <f>IF(Taches!Q199="","",Taches!Q199)</f>
        <v/>
      </c>
      <c r="H199" s="50">
        <f>IF(Taches!B199="","",Taches!J199)</f>
        <v/>
      </c>
      <c r="I199" s="53">
        <f>IF(OR($F199="",$G199=""),"",IF(AND(I$5&lt;=$G199,I$5+6&gt;=$F199),IF($H199="Complétée","F",IF(OR($H199="En cours",$H199="En revue"),"E",IF($H199="Bloquée","B","P"))),""))</f>
        <v/>
      </c>
      <c r="J199" s="53">
        <f>IF(OR($F199="",$G199=""),"",IF(AND(J$5&lt;=$G199,J$5+6&gt;=$F199),IF($H199="Complétée","F",IF(OR($H199="En cours",$H199="En revue"),"E",IF($H199="Bloquée","B","P"))),""))</f>
        <v/>
      </c>
      <c r="K199" s="53">
        <f>IF(OR($F199="",$G199=""),"",IF(AND(K$5&lt;=$G199,K$5+6&gt;=$F199),IF($H199="Complétée","F",IF(OR($H199="En cours",$H199="En revue"),"E",IF($H199="Bloquée","B","P"))),""))</f>
        <v/>
      </c>
      <c r="L199" s="53">
        <f>IF(OR($F199="",$G199=""),"",IF(AND(L$5&lt;=$G199,L$5+6&gt;=$F199),IF($H199="Complétée","F",IF(OR($H199="En cours",$H199="En revue"),"E",IF($H199="Bloquée","B","P"))),""))</f>
        <v/>
      </c>
      <c r="M199" s="53">
        <f>IF(OR($F199="",$G199=""),"",IF(AND(M$5&lt;=$G199,M$5+6&gt;=$F199),IF($H199="Complétée","F",IF(OR($H199="En cours",$H199="En revue"),"E",IF($H199="Bloquée","B","P"))),""))</f>
        <v/>
      </c>
      <c r="N199" s="53">
        <f>IF(OR($F199="",$G199=""),"",IF(AND(N$5&lt;=$G199,N$5+6&gt;=$F199),IF($H199="Complétée","F",IF(OR($H199="En cours",$H199="En revue"),"E",IF($H199="Bloquée","B","P"))),""))</f>
        <v/>
      </c>
      <c r="O199" s="53">
        <f>IF(OR($F199="",$G199=""),"",IF(AND(O$5&lt;=$G199,O$5+6&gt;=$F199),IF($H199="Complétée","F",IF(OR($H199="En cours",$H199="En revue"),"E",IF($H199="Bloquée","B","P"))),""))</f>
        <v/>
      </c>
      <c r="P199" s="53">
        <f>IF(OR($F199="",$G199=""),"",IF(AND(P$5&lt;=$G199,P$5+6&gt;=$F199),IF($H199="Complétée","F",IF(OR($H199="En cours",$H199="En revue"),"E",IF($H199="Bloquée","B","P"))),""))</f>
        <v/>
      </c>
      <c r="Q199" s="53">
        <f>IF(OR($F199="",$G199=""),"",IF(AND(Q$5&lt;=$G199,Q$5+6&gt;=$F199),IF($H199="Complétée","F",IF(OR($H199="En cours",$H199="En revue"),"E",IF($H199="Bloquée","B","P"))),""))</f>
        <v/>
      </c>
      <c r="R199" s="53">
        <f>IF(OR($F199="",$G199=""),"",IF(AND(R$5&lt;=$G199,R$5+6&gt;=$F199),IF($H199="Complétée","F",IF(OR($H199="En cours",$H199="En revue"),"E",IF($H199="Bloquée","B","P"))),""))</f>
        <v/>
      </c>
      <c r="S199" s="53">
        <f>IF(OR($F199="",$G199=""),"",IF(AND(S$5&lt;=$G199,S$5+6&gt;=$F199),IF($H199="Complétée","F",IF(OR($H199="En cours",$H199="En revue"),"E",IF($H199="Bloquée","B","P"))),""))</f>
        <v/>
      </c>
      <c r="T199" s="53">
        <f>IF(OR($F199="",$G199=""),"",IF(AND(T$5&lt;=$G199,T$5+6&gt;=$F199),IF($H199="Complétée","F",IF(OR($H199="En cours",$H199="En revue"),"E",IF($H199="Bloquée","B","P"))),""))</f>
        <v/>
      </c>
      <c r="U199" s="53">
        <f>IF(OR($F199="",$G199=""),"",IF(AND(U$5&lt;=$G199,U$5+6&gt;=$F199),IF($H199="Complétée","F",IF(OR($H199="En cours",$H199="En revue"),"E",IF($H199="Bloquée","B","P"))),""))</f>
        <v/>
      </c>
      <c r="V199" s="53">
        <f>IF(OR($F199="",$G199=""),"",IF(AND(V$5&lt;=$G199,V$5+6&gt;=$F199),IF($H199="Complétée","F",IF(OR($H199="En cours",$H199="En revue"),"E",IF($H199="Bloquée","B","P"))),""))</f>
        <v/>
      </c>
      <c r="W199" s="53">
        <f>IF(OR($F199="",$G199=""),"",IF(AND(W$5&lt;=$G199,W$5+6&gt;=$F199),IF($H199="Complétée","F",IF(OR($H199="En cours",$H199="En revue"),"E",IF($H199="Bloquée","B","P"))),""))</f>
        <v/>
      </c>
      <c r="X199" s="53">
        <f>IF(OR($F199="",$G199=""),"",IF(AND(X$5&lt;=$G199,X$5+6&gt;=$F199),IF($H199="Complétée","F",IF(OR($H199="En cours",$H199="En revue"),"E",IF($H199="Bloquée","B","P"))),""))</f>
        <v/>
      </c>
      <c r="Y199" s="53">
        <f>IF(OR($F199="",$G199=""),"",IF(AND(Y$5&lt;=$G199,Y$5+6&gt;=$F199),IF($H199="Complétée","F",IF(OR($H199="En cours",$H199="En revue"),"E",IF($H199="Bloquée","B","P"))),""))</f>
        <v/>
      </c>
      <c r="Z199" s="53">
        <f>IF(OR($F199="",$G199=""),"",IF(AND(Z$5&lt;=$G199,Z$5+6&gt;=$F199),IF($H199="Complétée","F",IF(OR($H199="En cours",$H199="En revue"),"E",IF($H199="Bloquée","B","P"))),""))</f>
        <v/>
      </c>
      <c r="AA199" s="53">
        <f>IF(OR($F199="",$G199=""),"",IF(AND(AA$5&lt;=$G199,AA$5+6&gt;=$F199),IF($H199="Complétée","F",IF(OR($H199="En cours",$H199="En revue"),"E",IF($H199="Bloquée","B","P"))),""))</f>
        <v/>
      </c>
      <c r="AB199" s="53">
        <f>IF(OR($F199="",$G199=""),"",IF(AND(AB$5&lt;=$G199,AB$5+6&gt;=$F199),IF($H199="Complétée","F",IF(OR($H199="En cours",$H199="En revue"),"E",IF($H199="Bloquée","B","P"))),""))</f>
        <v/>
      </c>
      <c r="AC199" s="53">
        <f>IF(OR($F199="",$G199=""),"",IF(AND(AC$5&lt;=$G199,AC$5+6&gt;=$F199),IF($H199="Complétée","F",IF(OR($H199="En cours",$H199="En revue"),"E",IF($H199="Bloquée","B","P"))),""))</f>
        <v/>
      </c>
      <c r="AD199" s="53">
        <f>IF(OR($F199="",$G199=""),"",IF(AND(AD$5&lt;=$G199,AD$5+6&gt;=$F199),IF($H199="Complétée","F",IF(OR($H199="En cours",$H199="En revue"),"E",IF($H199="Bloquée","B","P"))),""))</f>
        <v/>
      </c>
      <c r="AE199" s="53">
        <f>IF(OR($F199="",$G199=""),"",IF(AND(AE$5&lt;=$G199,AE$5+6&gt;=$F199),IF($H199="Complétée","F",IF(OR($H199="En cours",$H199="En revue"),"E",IF($H199="Bloquée","B","P"))),""))</f>
        <v/>
      </c>
      <c r="AF199" s="53">
        <f>IF(OR($F199="",$G199=""),"",IF(AND(AF$5&lt;=$G199,AF$5+6&gt;=$F199),IF($H199="Complétée","F",IF(OR($H199="En cours",$H199="En revue"),"E",IF($H199="Bloquée","B","P"))),""))</f>
        <v/>
      </c>
      <c r="AG199" s="53">
        <f>IF(OR($F199="",$G199=""),"",IF(AND(AG$5&lt;=$G199,AG$5+6&gt;=$F199),IF($H199="Complétée","F",IF(OR($H199="En cours",$H199="En revue"),"E",IF($H199="Bloquée","B","P"))),""))</f>
        <v/>
      </c>
      <c r="AH199" s="53">
        <f>IF(OR($F199="",$G199=""),"",IF(AND(AH$5&lt;=$G199,AH$5+6&gt;=$F199),IF($H199="Complétée","F",IF(OR($H199="En cours",$H199="En revue"),"E",IF($H199="Bloquée","B","P"))),""))</f>
        <v/>
      </c>
      <c r="AI199" s="53">
        <f>IF(OR($F199="",$G199=""),"",IF(AND(AI$5&lt;=$G199,AI$5+6&gt;=$F199),IF($H199="Complétée","F",IF(OR($H199="En cours",$H199="En revue"),"E",IF($H199="Bloquée","B","P"))),""))</f>
        <v/>
      </c>
      <c r="AJ199" s="53">
        <f>IF(OR($F199="",$G199=""),"",IF(AND(AJ$5&lt;=$G199,AJ$5+6&gt;=$F199),IF($H199="Complétée","F",IF(OR($H199="En cours",$H199="En revue"),"E",IF($H199="Bloquée","B","P"))),""))</f>
        <v/>
      </c>
      <c r="AK199" s="53">
        <f>IF(OR($F199="",$G199=""),"",IF(AND(AK$5&lt;=$G199,AK$5+6&gt;=$F199),IF($H199="Complétée","F",IF(OR($H199="En cours",$H199="En revue"),"E",IF($H199="Bloquée","B","P"))),""))</f>
        <v/>
      </c>
      <c r="AL199" s="53">
        <f>IF(OR($F199="",$G199=""),"",IF(AND(AL$5&lt;=$G199,AL$5+6&gt;=$F199),IF($H199="Complétée","F",IF(OR($H199="En cours",$H199="En revue"),"E",IF($H199="Bloquée","B","P"))),""))</f>
        <v/>
      </c>
      <c r="AM199" s="53">
        <f>IF(OR($F199="",$G199=""),"",IF(AND(AM$5&lt;=$G199,AM$5+6&gt;=$F199),IF($H199="Complétée","F",IF(OR($H199="En cours",$H199="En revue"),"E",IF($H199="Bloquée","B","P"))),""))</f>
        <v/>
      </c>
      <c r="AN199" s="53">
        <f>IF(OR($F199="",$G199=""),"",IF(AND(AN$5&lt;=$G199,AN$5+6&gt;=$F199),IF($H199="Complétée","F",IF(OR($H199="En cours",$H199="En revue"),"E",IF($H199="Bloquée","B","P"))),""))</f>
        <v/>
      </c>
      <c r="AO199" s="53">
        <f>IF(OR($F199="",$G199=""),"",IF(AND(AO$5&lt;=$G199,AO$5+6&gt;=$F199),IF($H199="Complétée","F",IF(OR($H199="En cours",$H199="En revue"),"E",IF($H199="Bloquée","B","P"))),""))</f>
        <v/>
      </c>
      <c r="AP199" s="53">
        <f>IF(OR($F199="",$G199=""),"",IF(AND(AP$5&lt;=$G199,AP$5+6&gt;=$F199),IF($H199="Complétée","F",IF(OR($H199="En cours",$H199="En revue"),"E",IF($H199="Bloquée","B","P"))),""))</f>
        <v/>
      </c>
      <c r="AQ199" s="53">
        <f>IF(OR($F199="",$G199=""),"",IF(AND(AQ$5&lt;=$G199,AQ$5+6&gt;=$F199),IF($H199="Complétée","F",IF(OR($H199="En cours",$H199="En revue"),"E",IF($H199="Bloquée","B","P"))),""))</f>
        <v/>
      </c>
      <c r="AR199" s="53">
        <f>IF(OR($F199="",$G199=""),"",IF(AND(AR$5&lt;=$G199,AR$5+6&gt;=$F199),IF($H199="Complétée","F",IF(OR($H199="En cours",$H199="En revue"),"E",IF($H199="Bloquée","B","P"))),""))</f>
        <v/>
      </c>
      <c r="AS199" s="53">
        <f>IF(OR($F199="",$G199=""),"",IF(AND(AS$5&lt;=$G199,AS$5+6&gt;=$F199),IF($H199="Complétée","F",IF(OR($H199="En cours",$H199="En revue"),"E",IF($H199="Bloquée","B","P"))),""))</f>
        <v/>
      </c>
      <c r="AT199" s="53">
        <f>IF(OR($F199="",$G199=""),"",IF(AND(AT$5&lt;=$G199,AT$5+6&gt;=$F199),IF($H199="Complétée","F",IF(OR($H199="En cours",$H199="En revue"),"E",IF($H199="Bloquée","B","P"))),""))</f>
        <v/>
      </c>
      <c r="AU199" s="53">
        <f>IF(OR($F199="",$G199=""),"",IF(AND(AU$5&lt;=$G199,AU$5+6&gt;=$F199),IF($H199="Complétée","F",IF(OR($H199="En cours",$H199="En revue"),"E",IF($H199="Bloquée","B","P"))),""))</f>
        <v/>
      </c>
      <c r="AV199" s="53">
        <f>IF(OR($F199="",$G199=""),"",IF(AND(AV$5&lt;=$G199,AV$5+6&gt;=$F199),IF($H199="Complétée","F",IF(OR($H199="En cours",$H199="En revue"),"E",IF($H199="Bloquée","B","P"))),""))</f>
        <v/>
      </c>
      <c r="AW199" s="53">
        <f>IF(OR($F199="",$G199=""),"",IF(AND(AW$5&lt;=$G199,AW$5+6&gt;=$F199),IF($H199="Complétée","F",IF(OR($H199="En cours",$H199="En revue"),"E",IF($H199="Bloquée","B","P"))),""))</f>
        <v/>
      </c>
    </row>
    <row r="200">
      <c r="B200" s="50">
        <f>IF(Taches!B200="","",Taches!B200)</f>
        <v/>
      </c>
      <c r="C200" s="51">
        <f>IF(Taches!B200="","",Taches!F200)</f>
        <v/>
      </c>
      <c r="D200" s="50">
        <f>IF(Taches!B200="","",Taches!C200)</f>
        <v/>
      </c>
      <c r="E200" s="50">
        <f>IF(Taches!B200="","",Taches!D200)</f>
        <v/>
      </c>
      <c r="F200" s="52">
        <f>IF(Taches!P200="","",Taches!P200)</f>
        <v/>
      </c>
      <c r="G200" s="52">
        <f>IF(Taches!Q200="","",Taches!Q200)</f>
        <v/>
      </c>
      <c r="H200" s="50">
        <f>IF(Taches!B200="","",Taches!J200)</f>
        <v/>
      </c>
      <c r="I200" s="53">
        <f>IF(OR($F200="",$G200=""),"",IF(AND(I$5&lt;=$G200,I$5+6&gt;=$F200),IF($H200="Complétée","F",IF(OR($H200="En cours",$H200="En revue"),"E",IF($H200="Bloquée","B","P"))),""))</f>
        <v/>
      </c>
      <c r="J200" s="53">
        <f>IF(OR($F200="",$G200=""),"",IF(AND(J$5&lt;=$G200,J$5+6&gt;=$F200),IF($H200="Complétée","F",IF(OR($H200="En cours",$H200="En revue"),"E",IF($H200="Bloquée","B","P"))),""))</f>
        <v/>
      </c>
      <c r="K200" s="53">
        <f>IF(OR($F200="",$G200=""),"",IF(AND(K$5&lt;=$G200,K$5+6&gt;=$F200),IF($H200="Complétée","F",IF(OR($H200="En cours",$H200="En revue"),"E",IF($H200="Bloquée","B","P"))),""))</f>
        <v/>
      </c>
      <c r="L200" s="53">
        <f>IF(OR($F200="",$G200=""),"",IF(AND(L$5&lt;=$G200,L$5+6&gt;=$F200),IF($H200="Complétée","F",IF(OR($H200="En cours",$H200="En revue"),"E",IF($H200="Bloquée","B","P"))),""))</f>
        <v/>
      </c>
      <c r="M200" s="53">
        <f>IF(OR($F200="",$G200=""),"",IF(AND(M$5&lt;=$G200,M$5+6&gt;=$F200),IF($H200="Complétée","F",IF(OR($H200="En cours",$H200="En revue"),"E",IF($H200="Bloquée","B","P"))),""))</f>
        <v/>
      </c>
      <c r="N200" s="53">
        <f>IF(OR($F200="",$G200=""),"",IF(AND(N$5&lt;=$G200,N$5+6&gt;=$F200),IF($H200="Complétée","F",IF(OR($H200="En cours",$H200="En revue"),"E",IF($H200="Bloquée","B","P"))),""))</f>
        <v/>
      </c>
      <c r="O200" s="53">
        <f>IF(OR($F200="",$G200=""),"",IF(AND(O$5&lt;=$G200,O$5+6&gt;=$F200),IF($H200="Complétée","F",IF(OR($H200="En cours",$H200="En revue"),"E",IF($H200="Bloquée","B","P"))),""))</f>
        <v/>
      </c>
      <c r="P200" s="53">
        <f>IF(OR($F200="",$G200=""),"",IF(AND(P$5&lt;=$G200,P$5+6&gt;=$F200),IF($H200="Complétée","F",IF(OR($H200="En cours",$H200="En revue"),"E",IF($H200="Bloquée","B","P"))),""))</f>
        <v/>
      </c>
      <c r="Q200" s="53">
        <f>IF(OR($F200="",$G200=""),"",IF(AND(Q$5&lt;=$G200,Q$5+6&gt;=$F200),IF($H200="Complétée","F",IF(OR($H200="En cours",$H200="En revue"),"E",IF($H200="Bloquée","B","P"))),""))</f>
        <v/>
      </c>
      <c r="R200" s="53">
        <f>IF(OR($F200="",$G200=""),"",IF(AND(R$5&lt;=$G200,R$5+6&gt;=$F200),IF($H200="Complétée","F",IF(OR($H200="En cours",$H200="En revue"),"E",IF($H200="Bloquée","B","P"))),""))</f>
        <v/>
      </c>
      <c r="S200" s="53">
        <f>IF(OR($F200="",$G200=""),"",IF(AND(S$5&lt;=$G200,S$5+6&gt;=$F200),IF($H200="Complétée","F",IF(OR($H200="En cours",$H200="En revue"),"E",IF($H200="Bloquée","B","P"))),""))</f>
        <v/>
      </c>
      <c r="T200" s="53">
        <f>IF(OR($F200="",$G200=""),"",IF(AND(T$5&lt;=$G200,T$5+6&gt;=$F200),IF($H200="Complétée","F",IF(OR($H200="En cours",$H200="En revue"),"E",IF($H200="Bloquée","B","P"))),""))</f>
        <v/>
      </c>
      <c r="U200" s="53">
        <f>IF(OR($F200="",$G200=""),"",IF(AND(U$5&lt;=$G200,U$5+6&gt;=$F200),IF($H200="Complétée","F",IF(OR($H200="En cours",$H200="En revue"),"E",IF($H200="Bloquée","B","P"))),""))</f>
        <v/>
      </c>
      <c r="V200" s="53">
        <f>IF(OR($F200="",$G200=""),"",IF(AND(V$5&lt;=$G200,V$5+6&gt;=$F200),IF($H200="Complétée","F",IF(OR($H200="En cours",$H200="En revue"),"E",IF($H200="Bloquée","B","P"))),""))</f>
        <v/>
      </c>
      <c r="W200" s="53">
        <f>IF(OR($F200="",$G200=""),"",IF(AND(W$5&lt;=$G200,W$5+6&gt;=$F200),IF($H200="Complétée","F",IF(OR($H200="En cours",$H200="En revue"),"E",IF($H200="Bloquée","B","P"))),""))</f>
        <v/>
      </c>
      <c r="X200" s="53">
        <f>IF(OR($F200="",$G200=""),"",IF(AND(X$5&lt;=$G200,X$5+6&gt;=$F200),IF($H200="Complétée","F",IF(OR($H200="En cours",$H200="En revue"),"E",IF($H200="Bloquée","B","P"))),""))</f>
        <v/>
      </c>
      <c r="Y200" s="53">
        <f>IF(OR($F200="",$G200=""),"",IF(AND(Y$5&lt;=$G200,Y$5+6&gt;=$F200),IF($H200="Complétée","F",IF(OR($H200="En cours",$H200="En revue"),"E",IF($H200="Bloquée","B","P"))),""))</f>
        <v/>
      </c>
      <c r="Z200" s="53">
        <f>IF(OR($F200="",$G200=""),"",IF(AND(Z$5&lt;=$G200,Z$5+6&gt;=$F200),IF($H200="Complétée","F",IF(OR($H200="En cours",$H200="En revue"),"E",IF($H200="Bloquée","B","P"))),""))</f>
        <v/>
      </c>
      <c r="AA200" s="53">
        <f>IF(OR($F200="",$G200=""),"",IF(AND(AA$5&lt;=$G200,AA$5+6&gt;=$F200),IF($H200="Complétée","F",IF(OR($H200="En cours",$H200="En revue"),"E",IF($H200="Bloquée","B","P"))),""))</f>
        <v/>
      </c>
      <c r="AB200" s="53">
        <f>IF(OR($F200="",$G200=""),"",IF(AND(AB$5&lt;=$G200,AB$5+6&gt;=$F200),IF($H200="Complétée","F",IF(OR($H200="En cours",$H200="En revue"),"E",IF($H200="Bloquée","B","P"))),""))</f>
        <v/>
      </c>
      <c r="AC200" s="53">
        <f>IF(OR($F200="",$G200=""),"",IF(AND(AC$5&lt;=$G200,AC$5+6&gt;=$F200),IF($H200="Complétée","F",IF(OR($H200="En cours",$H200="En revue"),"E",IF($H200="Bloquée","B","P"))),""))</f>
        <v/>
      </c>
      <c r="AD200" s="53">
        <f>IF(OR($F200="",$G200=""),"",IF(AND(AD$5&lt;=$G200,AD$5+6&gt;=$F200),IF($H200="Complétée","F",IF(OR($H200="En cours",$H200="En revue"),"E",IF($H200="Bloquée","B","P"))),""))</f>
        <v/>
      </c>
      <c r="AE200" s="53">
        <f>IF(OR($F200="",$G200=""),"",IF(AND(AE$5&lt;=$G200,AE$5+6&gt;=$F200),IF($H200="Complétée","F",IF(OR($H200="En cours",$H200="En revue"),"E",IF($H200="Bloquée","B","P"))),""))</f>
        <v/>
      </c>
      <c r="AF200" s="53">
        <f>IF(OR($F200="",$G200=""),"",IF(AND(AF$5&lt;=$G200,AF$5+6&gt;=$F200),IF($H200="Complétée","F",IF(OR($H200="En cours",$H200="En revue"),"E",IF($H200="Bloquée","B","P"))),""))</f>
        <v/>
      </c>
      <c r="AG200" s="53">
        <f>IF(OR($F200="",$G200=""),"",IF(AND(AG$5&lt;=$G200,AG$5+6&gt;=$F200),IF($H200="Complétée","F",IF(OR($H200="En cours",$H200="En revue"),"E",IF($H200="Bloquée","B","P"))),""))</f>
        <v/>
      </c>
      <c r="AH200" s="53">
        <f>IF(OR($F200="",$G200=""),"",IF(AND(AH$5&lt;=$G200,AH$5+6&gt;=$F200),IF($H200="Complétée","F",IF(OR($H200="En cours",$H200="En revue"),"E",IF($H200="Bloquée","B","P"))),""))</f>
        <v/>
      </c>
      <c r="AI200" s="53">
        <f>IF(OR($F200="",$G200=""),"",IF(AND(AI$5&lt;=$G200,AI$5+6&gt;=$F200),IF($H200="Complétée","F",IF(OR($H200="En cours",$H200="En revue"),"E",IF($H200="Bloquée","B","P"))),""))</f>
        <v/>
      </c>
      <c r="AJ200" s="53">
        <f>IF(OR($F200="",$G200=""),"",IF(AND(AJ$5&lt;=$G200,AJ$5+6&gt;=$F200),IF($H200="Complétée","F",IF(OR($H200="En cours",$H200="En revue"),"E",IF($H200="Bloquée","B","P"))),""))</f>
        <v/>
      </c>
      <c r="AK200" s="53">
        <f>IF(OR($F200="",$G200=""),"",IF(AND(AK$5&lt;=$G200,AK$5+6&gt;=$F200),IF($H200="Complétée","F",IF(OR($H200="En cours",$H200="En revue"),"E",IF($H200="Bloquée","B","P"))),""))</f>
        <v/>
      </c>
      <c r="AL200" s="53">
        <f>IF(OR($F200="",$G200=""),"",IF(AND(AL$5&lt;=$G200,AL$5+6&gt;=$F200),IF($H200="Complétée","F",IF(OR($H200="En cours",$H200="En revue"),"E",IF($H200="Bloquée","B","P"))),""))</f>
        <v/>
      </c>
      <c r="AM200" s="53">
        <f>IF(OR($F200="",$G200=""),"",IF(AND(AM$5&lt;=$G200,AM$5+6&gt;=$F200),IF($H200="Complétée","F",IF(OR($H200="En cours",$H200="En revue"),"E",IF($H200="Bloquée","B","P"))),""))</f>
        <v/>
      </c>
      <c r="AN200" s="53">
        <f>IF(OR($F200="",$G200=""),"",IF(AND(AN$5&lt;=$G200,AN$5+6&gt;=$F200),IF($H200="Complétée","F",IF(OR($H200="En cours",$H200="En revue"),"E",IF($H200="Bloquée","B","P"))),""))</f>
        <v/>
      </c>
      <c r="AO200" s="53">
        <f>IF(OR($F200="",$G200=""),"",IF(AND(AO$5&lt;=$G200,AO$5+6&gt;=$F200),IF($H200="Complétée","F",IF(OR($H200="En cours",$H200="En revue"),"E",IF($H200="Bloquée","B","P"))),""))</f>
        <v/>
      </c>
      <c r="AP200" s="53">
        <f>IF(OR($F200="",$G200=""),"",IF(AND(AP$5&lt;=$G200,AP$5+6&gt;=$F200),IF($H200="Complétée","F",IF(OR($H200="En cours",$H200="En revue"),"E",IF($H200="Bloquée","B","P"))),""))</f>
        <v/>
      </c>
      <c r="AQ200" s="53">
        <f>IF(OR($F200="",$G200=""),"",IF(AND(AQ$5&lt;=$G200,AQ$5+6&gt;=$F200),IF($H200="Complétée","F",IF(OR($H200="En cours",$H200="En revue"),"E",IF($H200="Bloquée","B","P"))),""))</f>
        <v/>
      </c>
      <c r="AR200" s="53">
        <f>IF(OR($F200="",$G200=""),"",IF(AND(AR$5&lt;=$G200,AR$5+6&gt;=$F200),IF($H200="Complétée","F",IF(OR($H200="En cours",$H200="En revue"),"E",IF($H200="Bloquée","B","P"))),""))</f>
        <v/>
      </c>
      <c r="AS200" s="53">
        <f>IF(OR($F200="",$G200=""),"",IF(AND(AS$5&lt;=$G200,AS$5+6&gt;=$F200),IF($H200="Complétée","F",IF(OR($H200="En cours",$H200="En revue"),"E",IF($H200="Bloquée","B","P"))),""))</f>
        <v/>
      </c>
      <c r="AT200" s="53">
        <f>IF(OR($F200="",$G200=""),"",IF(AND(AT$5&lt;=$G200,AT$5+6&gt;=$F200),IF($H200="Complétée","F",IF(OR($H200="En cours",$H200="En revue"),"E",IF($H200="Bloquée","B","P"))),""))</f>
        <v/>
      </c>
      <c r="AU200" s="53">
        <f>IF(OR($F200="",$G200=""),"",IF(AND(AU$5&lt;=$G200,AU$5+6&gt;=$F200),IF($H200="Complétée","F",IF(OR($H200="En cours",$H200="En revue"),"E",IF($H200="Bloquée","B","P"))),""))</f>
        <v/>
      </c>
      <c r="AV200" s="53">
        <f>IF(OR($F200="",$G200=""),"",IF(AND(AV$5&lt;=$G200,AV$5+6&gt;=$F200),IF($H200="Complétée","F",IF(OR($H200="En cours",$H200="En revue"),"E",IF($H200="Bloquée","B","P"))),""))</f>
        <v/>
      </c>
      <c r="AW200" s="53">
        <f>IF(OR($F200="",$G200=""),"",IF(AND(AW$5&lt;=$G200,AW$5+6&gt;=$F200),IF($H200="Complétée","F",IF(OR($H200="En cours",$H200="En revue"),"E",IF($H200="Bloquée","B","P"))),""))</f>
        <v/>
      </c>
    </row>
    <row r="201">
      <c r="B201" s="50">
        <f>IF(Taches!B201="","",Taches!B201)</f>
        <v/>
      </c>
      <c r="C201" s="51">
        <f>IF(Taches!B201="","",Taches!F201)</f>
        <v/>
      </c>
      <c r="D201" s="50">
        <f>IF(Taches!B201="","",Taches!C201)</f>
        <v/>
      </c>
      <c r="E201" s="50">
        <f>IF(Taches!B201="","",Taches!D201)</f>
        <v/>
      </c>
      <c r="F201" s="52">
        <f>IF(Taches!P201="","",Taches!P201)</f>
        <v/>
      </c>
      <c r="G201" s="52">
        <f>IF(Taches!Q201="","",Taches!Q201)</f>
        <v/>
      </c>
      <c r="H201" s="50">
        <f>IF(Taches!B201="","",Taches!J201)</f>
        <v/>
      </c>
      <c r="I201" s="53">
        <f>IF(OR($F201="",$G201=""),"",IF(AND(I$5&lt;=$G201,I$5+6&gt;=$F201),IF($H201="Complétée","F",IF(OR($H201="En cours",$H201="En revue"),"E",IF($H201="Bloquée","B","P"))),""))</f>
        <v/>
      </c>
      <c r="J201" s="53">
        <f>IF(OR($F201="",$G201=""),"",IF(AND(J$5&lt;=$G201,J$5+6&gt;=$F201),IF($H201="Complétée","F",IF(OR($H201="En cours",$H201="En revue"),"E",IF($H201="Bloquée","B","P"))),""))</f>
        <v/>
      </c>
      <c r="K201" s="53">
        <f>IF(OR($F201="",$G201=""),"",IF(AND(K$5&lt;=$G201,K$5+6&gt;=$F201),IF($H201="Complétée","F",IF(OR($H201="En cours",$H201="En revue"),"E",IF($H201="Bloquée","B","P"))),""))</f>
        <v/>
      </c>
      <c r="L201" s="53">
        <f>IF(OR($F201="",$G201=""),"",IF(AND(L$5&lt;=$G201,L$5+6&gt;=$F201),IF($H201="Complétée","F",IF(OR($H201="En cours",$H201="En revue"),"E",IF($H201="Bloquée","B","P"))),""))</f>
        <v/>
      </c>
      <c r="M201" s="53">
        <f>IF(OR($F201="",$G201=""),"",IF(AND(M$5&lt;=$G201,M$5+6&gt;=$F201),IF($H201="Complétée","F",IF(OR($H201="En cours",$H201="En revue"),"E",IF($H201="Bloquée","B","P"))),""))</f>
        <v/>
      </c>
      <c r="N201" s="53">
        <f>IF(OR($F201="",$G201=""),"",IF(AND(N$5&lt;=$G201,N$5+6&gt;=$F201),IF($H201="Complétée","F",IF(OR($H201="En cours",$H201="En revue"),"E",IF($H201="Bloquée","B","P"))),""))</f>
        <v/>
      </c>
      <c r="O201" s="53">
        <f>IF(OR($F201="",$G201=""),"",IF(AND(O$5&lt;=$G201,O$5+6&gt;=$F201),IF($H201="Complétée","F",IF(OR($H201="En cours",$H201="En revue"),"E",IF($H201="Bloquée","B","P"))),""))</f>
        <v/>
      </c>
      <c r="P201" s="53">
        <f>IF(OR($F201="",$G201=""),"",IF(AND(P$5&lt;=$G201,P$5+6&gt;=$F201),IF($H201="Complétée","F",IF(OR($H201="En cours",$H201="En revue"),"E",IF($H201="Bloquée","B","P"))),""))</f>
        <v/>
      </c>
      <c r="Q201" s="53">
        <f>IF(OR($F201="",$G201=""),"",IF(AND(Q$5&lt;=$G201,Q$5+6&gt;=$F201),IF($H201="Complétée","F",IF(OR($H201="En cours",$H201="En revue"),"E",IF($H201="Bloquée","B","P"))),""))</f>
        <v/>
      </c>
      <c r="R201" s="53">
        <f>IF(OR($F201="",$G201=""),"",IF(AND(R$5&lt;=$G201,R$5+6&gt;=$F201),IF($H201="Complétée","F",IF(OR($H201="En cours",$H201="En revue"),"E",IF($H201="Bloquée","B","P"))),""))</f>
        <v/>
      </c>
      <c r="S201" s="53">
        <f>IF(OR($F201="",$G201=""),"",IF(AND(S$5&lt;=$G201,S$5+6&gt;=$F201),IF($H201="Complétée","F",IF(OR($H201="En cours",$H201="En revue"),"E",IF($H201="Bloquée","B","P"))),""))</f>
        <v/>
      </c>
      <c r="T201" s="53">
        <f>IF(OR($F201="",$G201=""),"",IF(AND(T$5&lt;=$G201,T$5+6&gt;=$F201),IF($H201="Complétée","F",IF(OR($H201="En cours",$H201="En revue"),"E",IF($H201="Bloquée","B","P"))),""))</f>
        <v/>
      </c>
      <c r="U201" s="53">
        <f>IF(OR($F201="",$G201=""),"",IF(AND(U$5&lt;=$G201,U$5+6&gt;=$F201),IF($H201="Complétée","F",IF(OR($H201="En cours",$H201="En revue"),"E",IF($H201="Bloquée","B","P"))),""))</f>
        <v/>
      </c>
      <c r="V201" s="53">
        <f>IF(OR($F201="",$G201=""),"",IF(AND(V$5&lt;=$G201,V$5+6&gt;=$F201),IF($H201="Complétée","F",IF(OR($H201="En cours",$H201="En revue"),"E",IF($H201="Bloquée","B","P"))),""))</f>
        <v/>
      </c>
      <c r="W201" s="53">
        <f>IF(OR($F201="",$G201=""),"",IF(AND(W$5&lt;=$G201,W$5+6&gt;=$F201),IF($H201="Complétée","F",IF(OR($H201="En cours",$H201="En revue"),"E",IF($H201="Bloquée","B","P"))),""))</f>
        <v/>
      </c>
      <c r="X201" s="53">
        <f>IF(OR($F201="",$G201=""),"",IF(AND(X$5&lt;=$G201,X$5+6&gt;=$F201),IF($H201="Complétée","F",IF(OR($H201="En cours",$H201="En revue"),"E",IF($H201="Bloquée","B","P"))),""))</f>
        <v/>
      </c>
      <c r="Y201" s="53">
        <f>IF(OR($F201="",$G201=""),"",IF(AND(Y$5&lt;=$G201,Y$5+6&gt;=$F201),IF($H201="Complétée","F",IF(OR($H201="En cours",$H201="En revue"),"E",IF($H201="Bloquée","B","P"))),""))</f>
        <v/>
      </c>
      <c r="Z201" s="53">
        <f>IF(OR($F201="",$G201=""),"",IF(AND(Z$5&lt;=$G201,Z$5+6&gt;=$F201),IF($H201="Complétée","F",IF(OR($H201="En cours",$H201="En revue"),"E",IF($H201="Bloquée","B","P"))),""))</f>
        <v/>
      </c>
      <c r="AA201" s="53">
        <f>IF(OR($F201="",$G201=""),"",IF(AND(AA$5&lt;=$G201,AA$5+6&gt;=$F201),IF($H201="Complétée","F",IF(OR($H201="En cours",$H201="En revue"),"E",IF($H201="Bloquée","B","P"))),""))</f>
        <v/>
      </c>
      <c r="AB201" s="53">
        <f>IF(OR($F201="",$G201=""),"",IF(AND(AB$5&lt;=$G201,AB$5+6&gt;=$F201),IF($H201="Complétée","F",IF(OR($H201="En cours",$H201="En revue"),"E",IF($H201="Bloquée","B","P"))),""))</f>
        <v/>
      </c>
      <c r="AC201" s="53">
        <f>IF(OR($F201="",$G201=""),"",IF(AND(AC$5&lt;=$G201,AC$5+6&gt;=$F201),IF($H201="Complétée","F",IF(OR($H201="En cours",$H201="En revue"),"E",IF($H201="Bloquée","B","P"))),""))</f>
        <v/>
      </c>
      <c r="AD201" s="53">
        <f>IF(OR($F201="",$G201=""),"",IF(AND(AD$5&lt;=$G201,AD$5+6&gt;=$F201),IF($H201="Complétée","F",IF(OR($H201="En cours",$H201="En revue"),"E",IF($H201="Bloquée","B","P"))),""))</f>
        <v/>
      </c>
      <c r="AE201" s="53">
        <f>IF(OR($F201="",$G201=""),"",IF(AND(AE$5&lt;=$G201,AE$5+6&gt;=$F201),IF($H201="Complétée","F",IF(OR($H201="En cours",$H201="En revue"),"E",IF($H201="Bloquée","B","P"))),""))</f>
        <v/>
      </c>
      <c r="AF201" s="53">
        <f>IF(OR($F201="",$G201=""),"",IF(AND(AF$5&lt;=$G201,AF$5+6&gt;=$F201),IF($H201="Complétée","F",IF(OR($H201="En cours",$H201="En revue"),"E",IF($H201="Bloquée","B","P"))),""))</f>
        <v/>
      </c>
      <c r="AG201" s="53">
        <f>IF(OR($F201="",$G201=""),"",IF(AND(AG$5&lt;=$G201,AG$5+6&gt;=$F201),IF($H201="Complétée","F",IF(OR($H201="En cours",$H201="En revue"),"E",IF($H201="Bloquée","B","P"))),""))</f>
        <v/>
      </c>
      <c r="AH201" s="53">
        <f>IF(OR($F201="",$G201=""),"",IF(AND(AH$5&lt;=$G201,AH$5+6&gt;=$F201),IF($H201="Complétée","F",IF(OR($H201="En cours",$H201="En revue"),"E",IF($H201="Bloquée","B","P"))),""))</f>
        <v/>
      </c>
      <c r="AI201" s="53">
        <f>IF(OR($F201="",$G201=""),"",IF(AND(AI$5&lt;=$G201,AI$5+6&gt;=$F201),IF($H201="Complétée","F",IF(OR($H201="En cours",$H201="En revue"),"E",IF($H201="Bloquée","B","P"))),""))</f>
        <v/>
      </c>
      <c r="AJ201" s="53">
        <f>IF(OR($F201="",$G201=""),"",IF(AND(AJ$5&lt;=$G201,AJ$5+6&gt;=$F201),IF($H201="Complétée","F",IF(OR($H201="En cours",$H201="En revue"),"E",IF($H201="Bloquée","B","P"))),""))</f>
        <v/>
      </c>
      <c r="AK201" s="53">
        <f>IF(OR($F201="",$G201=""),"",IF(AND(AK$5&lt;=$G201,AK$5+6&gt;=$F201),IF($H201="Complétée","F",IF(OR($H201="En cours",$H201="En revue"),"E",IF($H201="Bloquée","B","P"))),""))</f>
        <v/>
      </c>
      <c r="AL201" s="53">
        <f>IF(OR($F201="",$G201=""),"",IF(AND(AL$5&lt;=$G201,AL$5+6&gt;=$F201),IF($H201="Complétée","F",IF(OR($H201="En cours",$H201="En revue"),"E",IF($H201="Bloquée","B","P"))),""))</f>
        <v/>
      </c>
      <c r="AM201" s="53">
        <f>IF(OR($F201="",$G201=""),"",IF(AND(AM$5&lt;=$G201,AM$5+6&gt;=$F201),IF($H201="Complétée","F",IF(OR($H201="En cours",$H201="En revue"),"E",IF($H201="Bloquée","B","P"))),""))</f>
        <v/>
      </c>
      <c r="AN201" s="53">
        <f>IF(OR($F201="",$G201=""),"",IF(AND(AN$5&lt;=$G201,AN$5+6&gt;=$F201),IF($H201="Complétée","F",IF(OR($H201="En cours",$H201="En revue"),"E",IF($H201="Bloquée","B","P"))),""))</f>
        <v/>
      </c>
      <c r="AO201" s="53">
        <f>IF(OR($F201="",$G201=""),"",IF(AND(AO$5&lt;=$G201,AO$5+6&gt;=$F201),IF($H201="Complétée","F",IF(OR($H201="En cours",$H201="En revue"),"E",IF($H201="Bloquée","B","P"))),""))</f>
        <v/>
      </c>
      <c r="AP201" s="53">
        <f>IF(OR($F201="",$G201=""),"",IF(AND(AP$5&lt;=$G201,AP$5+6&gt;=$F201),IF($H201="Complétée","F",IF(OR($H201="En cours",$H201="En revue"),"E",IF($H201="Bloquée","B","P"))),""))</f>
        <v/>
      </c>
      <c r="AQ201" s="53">
        <f>IF(OR($F201="",$G201=""),"",IF(AND(AQ$5&lt;=$G201,AQ$5+6&gt;=$F201),IF($H201="Complétée","F",IF(OR($H201="En cours",$H201="En revue"),"E",IF($H201="Bloquée","B","P"))),""))</f>
        <v/>
      </c>
      <c r="AR201" s="53">
        <f>IF(OR($F201="",$G201=""),"",IF(AND(AR$5&lt;=$G201,AR$5+6&gt;=$F201),IF($H201="Complétée","F",IF(OR($H201="En cours",$H201="En revue"),"E",IF($H201="Bloquée","B","P"))),""))</f>
        <v/>
      </c>
      <c r="AS201" s="53">
        <f>IF(OR($F201="",$G201=""),"",IF(AND(AS$5&lt;=$G201,AS$5+6&gt;=$F201),IF($H201="Complétée","F",IF(OR($H201="En cours",$H201="En revue"),"E",IF($H201="Bloquée","B","P"))),""))</f>
        <v/>
      </c>
      <c r="AT201" s="53">
        <f>IF(OR($F201="",$G201=""),"",IF(AND(AT$5&lt;=$G201,AT$5+6&gt;=$F201),IF($H201="Complétée","F",IF(OR($H201="En cours",$H201="En revue"),"E",IF($H201="Bloquée","B","P"))),""))</f>
        <v/>
      </c>
      <c r="AU201" s="53">
        <f>IF(OR($F201="",$G201=""),"",IF(AND(AU$5&lt;=$G201,AU$5+6&gt;=$F201),IF($H201="Complétée","F",IF(OR($H201="En cours",$H201="En revue"),"E",IF($H201="Bloquée","B","P"))),""))</f>
        <v/>
      </c>
      <c r="AV201" s="53">
        <f>IF(OR($F201="",$G201=""),"",IF(AND(AV$5&lt;=$G201,AV$5+6&gt;=$F201),IF($H201="Complétée","F",IF(OR($H201="En cours",$H201="En revue"),"E",IF($H201="Bloquée","B","P"))),""))</f>
        <v/>
      </c>
      <c r="AW201" s="53">
        <f>IF(OR($F201="",$G201=""),"",IF(AND(AW$5&lt;=$G201,AW$5+6&gt;=$F201),IF($H201="Complétée","F",IF(OR($H201="En cours",$H201="En revue"),"E",IF($H201="Bloquée","B","P"))),""))</f>
        <v/>
      </c>
    </row>
    <row r="202">
      <c r="B202" s="50">
        <f>IF(Taches!B202="","",Taches!B202)</f>
        <v/>
      </c>
      <c r="C202" s="51">
        <f>IF(Taches!B202="","",Taches!F202)</f>
        <v/>
      </c>
      <c r="D202" s="50">
        <f>IF(Taches!B202="","",Taches!C202)</f>
        <v/>
      </c>
      <c r="E202" s="50">
        <f>IF(Taches!B202="","",Taches!D202)</f>
        <v/>
      </c>
      <c r="F202" s="52">
        <f>IF(Taches!P202="","",Taches!P202)</f>
        <v/>
      </c>
      <c r="G202" s="52">
        <f>IF(Taches!Q202="","",Taches!Q202)</f>
        <v/>
      </c>
      <c r="H202" s="50">
        <f>IF(Taches!B202="","",Taches!J202)</f>
        <v/>
      </c>
      <c r="I202" s="53">
        <f>IF(OR($F202="",$G202=""),"",IF(AND(I$5&lt;=$G202,I$5+6&gt;=$F202),IF($H202="Complétée","F",IF(OR($H202="En cours",$H202="En revue"),"E",IF($H202="Bloquée","B","P"))),""))</f>
        <v/>
      </c>
      <c r="J202" s="53">
        <f>IF(OR($F202="",$G202=""),"",IF(AND(J$5&lt;=$G202,J$5+6&gt;=$F202),IF($H202="Complétée","F",IF(OR($H202="En cours",$H202="En revue"),"E",IF($H202="Bloquée","B","P"))),""))</f>
        <v/>
      </c>
      <c r="K202" s="53">
        <f>IF(OR($F202="",$G202=""),"",IF(AND(K$5&lt;=$G202,K$5+6&gt;=$F202),IF($H202="Complétée","F",IF(OR($H202="En cours",$H202="En revue"),"E",IF($H202="Bloquée","B","P"))),""))</f>
        <v/>
      </c>
      <c r="L202" s="53">
        <f>IF(OR($F202="",$G202=""),"",IF(AND(L$5&lt;=$G202,L$5+6&gt;=$F202),IF($H202="Complétée","F",IF(OR($H202="En cours",$H202="En revue"),"E",IF($H202="Bloquée","B","P"))),""))</f>
        <v/>
      </c>
      <c r="M202" s="53">
        <f>IF(OR($F202="",$G202=""),"",IF(AND(M$5&lt;=$G202,M$5+6&gt;=$F202),IF($H202="Complétée","F",IF(OR($H202="En cours",$H202="En revue"),"E",IF($H202="Bloquée","B","P"))),""))</f>
        <v/>
      </c>
      <c r="N202" s="53">
        <f>IF(OR($F202="",$G202=""),"",IF(AND(N$5&lt;=$G202,N$5+6&gt;=$F202),IF($H202="Complétée","F",IF(OR($H202="En cours",$H202="En revue"),"E",IF($H202="Bloquée","B","P"))),""))</f>
        <v/>
      </c>
      <c r="O202" s="53">
        <f>IF(OR($F202="",$G202=""),"",IF(AND(O$5&lt;=$G202,O$5+6&gt;=$F202),IF($H202="Complétée","F",IF(OR($H202="En cours",$H202="En revue"),"E",IF($H202="Bloquée","B","P"))),""))</f>
        <v/>
      </c>
      <c r="P202" s="53">
        <f>IF(OR($F202="",$G202=""),"",IF(AND(P$5&lt;=$G202,P$5+6&gt;=$F202),IF($H202="Complétée","F",IF(OR($H202="En cours",$H202="En revue"),"E",IF($H202="Bloquée","B","P"))),""))</f>
        <v/>
      </c>
      <c r="Q202" s="53">
        <f>IF(OR($F202="",$G202=""),"",IF(AND(Q$5&lt;=$G202,Q$5+6&gt;=$F202),IF($H202="Complétée","F",IF(OR($H202="En cours",$H202="En revue"),"E",IF($H202="Bloquée","B","P"))),""))</f>
        <v/>
      </c>
      <c r="R202" s="53">
        <f>IF(OR($F202="",$G202=""),"",IF(AND(R$5&lt;=$G202,R$5+6&gt;=$F202),IF($H202="Complétée","F",IF(OR($H202="En cours",$H202="En revue"),"E",IF($H202="Bloquée","B","P"))),""))</f>
        <v/>
      </c>
      <c r="S202" s="53">
        <f>IF(OR($F202="",$G202=""),"",IF(AND(S$5&lt;=$G202,S$5+6&gt;=$F202),IF($H202="Complétée","F",IF(OR($H202="En cours",$H202="En revue"),"E",IF($H202="Bloquée","B","P"))),""))</f>
        <v/>
      </c>
      <c r="T202" s="53">
        <f>IF(OR($F202="",$G202=""),"",IF(AND(T$5&lt;=$G202,T$5+6&gt;=$F202),IF($H202="Complétée","F",IF(OR($H202="En cours",$H202="En revue"),"E",IF($H202="Bloquée","B","P"))),""))</f>
        <v/>
      </c>
      <c r="U202" s="53">
        <f>IF(OR($F202="",$G202=""),"",IF(AND(U$5&lt;=$G202,U$5+6&gt;=$F202),IF($H202="Complétée","F",IF(OR($H202="En cours",$H202="En revue"),"E",IF($H202="Bloquée","B","P"))),""))</f>
        <v/>
      </c>
      <c r="V202" s="53">
        <f>IF(OR($F202="",$G202=""),"",IF(AND(V$5&lt;=$G202,V$5+6&gt;=$F202),IF($H202="Complétée","F",IF(OR($H202="En cours",$H202="En revue"),"E",IF($H202="Bloquée","B","P"))),""))</f>
        <v/>
      </c>
      <c r="W202" s="53">
        <f>IF(OR($F202="",$G202=""),"",IF(AND(W$5&lt;=$G202,W$5+6&gt;=$F202),IF($H202="Complétée","F",IF(OR($H202="En cours",$H202="En revue"),"E",IF($H202="Bloquée","B","P"))),""))</f>
        <v/>
      </c>
      <c r="X202" s="53">
        <f>IF(OR($F202="",$G202=""),"",IF(AND(X$5&lt;=$G202,X$5+6&gt;=$F202),IF($H202="Complétée","F",IF(OR($H202="En cours",$H202="En revue"),"E",IF($H202="Bloquée","B","P"))),""))</f>
        <v/>
      </c>
      <c r="Y202" s="53">
        <f>IF(OR($F202="",$G202=""),"",IF(AND(Y$5&lt;=$G202,Y$5+6&gt;=$F202),IF($H202="Complétée","F",IF(OR($H202="En cours",$H202="En revue"),"E",IF($H202="Bloquée","B","P"))),""))</f>
        <v/>
      </c>
      <c r="Z202" s="53">
        <f>IF(OR($F202="",$G202=""),"",IF(AND(Z$5&lt;=$G202,Z$5+6&gt;=$F202),IF($H202="Complétée","F",IF(OR($H202="En cours",$H202="En revue"),"E",IF($H202="Bloquée","B","P"))),""))</f>
        <v/>
      </c>
      <c r="AA202" s="53">
        <f>IF(OR($F202="",$G202=""),"",IF(AND(AA$5&lt;=$G202,AA$5+6&gt;=$F202),IF($H202="Complétée","F",IF(OR($H202="En cours",$H202="En revue"),"E",IF($H202="Bloquée","B","P"))),""))</f>
        <v/>
      </c>
      <c r="AB202" s="53">
        <f>IF(OR($F202="",$G202=""),"",IF(AND(AB$5&lt;=$G202,AB$5+6&gt;=$F202),IF($H202="Complétée","F",IF(OR($H202="En cours",$H202="En revue"),"E",IF($H202="Bloquée","B","P"))),""))</f>
        <v/>
      </c>
      <c r="AC202" s="53">
        <f>IF(OR($F202="",$G202=""),"",IF(AND(AC$5&lt;=$G202,AC$5+6&gt;=$F202),IF($H202="Complétée","F",IF(OR($H202="En cours",$H202="En revue"),"E",IF($H202="Bloquée","B","P"))),""))</f>
        <v/>
      </c>
      <c r="AD202" s="53">
        <f>IF(OR($F202="",$G202=""),"",IF(AND(AD$5&lt;=$G202,AD$5+6&gt;=$F202),IF($H202="Complétée","F",IF(OR($H202="En cours",$H202="En revue"),"E",IF($H202="Bloquée","B","P"))),""))</f>
        <v/>
      </c>
      <c r="AE202" s="53">
        <f>IF(OR($F202="",$G202=""),"",IF(AND(AE$5&lt;=$G202,AE$5+6&gt;=$F202),IF($H202="Complétée","F",IF(OR($H202="En cours",$H202="En revue"),"E",IF($H202="Bloquée","B","P"))),""))</f>
        <v/>
      </c>
      <c r="AF202" s="53">
        <f>IF(OR($F202="",$G202=""),"",IF(AND(AF$5&lt;=$G202,AF$5+6&gt;=$F202),IF($H202="Complétée","F",IF(OR($H202="En cours",$H202="En revue"),"E",IF($H202="Bloquée","B","P"))),""))</f>
        <v/>
      </c>
      <c r="AG202" s="53">
        <f>IF(OR($F202="",$G202=""),"",IF(AND(AG$5&lt;=$G202,AG$5+6&gt;=$F202),IF($H202="Complétée","F",IF(OR($H202="En cours",$H202="En revue"),"E",IF($H202="Bloquée","B","P"))),""))</f>
        <v/>
      </c>
      <c r="AH202" s="53">
        <f>IF(OR($F202="",$G202=""),"",IF(AND(AH$5&lt;=$G202,AH$5+6&gt;=$F202),IF($H202="Complétée","F",IF(OR($H202="En cours",$H202="En revue"),"E",IF($H202="Bloquée","B","P"))),""))</f>
        <v/>
      </c>
      <c r="AI202" s="53">
        <f>IF(OR($F202="",$G202=""),"",IF(AND(AI$5&lt;=$G202,AI$5+6&gt;=$F202),IF($H202="Complétée","F",IF(OR($H202="En cours",$H202="En revue"),"E",IF($H202="Bloquée","B","P"))),""))</f>
        <v/>
      </c>
      <c r="AJ202" s="53">
        <f>IF(OR($F202="",$G202=""),"",IF(AND(AJ$5&lt;=$G202,AJ$5+6&gt;=$F202),IF($H202="Complétée","F",IF(OR($H202="En cours",$H202="En revue"),"E",IF($H202="Bloquée","B","P"))),""))</f>
        <v/>
      </c>
      <c r="AK202" s="53">
        <f>IF(OR($F202="",$G202=""),"",IF(AND(AK$5&lt;=$G202,AK$5+6&gt;=$F202),IF($H202="Complétée","F",IF(OR($H202="En cours",$H202="En revue"),"E",IF($H202="Bloquée","B","P"))),""))</f>
        <v/>
      </c>
      <c r="AL202" s="53">
        <f>IF(OR($F202="",$G202=""),"",IF(AND(AL$5&lt;=$G202,AL$5+6&gt;=$F202),IF($H202="Complétée","F",IF(OR($H202="En cours",$H202="En revue"),"E",IF($H202="Bloquée","B","P"))),""))</f>
        <v/>
      </c>
      <c r="AM202" s="53">
        <f>IF(OR($F202="",$G202=""),"",IF(AND(AM$5&lt;=$G202,AM$5+6&gt;=$F202),IF($H202="Complétée","F",IF(OR($H202="En cours",$H202="En revue"),"E",IF($H202="Bloquée","B","P"))),""))</f>
        <v/>
      </c>
      <c r="AN202" s="53">
        <f>IF(OR($F202="",$G202=""),"",IF(AND(AN$5&lt;=$G202,AN$5+6&gt;=$F202),IF($H202="Complétée","F",IF(OR($H202="En cours",$H202="En revue"),"E",IF($H202="Bloquée","B","P"))),""))</f>
        <v/>
      </c>
      <c r="AO202" s="53">
        <f>IF(OR($F202="",$G202=""),"",IF(AND(AO$5&lt;=$G202,AO$5+6&gt;=$F202),IF($H202="Complétée","F",IF(OR($H202="En cours",$H202="En revue"),"E",IF($H202="Bloquée","B","P"))),""))</f>
        <v/>
      </c>
      <c r="AP202" s="53">
        <f>IF(OR($F202="",$G202=""),"",IF(AND(AP$5&lt;=$G202,AP$5+6&gt;=$F202),IF($H202="Complétée","F",IF(OR($H202="En cours",$H202="En revue"),"E",IF($H202="Bloquée","B","P"))),""))</f>
        <v/>
      </c>
      <c r="AQ202" s="53">
        <f>IF(OR($F202="",$G202=""),"",IF(AND(AQ$5&lt;=$G202,AQ$5+6&gt;=$F202),IF($H202="Complétée","F",IF(OR($H202="En cours",$H202="En revue"),"E",IF($H202="Bloquée","B","P"))),""))</f>
        <v/>
      </c>
      <c r="AR202" s="53">
        <f>IF(OR($F202="",$G202=""),"",IF(AND(AR$5&lt;=$G202,AR$5+6&gt;=$F202),IF($H202="Complétée","F",IF(OR($H202="En cours",$H202="En revue"),"E",IF($H202="Bloquée","B","P"))),""))</f>
        <v/>
      </c>
      <c r="AS202" s="53">
        <f>IF(OR($F202="",$G202=""),"",IF(AND(AS$5&lt;=$G202,AS$5+6&gt;=$F202),IF($H202="Complétée","F",IF(OR($H202="En cours",$H202="En revue"),"E",IF($H202="Bloquée","B","P"))),""))</f>
        <v/>
      </c>
      <c r="AT202" s="53">
        <f>IF(OR($F202="",$G202=""),"",IF(AND(AT$5&lt;=$G202,AT$5+6&gt;=$F202),IF($H202="Complétée","F",IF(OR($H202="En cours",$H202="En revue"),"E",IF($H202="Bloquée","B","P"))),""))</f>
        <v/>
      </c>
      <c r="AU202" s="53">
        <f>IF(OR($F202="",$G202=""),"",IF(AND(AU$5&lt;=$G202,AU$5+6&gt;=$F202),IF($H202="Complétée","F",IF(OR($H202="En cours",$H202="En revue"),"E",IF($H202="Bloquée","B","P"))),""))</f>
        <v/>
      </c>
      <c r="AV202" s="53">
        <f>IF(OR($F202="",$G202=""),"",IF(AND(AV$5&lt;=$G202,AV$5+6&gt;=$F202),IF($H202="Complétée","F",IF(OR($H202="En cours",$H202="En revue"),"E",IF($H202="Bloquée","B","P"))),""))</f>
        <v/>
      </c>
      <c r="AW202" s="53">
        <f>IF(OR($F202="",$G202=""),"",IF(AND(AW$5&lt;=$G202,AW$5+6&gt;=$F202),IF($H202="Complétée","F",IF(OR($H202="En cours",$H202="En revue"),"E",IF($H202="Bloquée","B","P"))),""))</f>
        <v/>
      </c>
    </row>
    <row r="203">
      <c r="B203" s="50">
        <f>IF(Taches!B203="","",Taches!B203)</f>
        <v/>
      </c>
      <c r="C203" s="51">
        <f>IF(Taches!B203="","",Taches!F203)</f>
        <v/>
      </c>
      <c r="D203" s="50">
        <f>IF(Taches!B203="","",Taches!C203)</f>
        <v/>
      </c>
      <c r="E203" s="50">
        <f>IF(Taches!B203="","",Taches!D203)</f>
        <v/>
      </c>
      <c r="F203" s="52">
        <f>IF(Taches!P203="","",Taches!P203)</f>
        <v/>
      </c>
      <c r="G203" s="52">
        <f>IF(Taches!Q203="","",Taches!Q203)</f>
        <v/>
      </c>
      <c r="H203" s="50">
        <f>IF(Taches!B203="","",Taches!J203)</f>
        <v/>
      </c>
      <c r="I203" s="53">
        <f>IF(OR($F203="",$G203=""),"",IF(AND(I$5&lt;=$G203,I$5+6&gt;=$F203),IF($H203="Complétée","F",IF(OR($H203="En cours",$H203="En revue"),"E",IF($H203="Bloquée","B","P"))),""))</f>
        <v/>
      </c>
      <c r="J203" s="53">
        <f>IF(OR($F203="",$G203=""),"",IF(AND(J$5&lt;=$G203,J$5+6&gt;=$F203),IF($H203="Complétée","F",IF(OR($H203="En cours",$H203="En revue"),"E",IF($H203="Bloquée","B","P"))),""))</f>
        <v/>
      </c>
      <c r="K203" s="53">
        <f>IF(OR($F203="",$G203=""),"",IF(AND(K$5&lt;=$G203,K$5+6&gt;=$F203),IF($H203="Complétée","F",IF(OR($H203="En cours",$H203="En revue"),"E",IF($H203="Bloquée","B","P"))),""))</f>
        <v/>
      </c>
      <c r="L203" s="53">
        <f>IF(OR($F203="",$G203=""),"",IF(AND(L$5&lt;=$G203,L$5+6&gt;=$F203),IF($H203="Complétée","F",IF(OR($H203="En cours",$H203="En revue"),"E",IF($H203="Bloquée","B","P"))),""))</f>
        <v/>
      </c>
      <c r="M203" s="53">
        <f>IF(OR($F203="",$G203=""),"",IF(AND(M$5&lt;=$G203,M$5+6&gt;=$F203),IF($H203="Complétée","F",IF(OR($H203="En cours",$H203="En revue"),"E",IF($H203="Bloquée","B","P"))),""))</f>
        <v/>
      </c>
      <c r="N203" s="53">
        <f>IF(OR($F203="",$G203=""),"",IF(AND(N$5&lt;=$G203,N$5+6&gt;=$F203),IF($H203="Complétée","F",IF(OR($H203="En cours",$H203="En revue"),"E",IF($H203="Bloquée","B","P"))),""))</f>
        <v/>
      </c>
      <c r="O203" s="53">
        <f>IF(OR($F203="",$G203=""),"",IF(AND(O$5&lt;=$G203,O$5+6&gt;=$F203),IF($H203="Complétée","F",IF(OR($H203="En cours",$H203="En revue"),"E",IF($H203="Bloquée","B","P"))),""))</f>
        <v/>
      </c>
      <c r="P203" s="53">
        <f>IF(OR($F203="",$G203=""),"",IF(AND(P$5&lt;=$G203,P$5+6&gt;=$F203),IF($H203="Complétée","F",IF(OR($H203="En cours",$H203="En revue"),"E",IF($H203="Bloquée","B","P"))),""))</f>
        <v/>
      </c>
      <c r="Q203" s="53">
        <f>IF(OR($F203="",$G203=""),"",IF(AND(Q$5&lt;=$G203,Q$5+6&gt;=$F203),IF($H203="Complétée","F",IF(OR($H203="En cours",$H203="En revue"),"E",IF($H203="Bloquée","B","P"))),""))</f>
        <v/>
      </c>
      <c r="R203" s="53">
        <f>IF(OR($F203="",$G203=""),"",IF(AND(R$5&lt;=$G203,R$5+6&gt;=$F203),IF($H203="Complétée","F",IF(OR($H203="En cours",$H203="En revue"),"E",IF($H203="Bloquée","B","P"))),""))</f>
        <v/>
      </c>
      <c r="S203" s="53">
        <f>IF(OR($F203="",$G203=""),"",IF(AND(S$5&lt;=$G203,S$5+6&gt;=$F203),IF($H203="Complétée","F",IF(OR($H203="En cours",$H203="En revue"),"E",IF($H203="Bloquée","B","P"))),""))</f>
        <v/>
      </c>
      <c r="T203" s="53">
        <f>IF(OR($F203="",$G203=""),"",IF(AND(T$5&lt;=$G203,T$5+6&gt;=$F203),IF($H203="Complétée","F",IF(OR($H203="En cours",$H203="En revue"),"E",IF($H203="Bloquée","B","P"))),""))</f>
        <v/>
      </c>
      <c r="U203" s="53">
        <f>IF(OR($F203="",$G203=""),"",IF(AND(U$5&lt;=$G203,U$5+6&gt;=$F203),IF($H203="Complétée","F",IF(OR($H203="En cours",$H203="En revue"),"E",IF($H203="Bloquée","B","P"))),""))</f>
        <v/>
      </c>
      <c r="V203" s="53">
        <f>IF(OR($F203="",$G203=""),"",IF(AND(V$5&lt;=$G203,V$5+6&gt;=$F203),IF($H203="Complétée","F",IF(OR($H203="En cours",$H203="En revue"),"E",IF($H203="Bloquée","B","P"))),""))</f>
        <v/>
      </c>
      <c r="W203" s="53">
        <f>IF(OR($F203="",$G203=""),"",IF(AND(W$5&lt;=$G203,W$5+6&gt;=$F203),IF($H203="Complétée","F",IF(OR($H203="En cours",$H203="En revue"),"E",IF($H203="Bloquée","B","P"))),""))</f>
        <v/>
      </c>
      <c r="X203" s="53">
        <f>IF(OR($F203="",$G203=""),"",IF(AND(X$5&lt;=$G203,X$5+6&gt;=$F203),IF($H203="Complétée","F",IF(OR($H203="En cours",$H203="En revue"),"E",IF($H203="Bloquée","B","P"))),""))</f>
        <v/>
      </c>
      <c r="Y203" s="53">
        <f>IF(OR($F203="",$G203=""),"",IF(AND(Y$5&lt;=$G203,Y$5+6&gt;=$F203),IF($H203="Complétée","F",IF(OR($H203="En cours",$H203="En revue"),"E",IF($H203="Bloquée","B","P"))),""))</f>
        <v/>
      </c>
      <c r="Z203" s="53">
        <f>IF(OR($F203="",$G203=""),"",IF(AND(Z$5&lt;=$G203,Z$5+6&gt;=$F203),IF($H203="Complétée","F",IF(OR($H203="En cours",$H203="En revue"),"E",IF($H203="Bloquée","B","P"))),""))</f>
        <v/>
      </c>
      <c r="AA203" s="53">
        <f>IF(OR($F203="",$G203=""),"",IF(AND(AA$5&lt;=$G203,AA$5+6&gt;=$F203),IF($H203="Complétée","F",IF(OR($H203="En cours",$H203="En revue"),"E",IF($H203="Bloquée","B","P"))),""))</f>
        <v/>
      </c>
      <c r="AB203" s="53">
        <f>IF(OR($F203="",$G203=""),"",IF(AND(AB$5&lt;=$G203,AB$5+6&gt;=$F203),IF($H203="Complétée","F",IF(OR($H203="En cours",$H203="En revue"),"E",IF($H203="Bloquée","B","P"))),""))</f>
        <v/>
      </c>
      <c r="AC203" s="53">
        <f>IF(OR($F203="",$G203=""),"",IF(AND(AC$5&lt;=$G203,AC$5+6&gt;=$F203),IF($H203="Complétée","F",IF(OR($H203="En cours",$H203="En revue"),"E",IF($H203="Bloquée","B","P"))),""))</f>
        <v/>
      </c>
      <c r="AD203" s="53">
        <f>IF(OR($F203="",$G203=""),"",IF(AND(AD$5&lt;=$G203,AD$5+6&gt;=$F203),IF($H203="Complétée","F",IF(OR($H203="En cours",$H203="En revue"),"E",IF($H203="Bloquée","B","P"))),""))</f>
        <v/>
      </c>
      <c r="AE203" s="53">
        <f>IF(OR($F203="",$G203=""),"",IF(AND(AE$5&lt;=$G203,AE$5+6&gt;=$F203),IF($H203="Complétée","F",IF(OR($H203="En cours",$H203="En revue"),"E",IF($H203="Bloquée","B","P"))),""))</f>
        <v/>
      </c>
      <c r="AF203" s="53">
        <f>IF(OR($F203="",$G203=""),"",IF(AND(AF$5&lt;=$G203,AF$5+6&gt;=$F203),IF($H203="Complétée","F",IF(OR($H203="En cours",$H203="En revue"),"E",IF($H203="Bloquée","B","P"))),""))</f>
        <v/>
      </c>
      <c r="AG203" s="53">
        <f>IF(OR($F203="",$G203=""),"",IF(AND(AG$5&lt;=$G203,AG$5+6&gt;=$F203),IF($H203="Complétée","F",IF(OR($H203="En cours",$H203="En revue"),"E",IF($H203="Bloquée","B","P"))),""))</f>
        <v/>
      </c>
      <c r="AH203" s="53">
        <f>IF(OR($F203="",$G203=""),"",IF(AND(AH$5&lt;=$G203,AH$5+6&gt;=$F203),IF($H203="Complétée","F",IF(OR($H203="En cours",$H203="En revue"),"E",IF($H203="Bloquée","B","P"))),""))</f>
        <v/>
      </c>
      <c r="AI203" s="53">
        <f>IF(OR($F203="",$G203=""),"",IF(AND(AI$5&lt;=$G203,AI$5+6&gt;=$F203),IF($H203="Complétée","F",IF(OR($H203="En cours",$H203="En revue"),"E",IF($H203="Bloquée","B","P"))),""))</f>
        <v/>
      </c>
      <c r="AJ203" s="53">
        <f>IF(OR($F203="",$G203=""),"",IF(AND(AJ$5&lt;=$G203,AJ$5+6&gt;=$F203),IF($H203="Complétée","F",IF(OR($H203="En cours",$H203="En revue"),"E",IF($H203="Bloquée","B","P"))),""))</f>
        <v/>
      </c>
      <c r="AK203" s="53">
        <f>IF(OR($F203="",$G203=""),"",IF(AND(AK$5&lt;=$G203,AK$5+6&gt;=$F203),IF($H203="Complétée","F",IF(OR($H203="En cours",$H203="En revue"),"E",IF($H203="Bloquée","B","P"))),""))</f>
        <v/>
      </c>
      <c r="AL203" s="53">
        <f>IF(OR($F203="",$G203=""),"",IF(AND(AL$5&lt;=$G203,AL$5+6&gt;=$F203),IF($H203="Complétée","F",IF(OR($H203="En cours",$H203="En revue"),"E",IF($H203="Bloquée","B","P"))),""))</f>
        <v/>
      </c>
      <c r="AM203" s="53">
        <f>IF(OR($F203="",$G203=""),"",IF(AND(AM$5&lt;=$G203,AM$5+6&gt;=$F203),IF($H203="Complétée","F",IF(OR($H203="En cours",$H203="En revue"),"E",IF($H203="Bloquée","B","P"))),""))</f>
        <v/>
      </c>
      <c r="AN203" s="53">
        <f>IF(OR($F203="",$G203=""),"",IF(AND(AN$5&lt;=$G203,AN$5+6&gt;=$F203),IF($H203="Complétée","F",IF(OR($H203="En cours",$H203="En revue"),"E",IF($H203="Bloquée","B","P"))),""))</f>
        <v/>
      </c>
      <c r="AO203" s="53">
        <f>IF(OR($F203="",$G203=""),"",IF(AND(AO$5&lt;=$G203,AO$5+6&gt;=$F203),IF($H203="Complétée","F",IF(OR($H203="En cours",$H203="En revue"),"E",IF($H203="Bloquée","B","P"))),""))</f>
        <v/>
      </c>
      <c r="AP203" s="53">
        <f>IF(OR($F203="",$G203=""),"",IF(AND(AP$5&lt;=$G203,AP$5+6&gt;=$F203),IF($H203="Complétée","F",IF(OR($H203="En cours",$H203="En revue"),"E",IF($H203="Bloquée","B","P"))),""))</f>
        <v/>
      </c>
      <c r="AQ203" s="53">
        <f>IF(OR($F203="",$G203=""),"",IF(AND(AQ$5&lt;=$G203,AQ$5+6&gt;=$F203),IF($H203="Complétée","F",IF(OR($H203="En cours",$H203="En revue"),"E",IF($H203="Bloquée","B","P"))),""))</f>
        <v/>
      </c>
      <c r="AR203" s="53">
        <f>IF(OR($F203="",$G203=""),"",IF(AND(AR$5&lt;=$G203,AR$5+6&gt;=$F203),IF($H203="Complétée","F",IF(OR($H203="En cours",$H203="En revue"),"E",IF($H203="Bloquée","B","P"))),""))</f>
        <v/>
      </c>
      <c r="AS203" s="53">
        <f>IF(OR($F203="",$G203=""),"",IF(AND(AS$5&lt;=$G203,AS$5+6&gt;=$F203),IF($H203="Complétée","F",IF(OR($H203="En cours",$H203="En revue"),"E",IF($H203="Bloquée","B","P"))),""))</f>
        <v/>
      </c>
      <c r="AT203" s="53">
        <f>IF(OR($F203="",$G203=""),"",IF(AND(AT$5&lt;=$G203,AT$5+6&gt;=$F203),IF($H203="Complétée","F",IF(OR($H203="En cours",$H203="En revue"),"E",IF($H203="Bloquée","B","P"))),""))</f>
        <v/>
      </c>
      <c r="AU203" s="53">
        <f>IF(OR($F203="",$G203=""),"",IF(AND(AU$5&lt;=$G203,AU$5+6&gt;=$F203),IF($H203="Complétée","F",IF(OR($H203="En cours",$H203="En revue"),"E",IF($H203="Bloquée","B","P"))),""))</f>
        <v/>
      </c>
      <c r="AV203" s="53">
        <f>IF(OR($F203="",$G203=""),"",IF(AND(AV$5&lt;=$G203,AV$5+6&gt;=$F203),IF($H203="Complétée","F",IF(OR($H203="En cours",$H203="En revue"),"E",IF($H203="Bloquée","B","P"))),""))</f>
        <v/>
      </c>
      <c r="AW203" s="53">
        <f>IF(OR($F203="",$G203=""),"",IF(AND(AW$5&lt;=$G203,AW$5+6&gt;=$F203),IF($H203="Complétée","F",IF(OR($H203="En cours",$H203="En revue"),"E",IF($H203="Bloquée","B","P"))),""))</f>
        <v/>
      </c>
    </row>
    <row r="204">
      <c r="B204" s="50">
        <f>IF(Taches!B204="","",Taches!B204)</f>
        <v/>
      </c>
      <c r="C204" s="51">
        <f>IF(Taches!B204="","",Taches!F204)</f>
        <v/>
      </c>
      <c r="D204" s="50">
        <f>IF(Taches!B204="","",Taches!C204)</f>
        <v/>
      </c>
      <c r="E204" s="50">
        <f>IF(Taches!B204="","",Taches!D204)</f>
        <v/>
      </c>
      <c r="F204" s="52">
        <f>IF(Taches!P204="","",Taches!P204)</f>
        <v/>
      </c>
      <c r="G204" s="52">
        <f>IF(Taches!Q204="","",Taches!Q204)</f>
        <v/>
      </c>
      <c r="H204" s="50">
        <f>IF(Taches!B204="","",Taches!J204)</f>
        <v/>
      </c>
      <c r="I204" s="53">
        <f>IF(OR($F204="",$G204=""),"",IF(AND(I$5&lt;=$G204,I$5+6&gt;=$F204),IF($H204="Complétée","F",IF(OR($H204="En cours",$H204="En revue"),"E",IF($H204="Bloquée","B","P"))),""))</f>
        <v/>
      </c>
      <c r="J204" s="53">
        <f>IF(OR($F204="",$G204=""),"",IF(AND(J$5&lt;=$G204,J$5+6&gt;=$F204),IF($H204="Complétée","F",IF(OR($H204="En cours",$H204="En revue"),"E",IF($H204="Bloquée","B","P"))),""))</f>
        <v/>
      </c>
      <c r="K204" s="53">
        <f>IF(OR($F204="",$G204=""),"",IF(AND(K$5&lt;=$G204,K$5+6&gt;=$F204),IF($H204="Complétée","F",IF(OR($H204="En cours",$H204="En revue"),"E",IF($H204="Bloquée","B","P"))),""))</f>
        <v/>
      </c>
      <c r="L204" s="53">
        <f>IF(OR($F204="",$G204=""),"",IF(AND(L$5&lt;=$G204,L$5+6&gt;=$F204),IF($H204="Complétée","F",IF(OR($H204="En cours",$H204="En revue"),"E",IF($H204="Bloquée","B","P"))),""))</f>
        <v/>
      </c>
      <c r="M204" s="53">
        <f>IF(OR($F204="",$G204=""),"",IF(AND(M$5&lt;=$G204,M$5+6&gt;=$F204),IF($H204="Complétée","F",IF(OR($H204="En cours",$H204="En revue"),"E",IF($H204="Bloquée","B","P"))),""))</f>
        <v/>
      </c>
      <c r="N204" s="53">
        <f>IF(OR($F204="",$G204=""),"",IF(AND(N$5&lt;=$G204,N$5+6&gt;=$F204),IF($H204="Complétée","F",IF(OR($H204="En cours",$H204="En revue"),"E",IF($H204="Bloquée","B","P"))),""))</f>
        <v/>
      </c>
      <c r="O204" s="53">
        <f>IF(OR($F204="",$G204=""),"",IF(AND(O$5&lt;=$G204,O$5+6&gt;=$F204),IF($H204="Complétée","F",IF(OR($H204="En cours",$H204="En revue"),"E",IF($H204="Bloquée","B","P"))),""))</f>
        <v/>
      </c>
      <c r="P204" s="53">
        <f>IF(OR($F204="",$G204=""),"",IF(AND(P$5&lt;=$G204,P$5+6&gt;=$F204),IF($H204="Complétée","F",IF(OR($H204="En cours",$H204="En revue"),"E",IF($H204="Bloquée","B","P"))),""))</f>
        <v/>
      </c>
      <c r="Q204" s="53">
        <f>IF(OR($F204="",$G204=""),"",IF(AND(Q$5&lt;=$G204,Q$5+6&gt;=$F204),IF($H204="Complétée","F",IF(OR($H204="En cours",$H204="En revue"),"E",IF($H204="Bloquée","B","P"))),""))</f>
        <v/>
      </c>
      <c r="R204" s="53">
        <f>IF(OR($F204="",$G204=""),"",IF(AND(R$5&lt;=$G204,R$5+6&gt;=$F204),IF($H204="Complétée","F",IF(OR($H204="En cours",$H204="En revue"),"E",IF($H204="Bloquée","B","P"))),""))</f>
        <v/>
      </c>
      <c r="S204" s="53">
        <f>IF(OR($F204="",$G204=""),"",IF(AND(S$5&lt;=$G204,S$5+6&gt;=$F204),IF($H204="Complétée","F",IF(OR($H204="En cours",$H204="En revue"),"E",IF($H204="Bloquée","B","P"))),""))</f>
        <v/>
      </c>
      <c r="T204" s="53">
        <f>IF(OR($F204="",$G204=""),"",IF(AND(T$5&lt;=$G204,T$5+6&gt;=$F204),IF($H204="Complétée","F",IF(OR($H204="En cours",$H204="En revue"),"E",IF($H204="Bloquée","B","P"))),""))</f>
        <v/>
      </c>
      <c r="U204" s="53">
        <f>IF(OR($F204="",$G204=""),"",IF(AND(U$5&lt;=$G204,U$5+6&gt;=$F204),IF($H204="Complétée","F",IF(OR($H204="En cours",$H204="En revue"),"E",IF($H204="Bloquée","B","P"))),""))</f>
        <v/>
      </c>
      <c r="V204" s="53">
        <f>IF(OR($F204="",$G204=""),"",IF(AND(V$5&lt;=$G204,V$5+6&gt;=$F204),IF($H204="Complétée","F",IF(OR($H204="En cours",$H204="En revue"),"E",IF($H204="Bloquée","B","P"))),""))</f>
        <v/>
      </c>
      <c r="W204" s="53">
        <f>IF(OR($F204="",$G204=""),"",IF(AND(W$5&lt;=$G204,W$5+6&gt;=$F204),IF($H204="Complétée","F",IF(OR($H204="En cours",$H204="En revue"),"E",IF($H204="Bloquée","B","P"))),""))</f>
        <v/>
      </c>
      <c r="X204" s="53">
        <f>IF(OR($F204="",$G204=""),"",IF(AND(X$5&lt;=$G204,X$5+6&gt;=$F204),IF($H204="Complétée","F",IF(OR($H204="En cours",$H204="En revue"),"E",IF($H204="Bloquée","B","P"))),""))</f>
        <v/>
      </c>
      <c r="Y204" s="53">
        <f>IF(OR($F204="",$G204=""),"",IF(AND(Y$5&lt;=$G204,Y$5+6&gt;=$F204),IF($H204="Complétée","F",IF(OR($H204="En cours",$H204="En revue"),"E",IF($H204="Bloquée","B","P"))),""))</f>
        <v/>
      </c>
      <c r="Z204" s="53">
        <f>IF(OR($F204="",$G204=""),"",IF(AND(Z$5&lt;=$G204,Z$5+6&gt;=$F204),IF($H204="Complétée","F",IF(OR($H204="En cours",$H204="En revue"),"E",IF($H204="Bloquée","B","P"))),""))</f>
        <v/>
      </c>
      <c r="AA204" s="53">
        <f>IF(OR($F204="",$G204=""),"",IF(AND(AA$5&lt;=$G204,AA$5+6&gt;=$F204),IF($H204="Complétée","F",IF(OR($H204="En cours",$H204="En revue"),"E",IF($H204="Bloquée","B","P"))),""))</f>
        <v/>
      </c>
      <c r="AB204" s="53">
        <f>IF(OR($F204="",$G204=""),"",IF(AND(AB$5&lt;=$G204,AB$5+6&gt;=$F204),IF($H204="Complétée","F",IF(OR($H204="En cours",$H204="En revue"),"E",IF($H204="Bloquée","B","P"))),""))</f>
        <v/>
      </c>
      <c r="AC204" s="53">
        <f>IF(OR($F204="",$G204=""),"",IF(AND(AC$5&lt;=$G204,AC$5+6&gt;=$F204),IF($H204="Complétée","F",IF(OR($H204="En cours",$H204="En revue"),"E",IF($H204="Bloquée","B","P"))),""))</f>
        <v/>
      </c>
      <c r="AD204" s="53">
        <f>IF(OR($F204="",$G204=""),"",IF(AND(AD$5&lt;=$G204,AD$5+6&gt;=$F204),IF($H204="Complétée","F",IF(OR($H204="En cours",$H204="En revue"),"E",IF($H204="Bloquée","B","P"))),""))</f>
        <v/>
      </c>
      <c r="AE204" s="53">
        <f>IF(OR($F204="",$G204=""),"",IF(AND(AE$5&lt;=$G204,AE$5+6&gt;=$F204),IF($H204="Complétée","F",IF(OR($H204="En cours",$H204="En revue"),"E",IF($H204="Bloquée","B","P"))),""))</f>
        <v/>
      </c>
      <c r="AF204" s="53">
        <f>IF(OR($F204="",$G204=""),"",IF(AND(AF$5&lt;=$G204,AF$5+6&gt;=$F204),IF($H204="Complétée","F",IF(OR($H204="En cours",$H204="En revue"),"E",IF($H204="Bloquée","B","P"))),""))</f>
        <v/>
      </c>
      <c r="AG204" s="53">
        <f>IF(OR($F204="",$G204=""),"",IF(AND(AG$5&lt;=$G204,AG$5+6&gt;=$F204),IF($H204="Complétée","F",IF(OR($H204="En cours",$H204="En revue"),"E",IF($H204="Bloquée","B","P"))),""))</f>
        <v/>
      </c>
      <c r="AH204" s="53">
        <f>IF(OR($F204="",$G204=""),"",IF(AND(AH$5&lt;=$G204,AH$5+6&gt;=$F204),IF($H204="Complétée","F",IF(OR($H204="En cours",$H204="En revue"),"E",IF($H204="Bloquée","B","P"))),""))</f>
        <v/>
      </c>
      <c r="AI204" s="53">
        <f>IF(OR($F204="",$G204=""),"",IF(AND(AI$5&lt;=$G204,AI$5+6&gt;=$F204),IF($H204="Complétée","F",IF(OR($H204="En cours",$H204="En revue"),"E",IF($H204="Bloquée","B","P"))),""))</f>
        <v/>
      </c>
      <c r="AJ204" s="53">
        <f>IF(OR($F204="",$G204=""),"",IF(AND(AJ$5&lt;=$G204,AJ$5+6&gt;=$F204),IF($H204="Complétée","F",IF(OR($H204="En cours",$H204="En revue"),"E",IF($H204="Bloquée","B","P"))),""))</f>
        <v/>
      </c>
      <c r="AK204" s="53">
        <f>IF(OR($F204="",$G204=""),"",IF(AND(AK$5&lt;=$G204,AK$5+6&gt;=$F204),IF($H204="Complétée","F",IF(OR($H204="En cours",$H204="En revue"),"E",IF($H204="Bloquée","B","P"))),""))</f>
        <v/>
      </c>
      <c r="AL204" s="53">
        <f>IF(OR($F204="",$G204=""),"",IF(AND(AL$5&lt;=$G204,AL$5+6&gt;=$F204),IF($H204="Complétée","F",IF(OR($H204="En cours",$H204="En revue"),"E",IF($H204="Bloquée","B","P"))),""))</f>
        <v/>
      </c>
      <c r="AM204" s="53">
        <f>IF(OR($F204="",$G204=""),"",IF(AND(AM$5&lt;=$G204,AM$5+6&gt;=$F204),IF($H204="Complétée","F",IF(OR($H204="En cours",$H204="En revue"),"E",IF($H204="Bloquée","B","P"))),""))</f>
        <v/>
      </c>
      <c r="AN204" s="53">
        <f>IF(OR($F204="",$G204=""),"",IF(AND(AN$5&lt;=$G204,AN$5+6&gt;=$F204),IF($H204="Complétée","F",IF(OR($H204="En cours",$H204="En revue"),"E",IF($H204="Bloquée","B","P"))),""))</f>
        <v/>
      </c>
      <c r="AO204" s="53">
        <f>IF(OR($F204="",$G204=""),"",IF(AND(AO$5&lt;=$G204,AO$5+6&gt;=$F204),IF($H204="Complétée","F",IF(OR($H204="En cours",$H204="En revue"),"E",IF($H204="Bloquée","B","P"))),""))</f>
        <v/>
      </c>
      <c r="AP204" s="53">
        <f>IF(OR($F204="",$G204=""),"",IF(AND(AP$5&lt;=$G204,AP$5+6&gt;=$F204),IF($H204="Complétée","F",IF(OR($H204="En cours",$H204="En revue"),"E",IF($H204="Bloquée","B","P"))),""))</f>
        <v/>
      </c>
      <c r="AQ204" s="53">
        <f>IF(OR($F204="",$G204=""),"",IF(AND(AQ$5&lt;=$G204,AQ$5+6&gt;=$F204),IF($H204="Complétée","F",IF(OR($H204="En cours",$H204="En revue"),"E",IF($H204="Bloquée","B","P"))),""))</f>
        <v/>
      </c>
      <c r="AR204" s="53">
        <f>IF(OR($F204="",$G204=""),"",IF(AND(AR$5&lt;=$G204,AR$5+6&gt;=$F204),IF($H204="Complétée","F",IF(OR($H204="En cours",$H204="En revue"),"E",IF($H204="Bloquée","B","P"))),""))</f>
        <v/>
      </c>
      <c r="AS204" s="53">
        <f>IF(OR($F204="",$G204=""),"",IF(AND(AS$5&lt;=$G204,AS$5+6&gt;=$F204),IF($H204="Complétée","F",IF(OR($H204="En cours",$H204="En revue"),"E",IF($H204="Bloquée","B","P"))),""))</f>
        <v/>
      </c>
      <c r="AT204" s="53">
        <f>IF(OR($F204="",$G204=""),"",IF(AND(AT$5&lt;=$G204,AT$5+6&gt;=$F204),IF($H204="Complétée","F",IF(OR($H204="En cours",$H204="En revue"),"E",IF($H204="Bloquée","B","P"))),""))</f>
        <v/>
      </c>
      <c r="AU204" s="53">
        <f>IF(OR($F204="",$G204=""),"",IF(AND(AU$5&lt;=$G204,AU$5+6&gt;=$F204),IF($H204="Complétée","F",IF(OR($H204="En cours",$H204="En revue"),"E",IF($H204="Bloquée","B","P"))),""))</f>
        <v/>
      </c>
      <c r="AV204" s="53">
        <f>IF(OR($F204="",$G204=""),"",IF(AND(AV$5&lt;=$G204,AV$5+6&gt;=$F204),IF($H204="Complétée","F",IF(OR($H204="En cours",$H204="En revue"),"E",IF($H204="Bloquée","B","P"))),""))</f>
        <v/>
      </c>
      <c r="AW204" s="53">
        <f>IF(OR($F204="",$G204=""),"",IF(AND(AW$5&lt;=$G204,AW$5+6&gt;=$F204),IF($H204="Complétée","F",IF(OR($H204="En cours",$H204="En revue"),"E",IF($H204="Bloquée","B","P"))),""))</f>
        <v/>
      </c>
    </row>
    <row r="205">
      <c r="B205" s="50">
        <f>IF(Taches!B205="","",Taches!B205)</f>
        <v/>
      </c>
      <c r="C205" s="51">
        <f>IF(Taches!B205="","",Taches!F205)</f>
        <v/>
      </c>
      <c r="D205" s="50">
        <f>IF(Taches!B205="","",Taches!C205)</f>
        <v/>
      </c>
      <c r="E205" s="50">
        <f>IF(Taches!B205="","",Taches!D205)</f>
        <v/>
      </c>
      <c r="F205" s="52">
        <f>IF(Taches!P205="","",Taches!P205)</f>
        <v/>
      </c>
      <c r="G205" s="52">
        <f>IF(Taches!Q205="","",Taches!Q205)</f>
        <v/>
      </c>
      <c r="H205" s="50">
        <f>IF(Taches!B205="","",Taches!J205)</f>
        <v/>
      </c>
      <c r="I205" s="53">
        <f>IF(OR($F205="",$G205=""),"",IF(AND(I$5&lt;=$G205,I$5+6&gt;=$F205),IF($H205="Complétée","F",IF(OR($H205="En cours",$H205="En revue"),"E",IF($H205="Bloquée","B","P"))),""))</f>
        <v/>
      </c>
      <c r="J205" s="53">
        <f>IF(OR($F205="",$G205=""),"",IF(AND(J$5&lt;=$G205,J$5+6&gt;=$F205),IF($H205="Complétée","F",IF(OR($H205="En cours",$H205="En revue"),"E",IF($H205="Bloquée","B","P"))),""))</f>
        <v/>
      </c>
      <c r="K205" s="53">
        <f>IF(OR($F205="",$G205=""),"",IF(AND(K$5&lt;=$G205,K$5+6&gt;=$F205),IF($H205="Complétée","F",IF(OR($H205="En cours",$H205="En revue"),"E",IF($H205="Bloquée","B","P"))),""))</f>
        <v/>
      </c>
      <c r="L205" s="53">
        <f>IF(OR($F205="",$G205=""),"",IF(AND(L$5&lt;=$G205,L$5+6&gt;=$F205),IF($H205="Complétée","F",IF(OR($H205="En cours",$H205="En revue"),"E",IF($H205="Bloquée","B","P"))),""))</f>
        <v/>
      </c>
      <c r="M205" s="53">
        <f>IF(OR($F205="",$G205=""),"",IF(AND(M$5&lt;=$G205,M$5+6&gt;=$F205),IF($H205="Complétée","F",IF(OR($H205="En cours",$H205="En revue"),"E",IF($H205="Bloquée","B","P"))),""))</f>
        <v/>
      </c>
      <c r="N205" s="53">
        <f>IF(OR($F205="",$G205=""),"",IF(AND(N$5&lt;=$G205,N$5+6&gt;=$F205),IF($H205="Complétée","F",IF(OR($H205="En cours",$H205="En revue"),"E",IF($H205="Bloquée","B","P"))),""))</f>
        <v/>
      </c>
      <c r="O205" s="53">
        <f>IF(OR($F205="",$G205=""),"",IF(AND(O$5&lt;=$G205,O$5+6&gt;=$F205),IF($H205="Complétée","F",IF(OR($H205="En cours",$H205="En revue"),"E",IF($H205="Bloquée","B","P"))),""))</f>
        <v/>
      </c>
      <c r="P205" s="53">
        <f>IF(OR($F205="",$G205=""),"",IF(AND(P$5&lt;=$G205,P$5+6&gt;=$F205),IF($H205="Complétée","F",IF(OR($H205="En cours",$H205="En revue"),"E",IF($H205="Bloquée","B","P"))),""))</f>
        <v/>
      </c>
      <c r="Q205" s="53">
        <f>IF(OR($F205="",$G205=""),"",IF(AND(Q$5&lt;=$G205,Q$5+6&gt;=$F205),IF($H205="Complétée","F",IF(OR($H205="En cours",$H205="En revue"),"E",IF($H205="Bloquée","B","P"))),""))</f>
        <v/>
      </c>
      <c r="R205" s="53">
        <f>IF(OR($F205="",$G205=""),"",IF(AND(R$5&lt;=$G205,R$5+6&gt;=$F205),IF($H205="Complétée","F",IF(OR($H205="En cours",$H205="En revue"),"E",IF($H205="Bloquée","B","P"))),""))</f>
        <v/>
      </c>
      <c r="S205" s="53">
        <f>IF(OR($F205="",$G205=""),"",IF(AND(S$5&lt;=$G205,S$5+6&gt;=$F205),IF($H205="Complétée","F",IF(OR($H205="En cours",$H205="En revue"),"E",IF($H205="Bloquée","B","P"))),""))</f>
        <v/>
      </c>
      <c r="T205" s="53">
        <f>IF(OR($F205="",$G205=""),"",IF(AND(T$5&lt;=$G205,T$5+6&gt;=$F205),IF($H205="Complétée","F",IF(OR($H205="En cours",$H205="En revue"),"E",IF($H205="Bloquée","B","P"))),""))</f>
        <v/>
      </c>
      <c r="U205" s="53">
        <f>IF(OR($F205="",$G205=""),"",IF(AND(U$5&lt;=$G205,U$5+6&gt;=$F205),IF($H205="Complétée","F",IF(OR($H205="En cours",$H205="En revue"),"E",IF($H205="Bloquée","B","P"))),""))</f>
        <v/>
      </c>
      <c r="V205" s="53">
        <f>IF(OR($F205="",$G205=""),"",IF(AND(V$5&lt;=$G205,V$5+6&gt;=$F205),IF($H205="Complétée","F",IF(OR($H205="En cours",$H205="En revue"),"E",IF($H205="Bloquée","B","P"))),""))</f>
        <v/>
      </c>
      <c r="W205" s="53">
        <f>IF(OR($F205="",$G205=""),"",IF(AND(W$5&lt;=$G205,W$5+6&gt;=$F205),IF($H205="Complétée","F",IF(OR($H205="En cours",$H205="En revue"),"E",IF($H205="Bloquée","B","P"))),""))</f>
        <v/>
      </c>
      <c r="X205" s="53">
        <f>IF(OR($F205="",$G205=""),"",IF(AND(X$5&lt;=$G205,X$5+6&gt;=$F205),IF($H205="Complétée","F",IF(OR($H205="En cours",$H205="En revue"),"E",IF($H205="Bloquée","B","P"))),""))</f>
        <v/>
      </c>
      <c r="Y205" s="53">
        <f>IF(OR($F205="",$G205=""),"",IF(AND(Y$5&lt;=$G205,Y$5+6&gt;=$F205),IF($H205="Complétée","F",IF(OR($H205="En cours",$H205="En revue"),"E",IF($H205="Bloquée","B","P"))),""))</f>
        <v/>
      </c>
      <c r="Z205" s="53">
        <f>IF(OR($F205="",$G205=""),"",IF(AND(Z$5&lt;=$G205,Z$5+6&gt;=$F205),IF($H205="Complétée","F",IF(OR($H205="En cours",$H205="En revue"),"E",IF($H205="Bloquée","B","P"))),""))</f>
        <v/>
      </c>
      <c r="AA205" s="53">
        <f>IF(OR($F205="",$G205=""),"",IF(AND(AA$5&lt;=$G205,AA$5+6&gt;=$F205),IF($H205="Complétée","F",IF(OR($H205="En cours",$H205="En revue"),"E",IF($H205="Bloquée","B","P"))),""))</f>
        <v/>
      </c>
      <c r="AB205" s="53">
        <f>IF(OR($F205="",$G205=""),"",IF(AND(AB$5&lt;=$G205,AB$5+6&gt;=$F205),IF($H205="Complétée","F",IF(OR($H205="En cours",$H205="En revue"),"E",IF($H205="Bloquée","B","P"))),""))</f>
        <v/>
      </c>
      <c r="AC205" s="53">
        <f>IF(OR($F205="",$G205=""),"",IF(AND(AC$5&lt;=$G205,AC$5+6&gt;=$F205),IF($H205="Complétée","F",IF(OR($H205="En cours",$H205="En revue"),"E",IF($H205="Bloquée","B","P"))),""))</f>
        <v/>
      </c>
      <c r="AD205" s="53">
        <f>IF(OR($F205="",$G205=""),"",IF(AND(AD$5&lt;=$G205,AD$5+6&gt;=$F205),IF($H205="Complétée","F",IF(OR($H205="En cours",$H205="En revue"),"E",IF($H205="Bloquée","B","P"))),""))</f>
        <v/>
      </c>
      <c r="AE205" s="53">
        <f>IF(OR($F205="",$G205=""),"",IF(AND(AE$5&lt;=$G205,AE$5+6&gt;=$F205),IF($H205="Complétée","F",IF(OR($H205="En cours",$H205="En revue"),"E",IF($H205="Bloquée","B","P"))),""))</f>
        <v/>
      </c>
      <c r="AF205" s="53">
        <f>IF(OR($F205="",$G205=""),"",IF(AND(AF$5&lt;=$G205,AF$5+6&gt;=$F205),IF($H205="Complétée","F",IF(OR($H205="En cours",$H205="En revue"),"E",IF($H205="Bloquée","B","P"))),""))</f>
        <v/>
      </c>
      <c r="AG205" s="53">
        <f>IF(OR($F205="",$G205=""),"",IF(AND(AG$5&lt;=$G205,AG$5+6&gt;=$F205),IF($H205="Complétée","F",IF(OR($H205="En cours",$H205="En revue"),"E",IF($H205="Bloquée","B","P"))),""))</f>
        <v/>
      </c>
      <c r="AH205" s="53">
        <f>IF(OR($F205="",$G205=""),"",IF(AND(AH$5&lt;=$G205,AH$5+6&gt;=$F205),IF($H205="Complétée","F",IF(OR($H205="En cours",$H205="En revue"),"E",IF($H205="Bloquée","B","P"))),""))</f>
        <v/>
      </c>
      <c r="AI205" s="53">
        <f>IF(OR($F205="",$G205=""),"",IF(AND(AI$5&lt;=$G205,AI$5+6&gt;=$F205),IF($H205="Complétée","F",IF(OR($H205="En cours",$H205="En revue"),"E",IF($H205="Bloquée","B","P"))),""))</f>
        <v/>
      </c>
      <c r="AJ205" s="53">
        <f>IF(OR($F205="",$G205=""),"",IF(AND(AJ$5&lt;=$G205,AJ$5+6&gt;=$F205),IF($H205="Complétée","F",IF(OR($H205="En cours",$H205="En revue"),"E",IF($H205="Bloquée","B","P"))),""))</f>
        <v/>
      </c>
      <c r="AK205" s="53">
        <f>IF(OR($F205="",$G205=""),"",IF(AND(AK$5&lt;=$G205,AK$5+6&gt;=$F205),IF($H205="Complétée","F",IF(OR($H205="En cours",$H205="En revue"),"E",IF($H205="Bloquée","B","P"))),""))</f>
        <v/>
      </c>
      <c r="AL205" s="53">
        <f>IF(OR($F205="",$G205=""),"",IF(AND(AL$5&lt;=$G205,AL$5+6&gt;=$F205),IF($H205="Complétée","F",IF(OR($H205="En cours",$H205="En revue"),"E",IF($H205="Bloquée","B","P"))),""))</f>
        <v/>
      </c>
      <c r="AM205" s="53">
        <f>IF(OR($F205="",$G205=""),"",IF(AND(AM$5&lt;=$G205,AM$5+6&gt;=$F205),IF($H205="Complétée","F",IF(OR($H205="En cours",$H205="En revue"),"E",IF($H205="Bloquée","B","P"))),""))</f>
        <v/>
      </c>
      <c r="AN205" s="53">
        <f>IF(OR($F205="",$G205=""),"",IF(AND(AN$5&lt;=$G205,AN$5+6&gt;=$F205),IF($H205="Complétée","F",IF(OR($H205="En cours",$H205="En revue"),"E",IF($H205="Bloquée","B","P"))),""))</f>
        <v/>
      </c>
      <c r="AO205" s="53">
        <f>IF(OR($F205="",$G205=""),"",IF(AND(AO$5&lt;=$G205,AO$5+6&gt;=$F205),IF($H205="Complétée","F",IF(OR($H205="En cours",$H205="En revue"),"E",IF($H205="Bloquée","B","P"))),""))</f>
        <v/>
      </c>
      <c r="AP205" s="53">
        <f>IF(OR($F205="",$G205=""),"",IF(AND(AP$5&lt;=$G205,AP$5+6&gt;=$F205),IF($H205="Complétée","F",IF(OR($H205="En cours",$H205="En revue"),"E",IF($H205="Bloquée","B","P"))),""))</f>
        <v/>
      </c>
      <c r="AQ205" s="53">
        <f>IF(OR($F205="",$G205=""),"",IF(AND(AQ$5&lt;=$G205,AQ$5+6&gt;=$F205),IF($H205="Complétée","F",IF(OR($H205="En cours",$H205="En revue"),"E",IF($H205="Bloquée","B","P"))),""))</f>
        <v/>
      </c>
      <c r="AR205" s="53">
        <f>IF(OR($F205="",$G205=""),"",IF(AND(AR$5&lt;=$G205,AR$5+6&gt;=$F205),IF($H205="Complétée","F",IF(OR($H205="En cours",$H205="En revue"),"E",IF($H205="Bloquée","B","P"))),""))</f>
        <v/>
      </c>
      <c r="AS205" s="53">
        <f>IF(OR($F205="",$G205=""),"",IF(AND(AS$5&lt;=$G205,AS$5+6&gt;=$F205),IF($H205="Complétée","F",IF(OR($H205="En cours",$H205="En revue"),"E",IF($H205="Bloquée","B","P"))),""))</f>
        <v/>
      </c>
      <c r="AT205" s="53">
        <f>IF(OR($F205="",$G205=""),"",IF(AND(AT$5&lt;=$G205,AT$5+6&gt;=$F205),IF($H205="Complétée","F",IF(OR($H205="En cours",$H205="En revue"),"E",IF($H205="Bloquée","B","P"))),""))</f>
        <v/>
      </c>
      <c r="AU205" s="53">
        <f>IF(OR($F205="",$G205=""),"",IF(AND(AU$5&lt;=$G205,AU$5+6&gt;=$F205),IF($H205="Complétée","F",IF(OR($H205="En cours",$H205="En revue"),"E",IF($H205="Bloquée","B","P"))),""))</f>
        <v/>
      </c>
      <c r="AV205" s="53">
        <f>IF(OR($F205="",$G205=""),"",IF(AND(AV$5&lt;=$G205,AV$5+6&gt;=$F205),IF($H205="Complétée","F",IF(OR($H205="En cours",$H205="En revue"),"E",IF($H205="Bloquée","B","P"))),""))</f>
        <v/>
      </c>
      <c r="AW205" s="53">
        <f>IF(OR($F205="",$G205=""),"",IF(AND(AW$5&lt;=$G205,AW$5+6&gt;=$F205),IF($H205="Complétée","F",IF(OR($H205="En cours",$H205="En revue"),"E",IF($H205="Bloquée","B","P"))),""))</f>
        <v/>
      </c>
    </row>
    <row r="206">
      <c r="B206" s="50">
        <f>IF(Taches!B206="","",Taches!B206)</f>
        <v/>
      </c>
      <c r="C206" s="51">
        <f>IF(Taches!B206="","",Taches!F206)</f>
        <v/>
      </c>
      <c r="D206" s="50">
        <f>IF(Taches!B206="","",Taches!C206)</f>
        <v/>
      </c>
      <c r="E206" s="50">
        <f>IF(Taches!B206="","",Taches!D206)</f>
        <v/>
      </c>
      <c r="F206" s="52">
        <f>IF(Taches!P206="","",Taches!P206)</f>
        <v/>
      </c>
      <c r="G206" s="52">
        <f>IF(Taches!Q206="","",Taches!Q206)</f>
        <v/>
      </c>
      <c r="H206" s="50">
        <f>IF(Taches!B206="","",Taches!J206)</f>
        <v/>
      </c>
      <c r="I206" s="53">
        <f>IF(OR($F206="",$G206=""),"",IF(AND(I$5&lt;=$G206,I$5+6&gt;=$F206),IF($H206="Complétée","F",IF(OR($H206="En cours",$H206="En revue"),"E",IF($H206="Bloquée","B","P"))),""))</f>
        <v/>
      </c>
      <c r="J206" s="53">
        <f>IF(OR($F206="",$G206=""),"",IF(AND(J$5&lt;=$G206,J$5+6&gt;=$F206),IF($H206="Complétée","F",IF(OR($H206="En cours",$H206="En revue"),"E",IF($H206="Bloquée","B","P"))),""))</f>
        <v/>
      </c>
      <c r="K206" s="53">
        <f>IF(OR($F206="",$G206=""),"",IF(AND(K$5&lt;=$G206,K$5+6&gt;=$F206),IF($H206="Complétée","F",IF(OR($H206="En cours",$H206="En revue"),"E",IF($H206="Bloquée","B","P"))),""))</f>
        <v/>
      </c>
      <c r="L206" s="53">
        <f>IF(OR($F206="",$G206=""),"",IF(AND(L$5&lt;=$G206,L$5+6&gt;=$F206),IF($H206="Complétée","F",IF(OR($H206="En cours",$H206="En revue"),"E",IF($H206="Bloquée","B","P"))),""))</f>
        <v/>
      </c>
      <c r="M206" s="53">
        <f>IF(OR($F206="",$G206=""),"",IF(AND(M$5&lt;=$G206,M$5+6&gt;=$F206),IF($H206="Complétée","F",IF(OR($H206="En cours",$H206="En revue"),"E",IF($H206="Bloquée","B","P"))),""))</f>
        <v/>
      </c>
      <c r="N206" s="53">
        <f>IF(OR($F206="",$G206=""),"",IF(AND(N$5&lt;=$G206,N$5+6&gt;=$F206),IF($H206="Complétée","F",IF(OR($H206="En cours",$H206="En revue"),"E",IF($H206="Bloquée","B","P"))),""))</f>
        <v/>
      </c>
      <c r="O206" s="53">
        <f>IF(OR($F206="",$G206=""),"",IF(AND(O$5&lt;=$G206,O$5+6&gt;=$F206),IF($H206="Complétée","F",IF(OR($H206="En cours",$H206="En revue"),"E",IF($H206="Bloquée","B","P"))),""))</f>
        <v/>
      </c>
      <c r="P206" s="53">
        <f>IF(OR($F206="",$G206=""),"",IF(AND(P$5&lt;=$G206,P$5+6&gt;=$F206),IF($H206="Complétée","F",IF(OR($H206="En cours",$H206="En revue"),"E",IF($H206="Bloquée","B","P"))),""))</f>
        <v/>
      </c>
      <c r="Q206" s="53">
        <f>IF(OR($F206="",$G206=""),"",IF(AND(Q$5&lt;=$G206,Q$5+6&gt;=$F206),IF($H206="Complétée","F",IF(OR($H206="En cours",$H206="En revue"),"E",IF($H206="Bloquée","B","P"))),""))</f>
        <v/>
      </c>
      <c r="R206" s="53">
        <f>IF(OR($F206="",$G206=""),"",IF(AND(R$5&lt;=$G206,R$5+6&gt;=$F206),IF($H206="Complétée","F",IF(OR($H206="En cours",$H206="En revue"),"E",IF($H206="Bloquée","B","P"))),""))</f>
        <v/>
      </c>
      <c r="S206" s="53">
        <f>IF(OR($F206="",$G206=""),"",IF(AND(S$5&lt;=$G206,S$5+6&gt;=$F206),IF($H206="Complétée","F",IF(OR($H206="En cours",$H206="En revue"),"E",IF($H206="Bloquée","B","P"))),""))</f>
        <v/>
      </c>
      <c r="T206" s="53">
        <f>IF(OR($F206="",$G206=""),"",IF(AND(T$5&lt;=$G206,T$5+6&gt;=$F206),IF($H206="Complétée","F",IF(OR($H206="En cours",$H206="En revue"),"E",IF($H206="Bloquée","B","P"))),""))</f>
        <v/>
      </c>
      <c r="U206" s="53">
        <f>IF(OR($F206="",$G206=""),"",IF(AND(U$5&lt;=$G206,U$5+6&gt;=$F206),IF($H206="Complétée","F",IF(OR($H206="En cours",$H206="En revue"),"E",IF($H206="Bloquée","B","P"))),""))</f>
        <v/>
      </c>
      <c r="V206" s="53">
        <f>IF(OR($F206="",$G206=""),"",IF(AND(V$5&lt;=$G206,V$5+6&gt;=$F206),IF($H206="Complétée","F",IF(OR($H206="En cours",$H206="En revue"),"E",IF($H206="Bloquée","B","P"))),""))</f>
        <v/>
      </c>
      <c r="W206" s="53">
        <f>IF(OR($F206="",$G206=""),"",IF(AND(W$5&lt;=$G206,W$5+6&gt;=$F206),IF($H206="Complétée","F",IF(OR($H206="En cours",$H206="En revue"),"E",IF($H206="Bloquée","B","P"))),""))</f>
        <v/>
      </c>
      <c r="X206" s="53">
        <f>IF(OR($F206="",$G206=""),"",IF(AND(X$5&lt;=$G206,X$5+6&gt;=$F206),IF($H206="Complétée","F",IF(OR($H206="En cours",$H206="En revue"),"E",IF($H206="Bloquée","B","P"))),""))</f>
        <v/>
      </c>
      <c r="Y206" s="53">
        <f>IF(OR($F206="",$G206=""),"",IF(AND(Y$5&lt;=$G206,Y$5+6&gt;=$F206),IF($H206="Complétée","F",IF(OR($H206="En cours",$H206="En revue"),"E",IF($H206="Bloquée","B","P"))),""))</f>
        <v/>
      </c>
      <c r="Z206" s="53">
        <f>IF(OR($F206="",$G206=""),"",IF(AND(Z$5&lt;=$G206,Z$5+6&gt;=$F206),IF($H206="Complétée","F",IF(OR($H206="En cours",$H206="En revue"),"E",IF($H206="Bloquée","B","P"))),""))</f>
        <v/>
      </c>
      <c r="AA206" s="53">
        <f>IF(OR($F206="",$G206=""),"",IF(AND(AA$5&lt;=$G206,AA$5+6&gt;=$F206),IF($H206="Complétée","F",IF(OR($H206="En cours",$H206="En revue"),"E",IF($H206="Bloquée","B","P"))),""))</f>
        <v/>
      </c>
      <c r="AB206" s="53">
        <f>IF(OR($F206="",$G206=""),"",IF(AND(AB$5&lt;=$G206,AB$5+6&gt;=$F206),IF($H206="Complétée","F",IF(OR($H206="En cours",$H206="En revue"),"E",IF($H206="Bloquée","B","P"))),""))</f>
        <v/>
      </c>
      <c r="AC206" s="53">
        <f>IF(OR($F206="",$G206=""),"",IF(AND(AC$5&lt;=$G206,AC$5+6&gt;=$F206),IF($H206="Complétée","F",IF(OR($H206="En cours",$H206="En revue"),"E",IF($H206="Bloquée","B","P"))),""))</f>
        <v/>
      </c>
      <c r="AD206" s="53">
        <f>IF(OR($F206="",$G206=""),"",IF(AND(AD$5&lt;=$G206,AD$5+6&gt;=$F206),IF($H206="Complétée","F",IF(OR($H206="En cours",$H206="En revue"),"E",IF($H206="Bloquée","B","P"))),""))</f>
        <v/>
      </c>
      <c r="AE206" s="53">
        <f>IF(OR($F206="",$G206=""),"",IF(AND(AE$5&lt;=$G206,AE$5+6&gt;=$F206),IF($H206="Complétée","F",IF(OR($H206="En cours",$H206="En revue"),"E",IF($H206="Bloquée","B","P"))),""))</f>
        <v/>
      </c>
      <c r="AF206" s="53">
        <f>IF(OR($F206="",$G206=""),"",IF(AND(AF$5&lt;=$G206,AF$5+6&gt;=$F206),IF($H206="Complétée","F",IF(OR($H206="En cours",$H206="En revue"),"E",IF($H206="Bloquée","B","P"))),""))</f>
        <v/>
      </c>
      <c r="AG206" s="53">
        <f>IF(OR($F206="",$G206=""),"",IF(AND(AG$5&lt;=$G206,AG$5+6&gt;=$F206),IF($H206="Complétée","F",IF(OR($H206="En cours",$H206="En revue"),"E",IF($H206="Bloquée","B","P"))),""))</f>
        <v/>
      </c>
      <c r="AH206" s="53">
        <f>IF(OR($F206="",$G206=""),"",IF(AND(AH$5&lt;=$G206,AH$5+6&gt;=$F206),IF($H206="Complétée","F",IF(OR($H206="En cours",$H206="En revue"),"E",IF($H206="Bloquée","B","P"))),""))</f>
        <v/>
      </c>
      <c r="AI206" s="53">
        <f>IF(OR($F206="",$G206=""),"",IF(AND(AI$5&lt;=$G206,AI$5+6&gt;=$F206),IF($H206="Complétée","F",IF(OR($H206="En cours",$H206="En revue"),"E",IF($H206="Bloquée","B","P"))),""))</f>
        <v/>
      </c>
      <c r="AJ206" s="53">
        <f>IF(OR($F206="",$G206=""),"",IF(AND(AJ$5&lt;=$G206,AJ$5+6&gt;=$F206),IF($H206="Complétée","F",IF(OR($H206="En cours",$H206="En revue"),"E",IF($H206="Bloquée","B","P"))),""))</f>
        <v/>
      </c>
      <c r="AK206" s="53">
        <f>IF(OR($F206="",$G206=""),"",IF(AND(AK$5&lt;=$G206,AK$5+6&gt;=$F206),IF($H206="Complétée","F",IF(OR($H206="En cours",$H206="En revue"),"E",IF($H206="Bloquée","B","P"))),""))</f>
        <v/>
      </c>
      <c r="AL206" s="53">
        <f>IF(OR($F206="",$G206=""),"",IF(AND(AL$5&lt;=$G206,AL$5+6&gt;=$F206),IF($H206="Complétée","F",IF(OR($H206="En cours",$H206="En revue"),"E",IF($H206="Bloquée","B","P"))),""))</f>
        <v/>
      </c>
      <c r="AM206" s="53">
        <f>IF(OR($F206="",$G206=""),"",IF(AND(AM$5&lt;=$G206,AM$5+6&gt;=$F206),IF($H206="Complétée","F",IF(OR($H206="En cours",$H206="En revue"),"E",IF($H206="Bloquée","B","P"))),""))</f>
        <v/>
      </c>
      <c r="AN206" s="53">
        <f>IF(OR($F206="",$G206=""),"",IF(AND(AN$5&lt;=$G206,AN$5+6&gt;=$F206),IF($H206="Complétée","F",IF(OR($H206="En cours",$H206="En revue"),"E",IF($H206="Bloquée","B","P"))),""))</f>
        <v/>
      </c>
      <c r="AO206" s="53">
        <f>IF(OR($F206="",$G206=""),"",IF(AND(AO$5&lt;=$G206,AO$5+6&gt;=$F206),IF($H206="Complétée","F",IF(OR($H206="En cours",$H206="En revue"),"E",IF($H206="Bloquée","B","P"))),""))</f>
        <v/>
      </c>
      <c r="AP206" s="53">
        <f>IF(OR($F206="",$G206=""),"",IF(AND(AP$5&lt;=$G206,AP$5+6&gt;=$F206),IF($H206="Complétée","F",IF(OR($H206="En cours",$H206="En revue"),"E",IF($H206="Bloquée","B","P"))),""))</f>
        <v/>
      </c>
      <c r="AQ206" s="53">
        <f>IF(OR($F206="",$G206=""),"",IF(AND(AQ$5&lt;=$G206,AQ$5+6&gt;=$F206),IF($H206="Complétée","F",IF(OR($H206="En cours",$H206="En revue"),"E",IF($H206="Bloquée","B","P"))),""))</f>
        <v/>
      </c>
      <c r="AR206" s="53">
        <f>IF(OR($F206="",$G206=""),"",IF(AND(AR$5&lt;=$G206,AR$5+6&gt;=$F206),IF($H206="Complétée","F",IF(OR($H206="En cours",$H206="En revue"),"E",IF($H206="Bloquée","B","P"))),""))</f>
        <v/>
      </c>
      <c r="AS206" s="53">
        <f>IF(OR($F206="",$G206=""),"",IF(AND(AS$5&lt;=$G206,AS$5+6&gt;=$F206),IF($H206="Complétée","F",IF(OR($H206="En cours",$H206="En revue"),"E",IF($H206="Bloquée","B","P"))),""))</f>
        <v/>
      </c>
      <c r="AT206" s="53">
        <f>IF(OR($F206="",$G206=""),"",IF(AND(AT$5&lt;=$G206,AT$5+6&gt;=$F206),IF($H206="Complétée","F",IF(OR($H206="En cours",$H206="En revue"),"E",IF($H206="Bloquée","B","P"))),""))</f>
        <v/>
      </c>
      <c r="AU206" s="53">
        <f>IF(OR($F206="",$G206=""),"",IF(AND(AU$5&lt;=$G206,AU$5+6&gt;=$F206),IF($H206="Complétée","F",IF(OR($H206="En cours",$H206="En revue"),"E",IF($H206="Bloquée","B","P"))),""))</f>
        <v/>
      </c>
      <c r="AV206" s="53">
        <f>IF(OR($F206="",$G206=""),"",IF(AND(AV$5&lt;=$G206,AV$5+6&gt;=$F206),IF($H206="Complétée","F",IF(OR($H206="En cours",$H206="En revue"),"E",IF($H206="Bloquée","B","P"))),""))</f>
        <v/>
      </c>
      <c r="AW206" s="53">
        <f>IF(OR($F206="",$G206=""),"",IF(AND(AW$5&lt;=$G206,AW$5+6&gt;=$F206),IF($H206="Complétée","F",IF(OR($H206="En cours",$H206="En revue"),"E",IF($H206="Bloquée","B","P"))),""))</f>
        <v/>
      </c>
    </row>
    <row r="207">
      <c r="B207" s="50">
        <f>IF(Taches!B207="","",Taches!B207)</f>
        <v/>
      </c>
      <c r="C207" s="51">
        <f>IF(Taches!B207="","",Taches!F207)</f>
        <v/>
      </c>
      <c r="D207" s="50">
        <f>IF(Taches!B207="","",Taches!C207)</f>
        <v/>
      </c>
      <c r="E207" s="50">
        <f>IF(Taches!B207="","",Taches!D207)</f>
        <v/>
      </c>
      <c r="F207" s="52">
        <f>IF(Taches!P207="","",Taches!P207)</f>
        <v/>
      </c>
      <c r="G207" s="52">
        <f>IF(Taches!Q207="","",Taches!Q207)</f>
        <v/>
      </c>
      <c r="H207" s="50">
        <f>IF(Taches!B207="","",Taches!J207)</f>
        <v/>
      </c>
      <c r="I207" s="53">
        <f>IF(OR($F207="",$G207=""),"",IF(AND(I$5&lt;=$G207,I$5+6&gt;=$F207),IF($H207="Complétée","F",IF(OR($H207="En cours",$H207="En revue"),"E",IF($H207="Bloquée","B","P"))),""))</f>
        <v/>
      </c>
      <c r="J207" s="53">
        <f>IF(OR($F207="",$G207=""),"",IF(AND(J$5&lt;=$G207,J$5+6&gt;=$F207),IF($H207="Complétée","F",IF(OR($H207="En cours",$H207="En revue"),"E",IF($H207="Bloquée","B","P"))),""))</f>
        <v/>
      </c>
      <c r="K207" s="53">
        <f>IF(OR($F207="",$G207=""),"",IF(AND(K$5&lt;=$G207,K$5+6&gt;=$F207),IF($H207="Complétée","F",IF(OR($H207="En cours",$H207="En revue"),"E",IF($H207="Bloquée","B","P"))),""))</f>
        <v/>
      </c>
      <c r="L207" s="53">
        <f>IF(OR($F207="",$G207=""),"",IF(AND(L$5&lt;=$G207,L$5+6&gt;=$F207),IF($H207="Complétée","F",IF(OR($H207="En cours",$H207="En revue"),"E",IF($H207="Bloquée","B","P"))),""))</f>
        <v/>
      </c>
      <c r="M207" s="53">
        <f>IF(OR($F207="",$G207=""),"",IF(AND(M$5&lt;=$G207,M$5+6&gt;=$F207),IF($H207="Complétée","F",IF(OR($H207="En cours",$H207="En revue"),"E",IF($H207="Bloquée","B","P"))),""))</f>
        <v/>
      </c>
      <c r="N207" s="53">
        <f>IF(OR($F207="",$G207=""),"",IF(AND(N$5&lt;=$G207,N$5+6&gt;=$F207),IF($H207="Complétée","F",IF(OR($H207="En cours",$H207="En revue"),"E",IF($H207="Bloquée","B","P"))),""))</f>
        <v/>
      </c>
      <c r="O207" s="53">
        <f>IF(OR($F207="",$G207=""),"",IF(AND(O$5&lt;=$G207,O$5+6&gt;=$F207),IF($H207="Complétée","F",IF(OR($H207="En cours",$H207="En revue"),"E",IF($H207="Bloquée","B","P"))),""))</f>
        <v/>
      </c>
      <c r="P207" s="53">
        <f>IF(OR($F207="",$G207=""),"",IF(AND(P$5&lt;=$G207,P$5+6&gt;=$F207),IF($H207="Complétée","F",IF(OR($H207="En cours",$H207="En revue"),"E",IF($H207="Bloquée","B","P"))),""))</f>
        <v/>
      </c>
      <c r="Q207" s="53">
        <f>IF(OR($F207="",$G207=""),"",IF(AND(Q$5&lt;=$G207,Q$5+6&gt;=$F207),IF($H207="Complétée","F",IF(OR($H207="En cours",$H207="En revue"),"E",IF($H207="Bloquée","B","P"))),""))</f>
        <v/>
      </c>
      <c r="R207" s="53">
        <f>IF(OR($F207="",$G207=""),"",IF(AND(R$5&lt;=$G207,R$5+6&gt;=$F207),IF($H207="Complétée","F",IF(OR($H207="En cours",$H207="En revue"),"E",IF($H207="Bloquée","B","P"))),""))</f>
        <v/>
      </c>
      <c r="S207" s="53">
        <f>IF(OR($F207="",$G207=""),"",IF(AND(S$5&lt;=$G207,S$5+6&gt;=$F207),IF($H207="Complétée","F",IF(OR($H207="En cours",$H207="En revue"),"E",IF($H207="Bloquée","B","P"))),""))</f>
        <v/>
      </c>
      <c r="T207" s="53">
        <f>IF(OR($F207="",$G207=""),"",IF(AND(T$5&lt;=$G207,T$5+6&gt;=$F207),IF($H207="Complétée","F",IF(OR($H207="En cours",$H207="En revue"),"E",IF($H207="Bloquée","B","P"))),""))</f>
        <v/>
      </c>
      <c r="U207" s="53">
        <f>IF(OR($F207="",$G207=""),"",IF(AND(U$5&lt;=$G207,U$5+6&gt;=$F207),IF($H207="Complétée","F",IF(OR($H207="En cours",$H207="En revue"),"E",IF($H207="Bloquée","B","P"))),""))</f>
        <v/>
      </c>
      <c r="V207" s="53">
        <f>IF(OR($F207="",$G207=""),"",IF(AND(V$5&lt;=$G207,V$5+6&gt;=$F207),IF($H207="Complétée","F",IF(OR($H207="En cours",$H207="En revue"),"E",IF($H207="Bloquée","B","P"))),""))</f>
        <v/>
      </c>
      <c r="W207" s="53">
        <f>IF(OR($F207="",$G207=""),"",IF(AND(W$5&lt;=$G207,W$5+6&gt;=$F207),IF($H207="Complétée","F",IF(OR($H207="En cours",$H207="En revue"),"E",IF($H207="Bloquée","B","P"))),""))</f>
        <v/>
      </c>
      <c r="X207" s="53">
        <f>IF(OR($F207="",$G207=""),"",IF(AND(X$5&lt;=$G207,X$5+6&gt;=$F207),IF($H207="Complétée","F",IF(OR($H207="En cours",$H207="En revue"),"E",IF($H207="Bloquée","B","P"))),""))</f>
        <v/>
      </c>
      <c r="Y207" s="53">
        <f>IF(OR($F207="",$G207=""),"",IF(AND(Y$5&lt;=$G207,Y$5+6&gt;=$F207),IF($H207="Complétée","F",IF(OR($H207="En cours",$H207="En revue"),"E",IF($H207="Bloquée","B","P"))),""))</f>
        <v/>
      </c>
      <c r="Z207" s="53">
        <f>IF(OR($F207="",$G207=""),"",IF(AND(Z$5&lt;=$G207,Z$5+6&gt;=$F207),IF($H207="Complétée","F",IF(OR($H207="En cours",$H207="En revue"),"E",IF($H207="Bloquée","B","P"))),""))</f>
        <v/>
      </c>
      <c r="AA207" s="53">
        <f>IF(OR($F207="",$G207=""),"",IF(AND(AA$5&lt;=$G207,AA$5+6&gt;=$F207),IF($H207="Complétée","F",IF(OR($H207="En cours",$H207="En revue"),"E",IF($H207="Bloquée","B","P"))),""))</f>
        <v/>
      </c>
      <c r="AB207" s="53">
        <f>IF(OR($F207="",$G207=""),"",IF(AND(AB$5&lt;=$G207,AB$5+6&gt;=$F207),IF($H207="Complétée","F",IF(OR($H207="En cours",$H207="En revue"),"E",IF($H207="Bloquée","B","P"))),""))</f>
        <v/>
      </c>
      <c r="AC207" s="53">
        <f>IF(OR($F207="",$G207=""),"",IF(AND(AC$5&lt;=$G207,AC$5+6&gt;=$F207),IF($H207="Complétée","F",IF(OR($H207="En cours",$H207="En revue"),"E",IF($H207="Bloquée","B","P"))),""))</f>
        <v/>
      </c>
      <c r="AD207" s="53">
        <f>IF(OR($F207="",$G207=""),"",IF(AND(AD$5&lt;=$G207,AD$5+6&gt;=$F207),IF($H207="Complétée","F",IF(OR($H207="En cours",$H207="En revue"),"E",IF($H207="Bloquée","B","P"))),""))</f>
        <v/>
      </c>
      <c r="AE207" s="53">
        <f>IF(OR($F207="",$G207=""),"",IF(AND(AE$5&lt;=$G207,AE$5+6&gt;=$F207),IF($H207="Complétée","F",IF(OR($H207="En cours",$H207="En revue"),"E",IF($H207="Bloquée","B","P"))),""))</f>
        <v/>
      </c>
      <c r="AF207" s="53">
        <f>IF(OR($F207="",$G207=""),"",IF(AND(AF$5&lt;=$G207,AF$5+6&gt;=$F207),IF($H207="Complétée","F",IF(OR($H207="En cours",$H207="En revue"),"E",IF($H207="Bloquée","B","P"))),""))</f>
        <v/>
      </c>
      <c r="AG207" s="53">
        <f>IF(OR($F207="",$G207=""),"",IF(AND(AG$5&lt;=$G207,AG$5+6&gt;=$F207),IF($H207="Complétée","F",IF(OR($H207="En cours",$H207="En revue"),"E",IF($H207="Bloquée","B","P"))),""))</f>
        <v/>
      </c>
      <c r="AH207" s="53">
        <f>IF(OR($F207="",$G207=""),"",IF(AND(AH$5&lt;=$G207,AH$5+6&gt;=$F207),IF($H207="Complétée","F",IF(OR($H207="En cours",$H207="En revue"),"E",IF($H207="Bloquée","B","P"))),""))</f>
        <v/>
      </c>
      <c r="AI207" s="53">
        <f>IF(OR($F207="",$G207=""),"",IF(AND(AI$5&lt;=$G207,AI$5+6&gt;=$F207),IF($H207="Complétée","F",IF(OR($H207="En cours",$H207="En revue"),"E",IF($H207="Bloquée","B","P"))),""))</f>
        <v/>
      </c>
      <c r="AJ207" s="53">
        <f>IF(OR($F207="",$G207=""),"",IF(AND(AJ$5&lt;=$G207,AJ$5+6&gt;=$F207),IF($H207="Complétée","F",IF(OR($H207="En cours",$H207="En revue"),"E",IF($H207="Bloquée","B","P"))),""))</f>
        <v/>
      </c>
      <c r="AK207" s="53">
        <f>IF(OR($F207="",$G207=""),"",IF(AND(AK$5&lt;=$G207,AK$5+6&gt;=$F207),IF($H207="Complétée","F",IF(OR($H207="En cours",$H207="En revue"),"E",IF($H207="Bloquée","B","P"))),""))</f>
        <v/>
      </c>
      <c r="AL207" s="53">
        <f>IF(OR($F207="",$G207=""),"",IF(AND(AL$5&lt;=$G207,AL$5+6&gt;=$F207),IF($H207="Complétée","F",IF(OR($H207="En cours",$H207="En revue"),"E",IF($H207="Bloquée","B","P"))),""))</f>
        <v/>
      </c>
      <c r="AM207" s="53">
        <f>IF(OR($F207="",$G207=""),"",IF(AND(AM$5&lt;=$G207,AM$5+6&gt;=$F207),IF($H207="Complétée","F",IF(OR($H207="En cours",$H207="En revue"),"E",IF($H207="Bloquée","B","P"))),""))</f>
        <v/>
      </c>
      <c r="AN207" s="53">
        <f>IF(OR($F207="",$G207=""),"",IF(AND(AN$5&lt;=$G207,AN$5+6&gt;=$F207),IF($H207="Complétée","F",IF(OR($H207="En cours",$H207="En revue"),"E",IF($H207="Bloquée","B","P"))),""))</f>
        <v/>
      </c>
      <c r="AO207" s="53">
        <f>IF(OR($F207="",$G207=""),"",IF(AND(AO$5&lt;=$G207,AO$5+6&gt;=$F207),IF($H207="Complétée","F",IF(OR($H207="En cours",$H207="En revue"),"E",IF($H207="Bloquée","B","P"))),""))</f>
        <v/>
      </c>
      <c r="AP207" s="53">
        <f>IF(OR($F207="",$G207=""),"",IF(AND(AP$5&lt;=$G207,AP$5+6&gt;=$F207),IF($H207="Complétée","F",IF(OR($H207="En cours",$H207="En revue"),"E",IF($H207="Bloquée","B","P"))),""))</f>
        <v/>
      </c>
      <c r="AQ207" s="53">
        <f>IF(OR($F207="",$G207=""),"",IF(AND(AQ$5&lt;=$G207,AQ$5+6&gt;=$F207),IF($H207="Complétée","F",IF(OR($H207="En cours",$H207="En revue"),"E",IF($H207="Bloquée","B","P"))),""))</f>
        <v/>
      </c>
      <c r="AR207" s="53">
        <f>IF(OR($F207="",$G207=""),"",IF(AND(AR$5&lt;=$G207,AR$5+6&gt;=$F207),IF($H207="Complétée","F",IF(OR($H207="En cours",$H207="En revue"),"E",IF($H207="Bloquée","B","P"))),""))</f>
        <v/>
      </c>
      <c r="AS207" s="53">
        <f>IF(OR($F207="",$G207=""),"",IF(AND(AS$5&lt;=$G207,AS$5+6&gt;=$F207),IF($H207="Complétée","F",IF(OR($H207="En cours",$H207="En revue"),"E",IF($H207="Bloquée","B","P"))),""))</f>
        <v/>
      </c>
      <c r="AT207" s="53">
        <f>IF(OR($F207="",$G207=""),"",IF(AND(AT$5&lt;=$G207,AT$5+6&gt;=$F207),IF($H207="Complétée","F",IF(OR($H207="En cours",$H207="En revue"),"E",IF($H207="Bloquée","B","P"))),""))</f>
        <v/>
      </c>
      <c r="AU207" s="53">
        <f>IF(OR($F207="",$G207=""),"",IF(AND(AU$5&lt;=$G207,AU$5+6&gt;=$F207),IF($H207="Complétée","F",IF(OR($H207="En cours",$H207="En revue"),"E",IF($H207="Bloquée","B","P"))),""))</f>
        <v/>
      </c>
      <c r="AV207" s="53">
        <f>IF(OR($F207="",$G207=""),"",IF(AND(AV$5&lt;=$G207,AV$5+6&gt;=$F207),IF($H207="Complétée","F",IF(OR($H207="En cours",$H207="En revue"),"E",IF($H207="Bloquée","B","P"))),""))</f>
        <v/>
      </c>
      <c r="AW207" s="53">
        <f>IF(OR($F207="",$G207=""),"",IF(AND(AW$5&lt;=$G207,AW$5+6&gt;=$F207),IF($H207="Complétée","F",IF(OR($H207="En cours",$H207="En revue"),"E",IF($H207="Bloquée","B","P"))),""))</f>
        <v/>
      </c>
    </row>
    <row r="208">
      <c r="B208" s="50">
        <f>IF(Taches!B208="","",Taches!B208)</f>
        <v/>
      </c>
      <c r="C208" s="51">
        <f>IF(Taches!B208="","",Taches!F208)</f>
        <v/>
      </c>
      <c r="D208" s="50">
        <f>IF(Taches!B208="","",Taches!C208)</f>
        <v/>
      </c>
      <c r="E208" s="50">
        <f>IF(Taches!B208="","",Taches!D208)</f>
        <v/>
      </c>
      <c r="F208" s="52">
        <f>IF(Taches!P208="","",Taches!P208)</f>
        <v/>
      </c>
      <c r="G208" s="52">
        <f>IF(Taches!Q208="","",Taches!Q208)</f>
        <v/>
      </c>
      <c r="H208" s="50">
        <f>IF(Taches!B208="","",Taches!J208)</f>
        <v/>
      </c>
      <c r="I208" s="53">
        <f>IF(OR($F208="",$G208=""),"",IF(AND(I$5&lt;=$G208,I$5+6&gt;=$F208),IF($H208="Complétée","F",IF(OR($H208="En cours",$H208="En revue"),"E",IF($H208="Bloquée","B","P"))),""))</f>
        <v/>
      </c>
      <c r="J208" s="53">
        <f>IF(OR($F208="",$G208=""),"",IF(AND(J$5&lt;=$G208,J$5+6&gt;=$F208),IF($H208="Complétée","F",IF(OR($H208="En cours",$H208="En revue"),"E",IF($H208="Bloquée","B","P"))),""))</f>
        <v/>
      </c>
      <c r="K208" s="53">
        <f>IF(OR($F208="",$G208=""),"",IF(AND(K$5&lt;=$G208,K$5+6&gt;=$F208),IF($H208="Complétée","F",IF(OR($H208="En cours",$H208="En revue"),"E",IF($H208="Bloquée","B","P"))),""))</f>
        <v/>
      </c>
      <c r="L208" s="53">
        <f>IF(OR($F208="",$G208=""),"",IF(AND(L$5&lt;=$G208,L$5+6&gt;=$F208),IF($H208="Complétée","F",IF(OR($H208="En cours",$H208="En revue"),"E",IF($H208="Bloquée","B","P"))),""))</f>
        <v/>
      </c>
      <c r="M208" s="53">
        <f>IF(OR($F208="",$G208=""),"",IF(AND(M$5&lt;=$G208,M$5+6&gt;=$F208),IF($H208="Complétée","F",IF(OR($H208="En cours",$H208="En revue"),"E",IF($H208="Bloquée","B","P"))),""))</f>
        <v/>
      </c>
      <c r="N208" s="53">
        <f>IF(OR($F208="",$G208=""),"",IF(AND(N$5&lt;=$G208,N$5+6&gt;=$F208),IF($H208="Complétée","F",IF(OR($H208="En cours",$H208="En revue"),"E",IF($H208="Bloquée","B","P"))),""))</f>
        <v/>
      </c>
      <c r="O208" s="53">
        <f>IF(OR($F208="",$G208=""),"",IF(AND(O$5&lt;=$G208,O$5+6&gt;=$F208),IF($H208="Complétée","F",IF(OR($H208="En cours",$H208="En revue"),"E",IF($H208="Bloquée","B","P"))),""))</f>
        <v/>
      </c>
      <c r="P208" s="53">
        <f>IF(OR($F208="",$G208=""),"",IF(AND(P$5&lt;=$G208,P$5+6&gt;=$F208),IF($H208="Complétée","F",IF(OR($H208="En cours",$H208="En revue"),"E",IF($H208="Bloquée","B","P"))),""))</f>
        <v/>
      </c>
      <c r="Q208" s="53">
        <f>IF(OR($F208="",$G208=""),"",IF(AND(Q$5&lt;=$G208,Q$5+6&gt;=$F208),IF($H208="Complétée","F",IF(OR($H208="En cours",$H208="En revue"),"E",IF($H208="Bloquée","B","P"))),""))</f>
        <v/>
      </c>
      <c r="R208" s="53">
        <f>IF(OR($F208="",$G208=""),"",IF(AND(R$5&lt;=$G208,R$5+6&gt;=$F208),IF($H208="Complétée","F",IF(OR($H208="En cours",$H208="En revue"),"E",IF($H208="Bloquée","B","P"))),""))</f>
        <v/>
      </c>
      <c r="S208" s="53">
        <f>IF(OR($F208="",$G208=""),"",IF(AND(S$5&lt;=$G208,S$5+6&gt;=$F208),IF($H208="Complétée","F",IF(OR($H208="En cours",$H208="En revue"),"E",IF($H208="Bloquée","B","P"))),""))</f>
        <v/>
      </c>
      <c r="T208" s="53">
        <f>IF(OR($F208="",$G208=""),"",IF(AND(T$5&lt;=$G208,T$5+6&gt;=$F208),IF($H208="Complétée","F",IF(OR($H208="En cours",$H208="En revue"),"E",IF($H208="Bloquée","B","P"))),""))</f>
        <v/>
      </c>
      <c r="U208" s="53">
        <f>IF(OR($F208="",$G208=""),"",IF(AND(U$5&lt;=$G208,U$5+6&gt;=$F208),IF($H208="Complétée","F",IF(OR($H208="En cours",$H208="En revue"),"E",IF($H208="Bloquée","B","P"))),""))</f>
        <v/>
      </c>
      <c r="V208" s="53">
        <f>IF(OR($F208="",$G208=""),"",IF(AND(V$5&lt;=$G208,V$5+6&gt;=$F208),IF($H208="Complétée","F",IF(OR($H208="En cours",$H208="En revue"),"E",IF($H208="Bloquée","B","P"))),""))</f>
        <v/>
      </c>
      <c r="W208" s="53">
        <f>IF(OR($F208="",$G208=""),"",IF(AND(W$5&lt;=$G208,W$5+6&gt;=$F208),IF($H208="Complétée","F",IF(OR($H208="En cours",$H208="En revue"),"E",IF($H208="Bloquée","B","P"))),""))</f>
        <v/>
      </c>
      <c r="X208" s="53">
        <f>IF(OR($F208="",$G208=""),"",IF(AND(X$5&lt;=$G208,X$5+6&gt;=$F208),IF($H208="Complétée","F",IF(OR($H208="En cours",$H208="En revue"),"E",IF($H208="Bloquée","B","P"))),""))</f>
        <v/>
      </c>
      <c r="Y208" s="53">
        <f>IF(OR($F208="",$G208=""),"",IF(AND(Y$5&lt;=$G208,Y$5+6&gt;=$F208),IF($H208="Complétée","F",IF(OR($H208="En cours",$H208="En revue"),"E",IF($H208="Bloquée","B","P"))),""))</f>
        <v/>
      </c>
      <c r="Z208" s="53">
        <f>IF(OR($F208="",$G208=""),"",IF(AND(Z$5&lt;=$G208,Z$5+6&gt;=$F208),IF($H208="Complétée","F",IF(OR($H208="En cours",$H208="En revue"),"E",IF($H208="Bloquée","B","P"))),""))</f>
        <v/>
      </c>
      <c r="AA208" s="53">
        <f>IF(OR($F208="",$G208=""),"",IF(AND(AA$5&lt;=$G208,AA$5+6&gt;=$F208),IF($H208="Complétée","F",IF(OR($H208="En cours",$H208="En revue"),"E",IF($H208="Bloquée","B","P"))),""))</f>
        <v/>
      </c>
      <c r="AB208" s="53">
        <f>IF(OR($F208="",$G208=""),"",IF(AND(AB$5&lt;=$G208,AB$5+6&gt;=$F208),IF($H208="Complétée","F",IF(OR($H208="En cours",$H208="En revue"),"E",IF($H208="Bloquée","B","P"))),""))</f>
        <v/>
      </c>
      <c r="AC208" s="53">
        <f>IF(OR($F208="",$G208=""),"",IF(AND(AC$5&lt;=$G208,AC$5+6&gt;=$F208),IF($H208="Complétée","F",IF(OR($H208="En cours",$H208="En revue"),"E",IF($H208="Bloquée","B","P"))),""))</f>
        <v/>
      </c>
      <c r="AD208" s="53">
        <f>IF(OR($F208="",$G208=""),"",IF(AND(AD$5&lt;=$G208,AD$5+6&gt;=$F208),IF($H208="Complétée","F",IF(OR($H208="En cours",$H208="En revue"),"E",IF($H208="Bloquée","B","P"))),""))</f>
        <v/>
      </c>
      <c r="AE208" s="53">
        <f>IF(OR($F208="",$G208=""),"",IF(AND(AE$5&lt;=$G208,AE$5+6&gt;=$F208),IF($H208="Complétée","F",IF(OR($H208="En cours",$H208="En revue"),"E",IF($H208="Bloquée","B","P"))),""))</f>
        <v/>
      </c>
      <c r="AF208" s="53">
        <f>IF(OR($F208="",$G208=""),"",IF(AND(AF$5&lt;=$G208,AF$5+6&gt;=$F208),IF($H208="Complétée","F",IF(OR($H208="En cours",$H208="En revue"),"E",IF($H208="Bloquée","B","P"))),""))</f>
        <v/>
      </c>
      <c r="AG208" s="53">
        <f>IF(OR($F208="",$G208=""),"",IF(AND(AG$5&lt;=$G208,AG$5+6&gt;=$F208),IF($H208="Complétée","F",IF(OR($H208="En cours",$H208="En revue"),"E",IF($H208="Bloquée","B","P"))),""))</f>
        <v/>
      </c>
      <c r="AH208" s="53">
        <f>IF(OR($F208="",$G208=""),"",IF(AND(AH$5&lt;=$G208,AH$5+6&gt;=$F208),IF($H208="Complétée","F",IF(OR($H208="En cours",$H208="En revue"),"E",IF($H208="Bloquée","B","P"))),""))</f>
        <v/>
      </c>
      <c r="AI208" s="53">
        <f>IF(OR($F208="",$G208=""),"",IF(AND(AI$5&lt;=$G208,AI$5+6&gt;=$F208),IF($H208="Complétée","F",IF(OR($H208="En cours",$H208="En revue"),"E",IF($H208="Bloquée","B","P"))),""))</f>
        <v/>
      </c>
      <c r="AJ208" s="53">
        <f>IF(OR($F208="",$G208=""),"",IF(AND(AJ$5&lt;=$G208,AJ$5+6&gt;=$F208),IF($H208="Complétée","F",IF(OR($H208="En cours",$H208="En revue"),"E",IF($H208="Bloquée","B","P"))),""))</f>
        <v/>
      </c>
      <c r="AK208" s="53">
        <f>IF(OR($F208="",$G208=""),"",IF(AND(AK$5&lt;=$G208,AK$5+6&gt;=$F208),IF($H208="Complétée","F",IF(OR($H208="En cours",$H208="En revue"),"E",IF($H208="Bloquée","B","P"))),""))</f>
        <v/>
      </c>
      <c r="AL208" s="53">
        <f>IF(OR($F208="",$G208=""),"",IF(AND(AL$5&lt;=$G208,AL$5+6&gt;=$F208),IF($H208="Complétée","F",IF(OR($H208="En cours",$H208="En revue"),"E",IF($H208="Bloquée","B","P"))),""))</f>
        <v/>
      </c>
      <c r="AM208" s="53">
        <f>IF(OR($F208="",$G208=""),"",IF(AND(AM$5&lt;=$G208,AM$5+6&gt;=$F208),IF($H208="Complétée","F",IF(OR($H208="En cours",$H208="En revue"),"E",IF($H208="Bloquée","B","P"))),""))</f>
        <v/>
      </c>
      <c r="AN208" s="53">
        <f>IF(OR($F208="",$G208=""),"",IF(AND(AN$5&lt;=$G208,AN$5+6&gt;=$F208),IF($H208="Complétée","F",IF(OR($H208="En cours",$H208="En revue"),"E",IF($H208="Bloquée","B","P"))),""))</f>
        <v/>
      </c>
      <c r="AO208" s="53">
        <f>IF(OR($F208="",$G208=""),"",IF(AND(AO$5&lt;=$G208,AO$5+6&gt;=$F208),IF($H208="Complétée","F",IF(OR($H208="En cours",$H208="En revue"),"E",IF($H208="Bloquée","B","P"))),""))</f>
        <v/>
      </c>
      <c r="AP208" s="53">
        <f>IF(OR($F208="",$G208=""),"",IF(AND(AP$5&lt;=$G208,AP$5+6&gt;=$F208),IF($H208="Complétée","F",IF(OR($H208="En cours",$H208="En revue"),"E",IF($H208="Bloquée","B","P"))),""))</f>
        <v/>
      </c>
      <c r="AQ208" s="53">
        <f>IF(OR($F208="",$G208=""),"",IF(AND(AQ$5&lt;=$G208,AQ$5+6&gt;=$F208),IF($H208="Complétée","F",IF(OR($H208="En cours",$H208="En revue"),"E",IF($H208="Bloquée","B","P"))),""))</f>
        <v/>
      </c>
      <c r="AR208" s="53">
        <f>IF(OR($F208="",$G208=""),"",IF(AND(AR$5&lt;=$G208,AR$5+6&gt;=$F208),IF($H208="Complétée","F",IF(OR($H208="En cours",$H208="En revue"),"E",IF($H208="Bloquée","B","P"))),""))</f>
        <v/>
      </c>
      <c r="AS208" s="53">
        <f>IF(OR($F208="",$G208=""),"",IF(AND(AS$5&lt;=$G208,AS$5+6&gt;=$F208),IF($H208="Complétée","F",IF(OR($H208="En cours",$H208="En revue"),"E",IF($H208="Bloquée","B","P"))),""))</f>
        <v/>
      </c>
      <c r="AT208" s="53">
        <f>IF(OR($F208="",$G208=""),"",IF(AND(AT$5&lt;=$G208,AT$5+6&gt;=$F208),IF($H208="Complétée","F",IF(OR($H208="En cours",$H208="En revue"),"E",IF($H208="Bloquée","B","P"))),""))</f>
        <v/>
      </c>
      <c r="AU208" s="53">
        <f>IF(OR($F208="",$G208=""),"",IF(AND(AU$5&lt;=$G208,AU$5+6&gt;=$F208),IF($H208="Complétée","F",IF(OR($H208="En cours",$H208="En revue"),"E",IF($H208="Bloquée","B","P"))),""))</f>
        <v/>
      </c>
      <c r="AV208" s="53">
        <f>IF(OR($F208="",$G208=""),"",IF(AND(AV$5&lt;=$G208,AV$5+6&gt;=$F208),IF($H208="Complétée","F",IF(OR($H208="En cours",$H208="En revue"),"E",IF($H208="Bloquée","B","P"))),""))</f>
        <v/>
      </c>
      <c r="AW208" s="53">
        <f>IF(OR($F208="",$G208=""),"",IF(AND(AW$5&lt;=$G208,AW$5+6&gt;=$F208),IF($H208="Complétée","F",IF(OR($H208="En cours",$H208="En revue"),"E",IF($H208="Bloquée","B","P"))),""))</f>
        <v/>
      </c>
    </row>
    <row r="209">
      <c r="B209" s="50">
        <f>IF(Taches!B209="","",Taches!B209)</f>
        <v/>
      </c>
      <c r="C209" s="51">
        <f>IF(Taches!B209="","",Taches!F209)</f>
        <v/>
      </c>
      <c r="D209" s="50">
        <f>IF(Taches!B209="","",Taches!C209)</f>
        <v/>
      </c>
      <c r="E209" s="50">
        <f>IF(Taches!B209="","",Taches!D209)</f>
        <v/>
      </c>
      <c r="F209" s="52">
        <f>IF(Taches!P209="","",Taches!P209)</f>
        <v/>
      </c>
      <c r="G209" s="52">
        <f>IF(Taches!Q209="","",Taches!Q209)</f>
        <v/>
      </c>
      <c r="H209" s="50">
        <f>IF(Taches!B209="","",Taches!J209)</f>
        <v/>
      </c>
      <c r="I209" s="53">
        <f>IF(OR($F209="",$G209=""),"",IF(AND(I$5&lt;=$G209,I$5+6&gt;=$F209),IF($H209="Complétée","F",IF(OR($H209="En cours",$H209="En revue"),"E",IF($H209="Bloquée","B","P"))),""))</f>
        <v/>
      </c>
      <c r="J209" s="53">
        <f>IF(OR($F209="",$G209=""),"",IF(AND(J$5&lt;=$G209,J$5+6&gt;=$F209),IF($H209="Complétée","F",IF(OR($H209="En cours",$H209="En revue"),"E",IF($H209="Bloquée","B","P"))),""))</f>
        <v/>
      </c>
      <c r="K209" s="53">
        <f>IF(OR($F209="",$G209=""),"",IF(AND(K$5&lt;=$G209,K$5+6&gt;=$F209),IF($H209="Complétée","F",IF(OR($H209="En cours",$H209="En revue"),"E",IF($H209="Bloquée","B","P"))),""))</f>
        <v/>
      </c>
      <c r="L209" s="53">
        <f>IF(OR($F209="",$G209=""),"",IF(AND(L$5&lt;=$G209,L$5+6&gt;=$F209),IF($H209="Complétée","F",IF(OR($H209="En cours",$H209="En revue"),"E",IF($H209="Bloquée","B","P"))),""))</f>
        <v/>
      </c>
      <c r="M209" s="53">
        <f>IF(OR($F209="",$G209=""),"",IF(AND(M$5&lt;=$G209,M$5+6&gt;=$F209),IF($H209="Complétée","F",IF(OR($H209="En cours",$H209="En revue"),"E",IF($H209="Bloquée","B","P"))),""))</f>
        <v/>
      </c>
      <c r="N209" s="53">
        <f>IF(OR($F209="",$G209=""),"",IF(AND(N$5&lt;=$G209,N$5+6&gt;=$F209),IF($H209="Complétée","F",IF(OR($H209="En cours",$H209="En revue"),"E",IF($H209="Bloquée","B","P"))),""))</f>
        <v/>
      </c>
      <c r="O209" s="53">
        <f>IF(OR($F209="",$G209=""),"",IF(AND(O$5&lt;=$G209,O$5+6&gt;=$F209),IF($H209="Complétée","F",IF(OR($H209="En cours",$H209="En revue"),"E",IF($H209="Bloquée","B","P"))),""))</f>
        <v/>
      </c>
      <c r="P209" s="53">
        <f>IF(OR($F209="",$G209=""),"",IF(AND(P$5&lt;=$G209,P$5+6&gt;=$F209),IF($H209="Complétée","F",IF(OR($H209="En cours",$H209="En revue"),"E",IF($H209="Bloquée","B","P"))),""))</f>
        <v/>
      </c>
      <c r="Q209" s="53">
        <f>IF(OR($F209="",$G209=""),"",IF(AND(Q$5&lt;=$G209,Q$5+6&gt;=$F209),IF($H209="Complétée","F",IF(OR($H209="En cours",$H209="En revue"),"E",IF($H209="Bloquée","B","P"))),""))</f>
        <v/>
      </c>
      <c r="R209" s="53">
        <f>IF(OR($F209="",$G209=""),"",IF(AND(R$5&lt;=$G209,R$5+6&gt;=$F209),IF($H209="Complétée","F",IF(OR($H209="En cours",$H209="En revue"),"E",IF($H209="Bloquée","B","P"))),""))</f>
        <v/>
      </c>
      <c r="S209" s="53">
        <f>IF(OR($F209="",$G209=""),"",IF(AND(S$5&lt;=$G209,S$5+6&gt;=$F209),IF($H209="Complétée","F",IF(OR($H209="En cours",$H209="En revue"),"E",IF($H209="Bloquée","B","P"))),""))</f>
        <v/>
      </c>
      <c r="T209" s="53">
        <f>IF(OR($F209="",$G209=""),"",IF(AND(T$5&lt;=$G209,T$5+6&gt;=$F209),IF($H209="Complétée","F",IF(OR($H209="En cours",$H209="En revue"),"E",IF($H209="Bloquée","B","P"))),""))</f>
        <v/>
      </c>
      <c r="U209" s="53">
        <f>IF(OR($F209="",$G209=""),"",IF(AND(U$5&lt;=$G209,U$5+6&gt;=$F209),IF($H209="Complétée","F",IF(OR($H209="En cours",$H209="En revue"),"E",IF($H209="Bloquée","B","P"))),""))</f>
        <v/>
      </c>
      <c r="V209" s="53">
        <f>IF(OR($F209="",$G209=""),"",IF(AND(V$5&lt;=$G209,V$5+6&gt;=$F209),IF($H209="Complétée","F",IF(OR($H209="En cours",$H209="En revue"),"E",IF($H209="Bloquée","B","P"))),""))</f>
        <v/>
      </c>
      <c r="W209" s="53">
        <f>IF(OR($F209="",$G209=""),"",IF(AND(W$5&lt;=$G209,W$5+6&gt;=$F209),IF($H209="Complétée","F",IF(OR($H209="En cours",$H209="En revue"),"E",IF($H209="Bloquée","B","P"))),""))</f>
        <v/>
      </c>
      <c r="X209" s="53">
        <f>IF(OR($F209="",$G209=""),"",IF(AND(X$5&lt;=$G209,X$5+6&gt;=$F209),IF($H209="Complétée","F",IF(OR($H209="En cours",$H209="En revue"),"E",IF($H209="Bloquée","B","P"))),""))</f>
        <v/>
      </c>
      <c r="Y209" s="53">
        <f>IF(OR($F209="",$G209=""),"",IF(AND(Y$5&lt;=$G209,Y$5+6&gt;=$F209),IF($H209="Complétée","F",IF(OR($H209="En cours",$H209="En revue"),"E",IF($H209="Bloquée","B","P"))),""))</f>
        <v/>
      </c>
      <c r="Z209" s="53">
        <f>IF(OR($F209="",$G209=""),"",IF(AND(Z$5&lt;=$G209,Z$5+6&gt;=$F209),IF($H209="Complétée","F",IF(OR($H209="En cours",$H209="En revue"),"E",IF($H209="Bloquée","B","P"))),""))</f>
        <v/>
      </c>
      <c r="AA209" s="53">
        <f>IF(OR($F209="",$G209=""),"",IF(AND(AA$5&lt;=$G209,AA$5+6&gt;=$F209),IF($H209="Complétée","F",IF(OR($H209="En cours",$H209="En revue"),"E",IF($H209="Bloquée","B","P"))),""))</f>
        <v/>
      </c>
      <c r="AB209" s="53">
        <f>IF(OR($F209="",$G209=""),"",IF(AND(AB$5&lt;=$G209,AB$5+6&gt;=$F209),IF($H209="Complétée","F",IF(OR($H209="En cours",$H209="En revue"),"E",IF($H209="Bloquée","B","P"))),""))</f>
        <v/>
      </c>
      <c r="AC209" s="53">
        <f>IF(OR($F209="",$G209=""),"",IF(AND(AC$5&lt;=$G209,AC$5+6&gt;=$F209),IF($H209="Complétée","F",IF(OR($H209="En cours",$H209="En revue"),"E",IF($H209="Bloquée","B","P"))),""))</f>
        <v/>
      </c>
      <c r="AD209" s="53">
        <f>IF(OR($F209="",$G209=""),"",IF(AND(AD$5&lt;=$G209,AD$5+6&gt;=$F209),IF($H209="Complétée","F",IF(OR($H209="En cours",$H209="En revue"),"E",IF($H209="Bloquée","B","P"))),""))</f>
        <v/>
      </c>
      <c r="AE209" s="53">
        <f>IF(OR($F209="",$G209=""),"",IF(AND(AE$5&lt;=$G209,AE$5+6&gt;=$F209),IF($H209="Complétée","F",IF(OR($H209="En cours",$H209="En revue"),"E",IF($H209="Bloquée","B","P"))),""))</f>
        <v/>
      </c>
      <c r="AF209" s="53">
        <f>IF(OR($F209="",$G209=""),"",IF(AND(AF$5&lt;=$G209,AF$5+6&gt;=$F209),IF($H209="Complétée","F",IF(OR($H209="En cours",$H209="En revue"),"E",IF($H209="Bloquée","B","P"))),""))</f>
        <v/>
      </c>
      <c r="AG209" s="53">
        <f>IF(OR($F209="",$G209=""),"",IF(AND(AG$5&lt;=$G209,AG$5+6&gt;=$F209),IF($H209="Complétée","F",IF(OR($H209="En cours",$H209="En revue"),"E",IF($H209="Bloquée","B","P"))),""))</f>
        <v/>
      </c>
      <c r="AH209" s="53">
        <f>IF(OR($F209="",$G209=""),"",IF(AND(AH$5&lt;=$G209,AH$5+6&gt;=$F209),IF($H209="Complétée","F",IF(OR($H209="En cours",$H209="En revue"),"E",IF($H209="Bloquée","B","P"))),""))</f>
        <v/>
      </c>
      <c r="AI209" s="53">
        <f>IF(OR($F209="",$G209=""),"",IF(AND(AI$5&lt;=$G209,AI$5+6&gt;=$F209),IF($H209="Complétée","F",IF(OR($H209="En cours",$H209="En revue"),"E",IF($H209="Bloquée","B","P"))),""))</f>
        <v/>
      </c>
      <c r="AJ209" s="53">
        <f>IF(OR($F209="",$G209=""),"",IF(AND(AJ$5&lt;=$G209,AJ$5+6&gt;=$F209),IF($H209="Complétée","F",IF(OR($H209="En cours",$H209="En revue"),"E",IF($H209="Bloquée","B","P"))),""))</f>
        <v/>
      </c>
      <c r="AK209" s="53">
        <f>IF(OR($F209="",$G209=""),"",IF(AND(AK$5&lt;=$G209,AK$5+6&gt;=$F209),IF($H209="Complétée","F",IF(OR($H209="En cours",$H209="En revue"),"E",IF($H209="Bloquée","B","P"))),""))</f>
        <v/>
      </c>
      <c r="AL209" s="53">
        <f>IF(OR($F209="",$G209=""),"",IF(AND(AL$5&lt;=$G209,AL$5+6&gt;=$F209),IF($H209="Complétée","F",IF(OR($H209="En cours",$H209="En revue"),"E",IF($H209="Bloquée","B","P"))),""))</f>
        <v/>
      </c>
      <c r="AM209" s="53">
        <f>IF(OR($F209="",$G209=""),"",IF(AND(AM$5&lt;=$G209,AM$5+6&gt;=$F209),IF($H209="Complétée","F",IF(OR($H209="En cours",$H209="En revue"),"E",IF($H209="Bloquée","B","P"))),""))</f>
        <v/>
      </c>
      <c r="AN209" s="53">
        <f>IF(OR($F209="",$G209=""),"",IF(AND(AN$5&lt;=$G209,AN$5+6&gt;=$F209),IF($H209="Complétée","F",IF(OR($H209="En cours",$H209="En revue"),"E",IF($H209="Bloquée","B","P"))),""))</f>
        <v/>
      </c>
      <c r="AO209" s="53">
        <f>IF(OR($F209="",$G209=""),"",IF(AND(AO$5&lt;=$G209,AO$5+6&gt;=$F209),IF($H209="Complétée","F",IF(OR($H209="En cours",$H209="En revue"),"E",IF($H209="Bloquée","B","P"))),""))</f>
        <v/>
      </c>
      <c r="AP209" s="53">
        <f>IF(OR($F209="",$G209=""),"",IF(AND(AP$5&lt;=$G209,AP$5+6&gt;=$F209),IF($H209="Complétée","F",IF(OR($H209="En cours",$H209="En revue"),"E",IF($H209="Bloquée","B","P"))),""))</f>
        <v/>
      </c>
      <c r="AQ209" s="53">
        <f>IF(OR($F209="",$G209=""),"",IF(AND(AQ$5&lt;=$G209,AQ$5+6&gt;=$F209),IF($H209="Complétée","F",IF(OR($H209="En cours",$H209="En revue"),"E",IF($H209="Bloquée","B","P"))),""))</f>
        <v/>
      </c>
      <c r="AR209" s="53">
        <f>IF(OR($F209="",$G209=""),"",IF(AND(AR$5&lt;=$G209,AR$5+6&gt;=$F209),IF($H209="Complétée","F",IF(OR($H209="En cours",$H209="En revue"),"E",IF($H209="Bloquée","B","P"))),""))</f>
        <v/>
      </c>
      <c r="AS209" s="53">
        <f>IF(OR($F209="",$G209=""),"",IF(AND(AS$5&lt;=$G209,AS$5+6&gt;=$F209),IF($H209="Complétée","F",IF(OR($H209="En cours",$H209="En revue"),"E",IF($H209="Bloquée","B","P"))),""))</f>
        <v/>
      </c>
      <c r="AT209" s="53">
        <f>IF(OR($F209="",$G209=""),"",IF(AND(AT$5&lt;=$G209,AT$5+6&gt;=$F209),IF($H209="Complétée","F",IF(OR($H209="En cours",$H209="En revue"),"E",IF($H209="Bloquée","B","P"))),""))</f>
        <v/>
      </c>
      <c r="AU209" s="53">
        <f>IF(OR($F209="",$G209=""),"",IF(AND(AU$5&lt;=$G209,AU$5+6&gt;=$F209),IF($H209="Complétée","F",IF(OR($H209="En cours",$H209="En revue"),"E",IF($H209="Bloquée","B","P"))),""))</f>
        <v/>
      </c>
      <c r="AV209" s="53">
        <f>IF(OR($F209="",$G209=""),"",IF(AND(AV$5&lt;=$G209,AV$5+6&gt;=$F209),IF($H209="Complétée","F",IF(OR($H209="En cours",$H209="En revue"),"E",IF($H209="Bloquée","B","P"))),""))</f>
        <v/>
      </c>
      <c r="AW209" s="53">
        <f>IF(OR($F209="",$G209=""),"",IF(AND(AW$5&lt;=$G209,AW$5+6&gt;=$F209),IF($H209="Complétée","F",IF(OR($H209="En cours",$H209="En revue"),"E",IF($H209="Bloquée","B","P"))),""))</f>
        <v/>
      </c>
    </row>
    <row r="210">
      <c r="B210" s="50">
        <f>IF(Taches!B210="","",Taches!B210)</f>
        <v/>
      </c>
      <c r="C210" s="51">
        <f>IF(Taches!B210="","",Taches!F210)</f>
        <v/>
      </c>
      <c r="D210" s="50">
        <f>IF(Taches!B210="","",Taches!C210)</f>
        <v/>
      </c>
      <c r="E210" s="50">
        <f>IF(Taches!B210="","",Taches!D210)</f>
        <v/>
      </c>
      <c r="F210" s="52">
        <f>IF(Taches!P210="","",Taches!P210)</f>
        <v/>
      </c>
      <c r="G210" s="52">
        <f>IF(Taches!Q210="","",Taches!Q210)</f>
        <v/>
      </c>
      <c r="H210" s="50">
        <f>IF(Taches!B210="","",Taches!J210)</f>
        <v/>
      </c>
      <c r="I210" s="53">
        <f>IF(OR($F210="",$G210=""),"",IF(AND(I$5&lt;=$G210,I$5+6&gt;=$F210),IF($H210="Complétée","F",IF(OR($H210="En cours",$H210="En revue"),"E",IF($H210="Bloquée","B","P"))),""))</f>
        <v/>
      </c>
      <c r="J210" s="53">
        <f>IF(OR($F210="",$G210=""),"",IF(AND(J$5&lt;=$G210,J$5+6&gt;=$F210),IF($H210="Complétée","F",IF(OR($H210="En cours",$H210="En revue"),"E",IF($H210="Bloquée","B","P"))),""))</f>
        <v/>
      </c>
      <c r="K210" s="53">
        <f>IF(OR($F210="",$G210=""),"",IF(AND(K$5&lt;=$G210,K$5+6&gt;=$F210),IF($H210="Complétée","F",IF(OR($H210="En cours",$H210="En revue"),"E",IF($H210="Bloquée","B","P"))),""))</f>
        <v/>
      </c>
      <c r="L210" s="53">
        <f>IF(OR($F210="",$G210=""),"",IF(AND(L$5&lt;=$G210,L$5+6&gt;=$F210),IF($H210="Complétée","F",IF(OR($H210="En cours",$H210="En revue"),"E",IF($H210="Bloquée","B","P"))),""))</f>
        <v/>
      </c>
      <c r="M210" s="53">
        <f>IF(OR($F210="",$G210=""),"",IF(AND(M$5&lt;=$G210,M$5+6&gt;=$F210),IF($H210="Complétée","F",IF(OR($H210="En cours",$H210="En revue"),"E",IF($H210="Bloquée","B","P"))),""))</f>
        <v/>
      </c>
      <c r="N210" s="53">
        <f>IF(OR($F210="",$G210=""),"",IF(AND(N$5&lt;=$G210,N$5+6&gt;=$F210),IF($H210="Complétée","F",IF(OR($H210="En cours",$H210="En revue"),"E",IF($H210="Bloquée","B","P"))),""))</f>
        <v/>
      </c>
      <c r="O210" s="53">
        <f>IF(OR($F210="",$G210=""),"",IF(AND(O$5&lt;=$G210,O$5+6&gt;=$F210),IF($H210="Complétée","F",IF(OR($H210="En cours",$H210="En revue"),"E",IF($H210="Bloquée","B","P"))),""))</f>
        <v/>
      </c>
      <c r="P210" s="53">
        <f>IF(OR($F210="",$G210=""),"",IF(AND(P$5&lt;=$G210,P$5+6&gt;=$F210),IF($H210="Complétée","F",IF(OR($H210="En cours",$H210="En revue"),"E",IF($H210="Bloquée","B","P"))),""))</f>
        <v/>
      </c>
      <c r="Q210" s="53">
        <f>IF(OR($F210="",$G210=""),"",IF(AND(Q$5&lt;=$G210,Q$5+6&gt;=$F210),IF($H210="Complétée","F",IF(OR($H210="En cours",$H210="En revue"),"E",IF($H210="Bloquée","B","P"))),""))</f>
        <v/>
      </c>
      <c r="R210" s="53">
        <f>IF(OR($F210="",$G210=""),"",IF(AND(R$5&lt;=$G210,R$5+6&gt;=$F210),IF($H210="Complétée","F",IF(OR($H210="En cours",$H210="En revue"),"E",IF($H210="Bloquée","B","P"))),""))</f>
        <v/>
      </c>
      <c r="S210" s="53">
        <f>IF(OR($F210="",$G210=""),"",IF(AND(S$5&lt;=$G210,S$5+6&gt;=$F210),IF($H210="Complétée","F",IF(OR($H210="En cours",$H210="En revue"),"E",IF($H210="Bloquée","B","P"))),""))</f>
        <v/>
      </c>
      <c r="T210" s="53">
        <f>IF(OR($F210="",$G210=""),"",IF(AND(T$5&lt;=$G210,T$5+6&gt;=$F210),IF($H210="Complétée","F",IF(OR($H210="En cours",$H210="En revue"),"E",IF($H210="Bloquée","B","P"))),""))</f>
        <v/>
      </c>
      <c r="U210" s="53">
        <f>IF(OR($F210="",$G210=""),"",IF(AND(U$5&lt;=$G210,U$5+6&gt;=$F210),IF($H210="Complétée","F",IF(OR($H210="En cours",$H210="En revue"),"E",IF($H210="Bloquée","B","P"))),""))</f>
        <v/>
      </c>
      <c r="V210" s="53">
        <f>IF(OR($F210="",$G210=""),"",IF(AND(V$5&lt;=$G210,V$5+6&gt;=$F210),IF($H210="Complétée","F",IF(OR($H210="En cours",$H210="En revue"),"E",IF($H210="Bloquée","B","P"))),""))</f>
        <v/>
      </c>
      <c r="W210" s="53">
        <f>IF(OR($F210="",$G210=""),"",IF(AND(W$5&lt;=$G210,W$5+6&gt;=$F210),IF($H210="Complétée","F",IF(OR($H210="En cours",$H210="En revue"),"E",IF($H210="Bloquée","B","P"))),""))</f>
        <v/>
      </c>
      <c r="X210" s="53">
        <f>IF(OR($F210="",$G210=""),"",IF(AND(X$5&lt;=$G210,X$5+6&gt;=$F210),IF($H210="Complétée","F",IF(OR($H210="En cours",$H210="En revue"),"E",IF($H210="Bloquée","B","P"))),""))</f>
        <v/>
      </c>
      <c r="Y210" s="53">
        <f>IF(OR($F210="",$G210=""),"",IF(AND(Y$5&lt;=$G210,Y$5+6&gt;=$F210),IF($H210="Complétée","F",IF(OR($H210="En cours",$H210="En revue"),"E",IF($H210="Bloquée","B","P"))),""))</f>
        <v/>
      </c>
      <c r="Z210" s="53">
        <f>IF(OR($F210="",$G210=""),"",IF(AND(Z$5&lt;=$G210,Z$5+6&gt;=$F210),IF($H210="Complétée","F",IF(OR($H210="En cours",$H210="En revue"),"E",IF($H210="Bloquée","B","P"))),""))</f>
        <v/>
      </c>
      <c r="AA210" s="53">
        <f>IF(OR($F210="",$G210=""),"",IF(AND(AA$5&lt;=$G210,AA$5+6&gt;=$F210),IF($H210="Complétée","F",IF(OR($H210="En cours",$H210="En revue"),"E",IF($H210="Bloquée","B","P"))),""))</f>
        <v/>
      </c>
      <c r="AB210" s="53">
        <f>IF(OR($F210="",$G210=""),"",IF(AND(AB$5&lt;=$G210,AB$5+6&gt;=$F210),IF($H210="Complétée","F",IF(OR($H210="En cours",$H210="En revue"),"E",IF($H210="Bloquée","B","P"))),""))</f>
        <v/>
      </c>
      <c r="AC210" s="53">
        <f>IF(OR($F210="",$G210=""),"",IF(AND(AC$5&lt;=$G210,AC$5+6&gt;=$F210),IF($H210="Complétée","F",IF(OR($H210="En cours",$H210="En revue"),"E",IF($H210="Bloquée","B","P"))),""))</f>
        <v/>
      </c>
      <c r="AD210" s="53">
        <f>IF(OR($F210="",$G210=""),"",IF(AND(AD$5&lt;=$G210,AD$5+6&gt;=$F210),IF($H210="Complétée","F",IF(OR($H210="En cours",$H210="En revue"),"E",IF($H210="Bloquée","B","P"))),""))</f>
        <v/>
      </c>
      <c r="AE210" s="53">
        <f>IF(OR($F210="",$G210=""),"",IF(AND(AE$5&lt;=$G210,AE$5+6&gt;=$F210),IF($H210="Complétée","F",IF(OR($H210="En cours",$H210="En revue"),"E",IF($H210="Bloquée","B","P"))),""))</f>
        <v/>
      </c>
      <c r="AF210" s="53">
        <f>IF(OR($F210="",$G210=""),"",IF(AND(AF$5&lt;=$G210,AF$5+6&gt;=$F210),IF($H210="Complétée","F",IF(OR($H210="En cours",$H210="En revue"),"E",IF($H210="Bloquée","B","P"))),""))</f>
        <v/>
      </c>
      <c r="AG210" s="53">
        <f>IF(OR($F210="",$G210=""),"",IF(AND(AG$5&lt;=$G210,AG$5+6&gt;=$F210),IF($H210="Complétée","F",IF(OR($H210="En cours",$H210="En revue"),"E",IF($H210="Bloquée","B","P"))),""))</f>
        <v/>
      </c>
      <c r="AH210" s="53">
        <f>IF(OR($F210="",$G210=""),"",IF(AND(AH$5&lt;=$G210,AH$5+6&gt;=$F210),IF($H210="Complétée","F",IF(OR($H210="En cours",$H210="En revue"),"E",IF($H210="Bloquée","B","P"))),""))</f>
        <v/>
      </c>
      <c r="AI210" s="53">
        <f>IF(OR($F210="",$G210=""),"",IF(AND(AI$5&lt;=$G210,AI$5+6&gt;=$F210),IF($H210="Complétée","F",IF(OR($H210="En cours",$H210="En revue"),"E",IF($H210="Bloquée","B","P"))),""))</f>
        <v/>
      </c>
      <c r="AJ210" s="53">
        <f>IF(OR($F210="",$G210=""),"",IF(AND(AJ$5&lt;=$G210,AJ$5+6&gt;=$F210),IF($H210="Complétée","F",IF(OR($H210="En cours",$H210="En revue"),"E",IF($H210="Bloquée","B","P"))),""))</f>
        <v/>
      </c>
      <c r="AK210" s="53">
        <f>IF(OR($F210="",$G210=""),"",IF(AND(AK$5&lt;=$G210,AK$5+6&gt;=$F210),IF($H210="Complétée","F",IF(OR($H210="En cours",$H210="En revue"),"E",IF($H210="Bloquée","B","P"))),""))</f>
        <v/>
      </c>
      <c r="AL210" s="53">
        <f>IF(OR($F210="",$G210=""),"",IF(AND(AL$5&lt;=$G210,AL$5+6&gt;=$F210),IF($H210="Complétée","F",IF(OR($H210="En cours",$H210="En revue"),"E",IF($H210="Bloquée","B","P"))),""))</f>
        <v/>
      </c>
      <c r="AM210" s="53">
        <f>IF(OR($F210="",$G210=""),"",IF(AND(AM$5&lt;=$G210,AM$5+6&gt;=$F210),IF($H210="Complétée","F",IF(OR($H210="En cours",$H210="En revue"),"E",IF($H210="Bloquée","B","P"))),""))</f>
        <v/>
      </c>
      <c r="AN210" s="53">
        <f>IF(OR($F210="",$G210=""),"",IF(AND(AN$5&lt;=$G210,AN$5+6&gt;=$F210),IF($H210="Complétée","F",IF(OR($H210="En cours",$H210="En revue"),"E",IF($H210="Bloquée","B","P"))),""))</f>
        <v/>
      </c>
      <c r="AO210" s="53">
        <f>IF(OR($F210="",$G210=""),"",IF(AND(AO$5&lt;=$G210,AO$5+6&gt;=$F210),IF($H210="Complétée","F",IF(OR($H210="En cours",$H210="En revue"),"E",IF($H210="Bloquée","B","P"))),""))</f>
        <v/>
      </c>
      <c r="AP210" s="53">
        <f>IF(OR($F210="",$G210=""),"",IF(AND(AP$5&lt;=$G210,AP$5+6&gt;=$F210),IF($H210="Complétée","F",IF(OR($H210="En cours",$H210="En revue"),"E",IF($H210="Bloquée","B","P"))),""))</f>
        <v/>
      </c>
      <c r="AQ210" s="53">
        <f>IF(OR($F210="",$G210=""),"",IF(AND(AQ$5&lt;=$G210,AQ$5+6&gt;=$F210),IF($H210="Complétée","F",IF(OR($H210="En cours",$H210="En revue"),"E",IF($H210="Bloquée","B","P"))),""))</f>
        <v/>
      </c>
      <c r="AR210" s="53">
        <f>IF(OR($F210="",$G210=""),"",IF(AND(AR$5&lt;=$G210,AR$5+6&gt;=$F210),IF($H210="Complétée","F",IF(OR($H210="En cours",$H210="En revue"),"E",IF($H210="Bloquée","B","P"))),""))</f>
        <v/>
      </c>
      <c r="AS210" s="53">
        <f>IF(OR($F210="",$G210=""),"",IF(AND(AS$5&lt;=$G210,AS$5+6&gt;=$F210),IF($H210="Complétée","F",IF(OR($H210="En cours",$H210="En revue"),"E",IF($H210="Bloquée","B","P"))),""))</f>
        <v/>
      </c>
      <c r="AT210" s="53">
        <f>IF(OR($F210="",$G210=""),"",IF(AND(AT$5&lt;=$G210,AT$5+6&gt;=$F210),IF($H210="Complétée","F",IF(OR($H210="En cours",$H210="En revue"),"E",IF($H210="Bloquée","B","P"))),""))</f>
        <v/>
      </c>
      <c r="AU210" s="53">
        <f>IF(OR($F210="",$G210=""),"",IF(AND(AU$5&lt;=$G210,AU$5+6&gt;=$F210),IF($H210="Complétée","F",IF(OR($H210="En cours",$H210="En revue"),"E",IF($H210="Bloquée","B","P"))),""))</f>
        <v/>
      </c>
      <c r="AV210" s="53">
        <f>IF(OR($F210="",$G210=""),"",IF(AND(AV$5&lt;=$G210,AV$5+6&gt;=$F210),IF($H210="Complétée","F",IF(OR($H210="En cours",$H210="En revue"),"E",IF($H210="Bloquée","B","P"))),""))</f>
        <v/>
      </c>
      <c r="AW210" s="53">
        <f>IF(OR($F210="",$G210=""),"",IF(AND(AW$5&lt;=$G210,AW$5+6&gt;=$F210),IF($H210="Complétée","F",IF(OR($H210="En cours",$H210="En revue"),"E",IF($H210="Bloquée","B","P"))),""))</f>
        <v/>
      </c>
    </row>
    <row r="211">
      <c r="B211" s="50">
        <f>IF(Taches!B211="","",Taches!B211)</f>
        <v/>
      </c>
      <c r="C211" s="51">
        <f>IF(Taches!B211="","",Taches!F211)</f>
        <v/>
      </c>
      <c r="D211" s="50">
        <f>IF(Taches!B211="","",Taches!C211)</f>
        <v/>
      </c>
      <c r="E211" s="50">
        <f>IF(Taches!B211="","",Taches!D211)</f>
        <v/>
      </c>
      <c r="F211" s="52">
        <f>IF(Taches!P211="","",Taches!P211)</f>
        <v/>
      </c>
      <c r="G211" s="52">
        <f>IF(Taches!Q211="","",Taches!Q211)</f>
        <v/>
      </c>
      <c r="H211" s="50">
        <f>IF(Taches!B211="","",Taches!J211)</f>
        <v/>
      </c>
      <c r="I211" s="53">
        <f>IF(OR($F211="",$G211=""),"",IF(AND(I$5&lt;=$G211,I$5+6&gt;=$F211),IF($H211="Complétée","F",IF(OR($H211="En cours",$H211="En revue"),"E",IF($H211="Bloquée","B","P"))),""))</f>
        <v/>
      </c>
      <c r="J211" s="53">
        <f>IF(OR($F211="",$G211=""),"",IF(AND(J$5&lt;=$G211,J$5+6&gt;=$F211),IF($H211="Complétée","F",IF(OR($H211="En cours",$H211="En revue"),"E",IF($H211="Bloquée","B","P"))),""))</f>
        <v/>
      </c>
      <c r="K211" s="53">
        <f>IF(OR($F211="",$G211=""),"",IF(AND(K$5&lt;=$G211,K$5+6&gt;=$F211),IF($H211="Complétée","F",IF(OR($H211="En cours",$H211="En revue"),"E",IF($H211="Bloquée","B","P"))),""))</f>
        <v/>
      </c>
      <c r="L211" s="53">
        <f>IF(OR($F211="",$G211=""),"",IF(AND(L$5&lt;=$G211,L$5+6&gt;=$F211),IF($H211="Complétée","F",IF(OR($H211="En cours",$H211="En revue"),"E",IF($H211="Bloquée","B","P"))),""))</f>
        <v/>
      </c>
      <c r="M211" s="53">
        <f>IF(OR($F211="",$G211=""),"",IF(AND(M$5&lt;=$G211,M$5+6&gt;=$F211),IF($H211="Complétée","F",IF(OR($H211="En cours",$H211="En revue"),"E",IF($H211="Bloquée","B","P"))),""))</f>
        <v/>
      </c>
      <c r="N211" s="53">
        <f>IF(OR($F211="",$G211=""),"",IF(AND(N$5&lt;=$G211,N$5+6&gt;=$F211),IF($H211="Complétée","F",IF(OR($H211="En cours",$H211="En revue"),"E",IF($H211="Bloquée","B","P"))),""))</f>
        <v/>
      </c>
      <c r="O211" s="53">
        <f>IF(OR($F211="",$G211=""),"",IF(AND(O$5&lt;=$G211,O$5+6&gt;=$F211),IF($H211="Complétée","F",IF(OR($H211="En cours",$H211="En revue"),"E",IF($H211="Bloquée","B","P"))),""))</f>
        <v/>
      </c>
      <c r="P211" s="53">
        <f>IF(OR($F211="",$G211=""),"",IF(AND(P$5&lt;=$G211,P$5+6&gt;=$F211),IF($H211="Complétée","F",IF(OR($H211="En cours",$H211="En revue"),"E",IF($H211="Bloquée","B","P"))),""))</f>
        <v/>
      </c>
      <c r="Q211" s="53">
        <f>IF(OR($F211="",$G211=""),"",IF(AND(Q$5&lt;=$G211,Q$5+6&gt;=$F211),IF($H211="Complétée","F",IF(OR($H211="En cours",$H211="En revue"),"E",IF($H211="Bloquée","B","P"))),""))</f>
        <v/>
      </c>
      <c r="R211" s="53">
        <f>IF(OR($F211="",$G211=""),"",IF(AND(R$5&lt;=$G211,R$5+6&gt;=$F211),IF($H211="Complétée","F",IF(OR($H211="En cours",$H211="En revue"),"E",IF($H211="Bloquée","B","P"))),""))</f>
        <v/>
      </c>
      <c r="S211" s="53">
        <f>IF(OR($F211="",$G211=""),"",IF(AND(S$5&lt;=$G211,S$5+6&gt;=$F211),IF($H211="Complétée","F",IF(OR($H211="En cours",$H211="En revue"),"E",IF($H211="Bloquée","B","P"))),""))</f>
        <v/>
      </c>
      <c r="T211" s="53">
        <f>IF(OR($F211="",$G211=""),"",IF(AND(T$5&lt;=$G211,T$5+6&gt;=$F211),IF($H211="Complétée","F",IF(OR($H211="En cours",$H211="En revue"),"E",IF($H211="Bloquée","B","P"))),""))</f>
        <v/>
      </c>
      <c r="U211" s="53">
        <f>IF(OR($F211="",$G211=""),"",IF(AND(U$5&lt;=$G211,U$5+6&gt;=$F211),IF($H211="Complétée","F",IF(OR($H211="En cours",$H211="En revue"),"E",IF($H211="Bloquée","B","P"))),""))</f>
        <v/>
      </c>
      <c r="V211" s="53">
        <f>IF(OR($F211="",$G211=""),"",IF(AND(V$5&lt;=$G211,V$5+6&gt;=$F211),IF($H211="Complétée","F",IF(OR($H211="En cours",$H211="En revue"),"E",IF($H211="Bloquée","B","P"))),""))</f>
        <v/>
      </c>
      <c r="W211" s="53">
        <f>IF(OR($F211="",$G211=""),"",IF(AND(W$5&lt;=$G211,W$5+6&gt;=$F211),IF($H211="Complétée","F",IF(OR($H211="En cours",$H211="En revue"),"E",IF($H211="Bloquée","B","P"))),""))</f>
        <v/>
      </c>
      <c r="X211" s="53">
        <f>IF(OR($F211="",$G211=""),"",IF(AND(X$5&lt;=$G211,X$5+6&gt;=$F211),IF($H211="Complétée","F",IF(OR($H211="En cours",$H211="En revue"),"E",IF($H211="Bloquée","B","P"))),""))</f>
        <v/>
      </c>
      <c r="Y211" s="53">
        <f>IF(OR($F211="",$G211=""),"",IF(AND(Y$5&lt;=$G211,Y$5+6&gt;=$F211),IF($H211="Complétée","F",IF(OR($H211="En cours",$H211="En revue"),"E",IF($H211="Bloquée","B","P"))),""))</f>
        <v/>
      </c>
      <c r="Z211" s="53">
        <f>IF(OR($F211="",$G211=""),"",IF(AND(Z$5&lt;=$G211,Z$5+6&gt;=$F211),IF($H211="Complétée","F",IF(OR($H211="En cours",$H211="En revue"),"E",IF($H211="Bloquée","B","P"))),""))</f>
        <v/>
      </c>
      <c r="AA211" s="53">
        <f>IF(OR($F211="",$G211=""),"",IF(AND(AA$5&lt;=$G211,AA$5+6&gt;=$F211),IF($H211="Complétée","F",IF(OR($H211="En cours",$H211="En revue"),"E",IF($H211="Bloquée","B","P"))),""))</f>
        <v/>
      </c>
      <c r="AB211" s="53">
        <f>IF(OR($F211="",$G211=""),"",IF(AND(AB$5&lt;=$G211,AB$5+6&gt;=$F211),IF($H211="Complétée","F",IF(OR($H211="En cours",$H211="En revue"),"E",IF($H211="Bloquée","B","P"))),""))</f>
        <v/>
      </c>
      <c r="AC211" s="53">
        <f>IF(OR($F211="",$G211=""),"",IF(AND(AC$5&lt;=$G211,AC$5+6&gt;=$F211),IF($H211="Complétée","F",IF(OR($H211="En cours",$H211="En revue"),"E",IF($H211="Bloquée","B","P"))),""))</f>
        <v/>
      </c>
      <c r="AD211" s="53">
        <f>IF(OR($F211="",$G211=""),"",IF(AND(AD$5&lt;=$G211,AD$5+6&gt;=$F211),IF($H211="Complétée","F",IF(OR($H211="En cours",$H211="En revue"),"E",IF($H211="Bloquée","B","P"))),""))</f>
        <v/>
      </c>
      <c r="AE211" s="53">
        <f>IF(OR($F211="",$G211=""),"",IF(AND(AE$5&lt;=$G211,AE$5+6&gt;=$F211),IF($H211="Complétée","F",IF(OR($H211="En cours",$H211="En revue"),"E",IF($H211="Bloquée","B","P"))),""))</f>
        <v/>
      </c>
      <c r="AF211" s="53">
        <f>IF(OR($F211="",$G211=""),"",IF(AND(AF$5&lt;=$G211,AF$5+6&gt;=$F211),IF($H211="Complétée","F",IF(OR($H211="En cours",$H211="En revue"),"E",IF($H211="Bloquée","B","P"))),""))</f>
        <v/>
      </c>
      <c r="AG211" s="53">
        <f>IF(OR($F211="",$G211=""),"",IF(AND(AG$5&lt;=$G211,AG$5+6&gt;=$F211),IF($H211="Complétée","F",IF(OR($H211="En cours",$H211="En revue"),"E",IF($H211="Bloquée","B","P"))),""))</f>
        <v/>
      </c>
      <c r="AH211" s="53">
        <f>IF(OR($F211="",$G211=""),"",IF(AND(AH$5&lt;=$G211,AH$5+6&gt;=$F211),IF($H211="Complétée","F",IF(OR($H211="En cours",$H211="En revue"),"E",IF($H211="Bloquée","B","P"))),""))</f>
        <v/>
      </c>
      <c r="AI211" s="53">
        <f>IF(OR($F211="",$G211=""),"",IF(AND(AI$5&lt;=$G211,AI$5+6&gt;=$F211),IF($H211="Complétée","F",IF(OR($H211="En cours",$H211="En revue"),"E",IF($H211="Bloquée","B","P"))),""))</f>
        <v/>
      </c>
      <c r="AJ211" s="53">
        <f>IF(OR($F211="",$G211=""),"",IF(AND(AJ$5&lt;=$G211,AJ$5+6&gt;=$F211),IF($H211="Complétée","F",IF(OR($H211="En cours",$H211="En revue"),"E",IF($H211="Bloquée","B","P"))),""))</f>
        <v/>
      </c>
      <c r="AK211" s="53">
        <f>IF(OR($F211="",$G211=""),"",IF(AND(AK$5&lt;=$G211,AK$5+6&gt;=$F211),IF($H211="Complétée","F",IF(OR($H211="En cours",$H211="En revue"),"E",IF($H211="Bloquée","B","P"))),""))</f>
        <v/>
      </c>
      <c r="AL211" s="53">
        <f>IF(OR($F211="",$G211=""),"",IF(AND(AL$5&lt;=$G211,AL$5+6&gt;=$F211),IF($H211="Complétée","F",IF(OR($H211="En cours",$H211="En revue"),"E",IF($H211="Bloquée","B","P"))),""))</f>
        <v/>
      </c>
      <c r="AM211" s="53">
        <f>IF(OR($F211="",$G211=""),"",IF(AND(AM$5&lt;=$G211,AM$5+6&gt;=$F211),IF($H211="Complétée","F",IF(OR($H211="En cours",$H211="En revue"),"E",IF($H211="Bloquée","B","P"))),""))</f>
        <v/>
      </c>
      <c r="AN211" s="53">
        <f>IF(OR($F211="",$G211=""),"",IF(AND(AN$5&lt;=$G211,AN$5+6&gt;=$F211),IF($H211="Complétée","F",IF(OR($H211="En cours",$H211="En revue"),"E",IF($H211="Bloquée","B","P"))),""))</f>
        <v/>
      </c>
      <c r="AO211" s="53">
        <f>IF(OR($F211="",$G211=""),"",IF(AND(AO$5&lt;=$G211,AO$5+6&gt;=$F211),IF($H211="Complétée","F",IF(OR($H211="En cours",$H211="En revue"),"E",IF($H211="Bloquée","B","P"))),""))</f>
        <v/>
      </c>
      <c r="AP211" s="53">
        <f>IF(OR($F211="",$G211=""),"",IF(AND(AP$5&lt;=$G211,AP$5+6&gt;=$F211),IF($H211="Complétée","F",IF(OR($H211="En cours",$H211="En revue"),"E",IF($H211="Bloquée","B","P"))),""))</f>
        <v/>
      </c>
      <c r="AQ211" s="53">
        <f>IF(OR($F211="",$G211=""),"",IF(AND(AQ$5&lt;=$G211,AQ$5+6&gt;=$F211),IF($H211="Complétée","F",IF(OR($H211="En cours",$H211="En revue"),"E",IF($H211="Bloquée","B","P"))),""))</f>
        <v/>
      </c>
      <c r="AR211" s="53">
        <f>IF(OR($F211="",$G211=""),"",IF(AND(AR$5&lt;=$G211,AR$5+6&gt;=$F211),IF($H211="Complétée","F",IF(OR($H211="En cours",$H211="En revue"),"E",IF($H211="Bloquée","B","P"))),""))</f>
        <v/>
      </c>
      <c r="AS211" s="53">
        <f>IF(OR($F211="",$G211=""),"",IF(AND(AS$5&lt;=$G211,AS$5+6&gt;=$F211),IF($H211="Complétée","F",IF(OR($H211="En cours",$H211="En revue"),"E",IF($H211="Bloquée","B","P"))),""))</f>
        <v/>
      </c>
      <c r="AT211" s="53">
        <f>IF(OR($F211="",$G211=""),"",IF(AND(AT$5&lt;=$G211,AT$5+6&gt;=$F211),IF($H211="Complétée","F",IF(OR($H211="En cours",$H211="En revue"),"E",IF($H211="Bloquée","B","P"))),""))</f>
        <v/>
      </c>
      <c r="AU211" s="53">
        <f>IF(OR($F211="",$G211=""),"",IF(AND(AU$5&lt;=$G211,AU$5+6&gt;=$F211),IF($H211="Complétée","F",IF(OR($H211="En cours",$H211="En revue"),"E",IF($H211="Bloquée","B","P"))),""))</f>
        <v/>
      </c>
      <c r="AV211" s="53">
        <f>IF(OR($F211="",$G211=""),"",IF(AND(AV$5&lt;=$G211,AV$5+6&gt;=$F211),IF($H211="Complétée","F",IF(OR($H211="En cours",$H211="En revue"),"E",IF($H211="Bloquée","B","P"))),""))</f>
        <v/>
      </c>
      <c r="AW211" s="53">
        <f>IF(OR($F211="",$G211=""),"",IF(AND(AW$5&lt;=$G211,AW$5+6&gt;=$F211),IF($H211="Complétée","F",IF(OR($H211="En cours",$H211="En revue"),"E",IF($H211="Bloquée","B","P"))),""))</f>
        <v/>
      </c>
    </row>
    <row r="212">
      <c r="B212" s="50">
        <f>IF(Taches!B212="","",Taches!B212)</f>
        <v/>
      </c>
      <c r="C212" s="51">
        <f>IF(Taches!B212="","",Taches!F212)</f>
        <v/>
      </c>
      <c r="D212" s="50">
        <f>IF(Taches!B212="","",Taches!C212)</f>
        <v/>
      </c>
      <c r="E212" s="50">
        <f>IF(Taches!B212="","",Taches!D212)</f>
        <v/>
      </c>
      <c r="F212" s="52">
        <f>IF(Taches!P212="","",Taches!P212)</f>
        <v/>
      </c>
      <c r="G212" s="52">
        <f>IF(Taches!Q212="","",Taches!Q212)</f>
        <v/>
      </c>
      <c r="H212" s="50">
        <f>IF(Taches!B212="","",Taches!J212)</f>
        <v/>
      </c>
      <c r="I212" s="53">
        <f>IF(OR($F212="",$G212=""),"",IF(AND(I$5&lt;=$G212,I$5+6&gt;=$F212),IF($H212="Complétée","F",IF(OR($H212="En cours",$H212="En revue"),"E",IF($H212="Bloquée","B","P"))),""))</f>
        <v/>
      </c>
      <c r="J212" s="53">
        <f>IF(OR($F212="",$G212=""),"",IF(AND(J$5&lt;=$G212,J$5+6&gt;=$F212),IF($H212="Complétée","F",IF(OR($H212="En cours",$H212="En revue"),"E",IF($H212="Bloquée","B","P"))),""))</f>
        <v/>
      </c>
      <c r="K212" s="53">
        <f>IF(OR($F212="",$G212=""),"",IF(AND(K$5&lt;=$G212,K$5+6&gt;=$F212),IF($H212="Complétée","F",IF(OR($H212="En cours",$H212="En revue"),"E",IF($H212="Bloquée","B","P"))),""))</f>
        <v/>
      </c>
      <c r="L212" s="53">
        <f>IF(OR($F212="",$G212=""),"",IF(AND(L$5&lt;=$G212,L$5+6&gt;=$F212),IF($H212="Complétée","F",IF(OR($H212="En cours",$H212="En revue"),"E",IF($H212="Bloquée","B","P"))),""))</f>
        <v/>
      </c>
      <c r="M212" s="53">
        <f>IF(OR($F212="",$G212=""),"",IF(AND(M$5&lt;=$G212,M$5+6&gt;=$F212),IF($H212="Complétée","F",IF(OR($H212="En cours",$H212="En revue"),"E",IF($H212="Bloquée","B","P"))),""))</f>
        <v/>
      </c>
      <c r="N212" s="53">
        <f>IF(OR($F212="",$G212=""),"",IF(AND(N$5&lt;=$G212,N$5+6&gt;=$F212),IF($H212="Complétée","F",IF(OR($H212="En cours",$H212="En revue"),"E",IF($H212="Bloquée","B","P"))),""))</f>
        <v/>
      </c>
      <c r="O212" s="53">
        <f>IF(OR($F212="",$G212=""),"",IF(AND(O$5&lt;=$G212,O$5+6&gt;=$F212),IF($H212="Complétée","F",IF(OR($H212="En cours",$H212="En revue"),"E",IF($H212="Bloquée","B","P"))),""))</f>
        <v/>
      </c>
      <c r="P212" s="53">
        <f>IF(OR($F212="",$G212=""),"",IF(AND(P$5&lt;=$G212,P$5+6&gt;=$F212),IF($H212="Complétée","F",IF(OR($H212="En cours",$H212="En revue"),"E",IF($H212="Bloquée","B","P"))),""))</f>
        <v/>
      </c>
      <c r="Q212" s="53">
        <f>IF(OR($F212="",$G212=""),"",IF(AND(Q$5&lt;=$G212,Q$5+6&gt;=$F212),IF($H212="Complétée","F",IF(OR($H212="En cours",$H212="En revue"),"E",IF($H212="Bloquée","B","P"))),""))</f>
        <v/>
      </c>
      <c r="R212" s="53">
        <f>IF(OR($F212="",$G212=""),"",IF(AND(R$5&lt;=$G212,R$5+6&gt;=$F212),IF($H212="Complétée","F",IF(OR($H212="En cours",$H212="En revue"),"E",IF($H212="Bloquée","B","P"))),""))</f>
        <v/>
      </c>
      <c r="S212" s="53">
        <f>IF(OR($F212="",$G212=""),"",IF(AND(S$5&lt;=$G212,S$5+6&gt;=$F212),IF($H212="Complétée","F",IF(OR($H212="En cours",$H212="En revue"),"E",IF($H212="Bloquée","B","P"))),""))</f>
        <v/>
      </c>
      <c r="T212" s="53">
        <f>IF(OR($F212="",$G212=""),"",IF(AND(T$5&lt;=$G212,T$5+6&gt;=$F212),IF($H212="Complétée","F",IF(OR($H212="En cours",$H212="En revue"),"E",IF($H212="Bloquée","B","P"))),""))</f>
        <v/>
      </c>
      <c r="U212" s="53">
        <f>IF(OR($F212="",$G212=""),"",IF(AND(U$5&lt;=$G212,U$5+6&gt;=$F212),IF($H212="Complétée","F",IF(OR($H212="En cours",$H212="En revue"),"E",IF($H212="Bloquée","B","P"))),""))</f>
        <v/>
      </c>
      <c r="V212" s="53">
        <f>IF(OR($F212="",$G212=""),"",IF(AND(V$5&lt;=$G212,V$5+6&gt;=$F212),IF($H212="Complétée","F",IF(OR($H212="En cours",$H212="En revue"),"E",IF($H212="Bloquée","B","P"))),""))</f>
        <v/>
      </c>
      <c r="W212" s="53">
        <f>IF(OR($F212="",$G212=""),"",IF(AND(W$5&lt;=$G212,W$5+6&gt;=$F212),IF($H212="Complétée","F",IF(OR($H212="En cours",$H212="En revue"),"E",IF($H212="Bloquée","B","P"))),""))</f>
        <v/>
      </c>
      <c r="X212" s="53">
        <f>IF(OR($F212="",$G212=""),"",IF(AND(X$5&lt;=$G212,X$5+6&gt;=$F212),IF($H212="Complétée","F",IF(OR($H212="En cours",$H212="En revue"),"E",IF($H212="Bloquée","B","P"))),""))</f>
        <v/>
      </c>
      <c r="Y212" s="53">
        <f>IF(OR($F212="",$G212=""),"",IF(AND(Y$5&lt;=$G212,Y$5+6&gt;=$F212),IF($H212="Complétée","F",IF(OR($H212="En cours",$H212="En revue"),"E",IF($H212="Bloquée","B","P"))),""))</f>
        <v/>
      </c>
      <c r="Z212" s="53">
        <f>IF(OR($F212="",$G212=""),"",IF(AND(Z$5&lt;=$G212,Z$5+6&gt;=$F212),IF($H212="Complétée","F",IF(OR($H212="En cours",$H212="En revue"),"E",IF($H212="Bloquée","B","P"))),""))</f>
        <v/>
      </c>
      <c r="AA212" s="53">
        <f>IF(OR($F212="",$G212=""),"",IF(AND(AA$5&lt;=$G212,AA$5+6&gt;=$F212),IF($H212="Complétée","F",IF(OR($H212="En cours",$H212="En revue"),"E",IF($H212="Bloquée","B","P"))),""))</f>
        <v/>
      </c>
      <c r="AB212" s="53">
        <f>IF(OR($F212="",$G212=""),"",IF(AND(AB$5&lt;=$G212,AB$5+6&gt;=$F212),IF($H212="Complétée","F",IF(OR($H212="En cours",$H212="En revue"),"E",IF($H212="Bloquée","B","P"))),""))</f>
        <v/>
      </c>
      <c r="AC212" s="53">
        <f>IF(OR($F212="",$G212=""),"",IF(AND(AC$5&lt;=$G212,AC$5+6&gt;=$F212),IF($H212="Complétée","F",IF(OR($H212="En cours",$H212="En revue"),"E",IF($H212="Bloquée","B","P"))),""))</f>
        <v/>
      </c>
      <c r="AD212" s="53">
        <f>IF(OR($F212="",$G212=""),"",IF(AND(AD$5&lt;=$G212,AD$5+6&gt;=$F212),IF($H212="Complétée","F",IF(OR($H212="En cours",$H212="En revue"),"E",IF($H212="Bloquée","B","P"))),""))</f>
        <v/>
      </c>
      <c r="AE212" s="53">
        <f>IF(OR($F212="",$G212=""),"",IF(AND(AE$5&lt;=$G212,AE$5+6&gt;=$F212),IF($H212="Complétée","F",IF(OR($H212="En cours",$H212="En revue"),"E",IF($H212="Bloquée","B","P"))),""))</f>
        <v/>
      </c>
      <c r="AF212" s="53">
        <f>IF(OR($F212="",$G212=""),"",IF(AND(AF$5&lt;=$G212,AF$5+6&gt;=$F212),IF($H212="Complétée","F",IF(OR($H212="En cours",$H212="En revue"),"E",IF($H212="Bloquée","B","P"))),""))</f>
        <v/>
      </c>
      <c r="AG212" s="53">
        <f>IF(OR($F212="",$G212=""),"",IF(AND(AG$5&lt;=$G212,AG$5+6&gt;=$F212),IF($H212="Complétée","F",IF(OR($H212="En cours",$H212="En revue"),"E",IF($H212="Bloquée","B","P"))),""))</f>
        <v/>
      </c>
      <c r="AH212" s="53">
        <f>IF(OR($F212="",$G212=""),"",IF(AND(AH$5&lt;=$G212,AH$5+6&gt;=$F212),IF($H212="Complétée","F",IF(OR($H212="En cours",$H212="En revue"),"E",IF($H212="Bloquée","B","P"))),""))</f>
        <v/>
      </c>
      <c r="AI212" s="53">
        <f>IF(OR($F212="",$G212=""),"",IF(AND(AI$5&lt;=$G212,AI$5+6&gt;=$F212),IF($H212="Complétée","F",IF(OR($H212="En cours",$H212="En revue"),"E",IF($H212="Bloquée","B","P"))),""))</f>
        <v/>
      </c>
      <c r="AJ212" s="53">
        <f>IF(OR($F212="",$G212=""),"",IF(AND(AJ$5&lt;=$G212,AJ$5+6&gt;=$F212),IF($H212="Complétée","F",IF(OR($H212="En cours",$H212="En revue"),"E",IF($H212="Bloquée","B","P"))),""))</f>
        <v/>
      </c>
      <c r="AK212" s="53">
        <f>IF(OR($F212="",$G212=""),"",IF(AND(AK$5&lt;=$G212,AK$5+6&gt;=$F212),IF($H212="Complétée","F",IF(OR($H212="En cours",$H212="En revue"),"E",IF($H212="Bloquée","B","P"))),""))</f>
        <v/>
      </c>
      <c r="AL212" s="53">
        <f>IF(OR($F212="",$G212=""),"",IF(AND(AL$5&lt;=$G212,AL$5+6&gt;=$F212),IF($H212="Complétée","F",IF(OR($H212="En cours",$H212="En revue"),"E",IF($H212="Bloquée","B","P"))),""))</f>
        <v/>
      </c>
      <c r="AM212" s="53">
        <f>IF(OR($F212="",$G212=""),"",IF(AND(AM$5&lt;=$G212,AM$5+6&gt;=$F212),IF($H212="Complétée","F",IF(OR($H212="En cours",$H212="En revue"),"E",IF($H212="Bloquée","B","P"))),""))</f>
        <v/>
      </c>
      <c r="AN212" s="53">
        <f>IF(OR($F212="",$G212=""),"",IF(AND(AN$5&lt;=$G212,AN$5+6&gt;=$F212),IF($H212="Complétée","F",IF(OR($H212="En cours",$H212="En revue"),"E",IF($H212="Bloquée","B","P"))),""))</f>
        <v/>
      </c>
      <c r="AO212" s="53">
        <f>IF(OR($F212="",$G212=""),"",IF(AND(AO$5&lt;=$G212,AO$5+6&gt;=$F212),IF($H212="Complétée","F",IF(OR($H212="En cours",$H212="En revue"),"E",IF($H212="Bloquée","B","P"))),""))</f>
        <v/>
      </c>
      <c r="AP212" s="53">
        <f>IF(OR($F212="",$G212=""),"",IF(AND(AP$5&lt;=$G212,AP$5+6&gt;=$F212),IF($H212="Complétée","F",IF(OR($H212="En cours",$H212="En revue"),"E",IF($H212="Bloquée","B","P"))),""))</f>
        <v/>
      </c>
      <c r="AQ212" s="53">
        <f>IF(OR($F212="",$G212=""),"",IF(AND(AQ$5&lt;=$G212,AQ$5+6&gt;=$F212),IF($H212="Complétée","F",IF(OR($H212="En cours",$H212="En revue"),"E",IF($H212="Bloquée","B","P"))),""))</f>
        <v/>
      </c>
      <c r="AR212" s="53">
        <f>IF(OR($F212="",$G212=""),"",IF(AND(AR$5&lt;=$G212,AR$5+6&gt;=$F212),IF($H212="Complétée","F",IF(OR($H212="En cours",$H212="En revue"),"E",IF($H212="Bloquée","B","P"))),""))</f>
        <v/>
      </c>
      <c r="AS212" s="53">
        <f>IF(OR($F212="",$G212=""),"",IF(AND(AS$5&lt;=$G212,AS$5+6&gt;=$F212),IF($H212="Complétée","F",IF(OR($H212="En cours",$H212="En revue"),"E",IF($H212="Bloquée","B","P"))),""))</f>
        <v/>
      </c>
      <c r="AT212" s="53">
        <f>IF(OR($F212="",$G212=""),"",IF(AND(AT$5&lt;=$G212,AT$5+6&gt;=$F212),IF($H212="Complétée","F",IF(OR($H212="En cours",$H212="En revue"),"E",IF($H212="Bloquée","B","P"))),""))</f>
        <v/>
      </c>
      <c r="AU212" s="53">
        <f>IF(OR($F212="",$G212=""),"",IF(AND(AU$5&lt;=$G212,AU$5+6&gt;=$F212),IF($H212="Complétée","F",IF(OR($H212="En cours",$H212="En revue"),"E",IF($H212="Bloquée","B","P"))),""))</f>
        <v/>
      </c>
      <c r="AV212" s="53">
        <f>IF(OR($F212="",$G212=""),"",IF(AND(AV$5&lt;=$G212,AV$5+6&gt;=$F212),IF($H212="Complétée","F",IF(OR($H212="En cours",$H212="En revue"),"E",IF($H212="Bloquée","B","P"))),""))</f>
        <v/>
      </c>
      <c r="AW212" s="53">
        <f>IF(OR($F212="",$G212=""),"",IF(AND(AW$5&lt;=$G212,AW$5+6&gt;=$F212),IF($H212="Complétée","F",IF(OR($H212="En cours",$H212="En revue"),"E",IF($H212="Bloquée","B","P"))),""))</f>
        <v/>
      </c>
    </row>
    <row r="213">
      <c r="B213" s="50">
        <f>IF(Taches!B213="","",Taches!B213)</f>
        <v/>
      </c>
      <c r="C213" s="51">
        <f>IF(Taches!B213="","",Taches!F213)</f>
        <v/>
      </c>
      <c r="D213" s="50">
        <f>IF(Taches!B213="","",Taches!C213)</f>
        <v/>
      </c>
      <c r="E213" s="50">
        <f>IF(Taches!B213="","",Taches!D213)</f>
        <v/>
      </c>
      <c r="F213" s="52">
        <f>IF(Taches!P213="","",Taches!P213)</f>
        <v/>
      </c>
      <c r="G213" s="52">
        <f>IF(Taches!Q213="","",Taches!Q213)</f>
        <v/>
      </c>
      <c r="H213" s="50">
        <f>IF(Taches!B213="","",Taches!J213)</f>
        <v/>
      </c>
      <c r="I213" s="53">
        <f>IF(OR($F213="",$G213=""),"",IF(AND(I$5&lt;=$G213,I$5+6&gt;=$F213),IF($H213="Complétée","F",IF(OR($H213="En cours",$H213="En revue"),"E",IF($H213="Bloquée","B","P"))),""))</f>
        <v/>
      </c>
      <c r="J213" s="53">
        <f>IF(OR($F213="",$G213=""),"",IF(AND(J$5&lt;=$G213,J$5+6&gt;=$F213),IF($H213="Complétée","F",IF(OR($H213="En cours",$H213="En revue"),"E",IF($H213="Bloquée","B","P"))),""))</f>
        <v/>
      </c>
      <c r="K213" s="53">
        <f>IF(OR($F213="",$G213=""),"",IF(AND(K$5&lt;=$G213,K$5+6&gt;=$F213),IF($H213="Complétée","F",IF(OR($H213="En cours",$H213="En revue"),"E",IF($H213="Bloquée","B","P"))),""))</f>
        <v/>
      </c>
      <c r="L213" s="53">
        <f>IF(OR($F213="",$G213=""),"",IF(AND(L$5&lt;=$G213,L$5+6&gt;=$F213),IF($H213="Complétée","F",IF(OR($H213="En cours",$H213="En revue"),"E",IF($H213="Bloquée","B","P"))),""))</f>
        <v/>
      </c>
      <c r="M213" s="53">
        <f>IF(OR($F213="",$G213=""),"",IF(AND(M$5&lt;=$G213,M$5+6&gt;=$F213),IF($H213="Complétée","F",IF(OR($H213="En cours",$H213="En revue"),"E",IF($H213="Bloquée","B","P"))),""))</f>
        <v/>
      </c>
      <c r="N213" s="53">
        <f>IF(OR($F213="",$G213=""),"",IF(AND(N$5&lt;=$G213,N$5+6&gt;=$F213),IF($H213="Complétée","F",IF(OR($H213="En cours",$H213="En revue"),"E",IF($H213="Bloquée","B","P"))),""))</f>
        <v/>
      </c>
      <c r="O213" s="53">
        <f>IF(OR($F213="",$G213=""),"",IF(AND(O$5&lt;=$G213,O$5+6&gt;=$F213),IF($H213="Complétée","F",IF(OR($H213="En cours",$H213="En revue"),"E",IF($H213="Bloquée","B","P"))),""))</f>
        <v/>
      </c>
      <c r="P213" s="53">
        <f>IF(OR($F213="",$G213=""),"",IF(AND(P$5&lt;=$G213,P$5+6&gt;=$F213),IF($H213="Complétée","F",IF(OR($H213="En cours",$H213="En revue"),"E",IF($H213="Bloquée","B","P"))),""))</f>
        <v/>
      </c>
      <c r="Q213" s="53">
        <f>IF(OR($F213="",$G213=""),"",IF(AND(Q$5&lt;=$G213,Q$5+6&gt;=$F213),IF($H213="Complétée","F",IF(OR($H213="En cours",$H213="En revue"),"E",IF($H213="Bloquée","B","P"))),""))</f>
        <v/>
      </c>
      <c r="R213" s="53">
        <f>IF(OR($F213="",$G213=""),"",IF(AND(R$5&lt;=$G213,R$5+6&gt;=$F213),IF($H213="Complétée","F",IF(OR($H213="En cours",$H213="En revue"),"E",IF($H213="Bloquée","B","P"))),""))</f>
        <v/>
      </c>
      <c r="S213" s="53">
        <f>IF(OR($F213="",$G213=""),"",IF(AND(S$5&lt;=$G213,S$5+6&gt;=$F213),IF($H213="Complétée","F",IF(OR($H213="En cours",$H213="En revue"),"E",IF($H213="Bloquée","B","P"))),""))</f>
        <v/>
      </c>
      <c r="T213" s="53">
        <f>IF(OR($F213="",$G213=""),"",IF(AND(T$5&lt;=$G213,T$5+6&gt;=$F213),IF($H213="Complétée","F",IF(OR($H213="En cours",$H213="En revue"),"E",IF($H213="Bloquée","B","P"))),""))</f>
        <v/>
      </c>
      <c r="U213" s="53">
        <f>IF(OR($F213="",$G213=""),"",IF(AND(U$5&lt;=$G213,U$5+6&gt;=$F213),IF($H213="Complétée","F",IF(OR($H213="En cours",$H213="En revue"),"E",IF($H213="Bloquée","B","P"))),""))</f>
        <v/>
      </c>
      <c r="V213" s="53">
        <f>IF(OR($F213="",$G213=""),"",IF(AND(V$5&lt;=$G213,V$5+6&gt;=$F213),IF($H213="Complétée","F",IF(OR($H213="En cours",$H213="En revue"),"E",IF($H213="Bloquée","B","P"))),""))</f>
        <v/>
      </c>
      <c r="W213" s="53">
        <f>IF(OR($F213="",$G213=""),"",IF(AND(W$5&lt;=$G213,W$5+6&gt;=$F213),IF($H213="Complétée","F",IF(OR($H213="En cours",$H213="En revue"),"E",IF($H213="Bloquée","B","P"))),""))</f>
        <v/>
      </c>
      <c r="X213" s="53">
        <f>IF(OR($F213="",$G213=""),"",IF(AND(X$5&lt;=$G213,X$5+6&gt;=$F213),IF($H213="Complétée","F",IF(OR($H213="En cours",$H213="En revue"),"E",IF($H213="Bloquée","B","P"))),""))</f>
        <v/>
      </c>
      <c r="Y213" s="53">
        <f>IF(OR($F213="",$G213=""),"",IF(AND(Y$5&lt;=$G213,Y$5+6&gt;=$F213),IF($H213="Complétée","F",IF(OR($H213="En cours",$H213="En revue"),"E",IF($H213="Bloquée","B","P"))),""))</f>
        <v/>
      </c>
      <c r="Z213" s="53">
        <f>IF(OR($F213="",$G213=""),"",IF(AND(Z$5&lt;=$G213,Z$5+6&gt;=$F213),IF($H213="Complétée","F",IF(OR($H213="En cours",$H213="En revue"),"E",IF($H213="Bloquée","B","P"))),""))</f>
        <v/>
      </c>
      <c r="AA213" s="53">
        <f>IF(OR($F213="",$G213=""),"",IF(AND(AA$5&lt;=$G213,AA$5+6&gt;=$F213),IF($H213="Complétée","F",IF(OR($H213="En cours",$H213="En revue"),"E",IF($H213="Bloquée","B","P"))),""))</f>
        <v/>
      </c>
      <c r="AB213" s="53">
        <f>IF(OR($F213="",$G213=""),"",IF(AND(AB$5&lt;=$G213,AB$5+6&gt;=$F213),IF($H213="Complétée","F",IF(OR($H213="En cours",$H213="En revue"),"E",IF($H213="Bloquée","B","P"))),""))</f>
        <v/>
      </c>
      <c r="AC213" s="53">
        <f>IF(OR($F213="",$G213=""),"",IF(AND(AC$5&lt;=$G213,AC$5+6&gt;=$F213),IF($H213="Complétée","F",IF(OR($H213="En cours",$H213="En revue"),"E",IF($H213="Bloquée","B","P"))),""))</f>
        <v/>
      </c>
      <c r="AD213" s="53">
        <f>IF(OR($F213="",$G213=""),"",IF(AND(AD$5&lt;=$G213,AD$5+6&gt;=$F213),IF($H213="Complétée","F",IF(OR($H213="En cours",$H213="En revue"),"E",IF($H213="Bloquée","B","P"))),""))</f>
        <v/>
      </c>
      <c r="AE213" s="53">
        <f>IF(OR($F213="",$G213=""),"",IF(AND(AE$5&lt;=$G213,AE$5+6&gt;=$F213),IF($H213="Complétée","F",IF(OR($H213="En cours",$H213="En revue"),"E",IF($H213="Bloquée","B","P"))),""))</f>
        <v/>
      </c>
      <c r="AF213" s="53">
        <f>IF(OR($F213="",$G213=""),"",IF(AND(AF$5&lt;=$G213,AF$5+6&gt;=$F213),IF($H213="Complétée","F",IF(OR($H213="En cours",$H213="En revue"),"E",IF($H213="Bloquée","B","P"))),""))</f>
        <v/>
      </c>
      <c r="AG213" s="53">
        <f>IF(OR($F213="",$G213=""),"",IF(AND(AG$5&lt;=$G213,AG$5+6&gt;=$F213),IF($H213="Complétée","F",IF(OR($H213="En cours",$H213="En revue"),"E",IF($H213="Bloquée","B","P"))),""))</f>
        <v/>
      </c>
      <c r="AH213" s="53">
        <f>IF(OR($F213="",$G213=""),"",IF(AND(AH$5&lt;=$G213,AH$5+6&gt;=$F213),IF($H213="Complétée","F",IF(OR($H213="En cours",$H213="En revue"),"E",IF($H213="Bloquée","B","P"))),""))</f>
        <v/>
      </c>
      <c r="AI213" s="53">
        <f>IF(OR($F213="",$G213=""),"",IF(AND(AI$5&lt;=$G213,AI$5+6&gt;=$F213),IF($H213="Complétée","F",IF(OR($H213="En cours",$H213="En revue"),"E",IF($H213="Bloquée","B","P"))),""))</f>
        <v/>
      </c>
      <c r="AJ213" s="53">
        <f>IF(OR($F213="",$G213=""),"",IF(AND(AJ$5&lt;=$G213,AJ$5+6&gt;=$F213),IF($H213="Complétée","F",IF(OR($H213="En cours",$H213="En revue"),"E",IF($H213="Bloquée","B","P"))),""))</f>
        <v/>
      </c>
      <c r="AK213" s="53">
        <f>IF(OR($F213="",$G213=""),"",IF(AND(AK$5&lt;=$G213,AK$5+6&gt;=$F213),IF($H213="Complétée","F",IF(OR($H213="En cours",$H213="En revue"),"E",IF($H213="Bloquée","B","P"))),""))</f>
        <v/>
      </c>
      <c r="AL213" s="53">
        <f>IF(OR($F213="",$G213=""),"",IF(AND(AL$5&lt;=$G213,AL$5+6&gt;=$F213),IF($H213="Complétée","F",IF(OR($H213="En cours",$H213="En revue"),"E",IF($H213="Bloquée","B","P"))),""))</f>
        <v/>
      </c>
      <c r="AM213" s="53">
        <f>IF(OR($F213="",$G213=""),"",IF(AND(AM$5&lt;=$G213,AM$5+6&gt;=$F213),IF($H213="Complétée","F",IF(OR($H213="En cours",$H213="En revue"),"E",IF($H213="Bloquée","B","P"))),""))</f>
        <v/>
      </c>
      <c r="AN213" s="53">
        <f>IF(OR($F213="",$G213=""),"",IF(AND(AN$5&lt;=$G213,AN$5+6&gt;=$F213),IF($H213="Complétée","F",IF(OR($H213="En cours",$H213="En revue"),"E",IF($H213="Bloquée","B","P"))),""))</f>
        <v/>
      </c>
      <c r="AO213" s="53">
        <f>IF(OR($F213="",$G213=""),"",IF(AND(AO$5&lt;=$G213,AO$5+6&gt;=$F213),IF($H213="Complétée","F",IF(OR($H213="En cours",$H213="En revue"),"E",IF($H213="Bloquée","B","P"))),""))</f>
        <v/>
      </c>
      <c r="AP213" s="53">
        <f>IF(OR($F213="",$G213=""),"",IF(AND(AP$5&lt;=$G213,AP$5+6&gt;=$F213),IF($H213="Complétée","F",IF(OR($H213="En cours",$H213="En revue"),"E",IF($H213="Bloquée","B","P"))),""))</f>
        <v/>
      </c>
      <c r="AQ213" s="53">
        <f>IF(OR($F213="",$G213=""),"",IF(AND(AQ$5&lt;=$G213,AQ$5+6&gt;=$F213),IF($H213="Complétée","F",IF(OR($H213="En cours",$H213="En revue"),"E",IF($H213="Bloquée","B","P"))),""))</f>
        <v/>
      </c>
      <c r="AR213" s="53">
        <f>IF(OR($F213="",$G213=""),"",IF(AND(AR$5&lt;=$G213,AR$5+6&gt;=$F213),IF($H213="Complétée","F",IF(OR($H213="En cours",$H213="En revue"),"E",IF($H213="Bloquée","B","P"))),""))</f>
        <v/>
      </c>
      <c r="AS213" s="53">
        <f>IF(OR($F213="",$G213=""),"",IF(AND(AS$5&lt;=$G213,AS$5+6&gt;=$F213),IF($H213="Complétée","F",IF(OR($H213="En cours",$H213="En revue"),"E",IF($H213="Bloquée","B","P"))),""))</f>
        <v/>
      </c>
      <c r="AT213" s="53">
        <f>IF(OR($F213="",$G213=""),"",IF(AND(AT$5&lt;=$G213,AT$5+6&gt;=$F213),IF($H213="Complétée","F",IF(OR($H213="En cours",$H213="En revue"),"E",IF($H213="Bloquée","B","P"))),""))</f>
        <v/>
      </c>
      <c r="AU213" s="53">
        <f>IF(OR($F213="",$G213=""),"",IF(AND(AU$5&lt;=$G213,AU$5+6&gt;=$F213),IF($H213="Complétée","F",IF(OR($H213="En cours",$H213="En revue"),"E",IF($H213="Bloquée","B","P"))),""))</f>
        <v/>
      </c>
      <c r="AV213" s="53">
        <f>IF(OR($F213="",$G213=""),"",IF(AND(AV$5&lt;=$G213,AV$5+6&gt;=$F213),IF($H213="Complétée","F",IF(OR($H213="En cours",$H213="En revue"),"E",IF($H213="Bloquée","B","P"))),""))</f>
        <v/>
      </c>
      <c r="AW213" s="53">
        <f>IF(OR($F213="",$G213=""),"",IF(AND(AW$5&lt;=$G213,AW$5+6&gt;=$F213),IF($H213="Complétée","F",IF(OR($H213="En cours",$H213="En revue"),"E",IF($H213="Bloquée","B","P"))),""))</f>
        <v/>
      </c>
    </row>
    <row r="214">
      <c r="B214" s="50">
        <f>IF(Taches!B214="","",Taches!B214)</f>
        <v/>
      </c>
      <c r="C214" s="51">
        <f>IF(Taches!B214="","",Taches!F214)</f>
        <v/>
      </c>
      <c r="D214" s="50">
        <f>IF(Taches!B214="","",Taches!C214)</f>
        <v/>
      </c>
      <c r="E214" s="50">
        <f>IF(Taches!B214="","",Taches!D214)</f>
        <v/>
      </c>
      <c r="F214" s="52">
        <f>IF(Taches!P214="","",Taches!P214)</f>
        <v/>
      </c>
      <c r="G214" s="52">
        <f>IF(Taches!Q214="","",Taches!Q214)</f>
        <v/>
      </c>
      <c r="H214" s="50">
        <f>IF(Taches!B214="","",Taches!J214)</f>
        <v/>
      </c>
      <c r="I214" s="53">
        <f>IF(OR($F214="",$G214=""),"",IF(AND(I$5&lt;=$G214,I$5+6&gt;=$F214),IF($H214="Complétée","F",IF(OR($H214="En cours",$H214="En revue"),"E",IF($H214="Bloquée","B","P"))),""))</f>
        <v/>
      </c>
      <c r="J214" s="53">
        <f>IF(OR($F214="",$G214=""),"",IF(AND(J$5&lt;=$G214,J$5+6&gt;=$F214),IF($H214="Complétée","F",IF(OR($H214="En cours",$H214="En revue"),"E",IF($H214="Bloquée","B","P"))),""))</f>
        <v/>
      </c>
      <c r="K214" s="53">
        <f>IF(OR($F214="",$G214=""),"",IF(AND(K$5&lt;=$G214,K$5+6&gt;=$F214),IF($H214="Complétée","F",IF(OR($H214="En cours",$H214="En revue"),"E",IF($H214="Bloquée","B","P"))),""))</f>
        <v/>
      </c>
      <c r="L214" s="53">
        <f>IF(OR($F214="",$G214=""),"",IF(AND(L$5&lt;=$G214,L$5+6&gt;=$F214),IF($H214="Complétée","F",IF(OR($H214="En cours",$H214="En revue"),"E",IF($H214="Bloquée","B","P"))),""))</f>
        <v/>
      </c>
      <c r="M214" s="53">
        <f>IF(OR($F214="",$G214=""),"",IF(AND(M$5&lt;=$G214,M$5+6&gt;=$F214),IF($H214="Complétée","F",IF(OR($H214="En cours",$H214="En revue"),"E",IF($H214="Bloquée","B","P"))),""))</f>
        <v/>
      </c>
      <c r="N214" s="53">
        <f>IF(OR($F214="",$G214=""),"",IF(AND(N$5&lt;=$G214,N$5+6&gt;=$F214),IF($H214="Complétée","F",IF(OR($H214="En cours",$H214="En revue"),"E",IF($H214="Bloquée","B","P"))),""))</f>
        <v/>
      </c>
      <c r="O214" s="53">
        <f>IF(OR($F214="",$G214=""),"",IF(AND(O$5&lt;=$G214,O$5+6&gt;=$F214),IF($H214="Complétée","F",IF(OR($H214="En cours",$H214="En revue"),"E",IF($H214="Bloquée","B","P"))),""))</f>
        <v/>
      </c>
      <c r="P214" s="53">
        <f>IF(OR($F214="",$G214=""),"",IF(AND(P$5&lt;=$G214,P$5+6&gt;=$F214),IF($H214="Complétée","F",IF(OR($H214="En cours",$H214="En revue"),"E",IF($H214="Bloquée","B","P"))),""))</f>
        <v/>
      </c>
      <c r="Q214" s="53">
        <f>IF(OR($F214="",$G214=""),"",IF(AND(Q$5&lt;=$G214,Q$5+6&gt;=$F214),IF($H214="Complétée","F",IF(OR($H214="En cours",$H214="En revue"),"E",IF($H214="Bloquée","B","P"))),""))</f>
        <v/>
      </c>
      <c r="R214" s="53">
        <f>IF(OR($F214="",$G214=""),"",IF(AND(R$5&lt;=$G214,R$5+6&gt;=$F214),IF($H214="Complétée","F",IF(OR($H214="En cours",$H214="En revue"),"E",IF($H214="Bloquée","B","P"))),""))</f>
        <v/>
      </c>
      <c r="S214" s="53">
        <f>IF(OR($F214="",$G214=""),"",IF(AND(S$5&lt;=$G214,S$5+6&gt;=$F214),IF($H214="Complétée","F",IF(OR($H214="En cours",$H214="En revue"),"E",IF($H214="Bloquée","B","P"))),""))</f>
        <v/>
      </c>
      <c r="T214" s="53">
        <f>IF(OR($F214="",$G214=""),"",IF(AND(T$5&lt;=$G214,T$5+6&gt;=$F214),IF($H214="Complétée","F",IF(OR($H214="En cours",$H214="En revue"),"E",IF($H214="Bloquée","B","P"))),""))</f>
        <v/>
      </c>
      <c r="U214" s="53">
        <f>IF(OR($F214="",$G214=""),"",IF(AND(U$5&lt;=$G214,U$5+6&gt;=$F214),IF($H214="Complétée","F",IF(OR($H214="En cours",$H214="En revue"),"E",IF($H214="Bloquée","B","P"))),""))</f>
        <v/>
      </c>
      <c r="V214" s="53">
        <f>IF(OR($F214="",$G214=""),"",IF(AND(V$5&lt;=$G214,V$5+6&gt;=$F214),IF($H214="Complétée","F",IF(OR($H214="En cours",$H214="En revue"),"E",IF($H214="Bloquée","B","P"))),""))</f>
        <v/>
      </c>
      <c r="W214" s="53">
        <f>IF(OR($F214="",$G214=""),"",IF(AND(W$5&lt;=$G214,W$5+6&gt;=$F214),IF($H214="Complétée","F",IF(OR($H214="En cours",$H214="En revue"),"E",IF($H214="Bloquée","B","P"))),""))</f>
        <v/>
      </c>
      <c r="X214" s="53">
        <f>IF(OR($F214="",$G214=""),"",IF(AND(X$5&lt;=$G214,X$5+6&gt;=$F214),IF($H214="Complétée","F",IF(OR($H214="En cours",$H214="En revue"),"E",IF($H214="Bloquée","B","P"))),""))</f>
        <v/>
      </c>
      <c r="Y214" s="53">
        <f>IF(OR($F214="",$G214=""),"",IF(AND(Y$5&lt;=$G214,Y$5+6&gt;=$F214),IF($H214="Complétée","F",IF(OR($H214="En cours",$H214="En revue"),"E",IF($H214="Bloquée","B","P"))),""))</f>
        <v/>
      </c>
      <c r="Z214" s="53">
        <f>IF(OR($F214="",$G214=""),"",IF(AND(Z$5&lt;=$G214,Z$5+6&gt;=$F214),IF($H214="Complétée","F",IF(OR($H214="En cours",$H214="En revue"),"E",IF($H214="Bloquée","B","P"))),""))</f>
        <v/>
      </c>
      <c r="AA214" s="53">
        <f>IF(OR($F214="",$G214=""),"",IF(AND(AA$5&lt;=$G214,AA$5+6&gt;=$F214),IF($H214="Complétée","F",IF(OR($H214="En cours",$H214="En revue"),"E",IF($H214="Bloquée","B","P"))),""))</f>
        <v/>
      </c>
      <c r="AB214" s="53">
        <f>IF(OR($F214="",$G214=""),"",IF(AND(AB$5&lt;=$G214,AB$5+6&gt;=$F214),IF($H214="Complétée","F",IF(OR($H214="En cours",$H214="En revue"),"E",IF($H214="Bloquée","B","P"))),""))</f>
        <v/>
      </c>
      <c r="AC214" s="53">
        <f>IF(OR($F214="",$G214=""),"",IF(AND(AC$5&lt;=$G214,AC$5+6&gt;=$F214),IF($H214="Complétée","F",IF(OR($H214="En cours",$H214="En revue"),"E",IF($H214="Bloquée","B","P"))),""))</f>
        <v/>
      </c>
      <c r="AD214" s="53">
        <f>IF(OR($F214="",$G214=""),"",IF(AND(AD$5&lt;=$G214,AD$5+6&gt;=$F214),IF($H214="Complétée","F",IF(OR($H214="En cours",$H214="En revue"),"E",IF($H214="Bloquée","B","P"))),""))</f>
        <v/>
      </c>
      <c r="AE214" s="53">
        <f>IF(OR($F214="",$G214=""),"",IF(AND(AE$5&lt;=$G214,AE$5+6&gt;=$F214),IF($H214="Complétée","F",IF(OR($H214="En cours",$H214="En revue"),"E",IF($H214="Bloquée","B","P"))),""))</f>
        <v/>
      </c>
      <c r="AF214" s="53">
        <f>IF(OR($F214="",$G214=""),"",IF(AND(AF$5&lt;=$G214,AF$5+6&gt;=$F214),IF($H214="Complétée","F",IF(OR($H214="En cours",$H214="En revue"),"E",IF($H214="Bloquée","B","P"))),""))</f>
        <v/>
      </c>
      <c r="AG214" s="53">
        <f>IF(OR($F214="",$G214=""),"",IF(AND(AG$5&lt;=$G214,AG$5+6&gt;=$F214),IF($H214="Complétée","F",IF(OR($H214="En cours",$H214="En revue"),"E",IF($H214="Bloquée","B","P"))),""))</f>
        <v/>
      </c>
      <c r="AH214" s="53">
        <f>IF(OR($F214="",$G214=""),"",IF(AND(AH$5&lt;=$G214,AH$5+6&gt;=$F214),IF($H214="Complétée","F",IF(OR($H214="En cours",$H214="En revue"),"E",IF($H214="Bloquée","B","P"))),""))</f>
        <v/>
      </c>
      <c r="AI214" s="53">
        <f>IF(OR($F214="",$G214=""),"",IF(AND(AI$5&lt;=$G214,AI$5+6&gt;=$F214),IF($H214="Complétée","F",IF(OR($H214="En cours",$H214="En revue"),"E",IF($H214="Bloquée","B","P"))),""))</f>
        <v/>
      </c>
      <c r="AJ214" s="53">
        <f>IF(OR($F214="",$G214=""),"",IF(AND(AJ$5&lt;=$G214,AJ$5+6&gt;=$F214),IF($H214="Complétée","F",IF(OR($H214="En cours",$H214="En revue"),"E",IF($H214="Bloquée","B","P"))),""))</f>
        <v/>
      </c>
      <c r="AK214" s="53">
        <f>IF(OR($F214="",$G214=""),"",IF(AND(AK$5&lt;=$G214,AK$5+6&gt;=$F214),IF($H214="Complétée","F",IF(OR($H214="En cours",$H214="En revue"),"E",IF($H214="Bloquée","B","P"))),""))</f>
        <v/>
      </c>
      <c r="AL214" s="53">
        <f>IF(OR($F214="",$G214=""),"",IF(AND(AL$5&lt;=$G214,AL$5+6&gt;=$F214),IF($H214="Complétée","F",IF(OR($H214="En cours",$H214="En revue"),"E",IF($H214="Bloquée","B","P"))),""))</f>
        <v/>
      </c>
      <c r="AM214" s="53">
        <f>IF(OR($F214="",$G214=""),"",IF(AND(AM$5&lt;=$G214,AM$5+6&gt;=$F214),IF($H214="Complétée","F",IF(OR($H214="En cours",$H214="En revue"),"E",IF($H214="Bloquée","B","P"))),""))</f>
        <v/>
      </c>
      <c r="AN214" s="53">
        <f>IF(OR($F214="",$G214=""),"",IF(AND(AN$5&lt;=$G214,AN$5+6&gt;=$F214),IF($H214="Complétée","F",IF(OR($H214="En cours",$H214="En revue"),"E",IF($H214="Bloquée","B","P"))),""))</f>
        <v/>
      </c>
      <c r="AO214" s="53">
        <f>IF(OR($F214="",$G214=""),"",IF(AND(AO$5&lt;=$G214,AO$5+6&gt;=$F214),IF($H214="Complétée","F",IF(OR($H214="En cours",$H214="En revue"),"E",IF($H214="Bloquée","B","P"))),""))</f>
        <v/>
      </c>
      <c r="AP214" s="53">
        <f>IF(OR($F214="",$G214=""),"",IF(AND(AP$5&lt;=$G214,AP$5+6&gt;=$F214),IF($H214="Complétée","F",IF(OR($H214="En cours",$H214="En revue"),"E",IF($H214="Bloquée","B","P"))),""))</f>
        <v/>
      </c>
      <c r="AQ214" s="53">
        <f>IF(OR($F214="",$G214=""),"",IF(AND(AQ$5&lt;=$G214,AQ$5+6&gt;=$F214),IF($H214="Complétée","F",IF(OR($H214="En cours",$H214="En revue"),"E",IF($H214="Bloquée","B","P"))),""))</f>
        <v/>
      </c>
      <c r="AR214" s="53">
        <f>IF(OR($F214="",$G214=""),"",IF(AND(AR$5&lt;=$G214,AR$5+6&gt;=$F214),IF($H214="Complétée","F",IF(OR($H214="En cours",$H214="En revue"),"E",IF($H214="Bloquée","B","P"))),""))</f>
        <v/>
      </c>
      <c r="AS214" s="53">
        <f>IF(OR($F214="",$G214=""),"",IF(AND(AS$5&lt;=$G214,AS$5+6&gt;=$F214),IF($H214="Complétée","F",IF(OR($H214="En cours",$H214="En revue"),"E",IF($H214="Bloquée","B","P"))),""))</f>
        <v/>
      </c>
      <c r="AT214" s="53">
        <f>IF(OR($F214="",$G214=""),"",IF(AND(AT$5&lt;=$G214,AT$5+6&gt;=$F214),IF($H214="Complétée","F",IF(OR($H214="En cours",$H214="En revue"),"E",IF($H214="Bloquée","B","P"))),""))</f>
        <v/>
      </c>
      <c r="AU214" s="53">
        <f>IF(OR($F214="",$G214=""),"",IF(AND(AU$5&lt;=$G214,AU$5+6&gt;=$F214),IF($H214="Complétée","F",IF(OR($H214="En cours",$H214="En revue"),"E",IF($H214="Bloquée","B","P"))),""))</f>
        <v/>
      </c>
      <c r="AV214" s="53">
        <f>IF(OR($F214="",$G214=""),"",IF(AND(AV$5&lt;=$G214,AV$5+6&gt;=$F214),IF($H214="Complétée","F",IF(OR($H214="En cours",$H214="En revue"),"E",IF($H214="Bloquée","B","P"))),""))</f>
        <v/>
      </c>
      <c r="AW214" s="53">
        <f>IF(OR($F214="",$G214=""),"",IF(AND(AW$5&lt;=$G214,AW$5+6&gt;=$F214),IF($H214="Complétée","F",IF(OR($H214="En cours",$H214="En revue"),"E",IF($H214="Bloquée","B","P"))),""))</f>
        <v/>
      </c>
    </row>
    <row r="215">
      <c r="B215" s="50">
        <f>IF(Taches!B215="","",Taches!B215)</f>
        <v/>
      </c>
      <c r="C215" s="51">
        <f>IF(Taches!B215="","",Taches!F215)</f>
        <v/>
      </c>
      <c r="D215" s="50">
        <f>IF(Taches!B215="","",Taches!C215)</f>
        <v/>
      </c>
      <c r="E215" s="50">
        <f>IF(Taches!B215="","",Taches!D215)</f>
        <v/>
      </c>
      <c r="F215" s="52">
        <f>IF(Taches!P215="","",Taches!P215)</f>
        <v/>
      </c>
      <c r="G215" s="52">
        <f>IF(Taches!Q215="","",Taches!Q215)</f>
        <v/>
      </c>
      <c r="H215" s="50">
        <f>IF(Taches!B215="","",Taches!J215)</f>
        <v/>
      </c>
      <c r="I215" s="53">
        <f>IF(OR($F215="",$G215=""),"",IF(AND(I$5&lt;=$G215,I$5+6&gt;=$F215),IF($H215="Complétée","F",IF(OR($H215="En cours",$H215="En revue"),"E",IF($H215="Bloquée","B","P"))),""))</f>
        <v/>
      </c>
      <c r="J215" s="53">
        <f>IF(OR($F215="",$G215=""),"",IF(AND(J$5&lt;=$G215,J$5+6&gt;=$F215),IF($H215="Complétée","F",IF(OR($H215="En cours",$H215="En revue"),"E",IF($H215="Bloquée","B","P"))),""))</f>
        <v/>
      </c>
      <c r="K215" s="53">
        <f>IF(OR($F215="",$G215=""),"",IF(AND(K$5&lt;=$G215,K$5+6&gt;=$F215),IF($H215="Complétée","F",IF(OR($H215="En cours",$H215="En revue"),"E",IF($H215="Bloquée","B","P"))),""))</f>
        <v/>
      </c>
      <c r="L215" s="53">
        <f>IF(OR($F215="",$G215=""),"",IF(AND(L$5&lt;=$G215,L$5+6&gt;=$F215),IF($H215="Complétée","F",IF(OR($H215="En cours",$H215="En revue"),"E",IF($H215="Bloquée","B","P"))),""))</f>
        <v/>
      </c>
      <c r="M215" s="53">
        <f>IF(OR($F215="",$G215=""),"",IF(AND(M$5&lt;=$G215,M$5+6&gt;=$F215),IF($H215="Complétée","F",IF(OR($H215="En cours",$H215="En revue"),"E",IF($H215="Bloquée","B","P"))),""))</f>
        <v/>
      </c>
      <c r="N215" s="53">
        <f>IF(OR($F215="",$G215=""),"",IF(AND(N$5&lt;=$G215,N$5+6&gt;=$F215),IF($H215="Complétée","F",IF(OR($H215="En cours",$H215="En revue"),"E",IF($H215="Bloquée","B","P"))),""))</f>
        <v/>
      </c>
      <c r="O215" s="53">
        <f>IF(OR($F215="",$G215=""),"",IF(AND(O$5&lt;=$G215,O$5+6&gt;=$F215),IF($H215="Complétée","F",IF(OR($H215="En cours",$H215="En revue"),"E",IF($H215="Bloquée","B","P"))),""))</f>
        <v/>
      </c>
      <c r="P215" s="53">
        <f>IF(OR($F215="",$G215=""),"",IF(AND(P$5&lt;=$G215,P$5+6&gt;=$F215),IF($H215="Complétée","F",IF(OR($H215="En cours",$H215="En revue"),"E",IF($H215="Bloquée","B","P"))),""))</f>
        <v/>
      </c>
      <c r="Q215" s="53">
        <f>IF(OR($F215="",$G215=""),"",IF(AND(Q$5&lt;=$G215,Q$5+6&gt;=$F215),IF($H215="Complétée","F",IF(OR($H215="En cours",$H215="En revue"),"E",IF($H215="Bloquée","B","P"))),""))</f>
        <v/>
      </c>
      <c r="R215" s="53">
        <f>IF(OR($F215="",$G215=""),"",IF(AND(R$5&lt;=$G215,R$5+6&gt;=$F215),IF($H215="Complétée","F",IF(OR($H215="En cours",$H215="En revue"),"E",IF($H215="Bloquée","B","P"))),""))</f>
        <v/>
      </c>
      <c r="S215" s="53">
        <f>IF(OR($F215="",$G215=""),"",IF(AND(S$5&lt;=$G215,S$5+6&gt;=$F215),IF($H215="Complétée","F",IF(OR($H215="En cours",$H215="En revue"),"E",IF($H215="Bloquée","B","P"))),""))</f>
        <v/>
      </c>
      <c r="T215" s="53">
        <f>IF(OR($F215="",$G215=""),"",IF(AND(T$5&lt;=$G215,T$5+6&gt;=$F215),IF($H215="Complétée","F",IF(OR($H215="En cours",$H215="En revue"),"E",IF($H215="Bloquée","B","P"))),""))</f>
        <v/>
      </c>
      <c r="U215" s="53">
        <f>IF(OR($F215="",$G215=""),"",IF(AND(U$5&lt;=$G215,U$5+6&gt;=$F215),IF($H215="Complétée","F",IF(OR($H215="En cours",$H215="En revue"),"E",IF($H215="Bloquée","B","P"))),""))</f>
        <v/>
      </c>
      <c r="V215" s="53">
        <f>IF(OR($F215="",$G215=""),"",IF(AND(V$5&lt;=$G215,V$5+6&gt;=$F215),IF($H215="Complétée","F",IF(OR($H215="En cours",$H215="En revue"),"E",IF($H215="Bloquée","B","P"))),""))</f>
        <v/>
      </c>
      <c r="W215" s="53">
        <f>IF(OR($F215="",$G215=""),"",IF(AND(W$5&lt;=$G215,W$5+6&gt;=$F215),IF($H215="Complétée","F",IF(OR($H215="En cours",$H215="En revue"),"E",IF($H215="Bloquée","B","P"))),""))</f>
        <v/>
      </c>
      <c r="X215" s="53">
        <f>IF(OR($F215="",$G215=""),"",IF(AND(X$5&lt;=$G215,X$5+6&gt;=$F215),IF($H215="Complétée","F",IF(OR($H215="En cours",$H215="En revue"),"E",IF($H215="Bloquée","B","P"))),""))</f>
        <v/>
      </c>
      <c r="Y215" s="53">
        <f>IF(OR($F215="",$G215=""),"",IF(AND(Y$5&lt;=$G215,Y$5+6&gt;=$F215),IF($H215="Complétée","F",IF(OR($H215="En cours",$H215="En revue"),"E",IF($H215="Bloquée","B","P"))),""))</f>
        <v/>
      </c>
      <c r="Z215" s="53">
        <f>IF(OR($F215="",$G215=""),"",IF(AND(Z$5&lt;=$G215,Z$5+6&gt;=$F215),IF($H215="Complétée","F",IF(OR($H215="En cours",$H215="En revue"),"E",IF($H215="Bloquée","B","P"))),""))</f>
        <v/>
      </c>
      <c r="AA215" s="53">
        <f>IF(OR($F215="",$G215=""),"",IF(AND(AA$5&lt;=$G215,AA$5+6&gt;=$F215),IF($H215="Complétée","F",IF(OR($H215="En cours",$H215="En revue"),"E",IF($H215="Bloquée","B","P"))),""))</f>
        <v/>
      </c>
      <c r="AB215" s="53">
        <f>IF(OR($F215="",$G215=""),"",IF(AND(AB$5&lt;=$G215,AB$5+6&gt;=$F215),IF($H215="Complétée","F",IF(OR($H215="En cours",$H215="En revue"),"E",IF($H215="Bloquée","B","P"))),""))</f>
        <v/>
      </c>
      <c r="AC215" s="53">
        <f>IF(OR($F215="",$G215=""),"",IF(AND(AC$5&lt;=$G215,AC$5+6&gt;=$F215),IF($H215="Complétée","F",IF(OR($H215="En cours",$H215="En revue"),"E",IF($H215="Bloquée","B","P"))),""))</f>
        <v/>
      </c>
      <c r="AD215" s="53">
        <f>IF(OR($F215="",$G215=""),"",IF(AND(AD$5&lt;=$G215,AD$5+6&gt;=$F215),IF($H215="Complétée","F",IF(OR($H215="En cours",$H215="En revue"),"E",IF($H215="Bloquée","B","P"))),""))</f>
        <v/>
      </c>
      <c r="AE215" s="53">
        <f>IF(OR($F215="",$G215=""),"",IF(AND(AE$5&lt;=$G215,AE$5+6&gt;=$F215),IF($H215="Complétée","F",IF(OR($H215="En cours",$H215="En revue"),"E",IF($H215="Bloquée","B","P"))),""))</f>
        <v/>
      </c>
      <c r="AF215" s="53">
        <f>IF(OR($F215="",$G215=""),"",IF(AND(AF$5&lt;=$G215,AF$5+6&gt;=$F215),IF($H215="Complétée","F",IF(OR($H215="En cours",$H215="En revue"),"E",IF($H215="Bloquée","B","P"))),""))</f>
        <v/>
      </c>
      <c r="AG215" s="53">
        <f>IF(OR($F215="",$G215=""),"",IF(AND(AG$5&lt;=$G215,AG$5+6&gt;=$F215),IF($H215="Complétée","F",IF(OR($H215="En cours",$H215="En revue"),"E",IF($H215="Bloquée","B","P"))),""))</f>
        <v/>
      </c>
      <c r="AH215" s="53">
        <f>IF(OR($F215="",$G215=""),"",IF(AND(AH$5&lt;=$G215,AH$5+6&gt;=$F215),IF($H215="Complétée","F",IF(OR($H215="En cours",$H215="En revue"),"E",IF($H215="Bloquée","B","P"))),""))</f>
        <v/>
      </c>
      <c r="AI215" s="53">
        <f>IF(OR($F215="",$G215=""),"",IF(AND(AI$5&lt;=$G215,AI$5+6&gt;=$F215),IF($H215="Complétée","F",IF(OR($H215="En cours",$H215="En revue"),"E",IF($H215="Bloquée","B","P"))),""))</f>
        <v/>
      </c>
      <c r="AJ215" s="53">
        <f>IF(OR($F215="",$G215=""),"",IF(AND(AJ$5&lt;=$G215,AJ$5+6&gt;=$F215),IF($H215="Complétée","F",IF(OR($H215="En cours",$H215="En revue"),"E",IF($H215="Bloquée","B","P"))),""))</f>
        <v/>
      </c>
      <c r="AK215" s="53">
        <f>IF(OR($F215="",$G215=""),"",IF(AND(AK$5&lt;=$G215,AK$5+6&gt;=$F215),IF($H215="Complétée","F",IF(OR($H215="En cours",$H215="En revue"),"E",IF($H215="Bloquée","B","P"))),""))</f>
        <v/>
      </c>
      <c r="AL215" s="53">
        <f>IF(OR($F215="",$G215=""),"",IF(AND(AL$5&lt;=$G215,AL$5+6&gt;=$F215),IF($H215="Complétée","F",IF(OR($H215="En cours",$H215="En revue"),"E",IF($H215="Bloquée","B","P"))),""))</f>
        <v/>
      </c>
      <c r="AM215" s="53">
        <f>IF(OR($F215="",$G215=""),"",IF(AND(AM$5&lt;=$G215,AM$5+6&gt;=$F215),IF($H215="Complétée","F",IF(OR($H215="En cours",$H215="En revue"),"E",IF($H215="Bloquée","B","P"))),""))</f>
        <v/>
      </c>
      <c r="AN215" s="53">
        <f>IF(OR($F215="",$G215=""),"",IF(AND(AN$5&lt;=$G215,AN$5+6&gt;=$F215),IF($H215="Complétée","F",IF(OR($H215="En cours",$H215="En revue"),"E",IF($H215="Bloquée","B","P"))),""))</f>
        <v/>
      </c>
      <c r="AO215" s="53">
        <f>IF(OR($F215="",$G215=""),"",IF(AND(AO$5&lt;=$G215,AO$5+6&gt;=$F215),IF($H215="Complétée","F",IF(OR($H215="En cours",$H215="En revue"),"E",IF($H215="Bloquée","B","P"))),""))</f>
        <v/>
      </c>
      <c r="AP215" s="53">
        <f>IF(OR($F215="",$G215=""),"",IF(AND(AP$5&lt;=$G215,AP$5+6&gt;=$F215),IF($H215="Complétée","F",IF(OR($H215="En cours",$H215="En revue"),"E",IF($H215="Bloquée","B","P"))),""))</f>
        <v/>
      </c>
      <c r="AQ215" s="53">
        <f>IF(OR($F215="",$G215=""),"",IF(AND(AQ$5&lt;=$G215,AQ$5+6&gt;=$F215),IF($H215="Complétée","F",IF(OR($H215="En cours",$H215="En revue"),"E",IF($H215="Bloquée","B","P"))),""))</f>
        <v/>
      </c>
      <c r="AR215" s="53">
        <f>IF(OR($F215="",$G215=""),"",IF(AND(AR$5&lt;=$G215,AR$5+6&gt;=$F215),IF($H215="Complétée","F",IF(OR($H215="En cours",$H215="En revue"),"E",IF($H215="Bloquée","B","P"))),""))</f>
        <v/>
      </c>
      <c r="AS215" s="53">
        <f>IF(OR($F215="",$G215=""),"",IF(AND(AS$5&lt;=$G215,AS$5+6&gt;=$F215),IF($H215="Complétée","F",IF(OR($H215="En cours",$H215="En revue"),"E",IF($H215="Bloquée","B","P"))),""))</f>
        <v/>
      </c>
      <c r="AT215" s="53">
        <f>IF(OR($F215="",$G215=""),"",IF(AND(AT$5&lt;=$G215,AT$5+6&gt;=$F215),IF($H215="Complétée","F",IF(OR($H215="En cours",$H215="En revue"),"E",IF($H215="Bloquée","B","P"))),""))</f>
        <v/>
      </c>
      <c r="AU215" s="53">
        <f>IF(OR($F215="",$G215=""),"",IF(AND(AU$5&lt;=$G215,AU$5+6&gt;=$F215),IF($H215="Complétée","F",IF(OR($H215="En cours",$H215="En revue"),"E",IF($H215="Bloquée","B","P"))),""))</f>
        <v/>
      </c>
      <c r="AV215" s="53">
        <f>IF(OR($F215="",$G215=""),"",IF(AND(AV$5&lt;=$G215,AV$5+6&gt;=$F215),IF($H215="Complétée","F",IF(OR($H215="En cours",$H215="En revue"),"E",IF($H215="Bloquée","B","P"))),""))</f>
        <v/>
      </c>
      <c r="AW215" s="53">
        <f>IF(OR($F215="",$G215=""),"",IF(AND(AW$5&lt;=$G215,AW$5+6&gt;=$F215),IF($H215="Complétée","F",IF(OR($H215="En cours",$H215="En revue"),"E",IF($H215="Bloquée","B","P"))),""))</f>
        <v/>
      </c>
    </row>
    <row r="216">
      <c r="B216" s="50">
        <f>IF(Taches!B216="","",Taches!B216)</f>
        <v/>
      </c>
      <c r="C216" s="51">
        <f>IF(Taches!B216="","",Taches!F216)</f>
        <v/>
      </c>
      <c r="D216" s="50">
        <f>IF(Taches!B216="","",Taches!C216)</f>
        <v/>
      </c>
      <c r="E216" s="50">
        <f>IF(Taches!B216="","",Taches!D216)</f>
        <v/>
      </c>
      <c r="F216" s="52">
        <f>IF(Taches!P216="","",Taches!P216)</f>
        <v/>
      </c>
      <c r="G216" s="52">
        <f>IF(Taches!Q216="","",Taches!Q216)</f>
        <v/>
      </c>
      <c r="H216" s="50">
        <f>IF(Taches!B216="","",Taches!J216)</f>
        <v/>
      </c>
      <c r="I216" s="53">
        <f>IF(OR($F216="",$G216=""),"",IF(AND(I$5&lt;=$G216,I$5+6&gt;=$F216),IF($H216="Complétée","F",IF(OR($H216="En cours",$H216="En revue"),"E",IF($H216="Bloquée","B","P"))),""))</f>
        <v/>
      </c>
      <c r="J216" s="53">
        <f>IF(OR($F216="",$G216=""),"",IF(AND(J$5&lt;=$G216,J$5+6&gt;=$F216),IF($H216="Complétée","F",IF(OR($H216="En cours",$H216="En revue"),"E",IF($H216="Bloquée","B","P"))),""))</f>
        <v/>
      </c>
      <c r="K216" s="53">
        <f>IF(OR($F216="",$G216=""),"",IF(AND(K$5&lt;=$G216,K$5+6&gt;=$F216),IF($H216="Complétée","F",IF(OR($H216="En cours",$H216="En revue"),"E",IF($H216="Bloquée","B","P"))),""))</f>
        <v/>
      </c>
      <c r="L216" s="53">
        <f>IF(OR($F216="",$G216=""),"",IF(AND(L$5&lt;=$G216,L$5+6&gt;=$F216),IF($H216="Complétée","F",IF(OR($H216="En cours",$H216="En revue"),"E",IF($H216="Bloquée","B","P"))),""))</f>
        <v/>
      </c>
      <c r="M216" s="53">
        <f>IF(OR($F216="",$G216=""),"",IF(AND(M$5&lt;=$G216,M$5+6&gt;=$F216),IF($H216="Complétée","F",IF(OR($H216="En cours",$H216="En revue"),"E",IF($H216="Bloquée","B","P"))),""))</f>
        <v/>
      </c>
      <c r="N216" s="53">
        <f>IF(OR($F216="",$G216=""),"",IF(AND(N$5&lt;=$G216,N$5+6&gt;=$F216),IF($H216="Complétée","F",IF(OR($H216="En cours",$H216="En revue"),"E",IF($H216="Bloquée","B","P"))),""))</f>
        <v/>
      </c>
      <c r="O216" s="53">
        <f>IF(OR($F216="",$G216=""),"",IF(AND(O$5&lt;=$G216,O$5+6&gt;=$F216),IF($H216="Complétée","F",IF(OR($H216="En cours",$H216="En revue"),"E",IF($H216="Bloquée","B","P"))),""))</f>
        <v/>
      </c>
      <c r="P216" s="53">
        <f>IF(OR($F216="",$G216=""),"",IF(AND(P$5&lt;=$G216,P$5+6&gt;=$F216),IF($H216="Complétée","F",IF(OR($H216="En cours",$H216="En revue"),"E",IF($H216="Bloquée","B","P"))),""))</f>
        <v/>
      </c>
      <c r="Q216" s="53">
        <f>IF(OR($F216="",$G216=""),"",IF(AND(Q$5&lt;=$G216,Q$5+6&gt;=$F216),IF($H216="Complétée","F",IF(OR($H216="En cours",$H216="En revue"),"E",IF($H216="Bloquée","B","P"))),""))</f>
        <v/>
      </c>
      <c r="R216" s="53">
        <f>IF(OR($F216="",$G216=""),"",IF(AND(R$5&lt;=$G216,R$5+6&gt;=$F216),IF($H216="Complétée","F",IF(OR($H216="En cours",$H216="En revue"),"E",IF($H216="Bloquée","B","P"))),""))</f>
        <v/>
      </c>
      <c r="S216" s="53">
        <f>IF(OR($F216="",$G216=""),"",IF(AND(S$5&lt;=$G216,S$5+6&gt;=$F216),IF($H216="Complétée","F",IF(OR($H216="En cours",$H216="En revue"),"E",IF($H216="Bloquée","B","P"))),""))</f>
        <v/>
      </c>
      <c r="T216" s="53">
        <f>IF(OR($F216="",$G216=""),"",IF(AND(T$5&lt;=$G216,T$5+6&gt;=$F216),IF($H216="Complétée","F",IF(OR($H216="En cours",$H216="En revue"),"E",IF($H216="Bloquée","B","P"))),""))</f>
        <v/>
      </c>
      <c r="U216" s="53">
        <f>IF(OR($F216="",$G216=""),"",IF(AND(U$5&lt;=$G216,U$5+6&gt;=$F216),IF($H216="Complétée","F",IF(OR($H216="En cours",$H216="En revue"),"E",IF($H216="Bloquée","B","P"))),""))</f>
        <v/>
      </c>
      <c r="V216" s="53">
        <f>IF(OR($F216="",$G216=""),"",IF(AND(V$5&lt;=$G216,V$5+6&gt;=$F216),IF($H216="Complétée","F",IF(OR($H216="En cours",$H216="En revue"),"E",IF($H216="Bloquée","B","P"))),""))</f>
        <v/>
      </c>
      <c r="W216" s="53">
        <f>IF(OR($F216="",$G216=""),"",IF(AND(W$5&lt;=$G216,W$5+6&gt;=$F216),IF($H216="Complétée","F",IF(OR($H216="En cours",$H216="En revue"),"E",IF($H216="Bloquée","B","P"))),""))</f>
        <v/>
      </c>
      <c r="X216" s="53">
        <f>IF(OR($F216="",$G216=""),"",IF(AND(X$5&lt;=$G216,X$5+6&gt;=$F216),IF($H216="Complétée","F",IF(OR($H216="En cours",$H216="En revue"),"E",IF($H216="Bloquée","B","P"))),""))</f>
        <v/>
      </c>
      <c r="Y216" s="53">
        <f>IF(OR($F216="",$G216=""),"",IF(AND(Y$5&lt;=$G216,Y$5+6&gt;=$F216),IF($H216="Complétée","F",IF(OR($H216="En cours",$H216="En revue"),"E",IF($H216="Bloquée","B","P"))),""))</f>
        <v/>
      </c>
      <c r="Z216" s="53">
        <f>IF(OR($F216="",$G216=""),"",IF(AND(Z$5&lt;=$G216,Z$5+6&gt;=$F216),IF($H216="Complétée","F",IF(OR($H216="En cours",$H216="En revue"),"E",IF($H216="Bloquée","B","P"))),""))</f>
        <v/>
      </c>
      <c r="AA216" s="53">
        <f>IF(OR($F216="",$G216=""),"",IF(AND(AA$5&lt;=$G216,AA$5+6&gt;=$F216),IF($H216="Complétée","F",IF(OR($H216="En cours",$H216="En revue"),"E",IF($H216="Bloquée","B","P"))),""))</f>
        <v/>
      </c>
      <c r="AB216" s="53">
        <f>IF(OR($F216="",$G216=""),"",IF(AND(AB$5&lt;=$G216,AB$5+6&gt;=$F216),IF($H216="Complétée","F",IF(OR($H216="En cours",$H216="En revue"),"E",IF($H216="Bloquée","B","P"))),""))</f>
        <v/>
      </c>
      <c r="AC216" s="53">
        <f>IF(OR($F216="",$G216=""),"",IF(AND(AC$5&lt;=$G216,AC$5+6&gt;=$F216),IF($H216="Complétée","F",IF(OR($H216="En cours",$H216="En revue"),"E",IF($H216="Bloquée","B","P"))),""))</f>
        <v/>
      </c>
      <c r="AD216" s="53">
        <f>IF(OR($F216="",$G216=""),"",IF(AND(AD$5&lt;=$G216,AD$5+6&gt;=$F216),IF($H216="Complétée","F",IF(OR($H216="En cours",$H216="En revue"),"E",IF($H216="Bloquée","B","P"))),""))</f>
        <v/>
      </c>
      <c r="AE216" s="53">
        <f>IF(OR($F216="",$G216=""),"",IF(AND(AE$5&lt;=$G216,AE$5+6&gt;=$F216),IF($H216="Complétée","F",IF(OR($H216="En cours",$H216="En revue"),"E",IF($H216="Bloquée","B","P"))),""))</f>
        <v/>
      </c>
      <c r="AF216" s="53">
        <f>IF(OR($F216="",$G216=""),"",IF(AND(AF$5&lt;=$G216,AF$5+6&gt;=$F216),IF($H216="Complétée","F",IF(OR($H216="En cours",$H216="En revue"),"E",IF($H216="Bloquée","B","P"))),""))</f>
        <v/>
      </c>
      <c r="AG216" s="53">
        <f>IF(OR($F216="",$G216=""),"",IF(AND(AG$5&lt;=$G216,AG$5+6&gt;=$F216),IF($H216="Complétée","F",IF(OR($H216="En cours",$H216="En revue"),"E",IF($H216="Bloquée","B","P"))),""))</f>
        <v/>
      </c>
      <c r="AH216" s="53">
        <f>IF(OR($F216="",$G216=""),"",IF(AND(AH$5&lt;=$G216,AH$5+6&gt;=$F216),IF($H216="Complétée","F",IF(OR($H216="En cours",$H216="En revue"),"E",IF($H216="Bloquée","B","P"))),""))</f>
        <v/>
      </c>
      <c r="AI216" s="53">
        <f>IF(OR($F216="",$G216=""),"",IF(AND(AI$5&lt;=$G216,AI$5+6&gt;=$F216),IF($H216="Complétée","F",IF(OR($H216="En cours",$H216="En revue"),"E",IF($H216="Bloquée","B","P"))),""))</f>
        <v/>
      </c>
      <c r="AJ216" s="53">
        <f>IF(OR($F216="",$G216=""),"",IF(AND(AJ$5&lt;=$G216,AJ$5+6&gt;=$F216),IF($H216="Complétée","F",IF(OR($H216="En cours",$H216="En revue"),"E",IF($H216="Bloquée","B","P"))),""))</f>
        <v/>
      </c>
      <c r="AK216" s="53">
        <f>IF(OR($F216="",$G216=""),"",IF(AND(AK$5&lt;=$G216,AK$5+6&gt;=$F216),IF($H216="Complétée","F",IF(OR($H216="En cours",$H216="En revue"),"E",IF($H216="Bloquée","B","P"))),""))</f>
        <v/>
      </c>
      <c r="AL216" s="53">
        <f>IF(OR($F216="",$G216=""),"",IF(AND(AL$5&lt;=$G216,AL$5+6&gt;=$F216),IF($H216="Complétée","F",IF(OR($H216="En cours",$H216="En revue"),"E",IF($H216="Bloquée","B","P"))),""))</f>
        <v/>
      </c>
      <c r="AM216" s="53">
        <f>IF(OR($F216="",$G216=""),"",IF(AND(AM$5&lt;=$G216,AM$5+6&gt;=$F216),IF($H216="Complétée","F",IF(OR($H216="En cours",$H216="En revue"),"E",IF($H216="Bloquée","B","P"))),""))</f>
        <v/>
      </c>
      <c r="AN216" s="53">
        <f>IF(OR($F216="",$G216=""),"",IF(AND(AN$5&lt;=$G216,AN$5+6&gt;=$F216),IF($H216="Complétée","F",IF(OR($H216="En cours",$H216="En revue"),"E",IF($H216="Bloquée","B","P"))),""))</f>
        <v/>
      </c>
      <c r="AO216" s="53">
        <f>IF(OR($F216="",$G216=""),"",IF(AND(AO$5&lt;=$G216,AO$5+6&gt;=$F216),IF($H216="Complétée","F",IF(OR($H216="En cours",$H216="En revue"),"E",IF($H216="Bloquée","B","P"))),""))</f>
        <v/>
      </c>
      <c r="AP216" s="53">
        <f>IF(OR($F216="",$G216=""),"",IF(AND(AP$5&lt;=$G216,AP$5+6&gt;=$F216),IF($H216="Complétée","F",IF(OR($H216="En cours",$H216="En revue"),"E",IF($H216="Bloquée","B","P"))),""))</f>
        <v/>
      </c>
      <c r="AQ216" s="53">
        <f>IF(OR($F216="",$G216=""),"",IF(AND(AQ$5&lt;=$G216,AQ$5+6&gt;=$F216),IF($H216="Complétée","F",IF(OR($H216="En cours",$H216="En revue"),"E",IF($H216="Bloquée","B","P"))),""))</f>
        <v/>
      </c>
      <c r="AR216" s="53">
        <f>IF(OR($F216="",$G216=""),"",IF(AND(AR$5&lt;=$G216,AR$5+6&gt;=$F216),IF($H216="Complétée","F",IF(OR($H216="En cours",$H216="En revue"),"E",IF($H216="Bloquée","B","P"))),""))</f>
        <v/>
      </c>
      <c r="AS216" s="53">
        <f>IF(OR($F216="",$G216=""),"",IF(AND(AS$5&lt;=$G216,AS$5+6&gt;=$F216),IF($H216="Complétée","F",IF(OR($H216="En cours",$H216="En revue"),"E",IF($H216="Bloquée","B","P"))),""))</f>
        <v/>
      </c>
      <c r="AT216" s="53">
        <f>IF(OR($F216="",$G216=""),"",IF(AND(AT$5&lt;=$G216,AT$5+6&gt;=$F216),IF($H216="Complétée","F",IF(OR($H216="En cours",$H216="En revue"),"E",IF($H216="Bloquée","B","P"))),""))</f>
        <v/>
      </c>
      <c r="AU216" s="53">
        <f>IF(OR($F216="",$G216=""),"",IF(AND(AU$5&lt;=$G216,AU$5+6&gt;=$F216),IF($H216="Complétée","F",IF(OR($H216="En cours",$H216="En revue"),"E",IF($H216="Bloquée","B","P"))),""))</f>
        <v/>
      </c>
      <c r="AV216" s="53">
        <f>IF(OR($F216="",$G216=""),"",IF(AND(AV$5&lt;=$G216,AV$5+6&gt;=$F216),IF($H216="Complétée","F",IF(OR($H216="En cours",$H216="En revue"),"E",IF($H216="Bloquée","B","P"))),""))</f>
        <v/>
      </c>
      <c r="AW216" s="53">
        <f>IF(OR($F216="",$G216=""),"",IF(AND(AW$5&lt;=$G216,AW$5+6&gt;=$F216),IF($H216="Complétée","F",IF(OR($H216="En cours",$H216="En revue"),"E",IF($H216="Bloquée","B","P"))),""))</f>
        <v/>
      </c>
    </row>
    <row r="217">
      <c r="B217" s="50">
        <f>IF(Taches!B217="","",Taches!B217)</f>
        <v/>
      </c>
      <c r="C217" s="51">
        <f>IF(Taches!B217="","",Taches!F217)</f>
        <v/>
      </c>
      <c r="D217" s="50">
        <f>IF(Taches!B217="","",Taches!C217)</f>
        <v/>
      </c>
      <c r="E217" s="50">
        <f>IF(Taches!B217="","",Taches!D217)</f>
        <v/>
      </c>
      <c r="F217" s="52">
        <f>IF(Taches!P217="","",Taches!P217)</f>
        <v/>
      </c>
      <c r="G217" s="52">
        <f>IF(Taches!Q217="","",Taches!Q217)</f>
        <v/>
      </c>
      <c r="H217" s="50">
        <f>IF(Taches!B217="","",Taches!J217)</f>
        <v/>
      </c>
      <c r="I217" s="53">
        <f>IF(OR($F217="",$G217=""),"",IF(AND(I$5&lt;=$G217,I$5+6&gt;=$F217),IF($H217="Complétée","F",IF(OR($H217="En cours",$H217="En revue"),"E",IF($H217="Bloquée","B","P"))),""))</f>
        <v/>
      </c>
      <c r="J217" s="53">
        <f>IF(OR($F217="",$G217=""),"",IF(AND(J$5&lt;=$G217,J$5+6&gt;=$F217),IF($H217="Complétée","F",IF(OR($H217="En cours",$H217="En revue"),"E",IF($H217="Bloquée","B","P"))),""))</f>
        <v/>
      </c>
      <c r="K217" s="53">
        <f>IF(OR($F217="",$G217=""),"",IF(AND(K$5&lt;=$G217,K$5+6&gt;=$F217),IF($H217="Complétée","F",IF(OR($H217="En cours",$H217="En revue"),"E",IF($H217="Bloquée","B","P"))),""))</f>
        <v/>
      </c>
      <c r="L217" s="53">
        <f>IF(OR($F217="",$G217=""),"",IF(AND(L$5&lt;=$G217,L$5+6&gt;=$F217),IF($H217="Complétée","F",IF(OR($H217="En cours",$H217="En revue"),"E",IF($H217="Bloquée","B","P"))),""))</f>
        <v/>
      </c>
      <c r="M217" s="53">
        <f>IF(OR($F217="",$G217=""),"",IF(AND(M$5&lt;=$G217,M$5+6&gt;=$F217),IF($H217="Complétée","F",IF(OR($H217="En cours",$H217="En revue"),"E",IF($H217="Bloquée","B","P"))),""))</f>
        <v/>
      </c>
      <c r="N217" s="53">
        <f>IF(OR($F217="",$G217=""),"",IF(AND(N$5&lt;=$G217,N$5+6&gt;=$F217),IF($H217="Complétée","F",IF(OR($H217="En cours",$H217="En revue"),"E",IF($H217="Bloquée","B","P"))),""))</f>
        <v/>
      </c>
      <c r="O217" s="53">
        <f>IF(OR($F217="",$G217=""),"",IF(AND(O$5&lt;=$G217,O$5+6&gt;=$F217),IF($H217="Complétée","F",IF(OR($H217="En cours",$H217="En revue"),"E",IF($H217="Bloquée","B","P"))),""))</f>
        <v/>
      </c>
      <c r="P217" s="53">
        <f>IF(OR($F217="",$G217=""),"",IF(AND(P$5&lt;=$G217,P$5+6&gt;=$F217),IF($H217="Complétée","F",IF(OR($H217="En cours",$H217="En revue"),"E",IF($H217="Bloquée","B","P"))),""))</f>
        <v/>
      </c>
      <c r="Q217" s="53">
        <f>IF(OR($F217="",$G217=""),"",IF(AND(Q$5&lt;=$G217,Q$5+6&gt;=$F217),IF($H217="Complétée","F",IF(OR($H217="En cours",$H217="En revue"),"E",IF($H217="Bloquée","B","P"))),""))</f>
        <v/>
      </c>
      <c r="R217" s="53">
        <f>IF(OR($F217="",$G217=""),"",IF(AND(R$5&lt;=$G217,R$5+6&gt;=$F217),IF($H217="Complétée","F",IF(OR($H217="En cours",$H217="En revue"),"E",IF($H217="Bloquée","B","P"))),""))</f>
        <v/>
      </c>
      <c r="S217" s="53">
        <f>IF(OR($F217="",$G217=""),"",IF(AND(S$5&lt;=$G217,S$5+6&gt;=$F217),IF($H217="Complétée","F",IF(OR($H217="En cours",$H217="En revue"),"E",IF($H217="Bloquée","B","P"))),""))</f>
        <v/>
      </c>
      <c r="T217" s="53">
        <f>IF(OR($F217="",$G217=""),"",IF(AND(T$5&lt;=$G217,T$5+6&gt;=$F217),IF($H217="Complétée","F",IF(OR($H217="En cours",$H217="En revue"),"E",IF($H217="Bloquée","B","P"))),""))</f>
        <v/>
      </c>
      <c r="U217" s="53">
        <f>IF(OR($F217="",$G217=""),"",IF(AND(U$5&lt;=$G217,U$5+6&gt;=$F217),IF($H217="Complétée","F",IF(OR($H217="En cours",$H217="En revue"),"E",IF($H217="Bloquée","B","P"))),""))</f>
        <v/>
      </c>
      <c r="V217" s="53">
        <f>IF(OR($F217="",$G217=""),"",IF(AND(V$5&lt;=$G217,V$5+6&gt;=$F217),IF($H217="Complétée","F",IF(OR($H217="En cours",$H217="En revue"),"E",IF($H217="Bloquée","B","P"))),""))</f>
        <v/>
      </c>
      <c r="W217" s="53">
        <f>IF(OR($F217="",$G217=""),"",IF(AND(W$5&lt;=$G217,W$5+6&gt;=$F217),IF($H217="Complétée","F",IF(OR($H217="En cours",$H217="En revue"),"E",IF($H217="Bloquée","B","P"))),""))</f>
        <v/>
      </c>
      <c r="X217" s="53">
        <f>IF(OR($F217="",$G217=""),"",IF(AND(X$5&lt;=$G217,X$5+6&gt;=$F217),IF($H217="Complétée","F",IF(OR($H217="En cours",$H217="En revue"),"E",IF($H217="Bloquée","B","P"))),""))</f>
        <v/>
      </c>
      <c r="Y217" s="53">
        <f>IF(OR($F217="",$G217=""),"",IF(AND(Y$5&lt;=$G217,Y$5+6&gt;=$F217),IF($H217="Complétée","F",IF(OR($H217="En cours",$H217="En revue"),"E",IF($H217="Bloquée","B","P"))),""))</f>
        <v/>
      </c>
      <c r="Z217" s="53">
        <f>IF(OR($F217="",$G217=""),"",IF(AND(Z$5&lt;=$G217,Z$5+6&gt;=$F217),IF($H217="Complétée","F",IF(OR($H217="En cours",$H217="En revue"),"E",IF($H217="Bloquée","B","P"))),""))</f>
        <v/>
      </c>
      <c r="AA217" s="53">
        <f>IF(OR($F217="",$G217=""),"",IF(AND(AA$5&lt;=$G217,AA$5+6&gt;=$F217),IF($H217="Complétée","F",IF(OR($H217="En cours",$H217="En revue"),"E",IF($H217="Bloquée","B","P"))),""))</f>
        <v/>
      </c>
      <c r="AB217" s="53">
        <f>IF(OR($F217="",$G217=""),"",IF(AND(AB$5&lt;=$G217,AB$5+6&gt;=$F217),IF($H217="Complétée","F",IF(OR($H217="En cours",$H217="En revue"),"E",IF($H217="Bloquée","B","P"))),""))</f>
        <v/>
      </c>
      <c r="AC217" s="53">
        <f>IF(OR($F217="",$G217=""),"",IF(AND(AC$5&lt;=$G217,AC$5+6&gt;=$F217),IF($H217="Complétée","F",IF(OR($H217="En cours",$H217="En revue"),"E",IF($H217="Bloquée","B","P"))),""))</f>
        <v/>
      </c>
      <c r="AD217" s="53">
        <f>IF(OR($F217="",$G217=""),"",IF(AND(AD$5&lt;=$G217,AD$5+6&gt;=$F217),IF($H217="Complétée","F",IF(OR($H217="En cours",$H217="En revue"),"E",IF($H217="Bloquée","B","P"))),""))</f>
        <v/>
      </c>
      <c r="AE217" s="53">
        <f>IF(OR($F217="",$G217=""),"",IF(AND(AE$5&lt;=$G217,AE$5+6&gt;=$F217),IF($H217="Complétée","F",IF(OR($H217="En cours",$H217="En revue"),"E",IF($H217="Bloquée","B","P"))),""))</f>
        <v/>
      </c>
      <c r="AF217" s="53">
        <f>IF(OR($F217="",$G217=""),"",IF(AND(AF$5&lt;=$G217,AF$5+6&gt;=$F217),IF($H217="Complétée","F",IF(OR($H217="En cours",$H217="En revue"),"E",IF($H217="Bloquée","B","P"))),""))</f>
        <v/>
      </c>
      <c r="AG217" s="53">
        <f>IF(OR($F217="",$G217=""),"",IF(AND(AG$5&lt;=$G217,AG$5+6&gt;=$F217),IF($H217="Complétée","F",IF(OR($H217="En cours",$H217="En revue"),"E",IF($H217="Bloquée","B","P"))),""))</f>
        <v/>
      </c>
      <c r="AH217" s="53">
        <f>IF(OR($F217="",$G217=""),"",IF(AND(AH$5&lt;=$G217,AH$5+6&gt;=$F217),IF($H217="Complétée","F",IF(OR($H217="En cours",$H217="En revue"),"E",IF($H217="Bloquée","B","P"))),""))</f>
        <v/>
      </c>
      <c r="AI217" s="53">
        <f>IF(OR($F217="",$G217=""),"",IF(AND(AI$5&lt;=$G217,AI$5+6&gt;=$F217),IF($H217="Complétée","F",IF(OR($H217="En cours",$H217="En revue"),"E",IF($H217="Bloquée","B","P"))),""))</f>
        <v/>
      </c>
      <c r="AJ217" s="53">
        <f>IF(OR($F217="",$G217=""),"",IF(AND(AJ$5&lt;=$G217,AJ$5+6&gt;=$F217),IF($H217="Complétée","F",IF(OR($H217="En cours",$H217="En revue"),"E",IF($H217="Bloquée","B","P"))),""))</f>
        <v/>
      </c>
      <c r="AK217" s="53">
        <f>IF(OR($F217="",$G217=""),"",IF(AND(AK$5&lt;=$G217,AK$5+6&gt;=$F217),IF($H217="Complétée","F",IF(OR($H217="En cours",$H217="En revue"),"E",IF($H217="Bloquée","B","P"))),""))</f>
        <v/>
      </c>
      <c r="AL217" s="53">
        <f>IF(OR($F217="",$G217=""),"",IF(AND(AL$5&lt;=$G217,AL$5+6&gt;=$F217),IF($H217="Complétée","F",IF(OR($H217="En cours",$H217="En revue"),"E",IF($H217="Bloquée","B","P"))),""))</f>
        <v/>
      </c>
      <c r="AM217" s="53">
        <f>IF(OR($F217="",$G217=""),"",IF(AND(AM$5&lt;=$G217,AM$5+6&gt;=$F217),IF($H217="Complétée","F",IF(OR($H217="En cours",$H217="En revue"),"E",IF($H217="Bloquée","B","P"))),""))</f>
        <v/>
      </c>
      <c r="AN217" s="53">
        <f>IF(OR($F217="",$G217=""),"",IF(AND(AN$5&lt;=$G217,AN$5+6&gt;=$F217),IF($H217="Complétée","F",IF(OR($H217="En cours",$H217="En revue"),"E",IF($H217="Bloquée","B","P"))),""))</f>
        <v/>
      </c>
      <c r="AO217" s="53">
        <f>IF(OR($F217="",$G217=""),"",IF(AND(AO$5&lt;=$G217,AO$5+6&gt;=$F217),IF($H217="Complétée","F",IF(OR($H217="En cours",$H217="En revue"),"E",IF($H217="Bloquée","B","P"))),""))</f>
        <v/>
      </c>
      <c r="AP217" s="53">
        <f>IF(OR($F217="",$G217=""),"",IF(AND(AP$5&lt;=$G217,AP$5+6&gt;=$F217),IF($H217="Complétée","F",IF(OR($H217="En cours",$H217="En revue"),"E",IF($H217="Bloquée","B","P"))),""))</f>
        <v/>
      </c>
      <c r="AQ217" s="53">
        <f>IF(OR($F217="",$G217=""),"",IF(AND(AQ$5&lt;=$G217,AQ$5+6&gt;=$F217),IF($H217="Complétée","F",IF(OR($H217="En cours",$H217="En revue"),"E",IF($H217="Bloquée","B","P"))),""))</f>
        <v/>
      </c>
      <c r="AR217" s="53">
        <f>IF(OR($F217="",$G217=""),"",IF(AND(AR$5&lt;=$G217,AR$5+6&gt;=$F217),IF($H217="Complétée","F",IF(OR($H217="En cours",$H217="En revue"),"E",IF($H217="Bloquée","B","P"))),""))</f>
        <v/>
      </c>
      <c r="AS217" s="53">
        <f>IF(OR($F217="",$G217=""),"",IF(AND(AS$5&lt;=$G217,AS$5+6&gt;=$F217),IF($H217="Complétée","F",IF(OR($H217="En cours",$H217="En revue"),"E",IF($H217="Bloquée","B","P"))),""))</f>
        <v/>
      </c>
      <c r="AT217" s="53">
        <f>IF(OR($F217="",$G217=""),"",IF(AND(AT$5&lt;=$G217,AT$5+6&gt;=$F217),IF($H217="Complétée","F",IF(OR($H217="En cours",$H217="En revue"),"E",IF($H217="Bloquée","B","P"))),""))</f>
        <v/>
      </c>
      <c r="AU217" s="53">
        <f>IF(OR($F217="",$G217=""),"",IF(AND(AU$5&lt;=$G217,AU$5+6&gt;=$F217),IF($H217="Complétée","F",IF(OR($H217="En cours",$H217="En revue"),"E",IF($H217="Bloquée","B","P"))),""))</f>
        <v/>
      </c>
      <c r="AV217" s="53">
        <f>IF(OR($F217="",$G217=""),"",IF(AND(AV$5&lt;=$G217,AV$5+6&gt;=$F217),IF($H217="Complétée","F",IF(OR($H217="En cours",$H217="En revue"),"E",IF($H217="Bloquée","B","P"))),""))</f>
        <v/>
      </c>
      <c r="AW217" s="53">
        <f>IF(OR($F217="",$G217=""),"",IF(AND(AW$5&lt;=$G217,AW$5+6&gt;=$F217),IF($H217="Complétée","F",IF(OR($H217="En cours",$H217="En revue"),"E",IF($H217="Bloquée","B","P"))),""))</f>
        <v/>
      </c>
    </row>
    <row r="218">
      <c r="B218" s="50">
        <f>IF(Taches!B218="","",Taches!B218)</f>
        <v/>
      </c>
      <c r="C218" s="51">
        <f>IF(Taches!B218="","",Taches!F218)</f>
        <v/>
      </c>
      <c r="D218" s="50">
        <f>IF(Taches!B218="","",Taches!C218)</f>
        <v/>
      </c>
      <c r="E218" s="50">
        <f>IF(Taches!B218="","",Taches!D218)</f>
        <v/>
      </c>
      <c r="F218" s="52">
        <f>IF(Taches!P218="","",Taches!P218)</f>
        <v/>
      </c>
      <c r="G218" s="52">
        <f>IF(Taches!Q218="","",Taches!Q218)</f>
        <v/>
      </c>
      <c r="H218" s="50">
        <f>IF(Taches!B218="","",Taches!J218)</f>
        <v/>
      </c>
      <c r="I218" s="53">
        <f>IF(OR($F218="",$G218=""),"",IF(AND(I$5&lt;=$G218,I$5+6&gt;=$F218),IF($H218="Complétée","F",IF(OR($H218="En cours",$H218="En revue"),"E",IF($H218="Bloquée","B","P"))),""))</f>
        <v/>
      </c>
      <c r="J218" s="53">
        <f>IF(OR($F218="",$G218=""),"",IF(AND(J$5&lt;=$G218,J$5+6&gt;=$F218),IF($H218="Complétée","F",IF(OR($H218="En cours",$H218="En revue"),"E",IF($H218="Bloquée","B","P"))),""))</f>
        <v/>
      </c>
      <c r="K218" s="53">
        <f>IF(OR($F218="",$G218=""),"",IF(AND(K$5&lt;=$G218,K$5+6&gt;=$F218),IF($H218="Complétée","F",IF(OR($H218="En cours",$H218="En revue"),"E",IF($H218="Bloquée","B","P"))),""))</f>
        <v/>
      </c>
      <c r="L218" s="53">
        <f>IF(OR($F218="",$G218=""),"",IF(AND(L$5&lt;=$G218,L$5+6&gt;=$F218),IF($H218="Complétée","F",IF(OR($H218="En cours",$H218="En revue"),"E",IF($H218="Bloquée","B","P"))),""))</f>
        <v/>
      </c>
      <c r="M218" s="53">
        <f>IF(OR($F218="",$G218=""),"",IF(AND(M$5&lt;=$G218,M$5+6&gt;=$F218),IF($H218="Complétée","F",IF(OR($H218="En cours",$H218="En revue"),"E",IF($H218="Bloquée","B","P"))),""))</f>
        <v/>
      </c>
      <c r="N218" s="53">
        <f>IF(OR($F218="",$G218=""),"",IF(AND(N$5&lt;=$G218,N$5+6&gt;=$F218),IF($H218="Complétée","F",IF(OR($H218="En cours",$H218="En revue"),"E",IF($H218="Bloquée","B","P"))),""))</f>
        <v/>
      </c>
      <c r="O218" s="53">
        <f>IF(OR($F218="",$G218=""),"",IF(AND(O$5&lt;=$G218,O$5+6&gt;=$F218),IF($H218="Complétée","F",IF(OR($H218="En cours",$H218="En revue"),"E",IF($H218="Bloquée","B","P"))),""))</f>
        <v/>
      </c>
      <c r="P218" s="53">
        <f>IF(OR($F218="",$G218=""),"",IF(AND(P$5&lt;=$G218,P$5+6&gt;=$F218),IF($H218="Complétée","F",IF(OR($H218="En cours",$H218="En revue"),"E",IF($H218="Bloquée","B","P"))),""))</f>
        <v/>
      </c>
      <c r="Q218" s="53">
        <f>IF(OR($F218="",$G218=""),"",IF(AND(Q$5&lt;=$G218,Q$5+6&gt;=$F218),IF($H218="Complétée","F",IF(OR($H218="En cours",$H218="En revue"),"E",IF($H218="Bloquée","B","P"))),""))</f>
        <v/>
      </c>
      <c r="R218" s="53">
        <f>IF(OR($F218="",$G218=""),"",IF(AND(R$5&lt;=$G218,R$5+6&gt;=$F218),IF($H218="Complétée","F",IF(OR($H218="En cours",$H218="En revue"),"E",IF($H218="Bloquée","B","P"))),""))</f>
        <v/>
      </c>
      <c r="S218" s="53">
        <f>IF(OR($F218="",$G218=""),"",IF(AND(S$5&lt;=$G218,S$5+6&gt;=$F218),IF($H218="Complétée","F",IF(OR($H218="En cours",$H218="En revue"),"E",IF($H218="Bloquée","B","P"))),""))</f>
        <v/>
      </c>
      <c r="T218" s="53">
        <f>IF(OR($F218="",$G218=""),"",IF(AND(T$5&lt;=$G218,T$5+6&gt;=$F218),IF($H218="Complétée","F",IF(OR($H218="En cours",$H218="En revue"),"E",IF($H218="Bloquée","B","P"))),""))</f>
        <v/>
      </c>
      <c r="U218" s="53">
        <f>IF(OR($F218="",$G218=""),"",IF(AND(U$5&lt;=$G218,U$5+6&gt;=$F218),IF($H218="Complétée","F",IF(OR($H218="En cours",$H218="En revue"),"E",IF($H218="Bloquée","B","P"))),""))</f>
        <v/>
      </c>
      <c r="V218" s="53">
        <f>IF(OR($F218="",$G218=""),"",IF(AND(V$5&lt;=$G218,V$5+6&gt;=$F218),IF($H218="Complétée","F",IF(OR($H218="En cours",$H218="En revue"),"E",IF($H218="Bloquée","B","P"))),""))</f>
        <v/>
      </c>
      <c r="W218" s="53">
        <f>IF(OR($F218="",$G218=""),"",IF(AND(W$5&lt;=$G218,W$5+6&gt;=$F218),IF($H218="Complétée","F",IF(OR($H218="En cours",$H218="En revue"),"E",IF($H218="Bloquée","B","P"))),""))</f>
        <v/>
      </c>
      <c r="X218" s="53">
        <f>IF(OR($F218="",$G218=""),"",IF(AND(X$5&lt;=$G218,X$5+6&gt;=$F218),IF($H218="Complétée","F",IF(OR($H218="En cours",$H218="En revue"),"E",IF($H218="Bloquée","B","P"))),""))</f>
        <v/>
      </c>
      <c r="Y218" s="53">
        <f>IF(OR($F218="",$G218=""),"",IF(AND(Y$5&lt;=$G218,Y$5+6&gt;=$F218),IF($H218="Complétée","F",IF(OR($H218="En cours",$H218="En revue"),"E",IF($H218="Bloquée","B","P"))),""))</f>
        <v/>
      </c>
      <c r="Z218" s="53">
        <f>IF(OR($F218="",$G218=""),"",IF(AND(Z$5&lt;=$G218,Z$5+6&gt;=$F218),IF($H218="Complétée","F",IF(OR($H218="En cours",$H218="En revue"),"E",IF($H218="Bloquée","B","P"))),""))</f>
        <v/>
      </c>
      <c r="AA218" s="53">
        <f>IF(OR($F218="",$G218=""),"",IF(AND(AA$5&lt;=$G218,AA$5+6&gt;=$F218),IF($H218="Complétée","F",IF(OR($H218="En cours",$H218="En revue"),"E",IF($H218="Bloquée","B","P"))),""))</f>
        <v/>
      </c>
      <c r="AB218" s="53">
        <f>IF(OR($F218="",$G218=""),"",IF(AND(AB$5&lt;=$G218,AB$5+6&gt;=$F218),IF($H218="Complétée","F",IF(OR($H218="En cours",$H218="En revue"),"E",IF($H218="Bloquée","B","P"))),""))</f>
        <v/>
      </c>
      <c r="AC218" s="53">
        <f>IF(OR($F218="",$G218=""),"",IF(AND(AC$5&lt;=$G218,AC$5+6&gt;=$F218),IF($H218="Complétée","F",IF(OR($H218="En cours",$H218="En revue"),"E",IF($H218="Bloquée","B","P"))),""))</f>
        <v/>
      </c>
      <c r="AD218" s="53">
        <f>IF(OR($F218="",$G218=""),"",IF(AND(AD$5&lt;=$G218,AD$5+6&gt;=$F218),IF($H218="Complétée","F",IF(OR($H218="En cours",$H218="En revue"),"E",IF($H218="Bloquée","B","P"))),""))</f>
        <v/>
      </c>
      <c r="AE218" s="53">
        <f>IF(OR($F218="",$G218=""),"",IF(AND(AE$5&lt;=$G218,AE$5+6&gt;=$F218),IF($H218="Complétée","F",IF(OR($H218="En cours",$H218="En revue"),"E",IF($H218="Bloquée","B","P"))),""))</f>
        <v/>
      </c>
      <c r="AF218" s="53">
        <f>IF(OR($F218="",$G218=""),"",IF(AND(AF$5&lt;=$G218,AF$5+6&gt;=$F218),IF($H218="Complétée","F",IF(OR($H218="En cours",$H218="En revue"),"E",IF($H218="Bloquée","B","P"))),""))</f>
        <v/>
      </c>
      <c r="AG218" s="53">
        <f>IF(OR($F218="",$G218=""),"",IF(AND(AG$5&lt;=$G218,AG$5+6&gt;=$F218),IF($H218="Complétée","F",IF(OR($H218="En cours",$H218="En revue"),"E",IF($H218="Bloquée","B","P"))),""))</f>
        <v/>
      </c>
      <c r="AH218" s="53">
        <f>IF(OR($F218="",$G218=""),"",IF(AND(AH$5&lt;=$G218,AH$5+6&gt;=$F218),IF($H218="Complétée","F",IF(OR($H218="En cours",$H218="En revue"),"E",IF($H218="Bloquée","B","P"))),""))</f>
        <v/>
      </c>
      <c r="AI218" s="53">
        <f>IF(OR($F218="",$G218=""),"",IF(AND(AI$5&lt;=$G218,AI$5+6&gt;=$F218),IF($H218="Complétée","F",IF(OR($H218="En cours",$H218="En revue"),"E",IF($H218="Bloquée","B","P"))),""))</f>
        <v/>
      </c>
      <c r="AJ218" s="53">
        <f>IF(OR($F218="",$G218=""),"",IF(AND(AJ$5&lt;=$G218,AJ$5+6&gt;=$F218),IF($H218="Complétée","F",IF(OR($H218="En cours",$H218="En revue"),"E",IF($H218="Bloquée","B","P"))),""))</f>
        <v/>
      </c>
      <c r="AK218" s="53">
        <f>IF(OR($F218="",$G218=""),"",IF(AND(AK$5&lt;=$G218,AK$5+6&gt;=$F218),IF($H218="Complétée","F",IF(OR($H218="En cours",$H218="En revue"),"E",IF($H218="Bloquée","B","P"))),""))</f>
        <v/>
      </c>
      <c r="AL218" s="53">
        <f>IF(OR($F218="",$G218=""),"",IF(AND(AL$5&lt;=$G218,AL$5+6&gt;=$F218),IF($H218="Complétée","F",IF(OR($H218="En cours",$H218="En revue"),"E",IF($H218="Bloquée","B","P"))),""))</f>
        <v/>
      </c>
      <c r="AM218" s="53">
        <f>IF(OR($F218="",$G218=""),"",IF(AND(AM$5&lt;=$G218,AM$5+6&gt;=$F218),IF($H218="Complétée","F",IF(OR($H218="En cours",$H218="En revue"),"E",IF($H218="Bloquée","B","P"))),""))</f>
        <v/>
      </c>
      <c r="AN218" s="53">
        <f>IF(OR($F218="",$G218=""),"",IF(AND(AN$5&lt;=$G218,AN$5+6&gt;=$F218),IF($H218="Complétée","F",IF(OR($H218="En cours",$H218="En revue"),"E",IF($H218="Bloquée","B","P"))),""))</f>
        <v/>
      </c>
      <c r="AO218" s="53">
        <f>IF(OR($F218="",$G218=""),"",IF(AND(AO$5&lt;=$G218,AO$5+6&gt;=$F218),IF($H218="Complétée","F",IF(OR($H218="En cours",$H218="En revue"),"E",IF($H218="Bloquée","B","P"))),""))</f>
        <v/>
      </c>
      <c r="AP218" s="53">
        <f>IF(OR($F218="",$G218=""),"",IF(AND(AP$5&lt;=$G218,AP$5+6&gt;=$F218),IF($H218="Complétée","F",IF(OR($H218="En cours",$H218="En revue"),"E",IF($H218="Bloquée","B","P"))),""))</f>
        <v/>
      </c>
      <c r="AQ218" s="53">
        <f>IF(OR($F218="",$G218=""),"",IF(AND(AQ$5&lt;=$G218,AQ$5+6&gt;=$F218),IF($H218="Complétée","F",IF(OR($H218="En cours",$H218="En revue"),"E",IF($H218="Bloquée","B","P"))),""))</f>
        <v/>
      </c>
      <c r="AR218" s="53">
        <f>IF(OR($F218="",$G218=""),"",IF(AND(AR$5&lt;=$G218,AR$5+6&gt;=$F218),IF($H218="Complétée","F",IF(OR($H218="En cours",$H218="En revue"),"E",IF($H218="Bloquée","B","P"))),""))</f>
        <v/>
      </c>
      <c r="AS218" s="53">
        <f>IF(OR($F218="",$G218=""),"",IF(AND(AS$5&lt;=$G218,AS$5+6&gt;=$F218),IF($H218="Complétée","F",IF(OR($H218="En cours",$H218="En revue"),"E",IF($H218="Bloquée","B","P"))),""))</f>
        <v/>
      </c>
      <c r="AT218" s="53">
        <f>IF(OR($F218="",$G218=""),"",IF(AND(AT$5&lt;=$G218,AT$5+6&gt;=$F218),IF($H218="Complétée","F",IF(OR($H218="En cours",$H218="En revue"),"E",IF($H218="Bloquée","B","P"))),""))</f>
        <v/>
      </c>
      <c r="AU218" s="53">
        <f>IF(OR($F218="",$G218=""),"",IF(AND(AU$5&lt;=$G218,AU$5+6&gt;=$F218),IF($H218="Complétée","F",IF(OR($H218="En cours",$H218="En revue"),"E",IF($H218="Bloquée","B","P"))),""))</f>
        <v/>
      </c>
      <c r="AV218" s="53">
        <f>IF(OR($F218="",$G218=""),"",IF(AND(AV$5&lt;=$G218,AV$5+6&gt;=$F218),IF($H218="Complétée","F",IF(OR($H218="En cours",$H218="En revue"),"E",IF($H218="Bloquée","B","P"))),""))</f>
        <v/>
      </c>
      <c r="AW218" s="53">
        <f>IF(OR($F218="",$G218=""),"",IF(AND(AW$5&lt;=$G218,AW$5+6&gt;=$F218),IF($H218="Complétée","F",IF(OR($H218="En cours",$H218="En revue"),"E",IF($H218="Bloquée","B","P"))),""))</f>
        <v/>
      </c>
    </row>
    <row r="219">
      <c r="B219" s="50">
        <f>IF(Taches!B219="","",Taches!B219)</f>
        <v/>
      </c>
      <c r="C219" s="51">
        <f>IF(Taches!B219="","",Taches!F219)</f>
        <v/>
      </c>
      <c r="D219" s="50">
        <f>IF(Taches!B219="","",Taches!C219)</f>
        <v/>
      </c>
      <c r="E219" s="50">
        <f>IF(Taches!B219="","",Taches!D219)</f>
        <v/>
      </c>
      <c r="F219" s="52">
        <f>IF(Taches!P219="","",Taches!P219)</f>
        <v/>
      </c>
      <c r="G219" s="52">
        <f>IF(Taches!Q219="","",Taches!Q219)</f>
        <v/>
      </c>
      <c r="H219" s="50">
        <f>IF(Taches!B219="","",Taches!J219)</f>
        <v/>
      </c>
      <c r="I219" s="53">
        <f>IF(OR($F219="",$G219=""),"",IF(AND(I$5&lt;=$G219,I$5+6&gt;=$F219),IF($H219="Complétée","F",IF(OR($H219="En cours",$H219="En revue"),"E",IF($H219="Bloquée","B","P"))),""))</f>
        <v/>
      </c>
      <c r="J219" s="53">
        <f>IF(OR($F219="",$G219=""),"",IF(AND(J$5&lt;=$G219,J$5+6&gt;=$F219),IF($H219="Complétée","F",IF(OR($H219="En cours",$H219="En revue"),"E",IF($H219="Bloquée","B","P"))),""))</f>
        <v/>
      </c>
      <c r="K219" s="53">
        <f>IF(OR($F219="",$G219=""),"",IF(AND(K$5&lt;=$G219,K$5+6&gt;=$F219),IF($H219="Complétée","F",IF(OR($H219="En cours",$H219="En revue"),"E",IF($H219="Bloquée","B","P"))),""))</f>
        <v/>
      </c>
      <c r="L219" s="53">
        <f>IF(OR($F219="",$G219=""),"",IF(AND(L$5&lt;=$G219,L$5+6&gt;=$F219),IF($H219="Complétée","F",IF(OR($H219="En cours",$H219="En revue"),"E",IF($H219="Bloquée","B","P"))),""))</f>
        <v/>
      </c>
      <c r="M219" s="53">
        <f>IF(OR($F219="",$G219=""),"",IF(AND(M$5&lt;=$G219,M$5+6&gt;=$F219),IF($H219="Complétée","F",IF(OR($H219="En cours",$H219="En revue"),"E",IF($H219="Bloquée","B","P"))),""))</f>
        <v/>
      </c>
      <c r="N219" s="53">
        <f>IF(OR($F219="",$G219=""),"",IF(AND(N$5&lt;=$G219,N$5+6&gt;=$F219),IF($H219="Complétée","F",IF(OR($H219="En cours",$H219="En revue"),"E",IF($H219="Bloquée","B","P"))),""))</f>
        <v/>
      </c>
      <c r="O219" s="53">
        <f>IF(OR($F219="",$G219=""),"",IF(AND(O$5&lt;=$G219,O$5+6&gt;=$F219),IF($H219="Complétée","F",IF(OR($H219="En cours",$H219="En revue"),"E",IF($H219="Bloquée","B","P"))),""))</f>
        <v/>
      </c>
      <c r="P219" s="53">
        <f>IF(OR($F219="",$G219=""),"",IF(AND(P$5&lt;=$G219,P$5+6&gt;=$F219),IF($H219="Complétée","F",IF(OR($H219="En cours",$H219="En revue"),"E",IF($H219="Bloquée","B","P"))),""))</f>
        <v/>
      </c>
      <c r="Q219" s="53">
        <f>IF(OR($F219="",$G219=""),"",IF(AND(Q$5&lt;=$G219,Q$5+6&gt;=$F219),IF($H219="Complétée","F",IF(OR($H219="En cours",$H219="En revue"),"E",IF($H219="Bloquée","B","P"))),""))</f>
        <v/>
      </c>
      <c r="R219" s="53">
        <f>IF(OR($F219="",$G219=""),"",IF(AND(R$5&lt;=$G219,R$5+6&gt;=$F219),IF($H219="Complétée","F",IF(OR($H219="En cours",$H219="En revue"),"E",IF($H219="Bloquée","B","P"))),""))</f>
        <v/>
      </c>
      <c r="S219" s="53">
        <f>IF(OR($F219="",$G219=""),"",IF(AND(S$5&lt;=$G219,S$5+6&gt;=$F219),IF($H219="Complétée","F",IF(OR($H219="En cours",$H219="En revue"),"E",IF($H219="Bloquée","B","P"))),""))</f>
        <v/>
      </c>
      <c r="T219" s="53">
        <f>IF(OR($F219="",$G219=""),"",IF(AND(T$5&lt;=$G219,T$5+6&gt;=$F219),IF($H219="Complétée","F",IF(OR($H219="En cours",$H219="En revue"),"E",IF($H219="Bloquée","B","P"))),""))</f>
        <v/>
      </c>
      <c r="U219" s="53">
        <f>IF(OR($F219="",$G219=""),"",IF(AND(U$5&lt;=$G219,U$5+6&gt;=$F219),IF($H219="Complétée","F",IF(OR($H219="En cours",$H219="En revue"),"E",IF($H219="Bloquée","B","P"))),""))</f>
        <v/>
      </c>
      <c r="V219" s="53">
        <f>IF(OR($F219="",$G219=""),"",IF(AND(V$5&lt;=$G219,V$5+6&gt;=$F219),IF($H219="Complétée","F",IF(OR($H219="En cours",$H219="En revue"),"E",IF($H219="Bloquée","B","P"))),""))</f>
        <v/>
      </c>
      <c r="W219" s="53">
        <f>IF(OR($F219="",$G219=""),"",IF(AND(W$5&lt;=$G219,W$5+6&gt;=$F219),IF($H219="Complétée","F",IF(OR($H219="En cours",$H219="En revue"),"E",IF($H219="Bloquée","B","P"))),""))</f>
        <v/>
      </c>
      <c r="X219" s="53">
        <f>IF(OR($F219="",$G219=""),"",IF(AND(X$5&lt;=$G219,X$5+6&gt;=$F219),IF($H219="Complétée","F",IF(OR($H219="En cours",$H219="En revue"),"E",IF($H219="Bloquée","B","P"))),""))</f>
        <v/>
      </c>
      <c r="Y219" s="53">
        <f>IF(OR($F219="",$G219=""),"",IF(AND(Y$5&lt;=$G219,Y$5+6&gt;=$F219),IF($H219="Complétée","F",IF(OR($H219="En cours",$H219="En revue"),"E",IF($H219="Bloquée","B","P"))),""))</f>
        <v/>
      </c>
      <c r="Z219" s="53">
        <f>IF(OR($F219="",$G219=""),"",IF(AND(Z$5&lt;=$G219,Z$5+6&gt;=$F219),IF($H219="Complétée","F",IF(OR($H219="En cours",$H219="En revue"),"E",IF($H219="Bloquée","B","P"))),""))</f>
        <v/>
      </c>
      <c r="AA219" s="53">
        <f>IF(OR($F219="",$G219=""),"",IF(AND(AA$5&lt;=$G219,AA$5+6&gt;=$F219),IF($H219="Complétée","F",IF(OR($H219="En cours",$H219="En revue"),"E",IF($H219="Bloquée","B","P"))),""))</f>
        <v/>
      </c>
      <c r="AB219" s="53">
        <f>IF(OR($F219="",$G219=""),"",IF(AND(AB$5&lt;=$G219,AB$5+6&gt;=$F219),IF($H219="Complétée","F",IF(OR($H219="En cours",$H219="En revue"),"E",IF($H219="Bloquée","B","P"))),""))</f>
        <v/>
      </c>
      <c r="AC219" s="53">
        <f>IF(OR($F219="",$G219=""),"",IF(AND(AC$5&lt;=$G219,AC$5+6&gt;=$F219),IF($H219="Complétée","F",IF(OR($H219="En cours",$H219="En revue"),"E",IF($H219="Bloquée","B","P"))),""))</f>
        <v/>
      </c>
      <c r="AD219" s="53">
        <f>IF(OR($F219="",$G219=""),"",IF(AND(AD$5&lt;=$G219,AD$5+6&gt;=$F219),IF($H219="Complétée","F",IF(OR($H219="En cours",$H219="En revue"),"E",IF($H219="Bloquée","B","P"))),""))</f>
        <v/>
      </c>
      <c r="AE219" s="53">
        <f>IF(OR($F219="",$G219=""),"",IF(AND(AE$5&lt;=$G219,AE$5+6&gt;=$F219),IF($H219="Complétée","F",IF(OR($H219="En cours",$H219="En revue"),"E",IF($H219="Bloquée","B","P"))),""))</f>
        <v/>
      </c>
      <c r="AF219" s="53">
        <f>IF(OR($F219="",$G219=""),"",IF(AND(AF$5&lt;=$G219,AF$5+6&gt;=$F219),IF($H219="Complétée","F",IF(OR($H219="En cours",$H219="En revue"),"E",IF($H219="Bloquée","B","P"))),""))</f>
        <v/>
      </c>
      <c r="AG219" s="53">
        <f>IF(OR($F219="",$G219=""),"",IF(AND(AG$5&lt;=$G219,AG$5+6&gt;=$F219),IF($H219="Complétée","F",IF(OR($H219="En cours",$H219="En revue"),"E",IF($H219="Bloquée","B","P"))),""))</f>
        <v/>
      </c>
      <c r="AH219" s="53">
        <f>IF(OR($F219="",$G219=""),"",IF(AND(AH$5&lt;=$G219,AH$5+6&gt;=$F219),IF($H219="Complétée","F",IF(OR($H219="En cours",$H219="En revue"),"E",IF($H219="Bloquée","B","P"))),""))</f>
        <v/>
      </c>
      <c r="AI219" s="53">
        <f>IF(OR($F219="",$G219=""),"",IF(AND(AI$5&lt;=$G219,AI$5+6&gt;=$F219),IF($H219="Complétée","F",IF(OR($H219="En cours",$H219="En revue"),"E",IF($H219="Bloquée","B","P"))),""))</f>
        <v/>
      </c>
      <c r="AJ219" s="53">
        <f>IF(OR($F219="",$G219=""),"",IF(AND(AJ$5&lt;=$G219,AJ$5+6&gt;=$F219),IF($H219="Complétée","F",IF(OR($H219="En cours",$H219="En revue"),"E",IF($H219="Bloquée","B","P"))),""))</f>
        <v/>
      </c>
      <c r="AK219" s="53">
        <f>IF(OR($F219="",$G219=""),"",IF(AND(AK$5&lt;=$G219,AK$5+6&gt;=$F219),IF($H219="Complétée","F",IF(OR($H219="En cours",$H219="En revue"),"E",IF($H219="Bloquée","B","P"))),""))</f>
        <v/>
      </c>
      <c r="AL219" s="53">
        <f>IF(OR($F219="",$G219=""),"",IF(AND(AL$5&lt;=$G219,AL$5+6&gt;=$F219),IF($H219="Complétée","F",IF(OR($H219="En cours",$H219="En revue"),"E",IF($H219="Bloquée","B","P"))),""))</f>
        <v/>
      </c>
      <c r="AM219" s="53">
        <f>IF(OR($F219="",$G219=""),"",IF(AND(AM$5&lt;=$G219,AM$5+6&gt;=$F219),IF($H219="Complétée","F",IF(OR($H219="En cours",$H219="En revue"),"E",IF($H219="Bloquée","B","P"))),""))</f>
        <v/>
      </c>
      <c r="AN219" s="53">
        <f>IF(OR($F219="",$G219=""),"",IF(AND(AN$5&lt;=$G219,AN$5+6&gt;=$F219),IF($H219="Complétée","F",IF(OR($H219="En cours",$H219="En revue"),"E",IF($H219="Bloquée","B","P"))),""))</f>
        <v/>
      </c>
      <c r="AO219" s="53">
        <f>IF(OR($F219="",$G219=""),"",IF(AND(AO$5&lt;=$G219,AO$5+6&gt;=$F219),IF($H219="Complétée","F",IF(OR($H219="En cours",$H219="En revue"),"E",IF($H219="Bloquée","B","P"))),""))</f>
        <v/>
      </c>
      <c r="AP219" s="53">
        <f>IF(OR($F219="",$G219=""),"",IF(AND(AP$5&lt;=$G219,AP$5+6&gt;=$F219),IF($H219="Complétée","F",IF(OR($H219="En cours",$H219="En revue"),"E",IF($H219="Bloquée","B","P"))),""))</f>
        <v/>
      </c>
      <c r="AQ219" s="53">
        <f>IF(OR($F219="",$G219=""),"",IF(AND(AQ$5&lt;=$G219,AQ$5+6&gt;=$F219),IF($H219="Complétée","F",IF(OR($H219="En cours",$H219="En revue"),"E",IF($H219="Bloquée","B","P"))),""))</f>
        <v/>
      </c>
      <c r="AR219" s="53">
        <f>IF(OR($F219="",$G219=""),"",IF(AND(AR$5&lt;=$G219,AR$5+6&gt;=$F219),IF($H219="Complétée","F",IF(OR($H219="En cours",$H219="En revue"),"E",IF($H219="Bloquée","B","P"))),""))</f>
        <v/>
      </c>
      <c r="AS219" s="53">
        <f>IF(OR($F219="",$G219=""),"",IF(AND(AS$5&lt;=$G219,AS$5+6&gt;=$F219),IF($H219="Complétée","F",IF(OR($H219="En cours",$H219="En revue"),"E",IF($H219="Bloquée","B","P"))),""))</f>
        <v/>
      </c>
      <c r="AT219" s="53">
        <f>IF(OR($F219="",$G219=""),"",IF(AND(AT$5&lt;=$G219,AT$5+6&gt;=$F219),IF($H219="Complétée","F",IF(OR($H219="En cours",$H219="En revue"),"E",IF($H219="Bloquée","B","P"))),""))</f>
        <v/>
      </c>
      <c r="AU219" s="53">
        <f>IF(OR($F219="",$G219=""),"",IF(AND(AU$5&lt;=$G219,AU$5+6&gt;=$F219),IF($H219="Complétée","F",IF(OR($H219="En cours",$H219="En revue"),"E",IF($H219="Bloquée","B","P"))),""))</f>
        <v/>
      </c>
      <c r="AV219" s="53">
        <f>IF(OR($F219="",$G219=""),"",IF(AND(AV$5&lt;=$G219,AV$5+6&gt;=$F219),IF($H219="Complétée","F",IF(OR($H219="En cours",$H219="En revue"),"E",IF($H219="Bloquée","B","P"))),""))</f>
        <v/>
      </c>
      <c r="AW219" s="53">
        <f>IF(OR($F219="",$G219=""),"",IF(AND(AW$5&lt;=$G219,AW$5+6&gt;=$F219),IF($H219="Complétée","F",IF(OR($H219="En cours",$H219="En revue"),"E",IF($H219="Bloquée","B","P"))),""))</f>
        <v/>
      </c>
    </row>
    <row r="220">
      <c r="B220" s="50">
        <f>IF(Taches!B220="","",Taches!B220)</f>
        <v/>
      </c>
      <c r="C220" s="51">
        <f>IF(Taches!B220="","",Taches!F220)</f>
        <v/>
      </c>
      <c r="D220" s="50">
        <f>IF(Taches!B220="","",Taches!C220)</f>
        <v/>
      </c>
      <c r="E220" s="50">
        <f>IF(Taches!B220="","",Taches!D220)</f>
        <v/>
      </c>
      <c r="F220" s="52">
        <f>IF(Taches!P220="","",Taches!P220)</f>
        <v/>
      </c>
      <c r="G220" s="52">
        <f>IF(Taches!Q220="","",Taches!Q220)</f>
        <v/>
      </c>
      <c r="H220" s="50">
        <f>IF(Taches!B220="","",Taches!J220)</f>
        <v/>
      </c>
      <c r="I220" s="53">
        <f>IF(OR($F220="",$G220=""),"",IF(AND(I$5&lt;=$G220,I$5+6&gt;=$F220),IF($H220="Complétée","F",IF(OR($H220="En cours",$H220="En revue"),"E",IF($H220="Bloquée","B","P"))),""))</f>
        <v/>
      </c>
      <c r="J220" s="53">
        <f>IF(OR($F220="",$G220=""),"",IF(AND(J$5&lt;=$G220,J$5+6&gt;=$F220),IF($H220="Complétée","F",IF(OR($H220="En cours",$H220="En revue"),"E",IF($H220="Bloquée","B","P"))),""))</f>
        <v/>
      </c>
      <c r="K220" s="53">
        <f>IF(OR($F220="",$G220=""),"",IF(AND(K$5&lt;=$G220,K$5+6&gt;=$F220),IF($H220="Complétée","F",IF(OR($H220="En cours",$H220="En revue"),"E",IF($H220="Bloquée","B","P"))),""))</f>
        <v/>
      </c>
      <c r="L220" s="53">
        <f>IF(OR($F220="",$G220=""),"",IF(AND(L$5&lt;=$G220,L$5+6&gt;=$F220),IF($H220="Complétée","F",IF(OR($H220="En cours",$H220="En revue"),"E",IF($H220="Bloquée","B","P"))),""))</f>
        <v/>
      </c>
      <c r="M220" s="53">
        <f>IF(OR($F220="",$G220=""),"",IF(AND(M$5&lt;=$G220,M$5+6&gt;=$F220),IF($H220="Complétée","F",IF(OR($H220="En cours",$H220="En revue"),"E",IF($H220="Bloquée","B","P"))),""))</f>
        <v/>
      </c>
      <c r="N220" s="53">
        <f>IF(OR($F220="",$G220=""),"",IF(AND(N$5&lt;=$G220,N$5+6&gt;=$F220),IF($H220="Complétée","F",IF(OR($H220="En cours",$H220="En revue"),"E",IF($H220="Bloquée","B","P"))),""))</f>
        <v/>
      </c>
      <c r="O220" s="53">
        <f>IF(OR($F220="",$G220=""),"",IF(AND(O$5&lt;=$G220,O$5+6&gt;=$F220),IF($H220="Complétée","F",IF(OR($H220="En cours",$H220="En revue"),"E",IF($H220="Bloquée","B","P"))),""))</f>
        <v/>
      </c>
      <c r="P220" s="53">
        <f>IF(OR($F220="",$G220=""),"",IF(AND(P$5&lt;=$G220,P$5+6&gt;=$F220),IF($H220="Complétée","F",IF(OR($H220="En cours",$H220="En revue"),"E",IF($H220="Bloquée","B","P"))),""))</f>
        <v/>
      </c>
      <c r="Q220" s="53">
        <f>IF(OR($F220="",$G220=""),"",IF(AND(Q$5&lt;=$G220,Q$5+6&gt;=$F220),IF($H220="Complétée","F",IF(OR($H220="En cours",$H220="En revue"),"E",IF($H220="Bloquée","B","P"))),""))</f>
        <v/>
      </c>
      <c r="R220" s="53">
        <f>IF(OR($F220="",$G220=""),"",IF(AND(R$5&lt;=$G220,R$5+6&gt;=$F220),IF($H220="Complétée","F",IF(OR($H220="En cours",$H220="En revue"),"E",IF($H220="Bloquée","B","P"))),""))</f>
        <v/>
      </c>
      <c r="S220" s="53">
        <f>IF(OR($F220="",$G220=""),"",IF(AND(S$5&lt;=$G220,S$5+6&gt;=$F220),IF($H220="Complétée","F",IF(OR($H220="En cours",$H220="En revue"),"E",IF($H220="Bloquée","B","P"))),""))</f>
        <v/>
      </c>
      <c r="T220" s="53">
        <f>IF(OR($F220="",$G220=""),"",IF(AND(T$5&lt;=$G220,T$5+6&gt;=$F220),IF($H220="Complétée","F",IF(OR($H220="En cours",$H220="En revue"),"E",IF($H220="Bloquée","B","P"))),""))</f>
        <v/>
      </c>
      <c r="U220" s="53">
        <f>IF(OR($F220="",$G220=""),"",IF(AND(U$5&lt;=$G220,U$5+6&gt;=$F220),IF($H220="Complétée","F",IF(OR($H220="En cours",$H220="En revue"),"E",IF($H220="Bloquée","B","P"))),""))</f>
        <v/>
      </c>
      <c r="V220" s="53">
        <f>IF(OR($F220="",$G220=""),"",IF(AND(V$5&lt;=$G220,V$5+6&gt;=$F220),IF($H220="Complétée","F",IF(OR($H220="En cours",$H220="En revue"),"E",IF($H220="Bloquée","B","P"))),""))</f>
        <v/>
      </c>
      <c r="W220" s="53">
        <f>IF(OR($F220="",$G220=""),"",IF(AND(W$5&lt;=$G220,W$5+6&gt;=$F220),IF($H220="Complétée","F",IF(OR($H220="En cours",$H220="En revue"),"E",IF($H220="Bloquée","B","P"))),""))</f>
        <v/>
      </c>
      <c r="X220" s="53">
        <f>IF(OR($F220="",$G220=""),"",IF(AND(X$5&lt;=$G220,X$5+6&gt;=$F220),IF($H220="Complétée","F",IF(OR($H220="En cours",$H220="En revue"),"E",IF($H220="Bloquée","B","P"))),""))</f>
        <v/>
      </c>
      <c r="Y220" s="53">
        <f>IF(OR($F220="",$G220=""),"",IF(AND(Y$5&lt;=$G220,Y$5+6&gt;=$F220),IF($H220="Complétée","F",IF(OR($H220="En cours",$H220="En revue"),"E",IF($H220="Bloquée","B","P"))),""))</f>
        <v/>
      </c>
      <c r="Z220" s="53">
        <f>IF(OR($F220="",$G220=""),"",IF(AND(Z$5&lt;=$G220,Z$5+6&gt;=$F220),IF($H220="Complétée","F",IF(OR($H220="En cours",$H220="En revue"),"E",IF($H220="Bloquée","B","P"))),""))</f>
        <v/>
      </c>
      <c r="AA220" s="53">
        <f>IF(OR($F220="",$G220=""),"",IF(AND(AA$5&lt;=$G220,AA$5+6&gt;=$F220),IF($H220="Complétée","F",IF(OR($H220="En cours",$H220="En revue"),"E",IF($H220="Bloquée","B","P"))),""))</f>
        <v/>
      </c>
      <c r="AB220" s="53">
        <f>IF(OR($F220="",$G220=""),"",IF(AND(AB$5&lt;=$G220,AB$5+6&gt;=$F220),IF($H220="Complétée","F",IF(OR($H220="En cours",$H220="En revue"),"E",IF($H220="Bloquée","B","P"))),""))</f>
        <v/>
      </c>
      <c r="AC220" s="53">
        <f>IF(OR($F220="",$G220=""),"",IF(AND(AC$5&lt;=$G220,AC$5+6&gt;=$F220),IF($H220="Complétée","F",IF(OR($H220="En cours",$H220="En revue"),"E",IF($H220="Bloquée","B","P"))),""))</f>
        <v/>
      </c>
      <c r="AD220" s="53">
        <f>IF(OR($F220="",$G220=""),"",IF(AND(AD$5&lt;=$G220,AD$5+6&gt;=$F220),IF($H220="Complétée","F",IF(OR($H220="En cours",$H220="En revue"),"E",IF($H220="Bloquée","B","P"))),""))</f>
        <v/>
      </c>
      <c r="AE220" s="53">
        <f>IF(OR($F220="",$G220=""),"",IF(AND(AE$5&lt;=$G220,AE$5+6&gt;=$F220),IF($H220="Complétée","F",IF(OR($H220="En cours",$H220="En revue"),"E",IF($H220="Bloquée","B","P"))),""))</f>
        <v/>
      </c>
      <c r="AF220" s="53">
        <f>IF(OR($F220="",$G220=""),"",IF(AND(AF$5&lt;=$G220,AF$5+6&gt;=$F220),IF($H220="Complétée","F",IF(OR($H220="En cours",$H220="En revue"),"E",IF($H220="Bloquée","B","P"))),""))</f>
        <v/>
      </c>
      <c r="AG220" s="53">
        <f>IF(OR($F220="",$G220=""),"",IF(AND(AG$5&lt;=$G220,AG$5+6&gt;=$F220),IF($H220="Complétée","F",IF(OR($H220="En cours",$H220="En revue"),"E",IF($H220="Bloquée","B","P"))),""))</f>
        <v/>
      </c>
      <c r="AH220" s="53">
        <f>IF(OR($F220="",$G220=""),"",IF(AND(AH$5&lt;=$G220,AH$5+6&gt;=$F220),IF($H220="Complétée","F",IF(OR($H220="En cours",$H220="En revue"),"E",IF($H220="Bloquée","B","P"))),""))</f>
        <v/>
      </c>
      <c r="AI220" s="53">
        <f>IF(OR($F220="",$G220=""),"",IF(AND(AI$5&lt;=$G220,AI$5+6&gt;=$F220),IF($H220="Complétée","F",IF(OR($H220="En cours",$H220="En revue"),"E",IF($H220="Bloquée","B","P"))),""))</f>
        <v/>
      </c>
      <c r="AJ220" s="53">
        <f>IF(OR($F220="",$G220=""),"",IF(AND(AJ$5&lt;=$G220,AJ$5+6&gt;=$F220),IF($H220="Complétée","F",IF(OR($H220="En cours",$H220="En revue"),"E",IF($H220="Bloquée","B","P"))),""))</f>
        <v/>
      </c>
      <c r="AK220" s="53">
        <f>IF(OR($F220="",$G220=""),"",IF(AND(AK$5&lt;=$G220,AK$5+6&gt;=$F220),IF($H220="Complétée","F",IF(OR($H220="En cours",$H220="En revue"),"E",IF($H220="Bloquée","B","P"))),""))</f>
        <v/>
      </c>
      <c r="AL220" s="53">
        <f>IF(OR($F220="",$G220=""),"",IF(AND(AL$5&lt;=$G220,AL$5+6&gt;=$F220),IF($H220="Complétée","F",IF(OR($H220="En cours",$H220="En revue"),"E",IF($H220="Bloquée","B","P"))),""))</f>
        <v/>
      </c>
      <c r="AM220" s="53">
        <f>IF(OR($F220="",$G220=""),"",IF(AND(AM$5&lt;=$G220,AM$5+6&gt;=$F220),IF($H220="Complétée","F",IF(OR($H220="En cours",$H220="En revue"),"E",IF($H220="Bloquée","B","P"))),""))</f>
        <v/>
      </c>
      <c r="AN220" s="53">
        <f>IF(OR($F220="",$G220=""),"",IF(AND(AN$5&lt;=$G220,AN$5+6&gt;=$F220),IF($H220="Complétée","F",IF(OR($H220="En cours",$H220="En revue"),"E",IF($H220="Bloquée","B","P"))),""))</f>
        <v/>
      </c>
      <c r="AO220" s="53">
        <f>IF(OR($F220="",$G220=""),"",IF(AND(AO$5&lt;=$G220,AO$5+6&gt;=$F220),IF($H220="Complétée","F",IF(OR($H220="En cours",$H220="En revue"),"E",IF($H220="Bloquée","B","P"))),""))</f>
        <v/>
      </c>
      <c r="AP220" s="53">
        <f>IF(OR($F220="",$G220=""),"",IF(AND(AP$5&lt;=$G220,AP$5+6&gt;=$F220),IF($H220="Complétée","F",IF(OR($H220="En cours",$H220="En revue"),"E",IF($H220="Bloquée","B","P"))),""))</f>
        <v/>
      </c>
      <c r="AQ220" s="53">
        <f>IF(OR($F220="",$G220=""),"",IF(AND(AQ$5&lt;=$G220,AQ$5+6&gt;=$F220),IF($H220="Complétée","F",IF(OR($H220="En cours",$H220="En revue"),"E",IF($H220="Bloquée","B","P"))),""))</f>
        <v/>
      </c>
      <c r="AR220" s="53">
        <f>IF(OR($F220="",$G220=""),"",IF(AND(AR$5&lt;=$G220,AR$5+6&gt;=$F220),IF($H220="Complétée","F",IF(OR($H220="En cours",$H220="En revue"),"E",IF($H220="Bloquée","B","P"))),""))</f>
        <v/>
      </c>
      <c r="AS220" s="53">
        <f>IF(OR($F220="",$G220=""),"",IF(AND(AS$5&lt;=$G220,AS$5+6&gt;=$F220),IF($H220="Complétée","F",IF(OR($H220="En cours",$H220="En revue"),"E",IF($H220="Bloquée","B","P"))),""))</f>
        <v/>
      </c>
      <c r="AT220" s="53">
        <f>IF(OR($F220="",$G220=""),"",IF(AND(AT$5&lt;=$G220,AT$5+6&gt;=$F220),IF($H220="Complétée","F",IF(OR($H220="En cours",$H220="En revue"),"E",IF($H220="Bloquée","B","P"))),""))</f>
        <v/>
      </c>
      <c r="AU220" s="53">
        <f>IF(OR($F220="",$G220=""),"",IF(AND(AU$5&lt;=$G220,AU$5+6&gt;=$F220),IF($H220="Complétée","F",IF(OR($H220="En cours",$H220="En revue"),"E",IF($H220="Bloquée","B","P"))),""))</f>
        <v/>
      </c>
      <c r="AV220" s="53">
        <f>IF(OR($F220="",$G220=""),"",IF(AND(AV$5&lt;=$G220,AV$5+6&gt;=$F220),IF($H220="Complétée","F",IF(OR($H220="En cours",$H220="En revue"),"E",IF($H220="Bloquée","B","P"))),""))</f>
        <v/>
      </c>
      <c r="AW220" s="53">
        <f>IF(OR($F220="",$G220=""),"",IF(AND(AW$5&lt;=$G220,AW$5+6&gt;=$F220),IF($H220="Complétée","F",IF(OR($H220="En cours",$H220="En revue"),"E",IF($H220="Bloquée","B","P"))),""))</f>
        <v/>
      </c>
    </row>
    <row r="221">
      <c r="B221" s="50">
        <f>IF(Taches!B221="","",Taches!B221)</f>
        <v/>
      </c>
      <c r="C221" s="51">
        <f>IF(Taches!B221="","",Taches!F221)</f>
        <v/>
      </c>
      <c r="D221" s="50">
        <f>IF(Taches!B221="","",Taches!C221)</f>
        <v/>
      </c>
      <c r="E221" s="50">
        <f>IF(Taches!B221="","",Taches!D221)</f>
        <v/>
      </c>
      <c r="F221" s="52">
        <f>IF(Taches!P221="","",Taches!P221)</f>
        <v/>
      </c>
      <c r="G221" s="52">
        <f>IF(Taches!Q221="","",Taches!Q221)</f>
        <v/>
      </c>
      <c r="H221" s="50">
        <f>IF(Taches!B221="","",Taches!J221)</f>
        <v/>
      </c>
      <c r="I221" s="53">
        <f>IF(OR($F221="",$G221=""),"",IF(AND(I$5&lt;=$G221,I$5+6&gt;=$F221),IF($H221="Complétée","F",IF(OR($H221="En cours",$H221="En revue"),"E",IF($H221="Bloquée","B","P"))),""))</f>
        <v/>
      </c>
      <c r="J221" s="53">
        <f>IF(OR($F221="",$G221=""),"",IF(AND(J$5&lt;=$G221,J$5+6&gt;=$F221),IF($H221="Complétée","F",IF(OR($H221="En cours",$H221="En revue"),"E",IF($H221="Bloquée","B","P"))),""))</f>
        <v/>
      </c>
      <c r="K221" s="53">
        <f>IF(OR($F221="",$G221=""),"",IF(AND(K$5&lt;=$G221,K$5+6&gt;=$F221),IF($H221="Complétée","F",IF(OR($H221="En cours",$H221="En revue"),"E",IF($H221="Bloquée","B","P"))),""))</f>
        <v/>
      </c>
      <c r="L221" s="53">
        <f>IF(OR($F221="",$G221=""),"",IF(AND(L$5&lt;=$G221,L$5+6&gt;=$F221),IF($H221="Complétée","F",IF(OR($H221="En cours",$H221="En revue"),"E",IF($H221="Bloquée","B","P"))),""))</f>
        <v/>
      </c>
      <c r="M221" s="53">
        <f>IF(OR($F221="",$G221=""),"",IF(AND(M$5&lt;=$G221,M$5+6&gt;=$F221),IF($H221="Complétée","F",IF(OR($H221="En cours",$H221="En revue"),"E",IF($H221="Bloquée","B","P"))),""))</f>
        <v/>
      </c>
      <c r="N221" s="53">
        <f>IF(OR($F221="",$G221=""),"",IF(AND(N$5&lt;=$G221,N$5+6&gt;=$F221),IF($H221="Complétée","F",IF(OR($H221="En cours",$H221="En revue"),"E",IF($H221="Bloquée","B","P"))),""))</f>
        <v/>
      </c>
      <c r="O221" s="53">
        <f>IF(OR($F221="",$G221=""),"",IF(AND(O$5&lt;=$G221,O$5+6&gt;=$F221),IF($H221="Complétée","F",IF(OR($H221="En cours",$H221="En revue"),"E",IF($H221="Bloquée","B","P"))),""))</f>
        <v/>
      </c>
      <c r="P221" s="53">
        <f>IF(OR($F221="",$G221=""),"",IF(AND(P$5&lt;=$G221,P$5+6&gt;=$F221),IF($H221="Complétée","F",IF(OR($H221="En cours",$H221="En revue"),"E",IF($H221="Bloquée","B","P"))),""))</f>
        <v/>
      </c>
      <c r="Q221" s="53">
        <f>IF(OR($F221="",$G221=""),"",IF(AND(Q$5&lt;=$G221,Q$5+6&gt;=$F221),IF($H221="Complétée","F",IF(OR($H221="En cours",$H221="En revue"),"E",IF($H221="Bloquée","B","P"))),""))</f>
        <v/>
      </c>
      <c r="R221" s="53">
        <f>IF(OR($F221="",$G221=""),"",IF(AND(R$5&lt;=$G221,R$5+6&gt;=$F221),IF($H221="Complétée","F",IF(OR($H221="En cours",$H221="En revue"),"E",IF($H221="Bloquée","B","P"))),""))</f>
        <v/>
      </c>
      <c r="S221" s="53">
        <f>IF(OR($F221="",$G221=""),"",IF(AND(S$5&lt;=$G221,S$5+6&gt;=$F221),IF($H221="Complétée","F",IF(OR($H221="En cours",$H221="En revue"),"E",IF($H221="Bloquée","B","P"))),""))</f>
        <v/>
      </c>
      <c r="T221" s="53">
        <f>IF(OR($F221="",$G221=""),"",IF(AND(T$5&lt;=$G221,T$5+6&gt;=$F221),IF($H221="Complétée","F",IF(OR($H221="En cours",$H221="En revue"),"E",IF($H221="Bloquée","B","P"))),""))</f>
        <v/>
      </c>
      <c r="U221" s="53">
        <f>IF(OR($F221="",$G221=""),"",IF(AND(U$5&lt;=$G221,U$5+6&gt;=$F221),IF($H221="Complétée","F",IF(OR($H221="En cours",$H221="En revue"),"E",IF($H221="Bloquée","B","P"))),""))</f>
        <v/>
      </c>
      <c r="V221" s="53">
        <f>IF(OR($F221="",$G221=""),"",IF(AND(V$5&lt;=$G221,V$5+6&gt;=$F221),IF($H221="Complétée","F",IF(OR($H221="En cours",$H221="En revue"),"E",IF($H221="Bloquée","B","P"))),""))</f>
        <v/>
      </c>
      <c r="W221" s="53">
        <f>IF(OR($F221="",$G221=""),"",IF(AND(W$5&lt;=$G221,W$5+6&gt;=$F221),IF($H221="Complétée","F",IF(OR($H221="En cours",$H221="En revue"),"E",IF($H221="Bloquée","B","P"))),""))</f>
        <v/>
      </c>
      <c r="X221" s="53">
        <f>IF(OR($F221="",$G221=""),"",IF(AND(X$5&lt;=$G221,X$5+6&gt;=$F221),IF($H221="Complétée","F",IF(OR($H221="En cours",$H221="En revue"),"E",IF($H221="Bloquée","B","P"))),""))</f>
        <v/>
      </c>
      <c r="Y221" s="53">
        <f>IF(OR($F221="",$G221=""),"",IF(AND(Y$5&lt;=$G221,Y$5+6&gt;=$F221),IF($H221="Complétée","F",IF(OR($H221="En cours",$H221="En revue"),"E",IF($H221="Bloquée","B","P"))),""))</f>
        <v/>
      </c>
      <c r="Z221" s="53">
        <f>IF(OR($F221="",$G221=""),"",IF(AND(Z$5&lt;=$G221,Z$5+6&gt;=$F221),IF($H221="Complétée","F",IF(OR($H221="En cours",$H221="En revue"),"E",IF($H221="Bloquée","B","P"))),""))</f>
        <v/>
      </c>
      <c r="AA221" s="53">
        <f>IF(OR($F221="",$G221=""),"",IF(AND(AA$5&lt;=$G221,AA$5+6&gt;=$F221),IF($H221="Complétée","F",IF(OR($H221="En cours",$H221="En revue"),"E",IF($H221="Bloquée","B","P"))),""))</f>
        <v/>
      </c>
      <c r="AB221" s="53">
        <f>IF(OR($F221="",$G221=""),"",IF(AND(AB$5&lt;=$G221,AB$5+6&gt;=$F221),IF($H221="Complétée","F",IF(OR($H221="En cours",$H221="En revue"),"E",IF($H221="Bloquée","B","P"))),""))</f>
        <v/>
      </c>
      <c r="AC221" s="53">
        <f>IF(OR($F221="",$G221=""),"",IF(AND(AC$5&lt;=$G221,AC$5+6&gt;=$F221),IF($H221="Complétée","F",IF(OR($H221="En cours",$H221="En revue"),"E",IF($H221="Bloquée","B","P"))),""))</f>
        <v/>
      </c>
      <c r="AD221" s="53">
        <f>IF(OR($F221="",$G221=""),"",IF(AND(AD$5&lt;=$G221,AD$5+6&gt;=$F221),IF($H221="Complétée","F",IF(OR($H221="En cours",$H221="En revue"),"E",IF($H221="Bloquée","B","P"))),""))</f>
        <v/>
      </c>
      <c r="AE221" s="53">
        <f>IF(OR($F221="",$G221=""),"",IF(AND(AE$5&lt;=$G221,AE$5+6&gt;=$F221),IF($H221="Complétée","F",IF(OR($H221="En cours",$H221="En revue"),"E",IF($H221="Bloquée","B","P"))),""))</f>
        <v/>
      </c>
      <c r="AF221" s="53">
        <f>IF(OR($F221="",$G221=""),"",IF(AND(AF$5&lt;=$G221,AF$5+6&gt;=$F221),IF($H221="Complétée","F",IF(OR($H221="En cours",$H221="En revue"),"E",IF($H221="Bloquée","B","P"))),""))</f>
        <v/>
      </c>
      <c r="AG221" s="53">
        <f>IF(OR($F221="",$G221=""),"",IF(AND(AG$5&lt;=$G221,AG$5+6&gt;=$F221),IF($H221="Complétée","F",IF(OR($H221="En cours",$H221="En revue"),"E",IF($H221="Bloquée","B","P"))),""))</f>
        <v/>
      </c>
      <c r="AH221" s="53">
        <f>IF(OR($F221="",$G221=""),"",IF(AND(AH$5&lt;=$G221,AH$5+6&gt;=$F221),IF($H221="Complétée","F",IF(OR($H221="En cours",$H221="En revue"),"E",IF($H221="Bloquée","B","P"))),""))</f>
        <v/>
      </c>
      <c r="AI221" s="53">
        <f>IF(OR($F221="",$G221=""),"",IF(AND(AI$5&lt;=$G221,AI$5+6&gt;=$F221),IF($H221="Complétée","F",IF(OR($H221="En cours",$H221="En revue"),"E",IF($H221="Bloquée","B","P"))),""))</f>
        <v/>
      </c>
      <c r="AJ221" s="53">
        <f>IF(OR($F221="",$G221=""),"",IF(AND(AJ$5&lt;=$G221,AJ$5+6&gt;=$F221),IF($H221="Complétée","F",IF(OR($H221="En cours",$H221="En revue"),"E",IF($H221="Bloquée","B","P"))),""))</f>
        <v/>
      </c>
      <c r="AK221" s="53">
        <f>IF(OR($F221="",$G221=""),"",IF(AND(AK$5&lt;=$G221,AK$5+6&gt;=$F221),IF($H221="Complétée","F",IF(OR($H221="En cours",$H221="En revue"),"E",IF($H221="Bloquée","B","P"))),""))</f>
        <v/>
      </c>
      <c r="AL221" s="53">
        <f>IF(OR($F221="",$G221=""),"",IF(AND(AL$5&lt;=$G221,AL$5+6&gt;=$F221),IF($H221="Complétée","F",IF(OR($H221="En cours",$H221="En revue"),"E",IF($H221="Bloquée","B","P"))),""))</f>
        <v/>
      </c>
      <c r="AM221" s="53">
        <f>IF(OR($F221="",$G221=""),"",IF(AND(AM$5&lt;=$G221,AM$5+6&gt;=$F221),IF($H221="Complétée","F",IF(OR($H221="En cours",$H221="En revue"),"E",IF($H221="Bloquée","B","P"))),""))</f>
        <v/>
      </c>
      <c r="AN221" s="53">
        <f>IF(OR($F221="",$G221=""),"",IF(AND(AN$5&lt;=$G221,AN$5+6&gt;=$F221),IF($H221="Complétée","F",IF(OR($H221="En cours",$H221="En revue"),"E",IF($H221="Bloquée","B","P"))),""))</f>
        <v/>
      </c>
      <c r="AO221" s="53">
        <f>IF(OR($F221="",$G221=""),"",IF(AND(AO$5&lt;=$G221,AO$5+6&gt;=$F221),IF($H221="Complétée","F",IF(OR($H221="En cours",$H221="En revue"),"E",IF($H221="Bloquée","B","P"))),""))</f>
        <v/>
      </c>
      <c r="AP221" s="53">
        <f>IF(OR($F221="",$G221=""),"",IF(AND(AP$5&lt;=$G221,AP$5+6&gt;=$F221),IF($H221="Complétée","F",IF(OR($H221="En cours",$H221="En revue"),"E",IF($H221="Bloquée","B","P"))),""))</f>
        <v/>
      </c>
      <c r="AQ221" s="53">
        <f>IF(OR($F221="",$G221=""),"",IF(AND(AQ$5&lt;=$G221,AQ$5+6&gt;=$F221),IF($H221="Complétée","F",IF(OR($H221="En cours",$H221="En revue"),"E",IF($H221="Bloquée","B","P"))),""))</f>
        <v/>
      </c>
      <c r="AR221" s="53">
        <f>IF(OR($F221="",$G221=""),"",IF(AND(AR$5&lt;=$G221,AR$5+6&gt;=$F221),IF($H221="Complétée","F",IF(OR($H221="En cours",$H221="En revue"),"E",IF($H221="Bloquée","B","P"))),""))</f>
        <v/>
      </c>
      <c r="AS221" s="53">
        <f>IF(OR($F221="",$G221=""),"",IF(AND(AS$5&lt;=$G221,AS$5+6&gt;=$F221),IF($H221="Complétée","F",IF(OR($H221="En cours",$H221="En revue"),"E",IF($H221="Bloquée","B","P"))),""))</f>
        <v/>
      </c>
      <c r="AT221" s="53">
        <f>IF(OR($F221="",$G221=""),"",IF(AND(AT$5&lt;=$G221,AT$5+6&gt;=$F221),IF($H221="Complétée","F",IF(OR($H221="En cours",$H221="En revue"),"E",IF($H221="Bloquée","B","P"))),""))</f>
        <v/>
      </c>
      <c r="AU221" s="53">
        <f>IF(OR($F221="",$G221=""),"",IF(AND(AU$5&lt;=$G221,AU$5+6&gt;=$F221),IF($H221="Complétée","F",IF(OR($H221="En cours",$H221="En revue"),"E",IF($H221="Bloquée","B","P"))),""))</f>
        <v/>
      </c>
      <c r="AV221" s="53">
        <f>IF(OR($F221="",$G221=""),"",IF(AND(AV$5&lt;=$G221,AV$5+6&gt;=$F221),IF($H221="Complétée","F",IF(OR($H221="En cours",$H221="En revue"),"E",IF($H221="Bloquée","B","P"))),""))</f>
        <v/>
      </c>
      <c r="AW221" s="53">
        <f>IF(OR($F221="",$G221=""),"",IF(AND(AW$5&lt;=$G221,AW$5+6&gt;=$F221),IF($H221="Complétée","F",IF(OR($H221="En cours",$H221="En revue"),"E",IF($H221="Bloquée","B","P"))),""))</f>
        <v/>
      </c>
    </row>
    <row r="222">
      <c r="B222" s="50">
        <f>IF(Taches!B222="","",Taches!B222)</f>
        <v/>
      </c>
      <c r="C222" s="51">
        <f>IF(Taches!B222="","",Taches!F222)</f>
        <v/>
      </c>
      <c r="D222" s="50">
        <f>IF(Taches!B222="","",Taches!C222)</f>
        <v/>
      </c>
      <c r="E222" s="50">
        <f>IF(Taches!B222="","",Taches!D222)</f>
        <v/>
      </c>
      <c r="F222" s="52">
        <f>IF(Taches!P222="","",Taches!P222)</f>
        <v/>
      </c>
      <c r="G222" s="52">
        <f>IF(Taches!Q222="","",Taches!Q222)</f>
        <v/>
      </c>
      <c r="H222" s="50">
        <f>IF(Taches!B222="","",Taches!J222)</f>
        <v/>
      </c>
      <c r="I222" s="53">
        <f>IF(OR($F222="",$G222=""),"",IF(AND(I$5&lt;=$G222,I$5+6&gt;=$F222),IF($H222="Complétée","F",IF(OR($H222="En cours",$H222="En revue"),"E",IF($H222="Bloquée","B","P"))),""))</f>
        <v/>
      </c>
      <c r="J222" s="53">
        <f>IF(OR($F222="",$G222=""),"",IF(AND(J$5&lt;=$G222,J$5+6&gt;=$F222),IF($H222="Complétée","F",IF(OR($H222="En cours",$H222="En revue"),"E",IF($H222="Bloquée","B","P"))),""))</f>
        <v/>
      </c>
      <c r="K222" s="53">
        <f>IF(OR($F222="",$G222=""),"",IF(AND(K$5&lt;=$G222,K$5+6&gt;=$F222),IF($H222="Complétée","F",IF(OR($H222="En cours",$H222="En revue"),"E",IF($H222="Bloquée","B","P"))),""))</f>
        <v/>
      </c>
      <c r="L222" s="53">
        <f>IF(OR($F222="",$G222=""),"",IF(AND(L$5&lt;=$G222,L$5+6&gt;=$F222),IF($H222="Complétée","F",IF(OR($H222="En cours",$H222="En revue"),"E",IF($H222="Bloquée","B","P"))),""))</f>
        <v/>
      </c>
      <c r="M222" s="53">
        <f>IF(OR($F222="",$G222=""),"",IF(AND(M$5&lt;=$G222,M$5+6&gt;=$F222),IF($H222="Complétée","F",IF(OR($H222="En cours",$H222="En revue"),"E",IF($H222="Bloquée","B","P"))),""))</f>
        <v/>
      </c>
      <c r="N222" s="53">
        <f>IF(OR($F222="",$G222=""),"",IF(AND(N$5&lt;=$G222,N$5+6&gt;=$F222),IF($H222="Complétée","F",IF(OR($H222="En cours",$H222="En revue"),"E",IF($H222="Bloquée","B","P"))),""))</f>
        <v/>
      </c>
      <c r="O222" s="53">
        <f>IF(OR($F222="",$G222=""),"",IF(AND(O$5&lt;=$G222,O$5+6&gt;=$F222),IF($H222="Complétée","F",IF(OR($H222="En cours",$H222="En revue"),"E",IF($H222="Bloquée","B","P"))),""))</f>
        <v/>
      </c>
      <c r="P222" s="53">
        <f>IF(OR($F222="",$G222=""),"",IF(AND(P$5&lt;=$G222,P$5+6&gt;=$F222),IF($H222="Complétée","F",IF(OR($H222="En cours",$H222="En revue"),"E",IF($H222="Bloquée","B","P"))),""))</f>
        <v/>
      </c>
      <c r="Q222" s="53">
        <f>IF(OR($F222="",$G222=""),"",IF(AND(Q$5&lt;=$G222,Q$5+6&gt;=$F222),IF($H222="Complétée","F",IF(OR($H222="En cours",$H222="En revue"),"E",IF($H222="Bloquée","B","P"))),""))</f>
        <v/>
      </c>
      <c r="R222" s="53">
        <f>IF(OR($F222="",$G222=""),"",IF(AND(R$5&lt;=$G222,R$5+6&gt;=$F222),IF($H222="Complétée","F",IF(OR($H222="En cours",$H222="En revue"),"E",IF($H222="Bloquée","B","P"))),""))</f>
        <v/>
      </c>
      <c r="S222" s="53">
        <f>IF(OR($F222="",$G222=""),"",IF(AND(S$5&lt;=$G222,S$5+6&gt;=$F222),IF($H222="Complétée","F",IF(OR($H222="En cours",$H222="En revue"),"E",IF($H222="Bloquée","B","P"))),""))</f>
        <v/>
      </c>
      <c r="T222" s="53">
        <f>IF(OR($F222="",$G222=""),"",IF(AND(T$5&lt;=$G222,T$5+6&gt;=$F222),IF($H222="Complétée","F",IF(OR($H222="En cours",$H222="En revue"),"E",IF($H222="Bloquée","B","P"))),""))</f>
        <v/>
      </c>
      <c r="U222" s="53">
        <f>IF(OR($F222="",$G222=""),"",IF(AND(U$5&lt;=$G222,U$5+6&gt;=$F222),IF($H222="Complétée","F",IF(OR($H222="En cours",$H222="En revue"),"E",IF($H222="Bloquée","B","P"))),""))</f>
        <v/>
      </c>
      <c r="V222" s="53">
        <f>IF(OR($F222="",$G222=""),"",IF(AND(V$5&lt;=$G222,V$5+6&gt;=$F222),IF($H222="Complétée","F",IF(OR($H222="En cours",$H222="En revue"),"E",IF($H222="Bloquée","B","P"))),""))</f>
        <v/>
      </c>
      <c r="W222" s="53">
        <f>IF(OR($F222="",$G222=""),"",IF(AND(W$5&lt;=$G222,W$5+6&gt;=$F222),IF($H222="Complétée","F",IF(OR($H222="En cours",$H222="En revue"),"E",IF($H222="Bloquée","B","P"))),""))</f>
        <v/>
      </c>
      <c r="X222" s="53">
        <f>IF(OR($F222="",$G222=""),"",IF(AND(X$5&lt;=$G222,X$5+6&gt;=$F222),IF($H222="Complétée","F",IF(OR($H222="En cours",$H222="En revue"),"E",IF($H222="Bloquée","B","P"))),""))</f>
        <v/>
      </c>
      <c r="Y222" s="53">
        <f>IF(OR($F222="",$G222=""),"",IF(AND(Y$5&lt;=$G222,Y$5+6&gt;=$F222),IF($H222="Complétée","F",IF(OR($H222="En cours",$H222="En revue"),"E",IF($H222="Bloquée","B","P"))),""))</f>
        <v/>
      </c>
      <c r="Z222" s="53">
        <f>IF(OR($F222="",$G222=""),"",IF(AND(Z$5&lt;=$G222,Z$5+6&gt;=$F222),IF($H222="Complétée","F",IF(OR($H222="En cours",$H222="En revue"),"E",IF($H222="Bloquée","B","P"))),""))</f>
        <v/>
      </c>
      <c r="AA222" s="53">
        <f>IF(OR($F222="",$G222=""),"",IF(AND(AA$5&lt;=$G222,AA$5+6&gt;=$F222),IF($H222="Complétée","F",IF(OR($H222="En cours",$H222="En revue"),"E",IF($H222="Bloquée","B","P"))),""))</f>
        <v/>
      </c>
      <c r="AB222" s="53">
        <f>IF(OR($F222="",$G222=""),"",IF(AND(AB$5&lt;=$G222,AB$5+6&gt;=$F222),IF($H222="Complétée","F",IF(OR($H222="En cours",$H222="En revue"),"E",IF($H222="Bloquée","B","P"))),""))</f>
        <v/>
      </c>
      <c r="AC222" s="53">
        <f>IF(OR($F222="",$G222=""),"",IF(AND(AC$5&lt;=$G222,AC$5+6&gt;=$F222),IF($H222="Complétée","F",IF(OR($H222="En cours",$H222="En revue"),"E",IF($H222="Bloquée","B","P"))),""))</f>
        <v/>
      </c>
      <c r="AD222" s="53">
        <f>IF(OR($F222="",$G222=""),"",IF(AND(AD$5&lt;=$G222,AD$5+6&gt;=$F222),IF($H222="Complétée","F",IF(OR($H222="En cours",$H222="En revue"),"E",IF($H222="Bloquée","B","P"))),""))</f>
        <v/>
      </c>
      <c r="AE222" s="53">
        <f>IF(OR($F222="",$G222=""),"",IF(AND(AE$5&lt;=$G222,AE$5+6&gt;=$F222),IF($H222="Complétée","F",IF(OR($H222="En cours",$H222="En revue"),"E",IF($H222="Bloquée","B","P"))),""))</f>
        <v/>
      </c>
      <c r="AF222" s="53">
        <f>IF(OR($F222="",$G222=""),"",IF(AND(AF$5&lt;=$G222,AF$5+6&gt;=$F222),IF($H222="Complétée","F",IF(OR($H222="En cours",$H222="En revue"),"E",IF($H222="Bloquée","B","P"))),""))</f>
        <v/>
      </c>
      <c r="AG222" s="53">
        <f>IF(OR($F222="",$G222=""),"",IF(AND(AG$5&lt;=$G222,AG$5+6&gt;=$F222),IF($H222="Complétée","F",IF(OR($H222="En cours",$H222="En revue"),"E",IF($H222="Bloquée","B","P"))),""))</f>
        <v/>
      </c>
      <c r="AH222" s="53">
        <f>IF(OR($F222="",$G222=""),"",IF(AND(AH$5&lt;=$G222,AH$5+6&gt;=$F222),IF($H222="Complétée","F",IF(OR($H222="En cours",$H222="En revue"),"E",IF($H222="Bloquée","B","P"))),""))</f>
        <v/>
      </c>
      <c r="AI222" s="53">
        <f>IF(OR($F222="",$G222=""),"",IF(AND(AI$5&lt;=$G222,AI$5+6&gt;=$F222),IF($H222="Complétée","F",IF(OR($H222="En cours",$H222="En revue"),"E",IF($H222="Bloquée","B","P"))),""))</f>
        <v/>
      </c>
      <c r="AJ222" s="53">
        <f>IF(OR($F222="",$G222=""),"",IF(AND(AJ$5&lt;=$G222,AJ$5+6&gt;=$F222),IF($H222="Complétée","F",IF(OR($H222="En cours",$H222="En revue"),"E",IF($H222="Bloquée","B","P"))),""))</f>
        <v/>
      </c>
      <c r="AK222" s="53">
        <f>IF(OR($F222="",$G222=""),"",IF(AND(AK$5&lt;=$G222,AK$5+6&gt;=$F222),IF($H222="Complétée","F",IF(OR($H222="En cours",$H222="En revue"),"E",IF($H222="Bloquée","B","P"))),""))</f>
        <v/>
      </c>
      <c r="AL222" s="53">
        <f>IF(OR($F222="",$G222=""),"",IF(AND(AL$5&lt;=$G222,AL$5+6&gt;=$F222),IF($H222="Complétée","F",IF(OR($H222="En cours",$H222="En revue"),"E",IF($H222="Bloquée","B","P"))),""))</f>
        <v/>
      </c>
      <c r="AM222" s="53">
        <f>IF(OR($F222="",$G222=""),"",IF(AND(AM$5&lt;=$G222,AM$5+6&gt;=$F222),IF($H222="Complétée","F",IF(OR($H222="En cours",$H222="En revue"),"E",IF($H222="Bloquée","B","P"))),""))</f>
        <v/>
      </c>
      <c r="AN222" s="53">
        <f>IF(OR($F222="",$G222=""),"",IF(AND(AN$5&lt;=$G222,AN$5+6&gt;=$F222),IF($H222="Complétée","F",IF(OR($H222="En cours",$H222="En revue"),"E",IF($H222="Bloquée","B","P"))),""))</f>
        <v/>
      </c>
      <c r="AO222" s="53">
        <f>IF(OR($F222="",$G222=""),"",IF(AND(AO$5&lt;=$G222,AO$5+6&gt;=$F222),IF($H222="Complétée","F",IF(OR($H222="En cours",$H222="En revue"),"E",IF($H222="Bloquée","B","P"))),""))</f>
        <v/>
      </c>
      <c r="AP222" s="53">
        <f>IF(OR($F222="",$G222=""),"",IF(AND(AP$5&lt;=$G222,AP$5+6&gt;=$F222),IF($H222="Complétée","F",IF(OR($H222="En cours",$H222="En revue"),"E",IF($H222="Bloquée","B","P"))),""))</f>
        <v/>
      </c>
      <c r="AQ222" s="53">
        <f>IF(OR($F222="",$G222=""),"",IF(AND(AQ$5&lt;=$G222,AQ$5+6&gt;=$F222),IF($H222="Complétée","F",IF(OR($H222="En cours",$H222="En revue"),"E",IF($H222="Bloquée","B","P"))),""))</f>
        <v/>
      </c>
      <c r="AR222" s="53">
        <f>IF(OR($F222="",$G222=""),"",IF(AND(AR$5&lt;=$G222,AR$5+6&gt;=$F222),IF($H222="Complétée","F",IF(OR($H222="En cours",$H222="En revue"),"E",IF($H222="Bloquée","B","P"))),""))</f>
        <v/>
      </c>
      <c r="AS222" s="53">
        <f>IF(OR($F222="",$G222=""),"",IF(AND(AS$5&lt;=$G222,AS$5+6&gt;=$F222),IF($H222="Complétée","F",IF(OR($H222="En cours",$H222="En revue"),"E",IF($H222="Bloquée","B","P"))),""))</f>
        <v/>
      </c>
      <c r="AT222" s="53">
        <f>IF(OR($F222="",$G222=""),"",IF(AND(AT$5&lt;=$G222,AT$5+6&gt;=$F222),IF($H222="Complétée","F",IF(OR($H222="En cours",$H222="En revue"),"E",IF($H222="Bloquée","B","P"))),""))</f>
        <v/>
      </c>
      <c r="AU222" s="53">
        <f>IF(OR($F222="",$G222=""),"",IF(AND(AU$5&lt;=$G222,AU$5+6&gt;=$F222),IF($H222="Complétée","F",IF(OR($H222="En cours",$H222="En revue"),"E",IF($H222="Bloquée","B","P"))),""))</f>
        <v/>
      </c>
      <c r="AV222" s="53">
        <f>IF(OR($F222="",$G222=""),"",IF(AND(AV$5&lt;=$G222,AV$5+6&gt;=$F222),IF($H222="Complétée","F",IF(OR($H222="En cours",$H222="En revue"),"E",IF($H222="Bloquée","B","P"))),""))</f>
        <v/>
      </c>
      <c r="AW222" s="53">
        <f>IF(OR($F222="",$G222=""),"",IF(AND(AW$5&lt;=$G222,AW$5+6&gt;=$F222),IF($H222="Complétée","F",IF(OR($H222="En cours",$H222="En revue"),"E",IF($H222="Bloquée","B","P"))),""))</f>
        <v/>
      </c>
    </row>
    <row r="223">
      <c r="B223" s="50">
        <f>IF(Taches!B223="","",Taches!B223)</f>
        <v/>
      </c>
      <c r="C223" s="51">
        <f>IF(Taches!B223="","",Taches!F223)</f>
        <v/>
      </c>
      <c r="D223" s="50">
        <f>IF(Taches!B223="","",Taches!C223)</f>
        <v/>
      </c>
      <c r="E223" s="50">
        <f>IF(Taches!B223="","",Taches!D223)</f>
        <v/>
      </c>
      <c r="F223" s="52">
        <f>IF(Taches!P223="","",Taches!P223)</f>
        <v/>
      </c>
      <c r="G223" s="52">
        <f>IF(Taches!Q223="","",Taches!Q223)</f>
        <v/>
      </c>
      <c r="H223" s="50">
        <f>IF(Taches!B223="","",Taches!J223)</f>
        <v/>
      </c>
      <c r="I223" s="53">
        <f>IF(OR($F223="",$G223=""),"",IF(AND(I$5&lt;=$G223,I$5+6&gt;=$F223),IF($H223="Complétée","F",IF(OR($H223="En cours",$H223="En revue"),"E",IF($H223="Bloquée","B","P"))),""))</f>
        <v/>
      </c>
      <c r="J223" s="53">
        <f>IF(OR($F223="",$G223=""),"",IF(AND(J$5&lt;=$G223,J$5+6&gt;=$F223),IF($H223="Complétée","F",IF(OR($H223="En cours",$H223="En revue"),"E",IF($H223="Bloquée","B","P"))),""))</f>
        <v/>
      </c>
      <c r="K223" s="53">
        <f>IF(OR($F223="",$G223=""),"",IF(AND(K$5&lt;=$G223,K$5+6&gt;=$F223),IF($H223="Complétée","F",IF(OR($H223="En cours",$H223="En revue"),"E",IF($H223="Bloquée","B","P"))),""))</f>
        <v/>
      </c>
      <c r="L223" s="53">
        <f>IF(OR($F223="",$G223=""),"",IF(AND(L$5&lt;=$G223,L$5+6&gt;=$F223),IF($H223="Complétée","F",IF(OR($H223="En cours",$H223="En revue"),"E",IF($H223="Bloquée","B","P"))),""))</f>
        <v/>
      </c>
      <c r="M223" s="53">
        <f>IF(OR($F223="",$G223=""),"",IF(AND(M$5&lt;=$G223,M$5+6&gt;=$F223),IF($H223="Complétée","F",IF(OR($H223="En cours",$H223="En revue"),"E",IF($H223="Bloquée","B","P"))),""))</f>
        <v/>
      </c>
      <c r="N223" s="53">
        <f>IF(OR($F223="",$G223=""),"",IF(AND(N$5&lt;=$G223,N$5+6&gt;=$F223),IF($H223="Complétée","F",IF(OR($H223="En cours",$H223="En revue"),"E",IF($H223="Bloquée","B","P"))),""))</f>
        <v/>
      </c>
      <c r="O223" s="53">
        <f>IF(OR($F223="",$G223=""),"",IF(AND(O$5&lt;=$G223,O$5+6&gt;=$F223),IF($H223="Complétée","F",IF(OR($H223="En cours",$H223="En revue"),"E",IF($H223="Bloquée","B","P"))),""))</f>
        <v/>
      </c>
      <c r="P223" s="53">
        <f>IF(OR($F223="",$G223=""),"",IF(AND(P$5&lt;=$G223,P$5+6&gt;=$F223),IF($H223="Complétée","F",IF(OR($H223="En cours",$H223="En revue"),"E",IF($H223="Bloquée","B","P"))),""))</f>
        <v/>
      </c>
      <c r="Q223" s="53">
        <f>IF(OR($F223="",$G223=""),"",IF(AND(Q$5&lt;=$G223,Q$5+6&gt;=$F223),IF($H223="Complétée","F",IF(OR($H223="En cours",$H223="En revue"),"E",IF($H223="Bloquée","B","P"))),""))</f>
        <v/>
      </c>
      <c r="R223" s="53">
        <f>IF(OR($F223="",$G223=""),"",IF(AND(R$5&lt;=$G223,R$5+6&gt;=$F223),IF($H223="Complétée","F",IF(OR($H223="En cours",$H223="En revue"),"E",IF($H223="Bloquée","B","P"))),""))</f>
        <v/>
      </c>
      <c r="S223" s="53">
        <f>IF(OR($F223="",$G223=""),"",IF(AND(S$5&lt;=$G223,S$5+6&gt;=$F223),IF($H223="Complétée","F",IF(OR($H223="En cours",$H223="En revue"),"E",IF($H223="Bloquée","B","P"))),""))</f>
        <v/>
      </c>
      <c r="T223" s="53">
        <f>IF(OR($F223="",$G223=""),"",IF(AND(T$5&lt;=$G223,T$5+6&gt;=$F223),IF($H223="Complétée","F",IF(OR($H223="En cours",$H223="En revue"),"E",IF($H223="Bloquée","B","P"))),""))</f>
        <v/>
      </c>
      <c r="U223" s="53">
        <f>IF(OR($F223="",$G223=""),"",IF(AND(U$5&lt;=$G223,U$5+6&gt;=$F223),IF($H223="Complétée","F",IF(OR($H223="En cours",$H223="En revue"),"E",IF($H223="Bloquée","B","P"))),""))</f>
        <v/>
      </c>
      <c r="V223" s="53">
        <f>IF(OR($F223="",$G223=""),"",IF(AND(V$5&lt;=$G223,V$5+6&gt;=$F223),IF($H223="Complétée","F",IF(OR($H223="En cours",$H223="En revue"),"E",IF($H223="Bloquée","B","P"))),""))</f>
        <v/>
      </c>
      <c r="W223" s="53">
        <f>IF(OR($F223="",$G223=""),"",IF(AND(W$5&lt;=$G223,W$5+6&gt;=$F223),IF($H223="Complétée","F",IF(OR($H223="En cours",$H223="En revue"),"E",IF($H223="Bloquée","B","P"))),""))</f>
        <v/>
      </c>
      <c r="X223" s="53">
        <f>IF(OR($F223="",$G223=""),"",IF(AND(X$5&lt;=$G223,X$5+6&gt;=$F223),IF($H223="Complétée","F",IF(OR($H223="En cours",$H223="En revue"),"E",IF($H223="Bloquée","B","P"))),""))</f>
        <v/>
      </c>
      <c r="Y223" s="53">
        <f>IF(OR($F223="",$G223=""),"",IF(AND(Y$5&lt;=$G223,Y$5+6&gt;=$F223),IF($H223="Complétée","F",IF(OR($H223="En cours",$H223="En revue"),"E",IF($H223="Bloquée","B","P"))),""))</f>
        <v/>
      </c>
      <c r="Z223" s="53">
        <f>IF(OR($F223="",$G223=""),"",IF(AND(Z$5&lt;=$G223,Z$5+6&gt;=$F223),IF($H223="Complétée","F",IF(OR($H223="En cours",$H223="En revue"),"E",IF($H223="Bloquée","B","P"))),""))</f>
        <v/>
      </c>
      <c r="AA223" s="53">
        <f>IF(OR($F223="",$G223=""),"",IF(AND(AA$5&lt;=$G223,AA$5+6&gt;=$F223),IF($H223="Complétée","F",IF(OR($H223="En cours",$H223="En revue"),"E",IF($H223="Bloquée","B","P"))),""))</f>
        <v/>
      </c>
      <c r="AB223" s="53">
        <f>IF(OR($F223="",$G223=""),"",IF(AND(AB$5&lt;=$G223,AB$5+6&gt;=$F223),IF($H223="Complétée","F",IF(OR($H223="En cours",$H223="En revue"),"E",IF($H223="Bloquée","B","P"))),""))</f>
        <v/>
      </c>
      <c r="AC223" s="53">
        <f>IF(OR($F223="",$G223=""),"",IF(AND(AC$5&lt;=$G223,AC$5+6&gt;=$F223),IF($H223="Complétée","F",IF(OR($H223="En cours",$H223="En revue"),"E",IF($H223="Bloquée","B","P"))),""))</f>
        <v/>
      </c>
      <c r="AD223" s="53">
        <f>IF(OR($F223="",$G223=""),"",IF(AND(AD$5&lt;=$G223,AD$5+6&gt;=$F223),IF($H223="Complétée","F",IF(OR($H223="En cours",$H223="En revue"),"E",IF($H223="Bloquée","B","P"))),""))</f>
        <v/>
      </c>
      <c r="AE223" s="53">
        <f>IF(OR($F223="",$G223=""),"",IF(AND(AE$5&lt;=$G223,AE$5+6&gt;=$F223),IF($H223="Complétée","F",IF(OR($H223="En cours",$H223="En revue"),"E",IF($H223="Bloquée","B","P"))),""))</f>
        <v/>
      </c>
      <c r="AF223" s="53">
        <f>IF(OR($F223="",$G223=""),"",IF(AND(AF$5&lt;=$G223,AF$5+6&gt;=$F223),IF($H223="Complétée","F",IF(OR($H223="En cours",$H223="En revue"),"E",IF($H223="Bloquée","B","P"))),""))</f>
        <v/>
      </c>
      <c r="AG223" s="53">
        <f>IF(OR($F223="",$G223=""),"",IF(AND(AG$5&lt;=$G223,AG$5+6&gt;=$F223),IF($H223="Complétée","F",IF(OR($H223="En cours",$H223="En revue"),"E",IF($H223="Bloquée","B","P"))),""))</f>
        <v/>
      </c>
      <c r="AH223" s="53">
        <f>IF(OR($F223="",$G223=""),"",IF(AND(AH$5&lt;=$G223,AH$5+6&gt;=$F223),IF($H223="Complétée","F",IF(OR($H223="En cours",$H223="En revue"),"E",IF($H223="Bloquée","B","P"))),""))</f>
        <v/>
      </c>
      <c r="AI223" s="53">
        <f>IF(OR($F223="",$G223=""),"",IF(AND(AI$5&lt;=$G223,AI$5+6&gt;=$F223),IF($H223="Complétée","F",IF(OR($H223="En cours",$H223="En revue"),"E",IF($H223="Bloquée","B","P"))),""))</f>
        <v/>
      </c>
      <c r="AJ223" s="53">
        <f>IF(OR($F223="",$G223=""),"",IF(AND(AJ$5&lt;=$G223,AJ$5+6&gt;=$F223),IF($H223="Complétée","F",IF(OR($H223="En cours",$H223="En revue"),"E",IF($H223="Bloquée","B","P"))),""))</f>
        <v/>
      </c>
      <c r="AK223" s="53">
        <f>IF(OR($F223="",$G223=""),"",IF(AND(AK$5&lt;=$G223,AK$5+6&gt;=$F223),IF($H223="Complétée","F",IF(OR($H223="En cours",$H223="En revue"),"E",IF($H223="Bloquée","B","P"))),""))</f>
        <v/>
      </c>
      <c r="AL223" s="53">
        <f>IF(OR($F223="",$G223=""),"",IF(AND(AL$5&lt;=$G223,AL$5+6&gt;=$F223),IF($H223="Complétée","F",IF(OR($H223="En cours",$H223="En revue"),"E",IF($H223="Bloquée","B","P"))),""))</f>
        <v/>
      </c>
      <c r="AM223" s="53">
        <f>IF(OR($F223="",$G223=""),"",IF(AND(AM$5&lt;=$G223,AM$5+6&gt;=$F223),IF($H223="Complétée","F",IF(OR($H223="En cours",$H223="En revue"),"E",IF($H223="Bloquée","B","P"))),""))</f>
        <v/>
      </c>
      <c r="AN223" s="53">
        <f>IF(OR($F223="",$G223=""),"",IF(AND(AN$5&lt;=$G223,AN$5+6&gt;=$F223),IF($H223="Complétée","F",IF(OR($H223="En cours",$H223="En revue"),"E",IF($H223="Bloquée","B","P"))),""))</f>
        <v/>
      </c>
      <c r="AO223" s="53">
        <f>IF(OR($F223="",$G223=""),"",IF(AND(AO$5&lt;=$G223,AO$5+6&gt;=$F223),IF($H223="Complétée","F",IF(OR($H223="En cours",$H223="En revue"),"E",IF($H223="Bloquée","B","P"))),""))</f>
        <v/>
      </c>
      <c r="AP223" s="53">
        <f>IF(OR($F223="",$G223=""),"",IF(AND(AP$5&lt;=$G223,AP$5+6&gt;=$F223),IF($H223="Complétée","F",IF(OR($H223="En cours",$H223="En revue"),"E",IF($H223="Bloquée","B","P"))),""))</f>
        <v/>
      </c>
      <c r="AQ223" s="53">
        <f>IF(OR($F223="",$G223=""),"",IF(AND(AQ$5&lt;=$G223,AQ$5+6&gt;=$F223),IF($H223="Complétée","F",IF(OR($H223="En cours",$H223="En revue"),"E",IF($H223="Bloquée","B","P"))),""))</f>
        <v/>
      </c>
      <c r="AR223" s="53">
        <f>IF(OR($F223="",$G223=""),"",IF(AND(AR$5&lt;=$G223,AR$5+6&gt;=$F223),IF($H223="Complétée","F",IF(OR($H223="En cours",$H223="En revue"),"E",IF($H223="Bloquée","B","P"))),""))</f>
        <v/>
      </c>
      <c r="AS223" s="53">
        <f>IF(OR($F223="",$G223=""),"",IF(AND(AS$5&lt;=$G223,AS$5+6&gt;=$F223),IF($H223="Complétée","F",IF(OR($H223="En cours",$H223="En revue"),"E",IF($H223="Bloquée","B","P"))),""))</f>
        <v/>
      </c>
      <c r="AT223" s="53">
        <f>IF(OR($F223="",$G223=""),"",IF(AND(AT$5&lt;=$G223,AT$5+6&gt;=$F223),IF($H223="Complétée","F",IF(OR($H223="En cours",$H223="En revue"),"E",IF($H223="Bloquée","B","P"))),""))</f>
        <v/>
      </c>
      <c r="AU223" s="53">
        <f>IF(OR($F223="",$G223=""),"",IF(AND(AU$5&lt;=$G223,AU$5+6&gt;=$F223),IF($H223="Complétée","F",IF(OR($H223="En cours",$H223="En revue"),"E",IF($H223="Bloquée","B","P"))),""))</f>
        <v/>
      </c>
      <c r="AV223" s="53">
        <f>IF(OR($F223="",$G223=""),"",IF(AND(AV$5&lt;=$G223,AV$5+6&gt;=$F223),IF($H223="Complétée","F",IF(OR($H223="En cours",$H223="En revue"),"E",IF($H223="Bloquée","B","P"))),""))</f>
        <v/>
      </c>
      <c r="AW223" s="53">
        <f>IF(OR($F223="",$G223=""),"",IF(AND(AW$5&lt;=$G223,AW$5+6&gt;=$F223),IF($H223="Complétée","F",IF(OR($H223="En cours",$H223="En revue"),"E",IF($H223="Bloquée","B","P"))),""))</f>
        <v/>
      </c>
    </row>
    <row r="224">
      <c r="B224" s="50">
        <f>IF(Taches!B224="","",Taches!B224)</f>
        <v/>
      </c>
      <c r="C224" s="51">
        <f>IF(Taches!B224="","",Taches!F224)</f>
        <v/>
      </c>
      <c r="D224" s="50">
        <f>IF(Taches!B224="","",Taches!C224)</f>
        <v/>
      </c>
      <c r="E224" s="50">
        <f>IF(Taches!B224="","",Taches!D224)</f>
        <v/>
      </c>
      <c r="F224" s="52">
        <f>IF(Taches!P224="","",Taches!P224)</f>
        <v/>
      </c>
      <c r="G224" s="52">
        <f>IF(Taches!Q224="","",Taches!Q224)</f>
        <v/>
      </c>
      <c r="H224" s="50">
        <f>IF(Taches!B224="","",Taches!J224)</f>
        <v/>
      </c>
      <c r="I224" s="53">
        <f>IF(OR($F224="",$G224=""),"",IF(AND(I$5&lt;=$G224,I$5+6&gt;=$F224),IF($H224="Complétée","F",IF(OR($H224="En cours",$H224="En revue"),"E",IF($H224="Bloquée","B","P"))),""))</f>
        <v/>
      </c>
      <c r="J224" s="53">
        <f>IF(OR($F224="",$G224=""),"",IF(AND(J$5&lt;=$G224,J$5+6&gt;=$F224),IF($H224="Complétée","F",IF(OR($H224="En cours",$H224="En revue"),"E",IF($H224="Bloquée","B","P"))),""))</f>
        <v/>
      </c>
      <c r="K224" s="53">
        <f>IF(OR($F224="",$G224=""),"",IF(AND(K$5&lt;=$G224,K$5+6&gt;=$F224),IF($H224="Complétée","F",IF(OR($H224="En cours",$H224="En revue"),"E",IF($H224="Bloquée","B","P"))),""))</f>
        <v/>
      </c>
      <c r="L224" s="53">
        <f>IF(OR($F224="",$G224=""),"",IF(AND(L$5&lt;=$G224,L$5+6&gt;=$F224),IF($H224="Complétée","F",IF(OR($H224="En cours",$H224="En revue"),"E",IF($H224="Bloquée","B","P"))),""))</f>
        <v/>
      </c>
      <c r="M224" s="53">
        <f>IF(OR($F224="",$G224=""),"",IF(AND(M$5&lt;=$G224,M$5+6&gt;=$F224),IF($H224="Complétée","F",IF(OR($H224="En cours",$H224="En revue"),"E",IF($H224="Bloquée","B","P"))),""))</f>
        <v/>
      </c>
      <c r="N224" s="53">
        <f>IF(OR($F224="",$G224=""),"",IF(AND(N$5&lt;=$G224,N$5+6&gt;=$F224),IF($H224="Complétée","F",IF(OR($H224="En cours",$H224="En revue"),"E",IF($H224="Bloquée","B","P"))),""))</f>
        <v/>
      </c>
      <c r="O224" s="53">
        <f>IF(OR($F224="",$G224=""),"",IF(AND(O$5&lt;=$G224,O$5+6&gt;=$F224),IF($H224="Complétée","F",IF(OR($H224="En cours",$H224="En revue"),"E",IF($H224="Bloquée","B","P"))),""))</f>
        <v/>
      </c>
      <c r="P224" s="53">
        <f>IF(OR($F224="",$G224=""),"",IF(AND(P$5&lt;=$G224,P$5+6&gt;=$F224),IF($H224="Complétée","F",IF(OR($H224="En cours",$H224="En revue"),"E",IF($H224="Bloquée","B","P"))),""))</f>
        <v/>
      </c>
      <c r="Q224" s="53">
        <f>IF(OR($F224="",$G224=""),"",IF(AND(Q$5&lt;=$G224,Q$5+6&gt;=$F224),IF($H224="Complétée","F",IF(OR($H224="En cours",$H224="En revue"),"E",IF($H224="Bloquée","B","P"))),""))</f>
        <v/>
      </c>
      <c r="R224" s="53">
        <f>IF(OR($F224="",$G224=""),"",IF(AND(R$5&lt;=$G224,R$5+6&gt;=$F224),IF($H224="Complétée","F",IF(OR($H224="En cours",$H224="En revue"),"E",IF($H224="Bloquée","B","P"))),""))</f>
        <v/>
      </c>
      <c r="S224" s="53">
        <f>IF(OR($F224="",$G224=""),"",IF(AND(S$5&lt;=$G224,S$5+6&gt;=$F224),IF($H224="Complétée","F",IF(OR($H224="En cours",$H224="En revue"),"E",IF($H224="Bloquée","B","P"))),""))</f>
        <v/>
      </c>
      <c r="T224" s="53">
        <f>IF(OR($F224="",$G224=""),"",IF(AND(T$5&lt;=$G224,T$5+6&gt;=$F224),IF($H224="Complétée","F",IF(OR($H224="En cours",$H224="En revue"),"E",IF($H224="Bloquée","B","P"))),""))</f>
        <v/>
      </c>
      <c r="U224" s="53">
        <f>IF(OR($F224="",$G224=""),"",IF(AND(U$5&lt;=$G224,U$5+6&gt;=$F224),IF($H224="Complétée","F",IF(OR($H224="En cours",$H224="En revue"),"E",IF($H224="Bloquée","B","P"))),""))</f>
        <v/>
      </c>
      <c r="V224" s="53">
        <f>IF(OR($F224="",$G224=""),"",IF(AND(V$5&lt;=$G224,V$5+6&gt;=$F224),IF($H224="Complétée","F",IF(OR($H224="En cours",$H224="En revue"),"E",IF($H224="Bloquée","B","P"))),""))</f>
        <v/>
      </c>
      <c r="W224" s="53">
        <f>IF(OR($F224="",$G224=""),"",IF(AND(W$5&lt;=$G224,W$5+6&gt;=$F224),IF($H224="Complétée","F",IF(OR($H224="En cours",$H224="En revue"),"E",IF($H224="Bloquée","B","P"))),""))</f>
        <v/>
      </c>
      <c r="X224" s="53">
        <f>IF(OR($F224="",$G224=""),"",IF(AND(X$5&lt;=$G224,X$5+6&gt;=$F224),IF($H224="Complétée","F",IF(OR($H224="En cours",$H224="En revue"),"E",IF($H224="Bloquée","B","P"))),""))</f>
        <v/>
      </c>
      <c r="Y224" s="53">
        <f>IF(OR($F224="",$G224=""),"",IF(AND(Y$5&lt;=$G224,Y$5+6&gt;=$F224),IF($H224="Complétée","F",IF(OR($H224="En cours",$H224="En revue"),"E",IF($H224="Bloquée","B","P"))),""))</f>
        <v/>
      </c>
      <c r="Z224" s="53">
        <f>IF(OR($F224="",$G224=""),"",IF(AND(Z$5&lt;=$G224,Z$5+6&gt;=$F224),IF($H224="Complétée","F",IF(OR($H224="En cours",$H224="En revue"),"E",IF($H224="Bloquée","B","P"))),""))</f>
        <v/>
      </c>
      <c r="AA224" s="53">
        <f>IF(OR($F224="",$G224=""),"",IF(AND(AA$5&lt;=$G224,AA$5+6&gt;=$F224),IF($H224="Complétée","F",IF(OR($H224="En cours",$H224="En revue"),"E",IF($H224="Bloquée","B","P"))),""))</f>
        <v/>
      </c>
      <c r="AB224" s="53">
        <f>IF(OR($F224="",$G224=""),"",IF(AND(AB$5&lt;=$G224,AB$5+6&gt;=$F224),IF($H224="Complétée","F",IF(OR($H224="En cours",$H224="En revue"),"E",IF($H224="Bloquée","B","P"))),""))</f>
        <v/>
      </c>
      <c r="AC224" s="53">
        <f>IF(OR($F224="",$G224=""),"",IF(AND(AC$5&lt;=$G224,AC$5+6&gt;=$F224),IF($H224="Complétée","F",IF(OR($H224="En cours",$H224="En revue"),"E",IF($H224="Bloquée","B","P"))),""))</f>
        <v/>
      </c>
      <c r="AD224" s="53">
        <f>IF(OR($F224="",$G224=""),"",IF(AND(AD$5&lt;=$G224,AD$5+6&gt;=$F224),IF($H224="Complétée","F",IF(OR($H224="En cours",$H224="En revue"),"E",IF($H224="Bloquée","B","P"))),""))</f>
        <v/>
      </c>
      <c r="AE224" s="53">
        <f>IF(OR($F224="",$G224=""),"",IF(AND(AE$5&lt;=$G224,AE$5+6&gt;=$F224),IF($H224="Complétée","F",IF(OR($H224="En cours",$H224="En revue"),"E",IF($H224="Bloquée","B","P"))),""))</f>
        <v/>
      </c>
      <c r="AF224" s="53">
        <f>IF(OR($F224="",$G224=""),"",IF(AND(AF$5&lt;=$G224,AF$5+6&gt;=$F224),IF($H224="Complétée","F",IF(OR($H224="En cours",$H224="En revue"),"E",IF($H224="Bloquée","B","P"))),""))</f>
        <v/>
      </c>
      <c r="AG224" s="53">
        <f>IF(OR($F224="",$G224=""),"",IF(AND(AG$5&lt;=$G224,AG$5+6&gt;=$F224),IF($H224="Complétée","F",IF(OR($H224="En cours",$H224="En revue"),"E",IF($H224="Bloquée","B","P"))),""))</f>
        <v/>
      </c>
      <c r="AH224" s="53">
        <f>IF(OR($F224="",$G224=""),"",IF(AND(AH$5&lt;=$G224,AH$5+6&gt;=$F224),IF($H224="Complétée","F",IF(OR($H224="En cours",$H224="En revue"),"E",IF($H224="Bloquée","B","P"))),""))</f>
        <v/>
      </c>
      <c r="AI224" s="53">
        <f>IF(OR($F224="",$G224=""),"",IF(AND(AI$5&lt;=$G224,AI$5+6&gt;=$F224),IF($H224="Complétée","F",IF(OR($H224="En cours",$H224="En revue"),"E",IF($H224="Bloquée","B","P"))),""))</f>
        <v/>
      </c>
      <c r="AJ224" s="53">
        <f>IF(OR($F224="",$G224=""),"",IF(AND(AJ$5&lt;=$G224,AJ$5+6&gt;=$F224),IF($H224="Complétée","F",IF(OR($H224="En cours",$H224="En revue"),"E",IF($H224="Bloquée","B","P"))),""))</f>
        <v/>
      </c>
      <c r="AK224" s="53">
        <f>IF(OR($F224="",$G224=""),"",IF(AND(AK$5&lt;=$G224,AK$5+6&gt;=$F224),IF($H224="Complétée","F",IF(OR($H224="En cours",$H224="En revue"),"E",IF($H224="Bloquée","B","P"))),""))</f>
        <v/>
      </c>
      <c r="AL224" s="53">
        <f>IF(OR($F224="",$G224=""),"",IF(AND(AL$5&lt;=$G224,AL$5+6&gt;=$F224),IF($H224="Complétée","F",IF(OR($H224="En cours",$H224="En revue"),"E",IF($H224="Bloquée","B","P"))),""))</f>
        <v/>
      </c>
      <c r="AM224" s="53">
        <f>IF(OR($F224="",$G224=""),"",IF(AND(AM$5&lt;=$G224,AM$5+6&gt;=$F224),IF($H224="Complétée","F",IF(OR($H224="En cours",$H224="En revue"),"E",IF($H224="Bloquée","B","P"))),""))</f>
        <v/>
      </c>
      <c r="AN224" s="53">
        <f>IF(OR($F224="",$G224=""),"",IF(AND(AN$5&lt;=$G224,AN$5+6&gt;=$F224),IF($H224="Complétée","F",IF(OR($H224="En cours",$H224="En revue"),"E",IF($H224="Bloquée","B","P"))),""))</f>
        <v/>
      </c>
      <c r="AO224" s="53">
        <f>IF(OR($F224="",$G224=""),"",IF(AND(AO$5&lt;=$G224,AO$5+6&gt;=$F224),IF($H224="Complétée","F",IF(OR($H224="En cours",$H224="En revue"),"E",IF($H224="Bloquée","B","P"))),""))</f>
        <v/>
      </c>
      <c r="AP224" s="53">
        <f>IF(OR($F224="",$G224=""),"",IF(AND(AP$5&lt;=$G224,AP$5+6&gt;=$F224),IF($H224="Complétée","F",IF(OR($H224="En cours",$H224="En revue"),"E",IF($H224="Bloquée","B","P"))),""))</f>
        <v/>
      </c>
      <c r="AQ224" s="53">
        <f>IF(OR($F224="",$G224=""),"",IF(AND(AQ$5&lt;=$G224,AQ$5+6&gt;=$F224),IF($H224="Complétée","F",IF(OR($H224="En cours",$H224="En revue"),"E",IF($H224="Bloquée","B","P"))),""))</f>
        <v/>
      </c>
      <c r="AR224" s="53">
        <f>IF(OR($F224="",$G224=""),"",IF(AND(AR$5&lt;=$G224,AR$5+6&gt;=$F224),IF($H224="Complétée","F",IF(OR($H224="En cours",$H224="En revue"),"E",IF($H224="Bloquée","B","P"))),""))</f>
        <v/>
      </c>
      <c r="AS224" s="53">
        <f>IF(OR($F224="",$G224=""),"",IF(AND(AS$5&lt;=$G224,AS$5+6&gt;=$F224),IF($H224="Complétée","F",IF(OR($H224="En cours",$H224="En revue"),"E",IF($H224="Bloquée","B","P"))),""))</f>
        <v/>
      </c>
      <c r="AT224" s="53">
        <f>IF(OR($F224="",$G224=""),"",IF(AND(AT$5&lt;=$G224,AT$5+6&gt;=$F224),IF($H224="Complétée","F",IF(OR($H224="En cours",$H224="En revue"),"E",IF($H224="Bloquée","B","P"))),""))</f>
        <v/>
      </c>
      <c r="AU224" s="53">
        <f>IF(OR($F224="",$G224=""),"",IF(AND(AU$5&lt;=$G224,AU$5+6&gt;=$F224),IF($H224="Complétée","F",IF(OR($H224="En cours",$H224="En revue"),"E",IF($H224="Bloquée","B","P"))),""))</f>
        <v/>
      </c>
      <c r="AV224" s="53">
        <f>IF(OR($F224="",$G224=""),"",IF(AND(AV$5&lt;=$G224,AV$5+6&gt;=$F224),IF($H224="Complétée","F",IF(OR($H224="En cours",$H224="En revue"),"E",IF($H224="Bloquée","B","P"))),""))</f>
        <v/>
      </c>
      <c r="AW224" s="53">
        <f>IF(OR($F224="",$G224=""),"",IF(AND(AW$5&lt;=$G224,AW$5+6&gt;=$F224),IF($H224="Complétée","F",IF(OR($H224="En cours",$H224="En revue"),"E",IF($H224="Bloquée","B","P"))),""))</f>
        <v/>
      </c>
    </row>
    <row r="225">
      <c r="B225" s="50">
        <f>IF(Taches!B225="","",Taches!B225)</f>
        <v/>
      </c>
      <c r="C225" s="51">
        <f>IF(Taches!B225="","",Taches!F225)</f>
        <v/>
      </c>
      <c r="D225" s="50">
        <f>IF(Taches!B225="","",Taches!C225)</f>
        <v/>
      </c>
      <c r="E225" s="50">
        <f>IF(Taches!B225="","",Taches!D225)</f>
        <v/>
      </c>
      <c r="F225" s="52">
        <f>IF(Taches!P225="","",Taches!P225)</f>
        <v/>
      </c>
      <c r="G225" s="52">
        <f>IF(Taches!Q225="","",Taches!Q225)</f>
        <v/>
      </c>
      <c r="H225" s="50">
        <f>IF(Taches!B225="","",Taches!J225)</f>
        <v/>
      </c>
      <c r="I225" s="53">
        <f>IF(OR($F225="",$G225=""),"",IF(AND(I$5&lt;=$G225,I$5+6&gt;=$F225),IF($H225="Complétée","F",IF(OR($H225="En cours",$H225="En revue"),"E",IF($H225="Bloquée","B","P"))),""))</f>
        <v/>
      </c>
      <c r="J225" s="53">
        <f>IF(OR($F225="",$G225=""),"",IF(AND(J$5&lt;=$G225,J$5+6&gt;=$F225),IF($H225="Complétée","F",IF(OR($H225="En cours",$H225="En revue"),"E",IF($H225="Bloquée","B","P"))),""))</f>
        <v/>
      </c>
      <c r="K225" s="53">
        <f>IF(OR($F225="",$G225=""),"",IF(AND(K$5&lt;=$G225,K$5+6&gt;=$F225),IF($H225="Complétée","F",IF(OR($H225="En cours",$H225="En revue"),"E",IF($H225="Bloquée","B","P"))),""))</f>
        <v/>
      </c>
      <c r="L225" s="53">
        <f>IF(OR($F225="",$G225=""),"",IF(AND(L$5&lt;=$G225,L$5+6&gt;=$F225),IF($H225="Complétée","F",IF(OR($H225="En cours",$H225="En revue"),"E",IF($H225="Bloquée","B","P"))),""))</f>
        <v/>
      </c>
      <c r="M225" s="53">
        <f>IF(OR($F225="",$G225=""),"",IF(AND(M$5&lt;=$G225,M$5+6&gt;=$F225),IF($H225="Complétée","F",IF(OR($H225="En cours",$H225="En revue"),"E",IF($H225="Bloquée","B","P"))),""))</f>
        <v/>
      </c>
      <c r="N225" s="53">
        <f>IF(OR($F225="",$G225=""),"",IF(AND(N$5&lt;=$G225,N$5+6&gt;=$F225),IF($H225="Complétée","F",IF(OR($H225="En cours",$H225="En revue"),"E",IF($H225="Bloquée","B","P"))),""))</f>
        <v/>
      </c>
      <c r="O225" s="53">
        <f>IF(OR($F225="",$G225=""),"",IF(AND(O$5&lt;=$G225,O$5+6&gt;=$F225),IF($H225="Complétée","F",IF(OR($H225="En cours",$H225="En revue"),"E",IF($H225="Bloquée","B","P"))),""))</f>
        <v/>
      </c>
      <c r="P225" s="53">
        <f>IF(OR($F225="",$G225=""),"",IF(AND(P$5&lt;=$G225,P$5+6&gt;=$F225),IF($H225="Complétée","F",IF(OR($H225="En cours",$H225="En revue"),"E",IF($H225="Bloquée","B","P"))),""))</f>
        <v/>
      </c>
      <c r="Q225" s="53">
        <f>IF(OR($F225="",$G225=""),"",IF(AND(Q$5&lt;=$G225,Q$5+6&gt;=$F225),IF($H225="Complétée","F",IF(OR($H225="En cours",$H225="En revue"),"E",IF($H225="Bloquée","B","P"))),""))</f>
        <v/>
      </c>
      <c r="R225" s="53">
        <f>IF(OR($F225="",$G225=""),"",IF(AND(R$5&lt;=$G225,R$5+6&gt;=$F225),IF($H225="Complétée","F",IF(OR($H225="En cours",$H225="En revue"),"E",IF($H225="Bloquée","B","P"))),""))</f>
        <v/>
      </c>
      <c r="S225" s="53">
        <f>IF(OR($F225="",$G225=""),"",IF(AND(S$5&lt;=$G225,S$5+6&gt;=$F225),IF($H225="Complétée","F",IF(OR($H225="En cours",$H225="En revue"),"E",IF($H225="Bloquée","B","P"))),""))</f>
        <v/>
      </c>
      <c r="T225" s="53">
        <f>IF(OR($F225="",$G225=""),"",IF(AND(T$5&lt;=$G225,T$5+6&gt;=$F225),IF($H225="Complétée","F",IF(OR($H225="En cours",$H225="En revue"),"E",IF($H225="Bloquée","B","P"))),""))</f>
        <v/>
      </c>
      <c r="U225" s="53">
        <f>IF(OR($F225="",$G225=""),"",IF(AND(U$5&lt;=$G225,U$5+6&gt;=$F225),IF($H225="Complétée","F",IF(OR($H225="En cours",$H225="En revue"),"E",IF($H225="Bloquée","B","P"))),""))</f>
        <v/>
      </c>
      <c r="V225" s="53">
        <f>IF(OR($F225="",$G225=""),"",IF(AND(V$5&lt;=$G225,V$5+6&gt;=$F225),IF($H225="Complétée","F",IF(OR($H225="En cours",$H225="En revue"),"E",IF($H225="Bloquée","B","P"))),""))</f>
        <v/>
      </c>
      <c r="W225" s="53">
        <f>IF(OR($F225="",$G225=""),"",IF(AND(W$5&lt;=$G225,W$5+6&gt;=$F225),IF($H225="Complétée","F",IF(OR($H225="En cours",$H225="En revue"),"E",IF($H225="Bloquée","B","P"))),""))</f>
        <v/>
      </c>
      <c r="X225" s="53">
        <f>IF(OR($F225="",$G225=""),"",IF(AND(X$5&lt;=$G225,X$5+6&gt;=$F225),IF($H225="Complétée","F",IF(OR($H225="En cours",$H225="En revue"),"E",IF($H225="Bloquée","B","P"))),""))</f>
        <v/>
      </c>
      <c r="Y225" s="53">
        <f>IF(OR($F225="",$G225=""),"",IF(AND(Y$5&lt;=$G225,Y$5+6&gt;=$F225),IF($H225="Complétée","F",IF(OR($H225="En cours",$H225="En revue"),"E",IF($H225="Bloquée","B","P"))),""))</f>
        <v/>
      </c>
      <c r="Z225" s="53">
        <f>IF(OR($F225="",$G225=""),"",IF(AND(Z$5&lt;=$G225,Z$5+6&gt;=$F225),IF($H225="Complétée","F",IF(OR($H225="En cours",$H225="En revue"),"E",IF($H225="Bloquée","B","P"))),""))</f>
        <v/>
      </c>
      <c r="AA225" s="53">
        <f>IF(OR($F225="",$G225=""),"",IF(AND(AA$5&lt;=$G225,AA$5+6&gt;=$F225),IF($H225="Complétée","F",IF(OR($H225="En cours",$H225="En revue"),"E",IF($H225="Bloquée","B","P"))),""))</f>
        <v/>
      </c>
      <c r="AB225" s="53">
        <f>IF(OR($F225="",$G225=""),"",IF(AND(AB$5&lt;=$G225,AB$5+6&gt;=$F225),IF($H225="Complétée","F",IF(OR($H225="En cours",$H225="En revue"),"E",IF($H225="Bloquée","B","P"))),""))</f>
        <v/>
      </c>
      <c r="AC225" s="53">
        <f>IF(OR($F225="",$G225=""),"",IF(AND(AC$5&lt;=$G225,AC$5+6&gt;=$F225),IF($H225="Complétée","F",IF(OR($H225="En cours",$H225="En revue"),"E",IF($H225="Bloquée","B","P"))),""))</f>
        <v/>
      </c>
      <c r="AD225" s="53">
        <f>IF(OR($F225="",$G225=""),"",IF(AND(AD$5&lt;=$G225,AD$5+6&gt;=$F225),IF($H225="Complétée","F",IF(OR($H225="En cours",$H225="En revue"),"E",IF($H225="Bloquée","B","P"))),""))</f>
        <v/>
      </c>
      <c r="AE225" s="53">
        <f>IF(OR($F225="",$G225=""),"",IF(AND(AE$5&lt;=$G225,AE$5+6&gt;=$F225),IF($H225="Complétée","F",IF(OR($H225="En cours",$H225="En revue"),"E",IF($H225="Bloquée","B","P"))),""))</f>
        <v/>
      </c>
      <c r="AF225" s="53">
        <f>IF(OR($F225="",$G225=""),"",IF(AND(AF$5&lt;=$G225,AF$5+6&gt;=$F225),IF($H225="Complétée","F",IF(OR($H225="En cours",$H225="En revue"),"E",IF($H225="Bloquée","B","P"))),""))</f>
        <v/>
      </c>
      <c r="AG225" s="53">
        <f>IF(OR($F225="",$G225=""),"",IF(AND(AG$5&lt;=$G225,AG$5+6&gt;=$F225),IF($H225="Complétée","F",IF(OR($H225="En cours",$H225="En revue"),"E",IF($H225="Bloquée","B","P"))),""))</f>
        <v/>
      </c>
      <c r="AH225" s="53">
        <f>IF(OR($F225="",$G225=""),"",IF(AND(AH$5&lt;=$G225,AH$5+6&gt;=$F225),IF($H225="Complétée","F",IF(OR($H225="En cours",$H225="En revue"),"E",IF($H225="Bloquée","B","P"))),""))</f>
        <v/>
      </c>
      <c r="AI225" s="53">
        <f>IF(OR($F225="",$G225=""),"",IF(AND(AI$5&lt;=$G225,AI$5+6&gt;=$F225),IF($H225="Complétée","F",IF(OR($H225="En cours",$H225="En revue"),"E",IF($H225="Bloquée","B","P"))),""))</f>
        <v/>
      </c>
      <c r="AJ225" s="53">
        <f>IF(OR($F225="",$G225=""),"",IF(AND(AJ$5&lt;=$G225,AJ$5+6&gt;=$F225),IF($H225="Complétée","F",IF(OR($H225="En cours",$H225="En revue"),"E",IF($H225="Bloquée","B","P"))),""))</f>
        <v/>
      </c>
      <c r="AK225" s="53">
        <f>IF(OR($F225="",$G225=""),"",IF(AND(AK$5&lt;=$G225,AK$5+6&gt;=$F225),IF($H225="Complétée","F",IF(OR($H225="En cours",$H225="En revue"),"E",IF($H225="Bloquée","B","P"))),""))</f>
        <v/>
      </c>
      <c r="AL225" s="53">
        <f>IF(OR($F225="",$G225=""),"",IF(AND(AL$5&lt;=$G225,AL$5+6&gt;=$F225),IF($H225="Complétée","F",IF(OR($H225="En cours",$H225="En revue"),"E",IF($H225="Bloquée","B","P"))),""))</f>
        <v/>
      </c>
      <c r="AM225" s="53">
        <f>IF(OR($F225="",$G225=""),"",IF(AND(AM$5&lt;=$G225,AM$5+6&gt;=$F225),IF($H225="Complétée","F",IF(OR($H225="En cours",$H225="En revue"),"E",IF($H225="Bloquée","B","P"))),""))</f>
        <v/>
      </c>
      <c r="AN225" s="53">
        <f>IF(OR($F225="",$G225=""),"",IF(AND(AN$5&lt;=$G225,AN$5+6&gt;=$F225),IF($H225="Complétée","F",IF(OR($H225="En cours",$H225="En revue"),"E",IF($H225="Bloquée","B","P"))),""))</f>
        <v/>
      </c>
      <c r="AO225" s="53">
        <f>IF(OR($F225="",$G225=""),"",IF(AND(AO$5&lt;=$G225,AO$5+6&gt;=$F225),IF($H225="Complétée","F",IF(OR($H225="En cours",$H225="En revue"),"E",IF($H225="Bloquée","B","P"))),""))</f>
        <v/>
      </c>
      <c r="AP225" s="53">
        <f>IF(OR($F225="",$G225=""),"",IF(AND(AP$5&lt;=$G225,AP$5+6&gt;=$F225),IF($H225="Complétée","F",IF(OR($H225="En cours",$H225="En revue"),"E",IF($H225="Bloquée","B","P"))),""))</f>
        <v/>
      </c>
      <c r="AQ225" s="53">
        <f>IF(OR($F225="",$G225=""),"",IF(AND(AQ$5&lt;=$G225,AQ$5+6&gt;=$F225),IF($H225="Complétée","F",IF(OR($H225="En cours",$H225="En revue"),"E",IF($H225="Bloquée","B","P"))),""))</f>
        <v/>
      </c>
      <c r="AR225" s="53">
        <f>IF(OR($F225="",$G225=""),"",IF(AND(AR$5&lt;=$G225,AR$5+6&gt;=$F225),IF($H225="Complétée","F",IF(OR($H225="En cours",$H225="En revue"),"E",IF($H225="Bloquée","B","P"))),""))</f>
        <v/>
      </c>
      <c r="AS225" s="53">
        <f>IF(OR($F225="",$G225=""),"",IF(AND(AS$5&lt;=$G225,AS$5+6&gt;=$F225),IF($H225="Complétée","F",IF(OR($H225="En cours",$H225="En revue"),"E",IF($H225="Bloquée","B","P"))),""))</f>
        <v/>
      </c>
      <c r="AT225" s="53">
        <f>IF(OR($F225="",$G225=""),"",IF(AND(AT$5&lt;=$G225,AT$5+6&gt;=$F225),IF($H225="Complétée","F",IF(OR($H225="En cours",$H225="En revue"),"E",IF($H225="Bloquée","B","P"))),""))</f>
        <v/>
      </c>
      <c r="AU225" s="53">
        <f>IF(OR($F225="",$G225=""),"",IF(AND(AU$5&lt;=$G225,AU$5+6&gt;=$F225),IF($H225="Complétée","F",IF(OR($H225="En cours",$H225="En revue"),"E",IF($H225="Bloquée","B","P"))),""))</f>
        <v/>
      </c>
      <c r="AV225" s="53">
        <f>IF(OR($F225="",$G225=""),"",IF(AND(AV$5&lt;=$G225,AV$5+6&gt;=$F225),IF($H225="Complétée","F",IF(OR($H225="En cours",$H225="En revue"),"E",IF($H225="Bloquée","B","P"))),""))</f>
        <v/>
      </c>
      <c r="AW225" s="53">
        <f>IF(OR($F225="",$G225=""),"",IF(AND(AW$5&lt;=$G225,AW$5+6&gt;=$F225),IF($H225="Complétée","F",IF(OR($H225="En cours",$H225="En revue"),"E",IF($H225="Bloquée","B","P"))),""))</f>
        <v/>
      </c>
    </row>
    <row r="226">
      <c r="B226" s="50">
        <f>IF(Taches!B226="","",Taches!B226)</f>
        <v/>
      </c>
      <c r="C226" s="51">
        <f>IF(Taches!B226="","",Taches!F226)</f>
        <v/>
      </c>
      <c r="D226" s="50">
        <f>IF(Taches!B226="","",Taches!C226)</f>
        <v/>
      </c>
      <c r="E226" s="50">
        <f>IF(Taches!B226="","",Taches!D226)</f>
        <v/>
      </c>
      <c r="F226" s="52">
        <f>IF(Taches!P226="","",Taches!P226)</f>
        <v/>
      </c>
      <c r="G226" s="52">
        <f>IF(Taches!Q226="","",Taches!Q226)</f>
        <v/>
      </c>
      <c r="H226" s="50">
        <f>IF(Taches!B226="","",Taches!J226)</f>
        <v/>
      </c>
      <c r="I226" s="53">
        <f>IF(OR($F226="",$G226=""),"",IF(AND(I$5&lt;=$G226,I$5+6&gt;=$F226),IF($H226="Complétée","F",IF(OR($H226="En cours",$H226="En revue"),"E",IF($H226="Bloquée","B","P"))),""))</f>
        <v/>
      </c>
      <c r="J226" s="53">
        <f>IF(OR($F226="",$G226=""),"",IF(AND(J$5&lt;=$G226,J$5+6&gt;=$F226),IF($H226="Complétée","F",IF(OR($H226="En cours",$H226="En revue"),"E",IF($H226="Bloquée","B","P"))),""))</f>
        <v/>
      </c>
      <c r="K226" s="53">
        <f>IF(OR($F226="",$G226=""),"",IF(AND(K$5&lt;=$G226,K$5+6&gt;=$F226),IF($H226="Complétée","F",IF(OR($H226="En cours",$H226="En revue"),"E",IF($H226="Bloquée","B","P"))),""))</f>
        <v/>
      </c>
      <c r="L226" s="53">
        <f>IF(OR($F226="",$G226=""),"",IF(AND(L$5&lt;=$G226,L$5+6&gt;=$F226),IF($H226="Complétée","F",IF(OR($H226="En cours",$H226="En revue"),"E",IF($H226="Bloquée","B","P"))),""))</f>
        <v/>
      </c>
      <c r="M226" s="53">
        <f>IF(OR($F226="",$G226=""),"",IF(AND(M$5&lt;=$G226,M$5+6&gt;=$F226),IF($H226="Complétée","F",IF(OR($H226="En cours",$H226="En revue"),"E",IF($H226="Bloquée","B","P"))),""))</f>
        <v/>
      </c>
      <c r="N226" s="53">
        <f>IF(OR($F226="",$G226=""),"",IF(AND(N$5&lt;=$G226,N$5+6&gt;=$F226),IF($H226="Complétée","F",IF(OR($H226="En cours",$H226="En revue"),"E",IF($H226="Bloquée","B","P"))),""))</f>
        <v/>
      </c>
      <c r="O226" s="53">
        <f>IF(OR($F226="",$G226=""),"",IF(AND(O$5&lt;=$G226,O$5+6&gt;=$F226),IF($H226="Complétée","F",IF(OR($H226="En cours",$H226="En revue"),"E",IF($H226="Bloquée","B","P"))),""))</f>
        <v/>
      </c>
      <c r="P226" s="53">
        <f>IF(OR($F226="",$G226=""),"",IF(AND(P$5&lt;=$G226,P$5+6&gt;=$F226),IF($H226="Complétée","F",IF(OR($H226="En cours",$H226="En revue"),"E",IF($H226="Bloquée","B","P"))),""))</f>
        <v/>
      </c>
      <c r="Q226" s="53">
        <f>IF(OR($F226="",$G226=""),"",IF(AND(Q$5&lt;=$G226,Q$5+6&gt;=$F226),IF($H226="Complétée","F",IF(OR($H226="En cours",$H226="En revue"),"E",IF($H226="Bloquée","B","P"))),""))</f>
        <v/>
      </c>
      <c r="R226" s="53">
        <f>IF(OR($F226="",$G226=""),"",IF(AND(R$5&lt;=$G226,R$5+6&gt;=$F226),IF($H226="Complétée","F",IF(OR($H226="En cours",$H226="En revue"),"E",IF($H226="Bloquée","B","P"))),""))</f>
        <v/>
      </c>
      <c r="S226" s="53">
        <f>IF(OR($F226="",$G226=""),"",IF(AND(S$5&lt;=$G226,S$5+6&gt;=$F226),IF($H226="Complétée","F",IF(OR($H226="En cours",$H226="En revue"),"E",IF($H226="Bloquée","B","P"))),""))</f>
        <v/>
      </c>
      <c r="T226" s="53">
        <f>IF(OR($F226="",$G226=""),"",IF(AND(T$5&lt;=$G226,T$5+6&gt;=$F226),IF($H226="Complétée","F",IF(OR($H226="En cours",$H226="En revue"),"E",IF($H226="Bloquée","B","P"))),""))</f>
        <v/>
      </c>
      <c r="U226" s="53">
        <f>IF(OR($F226="",$G226=""),"",IF(AND(U$5&lt;=$G226,U$5+6&gt;=$F226),IF($H226="Complétée","F",IF(OR($H226="En cours",$H226="En revue"),"E",IF($H226="Bloquée","B","P"))),""))</f>
        <v/>
      </c>
      <c r="V226" s="53">
        <f>IF(OR($F226="",$G226=""),"",IF(AND(V$5&lt;=$G226,V$5+6&gt;=$F226),IF($H226="Complétée","F",IF(OR($H226="En cours",$H226="En revue"),"E",IF($H226="Bloquée","B","P"))),""))</f>
        <v/>
      </c>
      <c r="W226" s="53">
        <f>IF(OR($F226="",$G226=""),"",IF(AND(W$5&lt;=$G226,W$5+6&gt;=$F226),IF($H226="Complétée","F",IF(OR($H226="En cours",$H226="En revue"),"E",IF($H226="Bloquée","B","P"))),""))</f>
        <v/>
      </c>
      <c r="X226" s="53">
        <f>IF(OR($F226="",$G226=""),"",IF(AND(X$5&lt;=$G226,X$5+6&gt;=$F226),IF($H226="Complétée","F",IF(OR($H226="En cours",$H226="En revue"),"E",IF($H226="Bloquée","B","P"))),""))</f>
        <v/>
      </c>
      <c r="Y226" s="53">
        <f>IF(OR($F226="",$G226=""),"",IF(AND(Y$5&lt;=$G226,Y$5+6&gt;=$F226),IF($H226="Complétée","F",IF(OR($H226="En cours",$H226="En revue"),"E",IF($H226="Bloquée","B","P"))),""))</f>
        <v/>
      </c>
      <c r="Z226" s="53">
        <f>IF(OR($F226="",$G226=""),"",IF(AND(Z$5&lt;=$G226,Z$5+6&gt;=$F226),IF($H226="Complétée","F",IF(OR($H226="En cours",$H226="En revue"),"E",IF($H226="Bloquée","B","P"))),""))</f>
        <v/>
      </c>
      <c r="AA226" s="53">
        <f>IF(OR($F226="",$G226=""),"",IF(AND(AA$5&lt;=$G226,AA$5+6&gt;=$F226),IF($H226="Complétée","F",IF(OR($H226="En cours",$H226="En revue"),"E",IF($H226="Bloquée","B","P"))),""))</f>
        <v/>
      </c>
      <c r="AB226" s="53">
        <f>IF(OR($F226="",$G226=""),"",IF(AND(AB$5&lt;=$G226,AB$5+6&gt;=$F226),IF($H226="Complétée","F",IF(OR($H226="En cours",$H226="En revue"),"E",IF($H226="Bloquée","B","P"))),""))</f>
        <v/>
      </c>
      <c r="AC226" s="53">
        <f>IF(OR($F226="",$G226=""),"",IF(AND(AC$5&lt;=$G226,AC$5+6&gt;=$F226),IF($H226="Complétée","F",IF(OR($H226="En cours",$H226="En revue"),"E",IF($H226="Bloquée","B","P"))),""))</f>
        <v/>
      </c>
      <c r="AD226" s="53">
        <f>IF(OR($F226="",$G226=""),"",IF(AND(AD$5&lt;=$G226,AD$5+6&gt;=$F226),IF($H226="Complétée","F",IF(OR($H226="En cours",$H226="En revue"),"E",IF($H226="Bloquée","B","P"))),""))</f>
        <v/>
      </c>
      <c r="AE226" s="53">
        <f>IF(OR($F226="",$G226=""),"",IF(AND(AE$5&lt;=$G226,AE$5+6&gt;=$F226),IF($H226="Complétée","F",IF(OR($H226="En cours",$H226="En revue"),"E",IF($H226="Bloquée","B","P"))),""))</f>
        <v/>
      </c>
      <c r="AF226" s="53">
        <f>IF(OR($F226="",$G226=""),"",IF(AND(AF$5&lt;=$G226,AF$5+6&gt;=$F226),IF($H226="Complétée","F",IF(OR($H226="En cours",$H226="En revue"),"E",IF($H226="Bloquée","B","P"))),""))</f>
        <v/>
      </c>
      <c r="AG226" s="53">
        <f>IF(OR($F226="",$G226=""),"",IF(AND(AG$5&lt;=$G226,AG$5+6&gt;=$F226),IF($H226="Complétée","F",IF(OR($H226="En cours",$H226="En revue"),"E",IF($H226="Bloquée","B","P"))),""))</f>
        <v/>
      </c>
      <c r="AH226" s="53">
        <f>IF(OR($F226="",$G226=""),"",IF(AND(AH$5&lt;=$G226,AH$5+6&gt;=$F226),IF($H226="Complétée","F",IF(OR($H226="En cours",$H226="En revue"),"E",IF($H226="Bloquée","B","P"))),""))</f>
        <v/>
      </c>
      <c r="AI226" s="53">
        <f>IF(OR($F226="",$G226=""),"",IF(AND(AI$5&lt;=$G226,AI$5+6&gt;=$F226),IF($H226="Complétée","F",IF(OR($H226="En cours",$H226="En revue"),"E",IF($H226="Bloquée","B","P"))),""))</f>
        <v/>
      </c>
      <c r="AJ226" s="53">
        <f>IF(OR($F226="",$G226=""),"",IF(AND(AJ$5&lt;=$G226,AJ$5+6&gt;=$F226),IF($H226="Complétée","F",IF(OR($H226="En cours",$H226="En revue"),"E",IF($H226="Bloquée","B","P"))),""))</f>
        <v/>
      </c>
      <c r="AK226" s="53">
        <f>IF(OR($F226="",$G226=""),"",IF(AND(AK$5&lt;=$G226,AK$5+6&gt;=$F226),IF($H226="Complétée","F",IF(OR($H226="En cours",$H226="En revue"),"E",IF($H226="Bloquée","B","P"))),""))</f>
        <v/>
      </c>
      <c r="AL226" s="53">
        <f>IF(OR($F226="",$G226=""),"",IF(AND(AL$5&lt;=$G226,AL$5+6&gt;=$F226),IF($H226="Complétée","F",IF(OR($H226="En cours",$H226="En revue"),"E",IF($H226="Bloquée","B","P"))),""))</f>
        <v/>
      </c>
      <c r="AM226" s="53">
        <f>IF(OR($F226="",$G226=""),"",IF(AND(AM$5&lt;=$G226,AM$5+6&gt;=$F226),IF($H226="Complétée","F",IF(OR($H226="En cours",$H226="En revue"),"E",IF($H226="Bloquée","B","P"))),""))</f>
        <v/>
      </c>
      <c r="AN226" s="53">
        <f>IF(OR($F226="",$G226=""),"",IF(AND(AN$5&lt;=$G226,AN$5+6&gt;=$F226),IF($H226="Complétée","F",IF(OR($H226="En cours",$H226="En revue"),"E",IF($H226="Bloquée","B","P"))),""))</f>
        <v/>
      </c>
      <c r="AO226" s="53">
        <f>IF(OR($F226="",$G226=""),"",IF(AND(AO$5&lt;=$G226,AO$5+6&gt;=$F226),IF($H226="Complétée","F",IF(OR($H226="En cours",$H226="En revue"),"E",IF($H226="Bloquée","B","P"))),""))</f>
        <v/>
      </c>
      <c r="AP226" s="53">
        <f>IF(OR($F226="",$G226=""),"",IF(AND(AP$5&lt;=$G226,AP$5+6&gt;=$F226),IF($H226="Complétée","F",IF(OR($H226="En cours",$H226="En revue"),"E",IF($H226="Bloquée","B","P"))),""))</f>
        <v/>
      </c>
      <c r="AQ226" s="53">
        <f>IF(OR($F226="",$G226=""),"",IF(AND(AQ$5&lt;=$G226,AQ$5+6&gt;=$F226),IF($H226="Complétée","F",IF(OR($H226="En cours",$H226="En revue"),"E",IF($H226="Bloquée","B","P"))),""))</f>
        <v/>
      </c>
      <c r="AR226" s="53">
        <f>IF(OR($F226="",$G226=""),"",IF(AND(AR$5&lt;=$G226,AR$5+6&gt;=$F226),IF($H226="Complétée","F",IF(OR($H226="En cours",$H226="En revue"),"E",IF($H226="Bloquée","B","P"))),""))</f>
        <v/>
      </c>
      <c r="AS226" s="53">
        <f>IF(OR($F226="",$G226=""),"",IF(AND(AS$5&lt;=$G226,AS$5+6&gt;=$F226),IF($H226="Complétée","F",IF(OR($H226="En cours",$H226="En revue"),"E",IF($H226="Bloquée","B","P"))),""))</f>
        <v/>
      </c>
      <c r="AT226" s="53">
        <f>IF(OR($F226="",$G226=""),"",IF(AND(AT$5&lt;=$G226,AT$5+6&gt;=$F226),IF($H226="Complétée","F",IF(OR($H226="En cours",$H226="En revue"),"E",IF($H226="Bloquée","B","P"))),""))</f>
        <v/>
      </c>
      <c r="AU226" s="53">
        <f>IF(OR($F226="",$G226=""),"",IF(AND(AU$5&lt;=$G226,AU$5+6&gt;=$F226),IF($H226="Complétée","F",IF(OR($H226="En cours",$H226="En revue"),"E",IF($H226="Bloquée","B","P"))),""))</f>
        <v/>
      </c>
      <c r="AV226" s="53">
        <f>IF(OR($F226="",$G226=""),"",IF(AND(AV$5&lt;=$G226,AV$5+6&gt;=$F226),IF($H226="Complétée","F",IF(OR($H226="En cours",$H226="En revue"),"E",IF($H226="Bloquée","B","P"))),""))</f>
        <v/>
      </c>
      <c r="AW226" s="53">
        <f>IF(OR($F226="",$G226=""),"",IF(AND(AW$5&lt;=$G226,AW$5+6&gt;=$F226),IF($H226="Complétée","F",IF(OR($H226="En cours",$H226="En revue"),"E",IF($H226="Bloquée","B","P"))),""))</f>
        <v/>
      </c>
    </row>
    <row r="227">
      <c r="B227" s="50">
        <f>IF(Taches!B227="","",Taches!B227)</f>
        <v/>
      </c>
      <c r="C227" s="51">
        <f>IF(Taches!B227="","",Taches!F227)</f>
        <v/>
      </c>
      <c r="D227" s="50">
        <f>IF(Taches!B227="","",Taches!C227)</f>
        <v/>
      </c>
      <c r="E227" s="50">
        <f>IF(Taches!B227="","",Taches!D227)</f>
        <v/>
      </c>
      <c r="F227" s="52">
        <f>IF(Taches!P227="","",Taches!P227)</f>
        <v/>
      </c>
      <c r="G227" s="52">
        <f>IF(Taches!Q227="","",Taches!Q227)</f>
        <v/>
      </c>
      <c r="H227" s="50">
        <f>IF(Taches!B227="","",Taches!J227)</f>
        <v/>
      </c>
      <c r="I227" s="53">
        <f>IF(OR($F227="",$G227=""),"",IF(AND(I$5&lt;=$G227,I$5+6&gt;=$F227),IF($H227="Complétée","F",IF(OR($H227="En cours",$H227="En revue"),"E",IF($H227="Bloquée","B","P"))),""))</f>
        <v/>
      </c>
      <c r="J227" s="53">
        <f>IF(OR($F227="",$G227=""),"",IF(AND(J$5&lt;=$G227,J$5+6&gt;=$F227),IF($H227="Complétée","F",IF(OR($H227="En cours",$H227="En revue"),"E",IF($H227="Bloquée","B","P"))),""))</f>
        <v/>
      </c>
      <c r="K227" s="53">
        <f>IF(OR($F227="",$G227=""),"",IF(AND(K$5&lt;=$G227,K$5+6&gt;=$F227),IF($H227="Complétée","F",IF(OR($H227="En cours",$H227="En revue"),"E",IF($H227="Bloquée","B","P"))),""))</f>
        <v/>
      </c>
      <c r="L227" s="53">
        <f>IF(OR($F227="",$G227=""),"",IF(AND(L$5&lt;=$G227,L$5+6&gt;=$F227),IF($H227="Complétée","F",IF(OR($H227="En cours",$H227="En revue"),"E",IF($H227="Bloquée","B","P"))),""))</f>
        <v/>
      </c>
      <c r="M227" s="53">
        <f>IF(OR($F227="",$G227=""),"",IF(AND(M$5&lt;=$G227,M$5+6&gt;=$F227),IF($H227="Complétée","F",IF(OR($H227="En cours",$H227="En revue"),"E",IF($H227="Bloquée","B","P"))),""))</f>
        <v/>
      </c>
      <c r="N227" s="53">
        <f>IF(OR($F227="",$G227=""),"",IF(AND(N$5&lt;=$G227,N$5+6&gt;=$F227),IF($H227="Complétée","F",IF(OR($H227="En cours",$H227="En revue"),"E",IF($H227="Bloquée","B","P"))),""))</f>
        <v/>
      </c>
      <c r="O227" s="53">
        <f>IF(OR($F227="",$G227=""),"",IF(AND(O$5&lt;=$G227,O$5+6&gt;=$F227),IF($H227="Complétée","F",IF(OR($H227="En cours",$H227="En revue"),"E",IF($H227="Bloquée","B","P"))),""))</f>
        <v/>
      </c>
      <c r="P227" s="53">
        <f>IF(OR($F227="",$G227=""),"",IF(AND(P$5&lt;=$G227,P$5+6&gt;=$F227),IF($H227="Complétée","F",IF(OR($H227="En cours",$H227="En revue"),"E",IF($H227="Bloquée","B","P"))),""))</f>
        <v/>
      </c>
      <c r="Q227" s="53">
        <f>IF(OR($F227="",$G227=""),"",IF(AND(Q$5&lt;=$G227,Q$5+6&gt;=$F227),IF($H227="Complétée","F",IF(OR($H227="En cours",$H227="En revue"),"E",IF($H227="Bloquée","B","P"))),""))</f>
        <v/>
      </c>
      <c r="R227" s="53">
        <f>IF(OR($F227="",$G227=""),"",IF(AND(R$5&lt;=$G227,R$5+6&gt;=$F227),IF($H227="Complétée","F",IF(OR($H227="En cours",$H227="En revue"),"E",IF($H227="Bloquée","B","P"))),""))</f>
        <v/>
      </c>
      <c r="S227" s="53">
        <f>IF(OR($F227="",$G227=""),"",IF(AND(S$5&lt;=$G227,S$5+6&gt;=$F227),IF($H227="Complétée","F",IF(OR($H227="En cours",$H227="En revue"),"E",IF($H227="Bloquée","B","P"))),""))</f>
        <v/>
      </c>
      <c r="T227" s="53">
        <f>IF(OR($F227="",$G227=""),"",IF(AND(T$5&lt;=$G227,T$5+6&gt;=$F227),IF($H227="Complétée","F",IF(OR($H227="En cours",$H227="En revue"),"E",IF($H227="Bloquée","B","P"))),""))</f>
        <v/>
      </c>
      <c r="U227" s="53">
        <f>IF(OR($F227="",$G227=""),"",IF(AND(U$5&lt;=$G227,U$5+6&gt;=$F227),IF($H227="Complétée","F",IF(OR($H227="En cours",$H227="En revue"),"E",IF($H227="Bloquée","B","P"))),""))</f>
        <v/>
      </c>
      <c r="V227" s="53">
        <f>IF(OR($F227="",$G227=""),"",IF(AND(V$5&lt;=$G227,V$5+6&gt;=$F227),IF($H227="Complétée","F",IF(OR($H227="En cours",$H227="En revue"),"E",IF($H227="Bloquée","B","P"))),""))</f>
        <v/>
      </c>
      <c r="W227" s="53">
        <f>IF(OR($F227="",$G227=""),"",IF(AND(W$5&lt;=$G227,W$5+6&gt;=$F227),IF($H227="Complétée","F",IF(OR($H227="En cours",$H227="En revue"),"E",IF($H227="Bloquée","B","P"))),""))</f>
        <v/>
      </c>
      <c r="X227" s="53">
        <f>IF(OR($F227="",$G227=""),"",IF(AND(X$5&lt;=$G227,X$5+6&gt;=$F227),IF($H227="Complétée","F",IF(OR($H227="En cours",$H227="En revue"),"E",IF($H227="Bloquée","B","P"))),""))</f>
        <v/>
      </c>
      <c r="Y227" s="53">
        <f>IF(OR($F227="",$G227=""),"",IF(AND(Y$5&lt;=$G227,Y$5+6&gt;=$F227),IF($H227="Complétée","F",IF(OR($H227="En cours",$H227="En revue"),"E",IF($H227="Bloquée","B","P"))),""))</f>
        <v/>
      </c>
      <c r="Z227" s="53">
        <f>IF(OR($F227="",$G227=""),"",IF(AND(Z$5&lt;=$G227,Z$5+6&gt;=$F227),IF($H227="Complétée","F",IF(OR($H227="En cours",$H227="En revue"),"E",IF($H227="Bloquée","B","P"))),""))</f>
        <v/>
      </c>
      <c r="AA227" s="53">
        <f>IF(OR($F227="",$G227=""),"",IF(AND(AA$5&lt;=$G227,AA$5+6&gt;=$F227),IF($H227="Complétée","F",IF(OR($H227="En cours",$H227="En revue"),"E",IF($H227="Bloquée","B","P"))),""))</f>
        <v/>
      </c>
      <c r="AB227" s="53">
        <f>IF(OR($F227="",$G227=""),"",IF(AND(AB$5&lt;=$G227,AB$5+6&gt;=$F227),IF($H227="Complétée","F",IF(OR($H227="En cours",$H227="En revue"),"E",IF($H227="Bloquée","B","P"))),""))</f>
        <v/>
      </c>
      <c r="AC227" s="53">
        <f>IF(OR($F227="",$G227=""),"",IF(AND(AC$5&lt;=$G227,AC$5+6&gt;=$F227),IF($H227="Complétée","F",IF(OR($H227="En cours",$H227="En revue"),"E",IF($H227="Bloquée","B","P"))),""))</f>
        <v/>
      </c>
      <c r="AD227" s="53">
        <f>IF(OR($F227="",$G227=""),"",IF(AND(AD$5&lt;=$G227,AD$5+6&gt;=$F227),IF($H227="Complétée","F",IF(OR($H227="En cours",$H227="En revue"),"E",IF($H227="Bloquée","B","P"))),""))</f>
        <v/>
      </c>
      <c r="AE227" s="53">
        <f>IF(OR($F227="",$G227=""),"",IF(AND(AE$5&lt;=$G227,AE$5+6&gt;=$F227),IF($H227="Complétée","F",IF(OR($H227="En cours",$H227="En revue"),"E",IF($H227="Bloquée","B","P"))),""))</f>
        <v/>
      </c>
      <c r="AF227" s="53">
        <f>IF(OR($F227="",$G227=""),"",IF(AND(AF$5&lt;=$G227,AF$5+6&gt;=$F227),IF($H227="Complétée","F",IF(OR($H227="En cours",$H227="En revue"),"E",IF($H227="Bloquée","B","P"))),""))</f>
        <v/>
      </c>
      <c r="AG227" s="53">
        <f>IF(OR($F227="",$G227=""),"",IF(AND(AG$5&lt;=$G227,AG$5+6&gt;=$F227),IF($H227="Complétée","F",IF(OR($H227="En cours",$H227="En revue"),"E",IF($H227="Bloquée","B","P"))),""))</f>
        <v/>
      </c>
      <c r="AH227" s="53">
        <f>IF(OR($F227="",$G227=""),"",IF(AND(AH$5&lt;=$G227,AH$5+6&gt;=$F227),IF($H227="Complétée","F",IF(OR($H227="En cours",$H227="En revue"),"E",IF($H227="Bloquée","B","P"))),""))</f>
        <v/>
      </c>
      <c r="AI227" s="53">
        <f>IF(OR($F227="",$G227=""),"",IF(AND(AI$5&lt;=$G227,AI$5+6&gt;=$F227),IF($H227="Complétée","F",IF(OR($H227="En cours",$H227="En revue"),"E",IF($H227="Bloquée","B","P"))),""))</f>
        <v/>
      </c>
      <c r="AJ227" s="53">
        <f>IF(OR($F227="",$G227=""),"",IF(AND(AJ$5&lt;=$G227,AJ$5+6&gt;=$F227),IF($H227="Complétée","F",IF(OR($H227="En cours",$H227="En revue"),"E",IF($H227="Bloquée","B","P"))),""))</f>
        <v/>
      </c>
      <c r="AK227" s="53">
        <f>IF(OR($F227="",$G227=""),"",IF(AND(AK$5&lt;=$G227,AK$5+6&gt;=$F227),IF($H227="Complétée","F",IF(OR($H227="En cours",$H227="En revue"),"E",IF($H227="Bloquée","B","P"))),""))</f>
        <v/>
      </c>
      <c r="AL227" s="53">
        <f>IF(OR($F227="",$G227=""),"",IF(AND(AL$5&lt;=$G227,AL$5+6&gt;=$F227),IF($H227="Complétée","F",IF(OR($H227="En cours",$H227="En revue"),"E",IF($H227="Bloquée","B","P"))),""))</f>
        <v/>
      </c>
      <c r="AM227" s="53">
        <f>IF(OR($F227="",$G227=""),"",IF(AND(AM$5&lt;=$G227,AM$5+6&gt;=$F227),IF($H227="Complétée","F",IF(OR($H227="En cours",$H227="En revue"),"E",IF($H227="Bloquée","B","P"))),""))</f>
        <v/>
      </c>
      <c r="AN227" s="53">
        <f>IF(OR($F227="",$G227=""),"",IF(AND(AN$5&lt;=$G227,AN$5+6&gt;=$F227),IF($H227="Complétée","F",IF(OR($H227="En cours",$H227="En revue"),"E",IF($H227="Bloquée","B","P"))),""))</f>
        <v/>
      </c>
      <c r="AO227" s="53">
        <f>IF(OR($F227="",$G227=""),"",IF(AND(AO$5&lt;=$G227,AO$5+6&gt;=$F227),IF($H227="Complétée","F",IF(OR($H227="En cours",$H227="En revue"),"E",IF($H227="Bloquée","B","P"))),""))</f>
        <v/>
      </c>
      <c r="AP227" s="53">
        <f>IF(OR($F227="",$G227=""),"",IF(AND(AP$5&lt;=$G227,AP$5+6&gt;=$F227),IF($H227="Complétée","F",IF(OR($H227="En cours",$H227="En revue"),"E",IF($H227="Bloquée","B","P"))),""))</f>
        <v/>
      </c>
      <c r="AQ227" s="53">
        <f>IF(OR($F227="",$G227=""),"",IF(AND(AQ$5&lt;=$G227,AQ$5+6&gt;=$F227),IF($H227="Complétée","F",IF(OR($H227="En cours",$H227="En revue"),"E",IF($H227="Bloquée","B","P"))),""))</f>
        <v/>
      </c>
      <c r="AR227" s="53">
        <f>IF(OR($F227="",$G227=""),"",IF(AND(AR$5&lt;=$G227,AR$5+6&gt;=$F227),IF($H227="Complétée","F",IF(OR($H227="En cours",$H227="En revue"),"E",IF($H227="Bloquée","B","P"))),""))</f>
        <v/>
      </c>
      <c r="AS227" s="53">
        <f>IF(OR($F227="",$G227=""),"",IF(AND(AS$5&lt;=$G227,AS$5+6&gt;=$F227),IF($H227="Complétée","F",IF(OR($H227="En cours",$H227="En revue"),"E",IF($H227="Bloquée","B","P"))),""))</f>
        <v/>
      </c>
      <c r="AT227" s="53">
        <f>IF(OR($F227="",$G227=""),"",IF(AND(AT$5&lt;=$G227,AT$5+6&gt;=$F227),IF($H227="Complétée","F",IF(OR($H227="En cours",$H227="En revue"),"E",IF($H227="Bloquée","B","P"))),""))</f>
        <v/>
      </c>
      <c r="AU227" s="53">
        <f>IF(OR($F227="",$G227=""),"",IF(AND(AU$5&lt;=$G227,AU$5+6&gt;=$F227),IF($H227="Complétée","F",IF(OR($H227="En cours",$H227="En revue"),"E",IF($H227="Bloquée","B","P"))),""))</f>
        <v/>
      </c>
      <c r="AV227" s="53">
        <f>IF(OR($F227="",$G227=""),"",IF(AND(AV$5&lt;=$G227,AV$5+6&gt;=$F227),IF($H227="Complétée","F",IF(OR($H227="En cours",$H227="En revue"),"E",IF($H227="Bloquée","B","P"))),""))</f>
        <v/>
      </c>
      <c r="AW227" s="53">
        <f>IF(OR($F227="",$G227=""),"",IF(AND(AW$5&lt;=$G227,AW$5+6&gt;=$F227),IF($H227="Complétée","F",IF(OR($H227="En cours",$H227="En revue"),"E",IF($H227="Bloquée","B","P"))),""))</f>
        <v/>
      </c>
    </row>
    <row r="228">
      <c r="B228" s="50">
        <f>IF(Taches!B228="","",Taches!B228)</f>
        <v/>
      </c>
      <c r="C228" s="51">
        <f>IF(Taches!B228="","",Taches!F228)</f>
        <v/>
      </c>
      <c r="D228" s="50">
        <f>IF(Taches!B228="","",Taches!C228)</f>
        <v/>
      </c>
      <c r="E228" s="50">
        <f>IF(Taches!B228="","",Taches!D228)</f>
        <v/>
      </c>
      <c r="F228" s="52">
        <f>IF(Taches!P228="","",Taches!P228)</f>
        <v/>
      </c>
      <c r="G228" s="52">
        <f>IF(Taches!Q228="","",Taches!Q228)</f>
        <v/>
      </c>
      <c r="H228" s="50">
        <f>IF(Taches!B228="","",Taches!J228)</f>
        <v/>
      </c>
      <c r="I228" s="53">
        <f>IF(OR($F228="",$G228=""),"",IF(AND(I$5&lt;=$G228,I$5+6&gt;=$F228),IF($H228="Complétée","F",IF(OR($H228="En cours",$H228="En revue"),"E",IF($H228="Bloquée","B","P"))),""))</f>
        <v/>
      </c>
      <c r="J228" s="53">
        <f>IF(OR($F228="",$G228=""),"",IF(AND(J$5&lt;=$G228,J$5+6&gt;=$F228),IF($H228="Complétée","F",IF(OR($H228="En cours",$H228="En revue"),"E",IF($H228="Bloquée","B","P"))),""))</f>
        <v/>
      </c>
      <c r="K228" s="53">
        <f>IF(OR($F228="",$G228=""),"",IF(AND(K$5&lt;=$G228,K$5+6&gt;=$F228),IF($H228="Complétée","F",IF(OR($H228="En cours",$H228="En revue"),"E",IF($H228="Bloquée","B","P"))),""))</f>
        <v/>
      </c>
      <c r="L228" s="53">
        <f>IF(OR($F228="",$G228=""),"",IF(AND(L$5&lt;=$G228,L$5+6&gt;=$F228),IF($H228="Complétée","F",IF(OR($H228="En cours",$H228="En revue"),"E",IF($H228="Bloquée","B","P"))),""))</f>
        <v/>
      </c>
      <c r="M228" s="53">
        <f>IF(OR($F228="",$G228=""),"",IF(AND(M$5&lt;=$G228,M$5+6&gt;=$F228),IF($H228="Complétée","F",IF(OR($H228="En cours",$H228="En revue"),"E",IF($H228="Bloquée","B","P"))),""))</f>
        <v/>
      </c>
      <c r="N228" s="53">
        <f>IF(OR($F228="",$G228=""),"",IF(AND(N$5&lt;=$G228,N$5+6&gt;=$F228),IF($H228="Complétée","F",IF(OR($H228="En cours",$H228="En revue"),"E",IF($H228="Bloquée","B","P"))),""))</f>
        <v/>
      </c>
      <c r="O228" s="53">
        <f>IF(OR($F228="",$G228=""),"",IF(AND(O$5&lt;=$G228,O$5+6&gt;=$F228),IF($H228="Complétée","F",IF(OR($H228="En cours",$H228="En revue"),"E",IF($H228="Bloquée","B","P"))),""))</f>
        <v/>
      </c>
      <c r="P228" s="53">
        <f>IF(OR($F228="",$G228=""),"",IF(AND(P$5&lt;=$G228,P$5+6&gt;=$F228),IF($H228="Complétée","F",IF(OR($H228="En cours",$H228="En revue"),"E",IF($H228="Bloquée","B","P"))),""))</f>
        <v/>
      </c>
      <c r="Q228" s="53">
        <f>IF(OR($F228="",$G228=""),"",IF(AND(Q$5&lt;=$G228,Q$5+6&gt;=$F228),IF($H228="Complétée","F",IF(OR($H228="En cours",$H228="En revue"),"E",IF($H228="Bloquée","B","P"))),""))</f>
        <v/>
      </c>
      <c r="R228" s="53">
        <f>IF(OR($F228="",$G228=""),"",IF(AND(R$5&lt;=$G228,R$5+6&gt;=$F228),IF($H228="Complétée","F",IF(OR($H228="En cours",$H228="En revue"),"E",IF($H228="Bloquée","B","P"))),""))</f>
        <v/>
      </c>
      <c r="S228" s="53">
        <f>IF(OR($F228="",$G228=""),"",IF(AND(S$5&lt;=$G228,S$5+6&gt;=$F228),IF($H228="Complétée","F",IF(OR($H228="En cours",$H228="En revue"),"E",IF($H228="Bloquée","B","P"))),""))</f>
        <v/>
      </c>
      <c r="T228" s="53">
        <f>IF(OR($F228="",$G228=""),"",IF(AND(T$5&lt;=$G228,T$5+6&gt;=$F228),IF($H228="Complétée","F",IF(OR($H228="En cours",$H228="En revue"),"E",IF($H228="Bloquée","B","P"))),""))</f>
        <v/>
      </c>
      <c r="U228" s="53">
        <f>IF(OR($F228="",$G228=""),"",IF(AND(U$5&lt;=$G228,U$5+6&gt;=$F228),IF($H228="Complétée","F",IF(OR($H228="En cours",$H228="En revue"),"E",IF($H228="Bloquée","B","P"))),""))</f>
        <v/>
      </c>
      <c r="V228" s="53">
        <f>IF(OR($F228="",$G228=""),"",IF(AND(V$5&lt;=$G228,V$5+6&gt;=$F228),IF($H228="Complétée","F",IF(OR($H228="En cours",$H228="En revue"),"E",IF($H228="Bloquée","B","P"))),""))</f>
        <v/>
      </c>
      <c r="W228" s="53">
        <f>IF(OR($F228="",$G228=""),"",IF(AND(W$5&lt;=$G228,W$5+6&gt;=$F228),IF($H228="Complétée","F",IF(OR($H228="En cours",$H228="En revue"),"E",IF($H228="Bloquée","B","P"))),""))</f>
        <v/>
      </c>
      <c r="X228" s="53">
        <f>IF(OR($F228="",$G228=""),"",IF(AND(X$5&lt;=$G228,X$5+6&gt;=$F228),IF($H228="Complétée","F",IF(OR($H228="En cours",$H228="En revue"),"E",IF($H228="Bloquée","B","P"))),""))</f>
        <v/>
      </c>
      <c r="Y228" s="53">
        <f>IF(OR($F228="",$G228=""),"",IF(AND(Y$5&lt;=$G228,Y$5+6&gt;=$F228),IF($H228="Complétée","F",IF(OR($H228="En cours",$H228="En revue"),"E",IF($H228="Bloquée","B","P"))),""))</f>
        <v/>
      </c>
      <c r="Z228" s="53">
        <f>IF(OR($F228="",$G228=""),"",IF(AND(Z$5&lt;=$G228,Z$5+6&gt;=$F228),IF($H228="Complétée","F",IF(OR($H228="En cours",$H228="En revue"),"E",IF($H228="Bloquée","B","P"))),""))</f>
        <v/>
      </c>
      <c r="AA228" s="53">
        <f>IF(OR($F228="",$G228=""),"",IF(AND(AA$5&lt;=$G228,AA$5+6&gt;=$F228),IF($H228="Complétée","F",IF(OR($H228="En cours",$H228="En revue"),"E",IF($H228="Bloquée","B","P"))),""))</f>
        <v/>
      </c>
      <c r="AB228" s="53">
        <f>IF(OR($F228="",$G228=""),"",IF(AND(AB$5&lt;=$G228,AB$5+6&gt;=$F228),IF($H228="Complétée","F",IF(OR($H228="En cours",$H228="En revue"),"E",IF($H228="Bloquée","B","P"))),""))</f>
        <v/>
      </c>
      <c r="AC228" s="53">
        <f>IF(OR($F228="",$G228=""),"",IF(AND(AC$5&lt;=$G228,AC$5+6&gt;=$F228),IF($H228="Complétée","F",IF(OR($H228="En cours",$H228="En revue"),"E",IF($H228="Bloquée","B","P"))),""))</f>
        <v/>
      </c>
      <c r="AD228" s="53">
        <f>IF(OR($F228="",$G228=""),"",IF(AND(AD$5&lt;=$G228,AD$5+6&gt;=$F228),IF($H228="Complétée","F",IF(OR($H228="En cours",$H228="En revue"),"E",IF($H228="Bloquée","B","P"))),""))</f>
        <v/>
      </c>
      <c r="AE228" s="53">
        <f>IF(OR($F228="",$G228=""),"",IF(AND(AE$5&lt;=$G228,AE$5+6&gt;=$F228),IF($H228="Complétée","F",IF(OR($H228="En cours",$H228="En revue"),"E",IF($H228="Bloquée","B","P"))),""))</f>
        <v/>
      </c>
      <c r="AF228" s="53">
        <f>IF(OR($F228="",$G228=""),"",IF(AND(AF$5&lt;=$G228,AF$5+6&gt;=$F228),IF($H228="Complétée","F",IF(OR($H228="En cours",$H228="En revue"),"E",IF($H228="Bloquée","B","P"))),""))</f>
        <v/>
      </c>
      <c r="AG228" s="53">
        <f>IF(OR($F228="",$G228=""),"",IF(AND(AG$5&lt;=$G228,AG$5+6&gt;=$F228),IF($H228="Complétée","F",IF(OR($H228="En cours",$H228="En revue"),"E",IF($H228="Bloquée","B","P"))),""))</f>
        <v/>
      </c>
      <c r="AH228" s="53">
        <f>IF(OR($F228="",$G228=""),"",IF(AND(AH$5&lt;=$G228,AH$5+6&gt;=$F228),IF($H228="Complétée","F",IF(OR($H228="En cours",$H228="En revue"),"E",IF($H228="Bloquée","B","P"))),""))</f>
        <v/>
      </c>
      <c r="AI228" s="53">
        <f>IF(OR($F228="",$G228=""),"",IF(AND(AI$5&lt;=$G228,AI$5+6&gt;=$F228),IF($H228="Complétée","F",IF(OR($H228="En cours",$H228="En revue"),"E",IF($H228="Bloquée","B","P"))),""))</f>
        <v/>
      </c>
      <c r="AJ228" s="53">
        <f>IF(OR($F228="",$G228=""),"",IF(AND(AJ$5&lt;=$G228,AJ$5+6&gt;=$F228),IF($H228="Complétée","F",IF(OR($H228="En cours",$H228="En revue"),"E",IF($H228="Bloquée","B","P"))),""))</f>
        <v/>
      </c>
      <c r="AK228" s="53">
        <f>IF(OR($F228="",$G228=""),"",IF(AND(AK$5&lt;=$G228,AK$5+6&gt;=$F228),IF($H228="Complétée","F",IF(OR($H228="En cours",$H228="En revue"),"E",IF($H228="Bloquée","B","P"))),""))</f>
        <v/>
      </c>
      <c r="AL228" s="53">
        <f>IF(OR($F228="",$G228=""),"",IF(AND(AL$5&lt;=$G228,AL$5+6&gt;=$F228),IF($H228="Complétée","F",IF(OR($H228="En cours",$H228="En revue"),"E",IF($H228="Bloquée","B","P"))),""))</f>
        <v/>
      </c>
      <c r="AM228" s="53">
        <f>IF(OR($F228="",$G228=""),"",IF(AND(AM$5&lt;=$G228,AM$5+6&gt;=$F228),IF($H228="Complétée","F",IF(OR($H228="En cours",$H228="En revue"),"E",IF($H228="Bloquée","B","P"))),""))</f>
        <v/>
      </c>
      <c r="AN228" s="53">
        <f>IF(OR($F228="",$G228=""),"",IF(AND(AN$5&lt;=$G228,AN$5+6&gt;=$F228),IF($H228="Complétée","F",IF(OR($H228="En cours",$H228="En revue"),"E",IF($H228="Bloquée","B","P"))),""))</f>
        <v/>
      </c>
      <c r="AO228" s="53">
        <f>IF(OR($F228="",$G228=""),"",IF(AND(AO$5&lt;=$G228,AO$5+6&gt;=$F228),IF($H228="Complétée","F",IF(OR($H228="En cours",$H228="En revue"),"E",IF($H228="Bloquée","B","P"))),""))</f>
        <v/>
      </c>
      <c r="AP228" s="53">
        <f>IF(OR($F228="",$G228=""),"",IF(AND(AP$5&lt;=$G228,AP$5+6&gt;=$F228),IF($H228="Complétée","F",IF(OR($H228="En cours",$H228="En revue"),"E",IF($H228="Bloquée","B","P"))),""))</f>
        <v/>
      </c>
      <c r="AQ228" s="53">
        <f>IF(OR($F228="",$G228=""),"",IF(AND(AQ$5&lt;=$G228,AQ$5+6&gt;=$F228),IF($H228="Complétée","F",IF(OR($H228="En cours",$H228="En revue"),"E",IF($H228="Bloquée","B","P"))),""))</f>
        <v/>
      </c>
      <c r="AR228" s="53">
        <f>IF(OR($F228="",$G228=""),"",IF(AND(AR$5&lt;=$G228,AR$5+6&gt;=$F228),IF($H228="Complétée","F",IF(OR($H228="En cours",$H228="En revue"),"E",IF($H228="Bloquée","B","P"))),""))</f>
        <v/>
      </c>
      <c r="AS228" s="53">
        <f>IF(OR($F228="",$G228=""),"",IF(AND(AS$5&lt;=$G228,AS$5+6&gt;=$F228),IF($H228="Complétée","F",IF(OR($H228="En cours",$H228="En revue"),"E",IF($H228="Bloquée","B","P"))),""))</f>
        <v/>
      </c>
      <c r="AT228" s="53">
        <f>IF(OR($F228="",$G228=""),"",IF(AND(AT$5&lt;=$G228,AT$5+6&gt;=$F228),IF($H228="Complétée","F",IF(OR($H228="En cours",$H228="En revue"),"E",IF($H228="Bloquée","B","P"))),""))</f>
        <v/>
      </c>
      <c r="AU228" s="53">
        <f>IF(OR($F228="",$G228=""),"",IF(AND(AU$5&lt;=$G228,AU$5+6&gt;=$F228),IF($H228="Complétée","F",IF(OR($H228="En cours",$H228="En revue"),"E",IF($H228="Bloquée","B","P"))),""))</f>
        <v/>
      </c>
      <c r="AV228" s="53">
        <f>IF(OR($F228="",$G228=""),"",IF(AND(AV$5&lt;=$G228,AV$5+6&gt;=$F228),IF($H228="Complétée","F",IF(OR($H228="En cours",$H228="En revue"),"E",IF($H228="Bloquée","B","P"))),""))</f>
        <v/>
      </c>
      <c r="AW228" s="53">
        <f>IF(OR($F228="",$G228=""),"",IF(AND(AW$5&lt;=$G228,AW$5+6&gt;=$F228),IF($H228="Complétée","F",IF(OR($H228="En cours",$H228="En revue"),"E",IF($H228="Bloquée","B","P"))),""))</f>
        <v/>
      </c>
    </row>
    <row r="229">
      <c r="B229" s="50">
        <f>IF(Taches!B229="","",Taches!B229)</f>
        <v/>
      </c>
      <c r="C229" s="51">
        <f>IF(Taches!B229="","",Taches!F229)</f>
        <v/>
      </c>
      <c r="D229" s="50">
        <f>IF(Taches!B229="","",Taches!C229)</f>
        <v/>
      </c>
      <c r="E229" s="50">
        <f>IF(Taches!B229="","",Taches!D229)</f>
        <v/>
      </c>
      <c r="F229" s="52">
        <f>IF(Taches!P229="","",Taches!P229)</f>
        <v/>
      </c>
      <c r="G229" s="52">
        <f>IF(Taches!Q229="","",Taches!Q229)</f>
        <v/>
      </c>
      <c r="H229" s="50">
        <f>IF(Taches!B229="","",Taches!J229)</f>
        <v/>
      </c>
      <c r="I229" s="53">
        <f>IF(OR($F229="",$G229=""),"",IF(AND(I$5&lt;=$G229,I$5+6&gt;=$F229),IF($H229="Complétée","F",IF(OR($H229="En cours",$H229="En revue"),"E",IF($H229="Bloquée","B","P"))),""))</f>
        <v/>
      </c>
      <c r="J229" s="53">
        <f>IF(OR($F229="",$G229=""),"",IF(AND(J$5&lt;=$G229,J$5+6&gt;=$F229),IF($H229="Complétée","F",IF(OR($H229="En cours",$H229="En revue"),"E",IF($H229="Bloquée","B","P"))),""))</f>
        <v/>
      </c>
      <c r="K229" s="53">
        <f>IF(OR($F229="",$G229=""),"",IF(AND(K$5&lt;=$G229,K$5+6&gt;=$F229),IF($H229="Complétée","F",IF(OR($H229="En cours",$H229="En revue"),"E",IF($H229="Bloquée","B","P"))),""))</f>
        <v/>
      </c>
      <c r="L229" s="53">
        <f>IF(OR($F229="",$G229=""),"",IF(AND(L$5&lt;=$G229,L$5+6&gt;=$F229),IF($H229="Complétée","F",IF(OR($H229="En cours",$H229="En revue"),"E",IF($H229="Bloquée","B","P"))),""))</f>
        <v/>
      </c>
      <c r="M229" s="53">
        <f>IF(OR($F229="",$G229=""),"",IF(AND(M$5&lt;=$G229,M$5+6&gt;=$F229),IF($H229="Complétée","F",IF(OR($H229="En cours",$H229="En revue"),"E",IF($H229="Bloquée","B","P"))),""))</f>
        <v/>
      </c>
      <c r="N229" s="53">
        <f>IF(OR($F229="",$G229=""),"",IF(AND(N$5&lt;=$G229,N$5+6&gt;=$F229),IF($H229="Complétée","F",IF(OR($H229="En cours",$H229="En revue"),"E",IF($H229="Bloquée","B","P"))),""))</f>
        <v/>
      </c>
      <c r="O229" s="53">
        <f>IF(OR($F229="",$G229=""),"",IF(AND(O$5&lt;=$G229,O$5+6&gt;=$F229),IF($H229="Complétée","F",IF(OR($H229="En cours",$H229="En revue"),"E",IF($H229="Bloquée","B","P"))),""))</f>
        <v/>
      </c>
      <c r="P229" s="53">
        <f>IF(OR($F229="",$G229=""),"",IF(AND(P$5&lt;=$G229,P$5+6&gt;=$F229),IF($H229="Complétée","F",IF(OR($H229="En cours",$H229="En revue"),"E",IF($H229="Bloquée","B","P"))),""))</f>
        <v/>
      </c>
      <c r="Q229" s="53">
        <f>IF(OR($F229="",$G229=""),"",IF(AND(Q$5&lt;=$G229,Q$5+6&gt;=$F229),IF($H229="Complétée","F",IF(OR($H229="En cours",$H229="En revue"),"E",IF($H229="Bloquée","B","P"))),""))</f>
        <v/>
      </c>
      <c r="R229" s="53">
        <f>IF(OR($F229="",$G229=""),"",IF(AND(R$5&lt;=$G229,R$5+6&gt;=$F229),IF($H229="Complétée","F",IF(OR($H229="En cours",$H229="En revue"),"E",IF($H229="Bloquée","B","P"))),""))</f>
        <v/>
      </c>
      <c r="S229" s="53">
        <f>IF(OR($F229="",$G229=""),"",IF(AND(S$5&lt;=$G229,S$5+6&gt;=$F229),IF($H229="Complétée","F",IF(OR($H229="En cours",$H229="En revue"),"E",IF($H229="Bloquée","B","P"))),""))</f>
        <v/>
      </c>
      <c r="T229" s="53">
        <f>IF(OR($F229="",$G229=""),"",IF(AND(T$5&lt;=$G229,T$5+6&gt;=$F229),IF($H229="Complétée","F",IF(OR($H229="En cours",$H229="En revue"),"E",IF($H229="Bloquée","B","P"))),""))</f>
        <v/>
      </c>
      <c r="U229" s="53">
        <f>IF(OR($F229="",$G229=""),"",IF(AND(U$5&lt;=$G229,U$5+6&gt;=$F229),IF($H229="Complétée","F",IF(OR($H229="En cours",$H229="En revue"),"E",IF($H229="Bloquée","B","P"))),""))</f>
        <v/>
      </c>
      <c r="V229" s="53">
        <f>IF(OR($F229="",$G229=""),"",IF(AND(V$5&lt;=$G229,V$5+6&gt;=$F229),IF($H229="Complétée","F",IF(OR($H229="En cours",$H229="En revue"),"E",IF($H229="Bloquée","B","P"))),""))</f>
        <v/>
      </c>
      <c r="W229" s="53">
        <f>IF(OR($F229="",$G229=""),"",IF(AND(W$5&lt;=$G229,W$5+6&gt;=$F229),IF($H229="Complétée","F",IF(OR($H229="En cours",$H229="En revue"),"E",IF($H229="Bloquée","B","P"))),""))</f>
        <v/>
      </c>
      <c r="X229" s="53">
        <f>IF(OR($F229="",$G229=""),"",IF(AND(X$5&lt;=$G229,X$5+6&gt;=$F229),IF($H229="Complétée","F",IF(OR($H229="En cours",$H229="En revue"),"E",IF($H229="Bloquée","B","P"))),""))</f>
        <v/>
      </c>
      <c r="Y229" s="53">
        <f>IF(OR($F229="",$G229=""),"",IF(AND(Y$5&lt;=$G229,Y$5+6&gt;=$F229),IF($H229="Complétée","F",IF(OR($H229="En cours",$H229="En revue"),"E",IF($H229="Bloquée","B","P"))),""))</f>
        <v/>
      </c>
      <c r="Z229" s="53">
        <f>IF(OR($F229="",$G229=""),"",IF(AND(Z$5&lt;=$G229,Z$5+6&gt;=$F229),IF($H229="Complétée","F",IF(OR($H229="En cours",$H229="En revue"),"E",IF($H229="Bloquée","B","P"))),""))</f>
        <v/>
      </c>
      <c r="AA229" s="53">
        <f>IF(OR($F229="",$G229=""),"",IF(AND(AA$5&lt;=$G229,AA$5+6&gt;=$F229),IF($H229="Complétée","F",IF(OR($H229="En cours",$H229="En revue"),"E",IF($H229="Bloquée","B","P"))),""))</f>
        <v/>
      </c>
      <c r="AB229" s="53">
        <f>IF(OR($F229="",$G229=""),"",IF(AND(AB$5&lt;=$G229,AB$5+6&gt;=$F229),IF($H229="Complétée","F",IF(OR($H229="En cours",$H229="En revue"),"E",IF($H229="Bloquée","B","P"))),""))</f>
        <v/>
      </c>
      <c r="AC229" s="53">
        <f>IF(OR($F229="",$G229=""),"",IF(AND(AC$5&lt;=$G229,AC$5+6&gt;=$F229),IF($H229="Complétée","F",IF(OR($H229="En cours",$H229="En revue"),"E",IF($H229="Bloquée","B","P"))),""))</f>
        <v/>
      </c>
      <c r="AD229" s="53">
        <f>IF(OR($F229="",$G229=""),"",IF(AND(AD$5&lt;=$G229,AD$5+6&gt;=$F229),IF($H229="Complétée","F",IF(OR($H229="En cours",$H229="En revue"),"E",IF($H229="Bloquée","B","P"))),""))</f>
        <v/>
      </c>
      <c r="AE229" s="53">
        <f>IF(OR($F229="",$G229=""),"",IF(AND(AE$5&lt;=$G229,AE$5+6&gt;=$F229),IF($H229="Complétée","F",IF(OR($H229="En cours",$H229="En revue"),"E",IF($H229="Bloquée","B","P"))),""))</f>
        <v/>
      </c>
      <c r="AF229" s="53">
        <f>IF(OR($F229="",$G229=""),"",IF(AND(AF$5&lt;=$G229,AF$5+6&gt;=$F229),IF($H229="Complétée","F",IF(OR($H229="En cours",$H229="En revue"),"E",IF($H229="Bloquée","B","P"))),""))</f>
        <v/>
      </c>
      <c r="AG229" s="53">
        <f>IF(OR($F229="",$G229=""),"",IF(AND(AG$5&lt;=$G229,AG$5+6&gt;=$F229),IF($H229="Complétée","F",IF(OR($H229="En cours",$H229="En revue"),"E",IF($H229="Bloquée","B","P"))),""))</f>
        <v/>
      </c>
      <c r="AH229" s="53">
        <f>IF(OR($F229="",$G229=""),"",IF(AND(AH$5&lt;=$G229,AH$5+6&gt;=$F229),IF($H229="Complétée","F",IF(OR($H229="En cours",$H229="En revue"),"E",IF($H229="Bloquée","B","P"))),""))</f>
        <v/>
      </c>
      <c r="AI229" s="53">
        <f>IF(OR($F229="",$G229=""),"",IF(AND(AI$5&lt;=$G229,AI$5+6&gt;=$F229),IF($H229="Complétée","F",IF(OR($H229="En cours",$H229="En revue"),"E",IF($H229="Bloquée","B","P"))),""))</f>
        <v/>
      </c>
      <c r="AJ229" s="53">
        <f>IF(OR($F229="",$G229=""),"",IF(AND(AJ$5&lt;=$G229,AJ$5+6&gt;=$F229),IF($H229="Complétée","F",IF(OR($H229="En cours",$H229="En revue"),"E",IF($H229="Bloquée","B","P"))),""))</f>
        <v/>
      </c>
      <c r="AK229" s="53">
        <f>IF(OR($F229="",$G229=""),"",IF(AND(AK$5&lt;=$G229,AK$5+6&gt;=$F229),IF($H229="Complétée","F",IF(OR($H229="En cours",$H229="En revue"),"E",IF($H229="Bloquée","B","P"))),""))</f>
        <v/>
      </c>
      <c r="AL229" s="53">
        <f>IF(OR($F229="",$G229=""),"",IF(AND(AL$5&lt;=$G229,AL$5+6&gt;=$F229),IF($H229="Complétée","F",IF(OR($H229="En cours",$H229="En revue"),"E",IF($H229="Bloquée","B","P"))),""))</f>
        <v/>
      </c>
      <c r="AM229" s="53">
        <f>IF(OR($F229="",$G229=""),"",IF(AND(AM$5&lt;=$G229,AM$5+6&gt;=$F229),IF($H229="Complétée","F",IF(OR($H229="En cours",$H229="En revue"),"E",IF($H229="Bloquée","B","P"))),""))</f>
        <v/>
      </c>
      <c r="AN229" s="53">
        <f>IF(OR($F229="",$G229=""),"",IF(AND(AN$5&lt;=$G229,AN$5+6&gt;=$F229),IF($H229="Complétée","F",IF(OR($H229="En cours",$H229="En revue"),"E",IF($H229="Bloquée","B","P"))),""))</f>
        <v/>
      </c>
      <c r="AO229" s="53">
        <f>IF(OR($F229="",$G229=""),"",IF(AND(AO$5&lt;=$G229,AO$5+6&gt;=$F229),IF($H229="Complétée","F",IF(OR($H229="En cours",$H229="En revue"),"E",IF($H229="Bloquée","B","P"))),""))</f>
        <v/>
      </c>
      <c r="AP229" s="53">
        <f>IF(OR($F229="",$G229=""),"",IF(AND(AP$5&lt;=$G229,AP$5+6&gt;=$F229),IF($H229="Complétée","F",IF(OR($H229="En cours",$H229="En revue"),"E",IF($H229="Bloquée","B","P"))),""))</f>
        <v/>
      </c>
      <c r="AQ229" s="53">
        <f>IF(OR($F229="",$G229=""),"",IF(AND(AQ$5&lt;=$G229,AQ$5+6&gt;=$F229),IF($H229="Complétée","F",IF(OR($H229="En cours",$H229="En revue"),"E",IF($H229="Bloquée","B","P"))),""))</f>
        <v/>
      </c>
      <c r="AR229" s="53">
        <f>IF(OR($F229="",$G229=""),"",IF(AND(AR$5&lt;=$G229,AR$5+6&gt;=$F229),IF($H229="Complétée","F",IF(OR($H229="En cours",$H229="En revue"),"E",IF($H229="Bloquée","B","P"))),""))</f>
        <v/>
      </c>
      <c r="AS229" s="53">
        <f>IF(OR($F229="",$G229=""),"",IF(AND(AS$5&lt;=$G229,AS$5+6&gt;=$F229),IF($H229="Complétée","F",IF(OR($H229="En cours",$H229="En revue"),"E",IF($H229="Bloquée","B","P"))),""))</f>
        <v/>
      </c>
      <c r="AT229" s="53">
        <f>IF(OR($F229="",$G229=""),"",IF(AND(AT$5&lt;=$G229,AT$5+6&gt;=$F229),IF($H229="Complétée","F",IF(OR($H229="En cours",$H229="En revue"),"E",IF($H229="Bloquée","B","P"))),""))</f>
        <v/>
      </c>
      <c r="AU229" s="53">
        <f>IF(OR($F229="",$G229=""),"",IF(AND(AU$5&lt;=$G229,AU$5+6&gt;=$F229),IF($H229="Complétée","F",IF(OR($H229="En cours",$H229="En revue"),"E",IF($H229="Bloquée","B","P"))),""))</f>
        <v/>
      </c>
      <c r="AV229" s="53">
        <f>IF(OR($F229="",$G229=""),"",IF(AND(AV$5&lt;=$G229,AV$5+6&gt;=$F229),IF($H229="Complétée","F",IF(OR($H229="En cours",$H229="En revue"),"E",IF($H229="Bloquée","B","P"))),""))</f>
        <v/>
      </c>
      <c r="AW229" s="53">
        <f>IF(OR($F229="",$G229=""),"",IF(AND(AW$5&lt;=$G229,AW$5+6&gt;=$F229),IF($H229="Complétée","F",IF(OR($H229="En cours",$H229="En revue"),"E",IF($H229="Bloquée","B","P"))),""))</f>
        <v/>
      </c>
    </row>
    <row r="230">
      <c r="B230" s="50">
        <f>IF(Taches!B230="","",Taches!B230)</f>
        <v/>
      </c>
      <c r="C230" s="51">
        <f>IF(Taches!B230="","",Taches!F230)</f>
        <v/>
      </c>
      <c r="D230" s="50">
        <f>IF(Taches!B230="","",Taches!C230)</f>
        <v/>
      </c>
      <c r="E230" s="50">
        <f>IF(Taches!B230="","",Taches!D230)</f>
        <v/>
      </c>
      <c r="F230" s="52">
        <f>IF(Taches!P230="","",Taches!P230)</f>
        <v/>
      </c>
      <c r="G230" s="52">
        <f>IF(Taches!Q230="","",Taches!Q230)</f>
        <v/>
      </c>
      <c r="H230" s="50">
        <f>IF(Taches!B230="","",Taches!J230)</f>
        <v/>
      </c>
      <c r="I230" s="53">
        <f>IF(OR($F230="",$G230=""),"",IF(AND(I$5&lt;=$G230,I$5+6&gt;=$F230),IF($H230="Complétée","F",IF(OR($H230="En cours",$H230="En revue"),"E",IF($H230="Bloquée","B","P"))),""))</f>
        <v/>
      </c>
      <c r="J230" s="53">
        <f>IF(OR($F230="",$G230=""),"",IF(AND(J$5&lt;=$G230,J$5+6&gt;=$F230),IF($H230="Complétée","F",IF(OR($H230="En cours",$H230="En revue"),"E",IF($H230="Bloquée","B","P"))),""))</f>
        <v/>
      </c>
      <c r="K230" s="53">
        <f>IF(OR($F230="",$G230=""),"",IF(AND(K$5&lt;=$G230,K$5+6&gt;=$F230),IF($H230="Complétée","F",IF(OR($H230="En cours",$H230="En revue"),"E",IF($H230="Bloquée","B","P"))),""))</f>
        <v/>
      </c>
      <c r="L230" s="53">
        <f>IF(OR($F230="",$G230=""),"",IF(AND(L$5&lt;=$G230,L$5+6&gt;=$F230),IF($H230="Complétée","F",IF(OR($H230="En cours",$H230="En revue"),"E",IF($H230="Bloquée","B","P"))),""))</f>
        <v/>
      </c>
      <c r="M230" s="53">
        <f>IF(OR($F230="",$G230=""),"",IF(AND(M$5&lt;=$G230,M$5+6&gt;=$F230),IF($H230="Complétée","F",IF(OR($H230="En cours",$H230="En revue"),"E",IF($H230="Bloquée","B","P"))),""))</f>
        <v/>
      </c>
      <c r="N230" s="53">
        <f>IF(OR($F230="",$G230=""),"",IF(AND(N$5&lt;=$G230,N$5+6&gt;=$F230),IF($H230="Complétée","F",IF(OR($H230="En cours",$H230="En revue"),"E",IF($H230="Bloquée","B","P"))),""))</f>
        <v/>
      </c>
      <c r="O230" s="53">
        <f>IF(OR($F230="",$G230=""),"",IF(AND(O$5&lt;=$G230,O$5+6&gt;=$F230),IF($H230="Complétée","F",IF(OR($H230="En cours",$H230="En revue"),"E",IF($H230="Bloquée","B","P"))),""))</f>
        <v/>
      </c>
      <c r="P230" s="53">
        <f>IF(OR($F230="",$G230=""),"",IF(AND(P$5&lt;=$G230,P$5+6&gt;=$F230),IF($H230="Complétée","F",IF(OR($H230="En cours",$H230="En revue"),"E",IF($H230="Bloquée","B","P"))),""))</f>
        <v/>
      </c>
      <c r="Q230" s="53">
        <f>IF(OR($F230="",$G230=""),"",IF(AND(Q$5&lt;=$G230,Q$5+6&gt;=$F230),IF($H230="Complétée","F",IF(OR($H230="En cours",$H230="En revue"),"E",IF($H230="Bloquée","B","P"))),""))</f>
        <v/>
      </c>
      <c r="R230" s="53">
        <f>IF(OR($F230="",$G230=""),"",IF(AND(R$5&lt;=$G230,R$5+6&gt;=$F230),IF($H230="Complétée","F",IF(OR($H230="En cours",$H230="En revue"),"E",IF($H230="Bloquée","B","P"))),""))</f>
        <v/>
      </c>
      <c r="S230" s="53">
        <f>IF(OR($F230="",$G230=""),"",IF(AND(S$5&lt;=$G230,S$5+6&gt;=$F230),IF($H230="Complétée","F",IF(OR($H230="En cours",$H230="En revue"),"E",IF($H230="Bloquée","B","P"))),""))</f>
        <v/>
      </c>
      <c r="T230" s="53">
        <f>IF(OR($F230="",$G230=""),"",IF(AND(T$5&lt;=$G230,T$5+6&gt;=$F230),IF($H230="Complétée","F",IF(OR($H230="En cours",$H230="En revue"),"E",IF($H230="Bloquée","B","P"))),""))</f>
        <v/>
      </c>
      <c r="U230" s="53">
        <f>IF(OR($F230="",$G230=""),"",IF(AND(U$5&lt;=$G230,U$5+6&gt;=$F230),IF($H230="Complétée","F",IF(OR($H230="En cours",$H230="En revue"),"E",IF($H230="Bloquée","B","P"))),""))</f>
        <v/>
      </c>
      <c r="V230" s="53">
        <f>IF(OR($F230="",$G230=""),"",IF(AND(V$5&lt;=$G230,V$5+6&gt;=$F230),IF($H230="Complétée","F",IF(OR($H230="En cours",$H230="En revue"),"E",IF($H230="Bloquée","B","P"))),""))</f>
        <v/>
      </c>
      <c r="W230" s="53">
        <f>IF(OR($F230="",$G230=""),"",IF(AND(W$5&lt;=$G230,W$5+6&gt;=$F230),IF($H230="Complétée","F",IF(OR($H230="En cours",$H230="En revue"),"E",IF($H230="Bloquée","B","P"))),""))</f>
        <v/>
      </c>
      <c r="X230" s="53">
        <f>IF(OR($F230="",$G230=""),"",IF(AND(X$5&lt;=$G230,X$5+6&gt;=$F230),IF($H230="Complétée","F",IF(OR($H230="En cours",$H230="En revue"),"E",IF($H230="Bloquée","B","P"))),""))</f>
        <v/>
      </c>
      <c r="Y230" s="53">
        <f>IF(OR($F230="",$G230=""),"",IF(AND(Y$5&lt;=$G230,Y$5+6&gt;=$F230),IF($H230="Complétée","F",IF(OR($H230="En cours",$H230="En revue"),"E",IF($H230="Bloquée","B","P"))),""))</f>
        <v/>
      </c>
      <c r="Z230" s="53">
        <f>IF(OR($F230="",$G230=""),"",IF(AND(Z$5&lt;=$G230,Z$5+6&gt;=$F230),IF($H230="Complétée","F",IF(OR($H230="En cours",$H230="En revue"),"E",IF($H230="Bloquée","B","P"))),""))</f>
        <v/>
      </c>
      <c r="AA230" s="53">
        <f>IF(OR($F230="",$G230=""),"",IF(AND(AA$5&lt;=$G230,AA$5+6&gt;=$F230),IF($H230="Complétée","F",IF(OR($H230="En cours",$H230="En revue"),"E",IF($H230="Bloquée","B","P"))),""))</f>
        <v/>
      </c>
      <c r="AB230" s="53">
        <f>IF(OR($F230="",$G230=""),"",IF(AND(AB$5&lt;=$G230,AB$5+6&gt;=$F230),IF($H230="Complétée","F",IF(OR($H230="En cours",$H230="En revue"),"E",IF($H230="Bloquée","B","P"))),""))</f>
        <v/>
      </c>
      <c r="AC230" s="53">
        <f>IF(OR($F230="",$G230=""),"",IF(AND(AC$5&lt;=$G230,AC$5+6&gt;=$F230),IF($H230="Complétée","F",IF(OR($H230="En cours",$H230="En revue"),"E",IF($H230="Bloquée","B","P"))),""))</f>
        <v/>
      </c>
      <c r="AD230" s="53">
        <f>IF(OR($F230="",$G230=""),"",IF(AND(AD$5&lt;=$G230,AD$5+6&gt;=$F230),IF($H230="Complétée","F",IF(OR($H230="En cours",$H230="En revue"),"E",IF($H230="Bloquée","B","P"))),""))</f>
        <v/>
      </c>
      <c r="AE230" s="53">
        <f>IF(OR($F230="",$G230=""),"",IF(AND(AE$5&lt;=$G230,AE$5+6&gt;=$F230),IF($H230="Complétée","F",IF(OR($H230="En cours",$H230="En revue"),"E",IF($H230="Bloquée","B","P"))),""))</f>
        <v/>
      </c>
      <c r="AF230" s="53">
        <f>IF(OR($F230="",$G230=""),"",IF(AND(AF$5&lt;=$G230,AF$5+6&gt;=$F230),IF($H230="Complétée","F",IF(OR($H230="En cours",$H230="En revue"),"E",IF($H230="Bloquée","B","P"))),""))</f>
        <v/>
      </c>
      <c r="AG230" s="53">
        <f>IF(OR($F230="",$G230=""),"",IF(AND(AG$5&lt;=$G230,AG$5+6&gt;=$F230),IF($H230="Complétée","F",IF(OR($H230="En cours",$H230="En revue"),"E",IF($H230="Bloquée","B","P"))),""))</f>
        <v/>
      </c>
      <c r="AH230" s="53">
        <f>IF(OR($F230="",$G230=""),"",IF(AND(AH$5&lt;=$G230,AH$5+6&gt;=$F230),IF($H230="Complétée","F",IF(OR($H230="En cours",$H230="En revue"),"E",IF($H230="Bloquée","B","P"))),""))</f>
        <v/>
      </c>
      <c r="AI230" s="53">
        <f>IF(OR($F230="",$G230=""),"",IF(AND(AI$5&lt;=$G230,AI$5+6&gt;=$F230),IF($H230="Complétée","F",IF(OR($H230="En cours",$H230="En revue"),"E",IF($H230="Bloquée","B","P"))),""))</f>
        <v/>
      </c>
      <c r="AJ230" s="53">
        <f>IF(OR($F230="",$G230=""),"",IF(AND(AJ$5&lt;=$G230,AJ$5+6&gt;=$F230),IF($H230="Complétée","F",IF(OR($H230="En cours",$H230="En revue"),"E",IF($H230="Bloquée","B","P"))),""))</f>
        <v/>
      </c>
      <c r="AK230" s="53">
        <f>IF(OR($F230="",$G230=""),"",IF(AND(AK$5&lt;=$G230,AK$5+6&gt;=$F230),IF($H230="Complétée","F",IF(OR($H230="En cours",$H230="En revue"),"E",IF($H230="Bloquée","B","P"))),""))</f>
        <v/>
      </c>
      <c r="AL230" s="53">
        <f>IF(OR($F230="",$G230=""),"",IF(AND(AL$5&lt;=$G230,AL$5+6&gt;=$F230),IF($H230="Complétée","F",IF(OR($H230="En cours",$H230="En revue"),"E",IF($H230="Bloquée","B","P"))),""))</f>
        <v/>
      </c>
      <c r="AM230" s="53">
        <f>IF(OR($F230="",$G230=""),"",IF(AND(AM$5&lt;=$G230,AM$5+6&gt;=$F230),IF($H230="Complétée","F",IF(OR($H230="En cours",$H230="En revue"),"E",IF($H230="Bloquée","B","P"))),""))</f>
        <v/>
      </c>
      <c r="AN230" s="53">
        <f>IF(OR($F230="",$G230=""),"",IF(AND(AN$5&lt;=$G230,AN$5+6&gt;=$F230),IF($H230="Complétée","F",IF(OR($H230="En cours",$H230="En revue"),"E",IF($H230="Bloquée","B","P"))),""))</f>
        <v/>
      </c>
      <c r="AO230" s="53">
        <f>IF(OR($F230="",$G230=""),"",IF(AND(AO$5&lt;=$G230,AO$5+6&gt;=$F230),IF($H230="Complétée","F",IF(OR($H230="En cours",$H230="En revue"),"E",IF($H230="Bloquée","B","P"))),""))</f>
        <v/>
      </c>
      <c r="AP230" s="53">
        <f>IF(OR($F230="",$G230=""),"",IF(AND(AP$5&lt;=$G230,AP$5+6&gt;=$F230),IF($H230="Complétée","F",IF(OR($H230="En cours",$H230="En revue"),"E",IF($H230="Bloquée","B","P"))),""))</f>
        <v/>
      </c>
      <c r="AQ230" s="53">
        <f>IF(OR($F230="",$G230=""),"",IF(AND(AQ$5&lt;=$G230,AQ$5+6&gt;=$F230),IF($H230="Complétée","F",IF(OR($H230="En cours",$H230="En revue"),"E",IF($H230="Bloquée","B","P"))),""))</f>
        <v/>
      </c>
      <c r="AR230" s="53">
        <f>IF(OR($F230="",$G230=""),"",IF(AND(AR$5&lt;=$G230,AR$5+6&gt;=$F230),IF($H230="Complétée","F",IF(OR($H230="En cours",$H230="En revue"),"E",IF($H230="Bloquée","B","P"))),""))</f>
        <v/>
      </c>
      <c r="AS230" s="53">
        <f>IF(OR($F230="",$G230=""),"",IF(AND(AS$5&lt;=$G230,AS$5+6&gt;=$F230),IF($H230="Complétée","F",IF(OR($H230="En cours",$H230="En revue"),"E",IF($H230="Bloquée","B","P"))),""))</f>
        <v/>
      </c>
      <c r="AT230" s="53">
        <f>IF(OR($F230="",$G230=""),"",IF(AND(AT$5&lt;=$G230,AT$5+6&gt;=$F230),IF($H230="Complétée","F",IF(OR($H230="En cours",$H230="En revue"),"E",IF($H230="Bloquée","B","P"))),""))</f>
        <v/>
      </c>
      <c r="AU230" s="53">
        <f>IF(OR($F230="",$G230=""),"",IF(AND(AU$5&lt;=$G230,AU$5+6&gt;=$F230),IF($H230="Complétée","F",IF(OR($H230="En cours",$H230="En revue"),"E",IF($H230="Bloquée","B","P"))),""))</f>
        <v/>
      </c>
      <c r="AV230" s="53">
        <f>IF(OR($F230="",$G230=""),"",IF(AND(AV$5&lt;=$G230,AV$5+6&gt;=$F230),IF($H230="Complétée","F",IF(OR($H230="En cours",$H230="En revue"),"E",IF($H230="Bloquée","B","P"))),""))</f>
        <v/>
      </c>
      <c r="AW230" s="53">
        <f>IF(OR($F230="",$G230=""),"",IF(AND(AW$5&lt;=$G230,AW$5+6&gt;=$F230),IF($H230="Complétée","F",IF(OR($H230="En cours",$H230="En revue"),"E",IF($H230="Bloquée","B","P"))),""))</f>
        <v/>
      </c>
    </row>
    <row r="231">
      <c r="B231" s="50">
        <f>IF(Taches!B231="","",Taches!B231)</f>
        <v/>
      </c>
      <c r="C231" s="51">
        <f>IF(Taches!B231="","",Taches!F231)</f>
        <v/>
      </c>
      <c r="D231" s="50">
        <f>IF(Taches!B231="","",Taches!C231)</f>
        <v/>
      </c>
      <c r="E231" s="50">
        <f>IF(Taches!B231="","",Taches!D231)</f>
        <v/>
      </c>
      <c r="F231" s="52">
        <f>IF(Taches!P231="","",Taches!P231)</f>
        <v/>
      </c>
      <c r="G231" s="52">
        <f>IF(Taches!Q231="","",Taches!Q231)</f>
        <v/>
      </c>
      <c r="H231" s="50">
        <f>IF(Taches!B231="","",Taches!J231)</f>
        <v/>
      </c>
      <c r="I231" s="53">
        <f>IF(OR($F231="",$G231=""),"",IF(AND(I$5&lt;=$G231,I$5+6&gt;=$F231),IF($H231="Complétée","F",IF(OR($H231="En cours",$H231="En revue"),"E",IF($H231="Bloquée","B","P"))),""))</f>
        <v/>
      </c>
      <c r="J231" s="53">
        <f>IF(OR($F231="",$G231=""),"",IF(AND(J$5&lt;=$G231,J$5+6&gt;=$F231),IF($H231="Complétée","F",IF(OR($H231="En cours",$H231="En revue"),"E",IF($H231="Bloquée","B","P"))),""))</f>
        <v/>
      </c>
      <c r="K231" s="53">
        <f>IF(OR($F231="",$G231=""),"",IF(AND(K$5&lt;=$G231,K$5+6&gt;=$F231),IF($H231="Complétée","F",IF(OR($H231="En cours",$H231="En revue"),"E",IF($H231="Bloquée","B","P"))),""))</f>
        <v/>
      </c>
      <c r="L231" s="53">
        <f>IF(OR($F231="",$G231=""),"",IF(AND(L$5&lt;=$G231,L$5+6&gt;=$F231),IF($H231="Complétée","F",IF(OR($H231="En cours",$H231="En revue"),"E",IF($H231="Bloquée","B","P"))),""))</f>
        <v/>
      </c>
      <c r="M231" s="53">
        <f>IF(OR($F231="",$G231=""),"",IF(AND(M$5&lt;=$G231,M$5+6&gt;=$F231),IF($H231="Complétée","F",IF(OR($H231="En cours",$H231="En revue"),"E",IF($H231="Bloquée","B","P"))),""))</f>
        <v/>
      </c>
      <c r="N231" s="53">
        <f>IF(OR($F231="",$G231=""),"",IF(AND(N$5&lt;=$G231,N$5+6&gt;=$F231),IF($H231="Complétée","F",IF(OR($H231="En cours",$H231="En revue"),"E",IF($H231="Bloquée","B","P"))),""))</f>
        <v/>
      </c>
      <c r="O231" s="53">
        <f>IF(OR($F231="",$G231=""),"",IF(AND(O$5&lt;=$G231,O$5+6&gt;=$F231),IF($H231="Complétée","F",IF(OR($H231="En cours",$H231="En revue"),"E",IF($H231="Bloquée","B","P"))),""))</f>
        <v/>
      </c>
      <c r="P231" s="53">
        <f>IF(OR($F231="",$G231=""),"",IF(AND(P$5&lt;=$G231,P$5+6&gt;=$F231),IF($H231="Complétée","F",IF(OR($H231="En cours",$H231="En revue"),"E",IF($H231="Bloquée","B","P"))),""))</f>
        <v/>
      </c>
      <c r="Q231" s="53">
        <f>IF(OR($F231="",$G231=""),"",IF(AND(Q$5&lt;=$G231,Q$5+6&gt;=$F231),IF($H231="Complétée","F",IF(OR($H231="En cours",$H231="En revue"),"E",IF($H231="Bloquée","B","P"))),""))</f>
        <v/>
      </c>
      <c r="R231" s="53">
        <f>IF(OR($F231="",$G231=""),"",IF(AND(R$5&lt;=$G231,R$5+6&gt;=$F231),IF($H231="Complétée","F",IF(OR($H231="En cours",$H231="En revue"),"E",IF($H231="Bloquée","B","P"))),""))</f>
        <v/>
      </c>
      <c r="S231" s="53">
        <f>IF(OR($F231="",$G231=""),"",IF(AND(S$5&lt;=$G231,S$5+6&gt;=$F231),IF($H231="Complétée","F",IF(OR($H231="En cours",$H231="En revue"),"E",IF($H231="Bloquée","B","P"))),""))</f>
        <v/>
      </c>
      <c r="T231" s="53">
        <f>IF(OR($F231="",$G231=""),"",IF(AND(T$5&lt;=$G231,T$5+6&gt;=$F231),IF($H231="Complétée","F",IF(OR($H231="En cours",$H231="En revue"),"E",IF($H231="Bloquée","B","P"))),""))</f>
        <v/>
      </c>
      <c r="U231" s="53">
        <f>IF(OR($F231="",$G231=""),"",IF(AND(U$5&lt;=$G231,U$5+6&gt;=$F231),IF($H231="Complétée","F",IF(OR($H231="En cours",$H231="En revue"),"E",IF($H231="Bloquée","B","P"))),""))</f>
        <v/>
      </c>
      <c r="V231" s="53">
        <f>IF(OR($F231="",$G231=""),"",IF(AND(V$5&lt;=$G231,V$5+6&gt;=$F231),IF($H231="Complétée","F",IF(OR($H231="En cours",$H231="En revue"),"E",IF($H231="Bloquée","B","P"))),""))</f>
        <v/>
      </c>
      <c r="W231" s="53">
        <f>IF(OR($F231="",$G231=""),"",IF(AND(W$5&lt;=$G231,W$5+6&gt;=$F231),IF($H231="Complétée","F",IF(OR($H231="En cours",$H231="En revue"),"E",IF($H231="Bloquée","B","P"))),""))</f>
        <v/>
      </c>
      <c r="X231" s="53">
        <f>IF(OR($F231="",$G231=""),"",IF(AND(X$5&lt;=$G231,X$5+6&gt;=$F231),IF($H231="Complétée","F",IF(OR($H231="En cours",$H231="En revue"),"E",IF($H231="Bloquée","B","P"))),""))</f>
        <v/>
      </c>
      <c r="Y231" s="53">
        <f>IF(OR($F231="",$G231=""),"",IF(AND(Y$5&lt;=$G231,Y$5+6&gt;=$F231),IF($H231="Complétée","F",IF(OR($H231="En cours",$H231="En revue"),"E",IF($H231="Bloquée","B","P"))),""))</f>
        <v/>
      </c>
      <c r="Z231" s="53">
        <f>IF(OR($F231="",$G231=""),"",IF(AND(Z$5&lt;=$G231,Z$5+6&gt;=$F231),IF($H231="Complétée","F",IF(OR($H231="En cours",$H231="En revue"),"E",IF($H231="Bloquée","B","P"))),""))</f>
        <v/>
      </c>
      <c r="AA231" s="53">
        <f>IF(OR($F231="",$G231=""),"",IF(AND(AA$5&lt;=$G231,AA$5+6&gt;=$F231),IF($H231="Complétée","F",IF(OR($H231="En cours",$H231="En revue"),"E",IF($H231="Bloquée","B","P"))),""))</f>
        <v/>
      </c>
      <c r="AB231" s="53">
        <f>IF(OR($F231="",$G231=""),"",IF(AND(AB$5&lt;=$G231,AB$5+6&gt;=$F231),IF($H231="Complétée","F",IF(OR($H231="En cours",$H231="En revue"),"E",IF($H231="Bloquée","B","P"))),""))</f>
        <v/>
      </c>
      <c r="AC231" s="53">
        <f>IF(OR($F231="",$G231=""),"",IF(AND(AC$5&lt;=$G231,AC$5+6&gt;=$F231),IF($H231="Complétée","F",IF(OR($H231="En cours",$H231="En revue"),"E",IF($H231="Bloquée","B","P"))),""))</f>
        <v/>
      </c>
      <c r="AD231" s="53">
        <f>IF(OR($F231="",$G231=""),"",IF(AND(AD$5&lt;=$G231,AD$5+6&gt;=$F231),IF($H231="Complétée","F",IF(OR($H231="En cours",$H231="En revue"),"E",IF($H231="Bloquée","B","P"))),""))</f>
        <v/>
      </c>
      <c r="AE231" s="53">
        <f>IF(OR($F231="",$G231=""),"",IF(AND(AE$5&lt;=$G231,AE$5+6&gt;=$F231),IF($H231="Complétée","F",IF(OR($H231="En cours",$H231="En revue"),"E",IF($H231="Bloquée","B","P"))),""))</f>
        <v/>
      </c>
      <c r="AF231" s="53">
        <f>IF(OR($F231="",$G231=""),"",IF(AND(AF$5&lt;=$G231,AF$5+6&gt;=$F231),IF($H231="Complétée","F",IF(OR($H231="En cours",$H231="En revue"),"E",IF($H231="Bloquée","B","P"))),""))</f>
        <v/>
      </c>
      <c r="AG231" s="53">
        <f>IF(OR($F231="",$G231=""),"",IF(AND(AG$5&lt;=$G231,AG$5+6&gt;=$F231),IF($H231="Complétée","F",IF(OR($H231="En cours",$H231="En revue"),"E",IF($H231="Bloquée","B","P"))),""))</f>
        <v/>
      </c>
      <c r="AH231" s="53">
        <f>IF(OR($F231="",$G231=""),"",IF(AND(AH$5&lt;=$G231,AH$5+6&gt;=$F231),IF($H231="Complétée","F",IF(OR($H231="En cours",$H231="En revue"),"E",IF($H231="Bloquée","B","P"))),""))</f>
        <v/>
      </c>
      <c r="AI231" s="53">
        <f>IF(OR($F231="",$G231=""),"",IF(AND(AI$5&lt;=$G231,AI$5+6&gt;=$F231),IF($H231="Complétée","F",IF(OR($H231="En cours",$H231="En revue"),"E",IF($H231="Bloquée","B","P"))),""))</f>
        <v/>
      </c>
      <c r="AJ231" s="53">
        <f>IF(OR($F231="",$G231=""),"",IF(AND(AJ$5&lt;=$G231,AJ$5+6&gt;=$F231),IF($H231="Complétée","F",IF(OR($H231="En cours",$H231="En revue"),"E",IF($H231="Bloquée","B","P"))),""))</f>
        <v/>
      </c>
      <c r="AK231" s="53">
        <f>IF(OR($F231="",$G231=""),"",IF(AND(AK$5&lt;=$G231,AK$5+6&gt;=$F231),IF($H231="Complétée","F",IF(OR($H231="En cours",$H231="En revue"),"E",IF($H231="Bloquée","B","P"))),""))</f>
        <v/>
      </c>
      <c r="AL231" s="53">
        <f>IF(OR($F231="",$G231=""),"",IF(AND(AL$5&lt;=$G231,AL$5+6&gt;=$F231),IF($H231="Complétée","F",IF(OR($H231="En cours",$H231="En revue"),"E",IF($H231="Bloquée","B","P"))),""))</f>
        <v/>
      </c>
      <c r="AM231" s="53">
        <f>IF(OR($F231="",$G231=""),"",IF(AND(AM$5&lt;=$G231,AM$5+6&gt;=$F231),IF($H231="Complétée","F",IF(OR($H231="En cours",$H231="En revue"),"E",IF($H231="Bloquée","B","P"))),""))</f>
        <v/>
      </c>
      <c r="AN231" s="53">
        <f>IF(OR($F231="",$G231=""),"",IF(AND(AN$5&lt;=$G231,AN$5+6&gt;=$F231),IF($H231="Complétée","F",IF(OR($H231="En cours",$H231="En revue"),"E",IF($H231="Bloquée","B","P"))),""))</f>
        <v/>
      </c>
      <c r="AO231" s="53">
        <f>IF(OR($F231="",$G231=""),"",IF(AND(AO$5&lt;=$G231,AO$5+6&gt;=$F231),IF($H231="Complétée","F",IF(OR($H231="En cours",$H231="En revue"),"E",IF($H231="Bloquée","B","P"))),""))</f>
        <v/>
      </c>
      <c r="AP231" s="53">
        <f>IF(OR($F231="",$G231=""),"",IF(AND(AP$5&lt;=$G231,AP$5+6&gt;=$F231),IF($H231="Complétée","F",IF(OR($H231="En cours",$H231="En revue"),"E",IF($H231="Bloquée","B","P"))),""))</f>
        <v/>
      </c>
      <c r="AQ231" s="53">
        <f>IF(OR($F231="",$G231=""),"",IF(AND(AQ$5&lt;=$G231,AQ$5+6&gt;=$F231),IF($H231="Complétée","F",IF(OR($H231="En cours",$H231="En revue"),"E",IF($H231="Bloquée","B","P"))),""))</f>
        <v/>
      </c>
      <c r="AR231" s="53">
        <f>IF(OR($F231="",$G231=""),"",IF(AND(AR$5&lt;=$G231,AR$5+6&gt;=$F231),IF($H231="Complétée","F",IF(OR($H231="En cours",$H231="En revue"),"E",IF($H231="Bloquée","B","P"))),""))</f>
        <v/>
      </c>
      <c r="AS231" s="53">
        <f>IF(OR($F231="",$G231=""),"",IF(AND(AS$5&lt;=$G231,AS$5+6&gt;=$F231),IF($H231="Complétée","F",IF(OR($H231="En cours",$H231="En revue"),"E",IF($H231="Bloquée","B","P"))),""))</f>
        <v/>
      </c>
      <c r="AT231" s="53">
        <f>IF(OR($F231="",$G231=""),"",IF(AND(AT$5&lt;=$G231,AT$5+6&gt;=$F231),IF($H231="Complétée","F",IF(OR($H231="En cours",$H231="En revue"),"E",IF($H231="Bloquée","B","P"))),""))</f>
        <v/>
      </c>
      <c r="AU231" s="53">
        <f>IF(OR($F231="",$G231=""),"",IF(AND(AU$5&lt;=$G231,AU$5+6&gt;=$F231),IF($H231="Complétée","F",IF(OR($H231="En cours",$H231="En revue"),"E",IF($H231="Bloquée","B","P"))),""))</f>
        <v/>
      </c>
      <c r="AV231" s="53">
        <f>IF(OR($F231="",$G231=""),"",IF(AND(AV$5&lt;=$G231,AV$5+6&gt;=$F231),IF($H231="Complétée","F",IF(OR($H231="En cours",$H231="En revue"),"E",IF($H231="Bloquée","B","P"))),""))</f>
        <v/>
      </c>
      <c r="AW231" s="53">
        <f>IF(OR($F231="",$G231=""),"",IF(AND(AW$5&lt;=$G231,AW$5+6&gt;=$F231),IF($H231="Complétée","F",IF(OR($H231="En cours",$H231="En revue"),"E",IF($H231="Bloquée","B","P"))),""))</f>
        <v/>
      </c>
    </row>
    <row r="232">
      <c r="B232" s="50">
        <f>IF(Taches!B232="","",Taches!B232)</f>
        <v/>
      </c>
      <c r="C232" s="51">
        <f>IF(Taches!B232="","",Taches!F232)</f>
        <v/>
      </c>
      <c r="D232" s="50">
        <f>IF(Taches!B232="","",Taches!C232)</f>
        <v/>
      </c>
      <c r="E232" s="50">
        <f>IF(Taches!B232="","",Taches!D232)</f>
        <v/>
      </c>
      <c r="F232" s="52">
        <f>IF(Taches!P232="","",Taches!P232)</f>
        <v/>
      </c>
      <c r="G232" s="52">
        <f>IF(Taches!Q232="","",Taches!Q232)</f>
        <v/>
      </c>
      <c r="H232" s="50">
        <f>IF(Taches!B232="","",Taches!J232)</f>
        <v/>
      </c>
      <c r="I232" s="53">
        <f>IF(OR($F232="",$G232=""),"",IF(AND(I$5&lt;=$G232,I$5+6&gt;=$F232),IF($H232="Complétée","F",IF(OR($H232="En cours",$H232="En revue"),"E",IF($H232="Bloquée","B","P"))),""))</f>
        <v/>
      </c>
      <c r="J232" s="53">
        <f>IF(OR($F232="",$G232=""),"",IF(AND(J$5&lt;=$G232,J$5+6&gt;=$F232),IF($H232="Complétée","F",IF(OR($H232="En cours",$H232="En revue"),"E",IF($H232="Bloquée","B","P"))),""))</f>
        <v/>
      </c>
      <c r="K232" s="53">
        <f>IF(OR($F232="",$G232=""),"",IF(AND(K$5&lt;=$G232,K$5+6&gt;=$F232),IF($H232="Complétée","F",IF(OR($H232="En cours",$H232="En revue"),"E",IF($H232="Bloquée","B","P"))),""))</f>
        <v/>
      </c>
      <c r="L232" s="53">
        <f>IF(OR($F232="",$G232=""),"",IF(AND(L$5&lt;=$G232,L$5+6&gt;=$F232),IF($H232="Complétée","F",IF(OR($H232="En cours",$H232="En revue"),"E",IF($H232="Bloquée","B","P"))),""))</f>
        <v/>
      </c>
      <c r="M232" s="53">
        <f>IF(OR($F232="",$G232=""),"",IF(AND(M$5&lt;=$G232,M$5+6&gt;=$F232),IF($H232="Complétée","F",IF(OR($H232="En cours",$H232="En revue"),"E",IF($H232="Bloquée","B","P"))),""))</f>
        <v/>
      </c>
      <c r="N232" s="53">
        <f>IF(OR($F232="",$G232=""),"",IF(AND(N$5&lt;=$G232,N$5+6&gt;=$F232),IF($H232="Complétée","F",IF(OR($H232="En cours",$H232="En revue"),"E",IF($H232="Bloquée","B","P"))),""))</f>
        <v/>
      </c>
      <c r="O232" s="53">
        <f>IF(OR($F232="",$G232=""),"",IF(AND(O$5&lt;=$G232,O$5+6&gt;=$F232),IF($H232="Complétée","F",IF(OR($H232="En cours",$H232="En revue"),"E",IF($H232="Bloquée","B","P"))),""))</f>
        <v/>
      </c>
      <c r="P232" s="53">
        <f>IF(OR($F232="",$G232=""),"",IF(AND(P$5&lt;=$G232,P$5+6&gt;=$F232),IF($H232="Complétée","F",IF(OR($H232="En cours",$H232="En revue"),"E",IF($H232="Bloquée","B","P"))),""))</f>
        <v/>
      </c>
      <c r="Q232" s="53">
        <f>IF(OR($F232="",$G232=""),"",IF(AND(Q$5&lt;=$G232,Q$5+6&gt;=$F232),IF($H232="Complétée","F",IF(OR($H232="En cours",$H232="En revue"),"E",IF($H232="Bloquée","B","P"))),""))</f>
        <v/>
      </c>
      <c r="R232" s="53">
        <f>IF(OR($F232="",$G232=""),"",IF(AND(R$5&lt;=$G232,R$5+6&gt;=$F232),IF($H232="Complétée","F",IF(OR($H232="En cours",$H232="En revue"),"E",IF($H232="Bloquée","B","P"))),""))</f>
        <v/>
      </c>
      <c r="S232" s="53">
        <f>IF(OR($F232="",$G232=""),"",IF(AND(S$5&lt;=$G232,S$5+6&gt;=$F232),IF($H232="Complétée","F",IF(OR($H232="En cours",$H232="En revue"),"E",IF($H232="Bloquée","B","P"))),""))</f>
        <v/>
      </c>
      <c r="T232" s="53">
        <f>IF(OR($F232="",$G232=""),"",IF(AND(T$5&lt;=$G232,T$5+6&gt;=$F232),IF($H232="Complétée","F",IF(OR($H232="En cours",$H232="En revue"),"E",IF($H232="Bloquée","B","P"))),""))</f>
        <v/>
      </c>
      <c r="U232" s="53">
        <f>IF(OR($F232="",$G232=""),"",IF(AND(U$5&lt;=$G232,U$5+6&gt;=$F232),IF($H232="Complétée","F",IF(OR($H232="En cours",$H232="En revue"),"E",IF($H232="Bloquée","B","P"))),""))</f>
        <v/>
      </c>
      <c r="V232" s="53">
        <f>IF(OR($F232="",$G232=""),"",IF(AND(V$5&lt;=$G232,V$5+6&gt;=$F232),IF($H232="Complétée","F",IF(OR($H232="En cours",$H232="En revue"),"E",IF($H232="Bloquée","B","P"))),""))</f>
        <v/>
      </c>
      <c r="W232" s="53">
        <f>IF(OR($F232="",$G232=""),"",IF(AND(W$5&lt;=$G232,W$5+6&gt;=$F232),IF($H232="Complétée","F",IF(OR($H232="En cours",$H232="En revue"),"E",IF($H232="Bloquée","B","P"))),""))</f>
        <v/>
      </c>
      <c r="X232" s="53">
        <f>IF(OR($F232="",$G232=""),"",IF(AND(X$5&lt;=$G232,X$5+6&gt;=$F232),IF($H232="Complétée","F",IF(OR($H232="En cours",$H232="En revue"),"E",IF($H232="Bloquée","B","P"))),""))</f>
        <v/>
      </c>
      <c r="Y232" s="53">
        <f>IF(OR($F232="",$G232=""),"",IF(AND(Y$5&lt;=$G232,Y$5+6&gt;=$F232),IF($H232="Complétée","F",IF(OR($H232="En cours",$H232="En revue"),"E",IF($H232="Bloquée","B","P"))),""))</f>
        <v/>
      </c>
      <c r="Z232" s="53">
        <f>IF(OR($F232="",$G232=""),"",IF(AND(Z$5&lt;=$G232,Z$5+6&gt;=$F232),IF($H232="Complétée","F",IF(OR($H232="En cours",$H232="En revue"),"E",IF($H232="Bloquée","B","P"))),""))</f>
        <v/>
      </c>
      <c r="AA232" s="53">
        <f>IF(OR($F232="",$G232=""),"",IF(AND(AA$5&lt;=$G232,AA$5+6&gt;=$F232),IF($H232="Complétée","F",IF(OR($H232="En cours",$H232="En revue"),"E",IF($H232="Bloquée","B","P"))),""))</f>
        <v/>
      </c>
      <c r="AB232" s="53">
        <f>IF(OR($F232="",$G232=""),"",IF(AND(AB$5&lt;=$G232,AB$5+6&gt;=$F232),IF($H232="Complétée","F",IF(OR($H232="En cours",$H232="En revue"),"E",IF($H232="Bloquée","B","P"))),""))</f>
        <v/>
      </c>
      <c r="AC232" s="53">
        <f>IF(OR($F232="",$G232=""),"",IF(AND(AC$5&lt;=$G232,AC$5+6&gt;=$F232),IF($H232="Complétée","F",IF(OR($H232="En cours",$H232="En revue"),"E",IF($H232="Bloquée","B","P"))),""))</f>
        <v/>
      </c>
      <c r="AD232" s="53">
        <f>IF(OR($F232="",$G232=""),"",IF(AND(AD$5&lt;=$G232,AD$5+6&gt;=$F232),IF($H232="Complétée","F",IF(OR($H232="En cours",$H232="En revue"),"E",IF($H232="Bloquée","B","P"))),""))</f>
        <v/>
      </c>
      <c r="AE232" s="53">
        <f>IF(OR($F232="",$G232=""),"",IF(AND(AE$5&lt;=$G232,AE$5+6&gt;=$F232),IF($H232="Complétée","F",IF(OR($H232="En cours",$H232="En revue"),"E",IF($H232="Bloquée","B","P"))),""))</f>
        <v/>
      </c>
      <c r="AF232" s="53">
        <f>IF(OR($F232="",$G232=""),"",IF(AND(AF$5&lt;=$G232,AF$5+6&gt;=$F232),IF($H232="Complétée","F",IF(OR($H232="En cours",$H232="En revue"),"E",IF($H232="Bloquée","B","P"))),""))</f>
        <v/>
      </c>
      <c r="AG232" s="53">
        <f>IF(OR($F232="",$G232=""),"",IF(AND(AG$5&lt;=$G232,AG$5+6&gt;=$F232),IF($H232="Complétée","F",IF(OR($H232="En cours",$H232="En revue"),"E",IF($H232="Bloquée","B","P"))),""))</f>
        <v/>
      </c>
      <c r="AH232" s="53">
        <f>IF(OR($F232="",$G232=""),"",IF(AND(AH$5&lt;=$G232,AH$5+6&gt;=$F232),IF($H232="Complétée","F",IF(OR($H232="En cours",$H232="En revue"),"E",IF($H232="Bloquée","B","P"))),""))</f>
        <v/>
      </c>
      <c r="AI232" s="53">
        <f>IF(OR($F232="",$G232=""),"",IF(AND(AI$5&lt;=$G232,AI$5+6&gt;=$F232),IF($H232="Complétée","F",IF(OR($H232="En cours",$H232="En revue"),"E",IF($H232="Bloquée","B","P"))),""))</f>
        <v/>
      </c>
      <c r="AJ232" s="53">
        <f>IF(OR($F232="",$G232=""),"",IF(AND(AJ$5&lt;=$G232,AJ$5+6&gt;=$F232),IF($H232="Complétée","F",IF(OR($H232="En cours",$H232="En revue"),"E",IF($H232="Bloquée","B","P"))),""))</f>
        <v/>
      </c>
      <c r="AK232" s="53">
        <f>IF(OR($F232="",$G232=""),"",IF(AND(AK$5&lt;=$G232,AK$5+6&gt;=$F232),IF($H232="Complétée","F",IF(OR($H232="En cours",$H232="En revue"),"E",IF($H232="Bloquée","B","P"))),""))</f>
        <v/>
      </c>
      <c r="AL232" s="53">
        <f>IF(OR($F232="",$G232=""),"",IF(AND(AL$5&lt;=$G232,AL$5+6&gt;=$F232),IF($H232="Complétée","F",IF(OR($H232="En cours",$H232="En revue"),"E",IF($H232="Bloquée","B","P"))),""))</f>
        <v/>
      </c>
      <c r="AM232" s="53">
        <f>IF(OR($F232="",$G232=""),"",IF(AND(AM$5&lt;=$G232,AM$5+6&gt;=$F232),IF($H232="Complétée","F",IF(OR($H232="En cours",$H232="En revue"),"E",IF($H232="Bloquée","B","P"))),""))</f>
        <v/>
      </c>
      <c r="AN232" s="53">
        <f>IF(OR($F232="",$G232=""),"",IF(AND(AN$5&lt;=$G232,AN$5+6&gt;=$F232),IF($H232="Complétée","F",IF(OR($H232="En cours",$H232="En revue"),"E",IF($H232="Bloquée","B","P"))),""))</f>
        <v/>
      </c>
      <c r="AO232" s="53">
        <f>IF(OR($F232="",$G232=""),"",IF(AND(AO$5&lt;=$G232,AO$5+6&gt;=$F232),IF($H232="Complétée","F",IF(OR($H232="En cours",$H232="En revue"),"E",IF($H232="Bloquée","B","P"))),""))</f>
        <v/>
      </c>
      <c r="AP232" s="53">
        <f>IF(OR($F232="",$G232=""),"",IF(AND(AP$5&lt;=$G232,AP$5+6&gt;=$F232),IF($H232="Complétée","F",IF(OR($H232="En cours",$H232="En revue"),"E",IF($H232="Bloquée","B","P"))),""))</f>
        <v/>
      </c>
      <c r="AQ232" s="53">
        <f>IF(OR($F232="",$G232=""),"",IF(AND(AQ$5&lt;=$G232,AQ$5+6&gt;=$F232),IF($H232="Complétée","F",IF(OR($H232="En cours",$H232="En revue"),"E",IF($H232="Bloquée","B","P"))),""))</f>
        <v/>
      </c>
      <c r="AR232" s="53">
        <f>IF(OR($F232="",$G232=""),"",IF(AND(AR$5&lt;=$G232,AR$5+6&gt;=$F232),IF($H232="Complétée","F",IF(OR($H232="En cours",$H232="En revue"),"E",IF($H232="Bloquée","B","P"))),""))</f>
        <v/>
      </c>
      <c r="AS232" s="53">
        <f>IF(OR($F232="",$G232=""),"",IF(AND(AS$5&lt;=$G232,AS$5+6&gt;=$F232),IF($H232="Complétée","F",IF(OR($H232="En cours",$H232="En revue"),"E",IF($H232="Bloquée","B","P"))),""))</f>
        <v/>
      </c>
      <c r="AT232" s="53">
        <f>IF(OR($F232="",$G232=""),"",IF(AND(AT$5&lt;=$G232,AT$5+6&gt;=$F232),IF($H232="Complétée","F",IF(OR($H232="En cours",$H232="En revue"),"E",IF($H232="Bloquée","B","P"))),""))</f>
        <v/>
      </c>
      <c r="AU232" s="53">
        <f>IF(OR($F232="",$G232=""),"",IF(AND(AU$5&lt;=$G232,AU$5+6&gt;=$F232),IF($H232="Complétée","F",IF(OR($H232="En cours",$H232="En revue"),"E",IF($H232="Bloquée","B","P"))),""))</f>
        <v/>
      </c>
      <c r="AV232" s="53">
        <f>IF(OR($F232="",$G232=""),"",IF(AND(AV$5&lt;=$G232,AV$5+6&gt;=$F232),IF($H232="Complétée","F",IF(OR($H232="En cours",$H232="En revue"),"E",IF($H232="Bloquée","B","P"))),""))</f>
        <v/>
      </c>
      <c r="AW232" s="53">
        <f>IF(OR($F232="",$G232=""),"",IF(AND(AW$5&lt;=$G232,AW$5+6&gt;=$F232),IF($H232="Complétée","F",IF(OR($H232="En cours",$H232="En revue"),"E",IF($H232="Bloquée","B","P"))),""))</f>
        <v/>
      </c>
    </row>
    <row r="233">
      <c r="B233" s="50">
        <f>IF(Taches!B233="","",Taches!B233)</f>
        <v/>
      </c>
      <c r="C233" s="51">
        <f>IF(Taches!B233="","",Taches!F233)</f>
        <v/>
      </c>
      <c r="D233" s="50">
        <f>IF(Taches!B233="","",Taches!C233)</f>
        <v/>
      </c>
      <c r="E233" s="50">
        <f>IF(Taches!B233="","",Taches!D233)</f>
        <v/>
      </c>
      <c r="F233" s="52">
        <f>IF(Taches!P233="","",Taches!P233)</f>
        <v/>
      </c>
      <c r="G233" s="52">
        <f>IF(Taches!Q233="","",Taches!Q233)</f>
        <v/>
      </c>
      <c r="H233" s="50">
        <f>IF(Taches!B233="","",Taches!J233)</f>
        <v/>
      </c>
      <c r="I233" s="53">
        <f>IF(OR($F233="",$G233=""),"",IF(AND(I$5&lt;=$G233,I$5+6&gt;=$F233),IF($H233="Complétée","F",IF(OR($H233="En cours",$H233="En revue"),"E",IF($H233="Bloquée","B","P"))),""))</f>
        <v/>
      </c>
      <c r="J233" s="53">
        <f>IF(OR($F233="",$G233=""),"",IF(AND(J$5&lt;=$G233,J$5+6&gt;=$F233),IF($H233="Complétée","F",IF(OR($H233="En cours",$H233="En revue"),"E",IF($H233="Bloquée","B","P"))),""))</f>
        <v/>
      </c>
      <c r="K233" s="53">
        <f>IF(OR($F233="",$G233=""),"",IF(AND(K$5&lt;=$G233,K$5+6&gt;=$F233),IF($H233="Complétée","F",IF(OR($H233="En cours",$H233="En revue"),"E",IF($H233="Bloquée","B","P"))),""))</f>
        <v/>
      </c>
      <c r="L233" s="53">
        <f>IF(OR($F233="",$G233=""),"",IF(AND(L$5&lt;=$G233,L$5+6&gt;=$F233),IF($H233="Complétée","F",IF(OR($H233="En cours",$H233="En revue"),"E",IF($H233="Bloquée","B","P"))),""))</f>
        <v/>
      </c>
      <c r="M233" s="53">
        <f>IF(OR($F233="",$G233=""),"",IF(AND(M$5&lt;=$G233,M$5+6&gt;=$F233),IF($H233="Complétée","F",IF(OR($H233="En cours",$H233="En revue"),"E",IF($H233="Bloquée","B","P"))),""))</f>
        <v/>
      </c>
      <c r="N233" s="53">
        <f>IF(OR($F233="",$G233=""),"",IF(AND(N$5&lt;=$G233,N$5+6&gt;=$F233),IF($H233="Complétée","F",IF(OR($H233="En cours",$H233="En revue"),"E",IF($H233="Bloquée","B","P"))),""))</f>
        <v/>
      </c>
      <c r="O233" s="53">
        <f>IF(OR($F233="",$G233=""),"",IF(AND(O$5&lt;=$G233,O$5+6&gt;=$F233),IF($H233="Complétée","F",IF(OR($H233="En cours",$H233="En revue"),"E",IF($H233="Bloquée","B","P"))),""))</f>
        <v/>
      </c>
      <c r="P233" s="53">
        <f>IF(OR($F233="",$G233=""),"",IF(AND(P$5&lt;=$G233,P$5+6&gt;=$F233),IF($H233="Complétée","F",IF(OR($H233="En cours",$H233="En revue"),"E",IF($H233="Bloquée","B","P"))),""))</f>
        <v/>
      </c>
      <c r="Q233" s="53">
        <f>IF(OR($F233="",$G233=""),"",IF(AND(Q$5&lt;=$G233,Q$5+6&gt;=$F233),IF($H233="Complétée","F",IF(OR($H233="En cours",$H233="En revue"),"E",IF($H233="Bloquée","B","P"))),""))</f>
        <v/>
      </c>
      <c r="R233" s="53">
        <f>IF(OR($F233="",$G233=""),"",IF(AND(R$5&lt;=$G233,R$5+6&gt;=$F233),IF($H233="Complétée","F",IF(OR($H233="En cours",$H233="En revue"),"E",IF($H233="Bloquée","B","P"))),""))</f>
        <v/>
      </c>
      <c r="S233" s="53">
        <f>IF(OR($F233="",$G233=""),"",IF(AND(S$5&lt;=$G233,S$5+6&gt;=$F233),IF($H233="Complétée","F",IF(OR($H233="En cours",$H233="En revue"),"E",IF($H233="Bloquée","B","P"))),""))</f>
        <v/>
      </c>
      <c r="T233" s="53">
        <f>IF(OR($F233="",$G233=""),"",IF(AND(T$5&lt;=$G233,T$5+6&gt;=$F233),IF($H233="Complétée","F",IF(OR($H233="En cours",$H233="En revue"),"E",IF($H233="Bloquée","B","P"))),""))</f>
        <v/>
      </c>
      <c r="U233" s="53">
        <f>IF(OR($F233="",$G233=""),"",IF(AND(U$5&lt;=$G233,U$5+6&gt;=$F233),IF($H233="Complétée","F",IF(OR($H233="En cours",$H233="En revue"),"E",IF($H233="Bloquée","B","P"))),""))</f>
        <v/>
      </c>
      <c r="V233" s="53">
        <f>IF(OR($F233="",$G233=""),"",IF(AND(V$5&lt;=$G233,V$5+6&gt;=$F233),IF($H233="Complétée","F",IF(OR($H233="En cours",$H233="En revue"),"E",IF($H233="Bloquée","B","P"))),""))</f>
        <v/>
      </c>
      <c r="W233" s="53">
        <f>IF(OR($F233="",$G233=""),"",IF(AND(W$5&lt;=$G233,W$5+6&gt;=$F233),IF($H233="Complétée","F",IF(OR($H233="En cours",$H233="En revue"),"E",IF($H233="Bloquée","B","P"))),""))</f>
        <v/>
      </c>
      <c r="X233" s="53">
        <f>IF(OR($F233="",$G233=""),"",IF(AND(X$5&lt;=$G233,X$5+6&gt;=$F233),IF($H233="Complétée","F",IF(OR($H233="En cours",$H233="En revue"),"E",IF($H233="Bloquée","B","P"))),""))</f>
        <v/>
      </c>
      <c r="Y233" s="53">
        <f>IF(OR($F233="",$G233=""),"",IF(AND(Y$5&lt;=$G233,Y$5+6&gt;=$F233),IF($H233="Complétée","F",IF(OR($H233="En cours",$H233="En revue"),"E",IF($H233="Bloquée","B","P"))),""))</f>
        <v/>
      </c>
      <c r="Z233" s="53">
        <f>IF(OR($F233="",$G233=""),"",IF(AND(Z$5&lt;=$G233,Z$5+6&gt;=$F233),IF($H233="Complétée","F",IF(OR($H233="En cours",$H233="En revue"),"E",IF($H233="Bloquée","B","P"))),""))</f>
        <v/>
      </c>
      <c r="AA233" s="53">
        <f>IF(OR($F233="",$G233=""),"",IF(AND(AA$5&lt;=$G233,AA$5+6&gt;=$F233),IF($H233="Complétée","F",IF(OR($H233="En cours",$H233="En revue"),"E",IF($H233="Bloquée","B","P"))),""))</f>
        <v/>
      </c>
      <c r="AB233" s="53">
        <f>IF(OR($F233="",$G233=""),"",IF(AND(AB$5&lt;=$G233,AB$5+6&gt;=$F233),IF($H233="Complétée","F",IF(OR($H233="En cours",$H233="En revue"),"E",IF($H233="Bloquée","B","P"))),""))</f>
        <v/>
      </c>
      <c r="AC233" s="53">
        <f>IF(OR($F233="",$G233=""),"",IF(AND(AC$5&lt;=$G233,AC$5+6&gt;=$F233),IF($H233="Complétée","F",IF(OR($H233="En cours",$H233="En revue"),"E",IF($H233="Bloquée","B","P"))),""))</f>
        <v/>
      </c>
      <c r="AD233" s="53">
        <f>IF(OR($F233="",$G233=""),"",IF(AND(AD$5&lt;=$G233,AD$5+6&gt;=$F233),IF($H233="Complétée","F",IF(OR($H233="En cours",$H233="En revue"),"E",IF($H233="Bloquée","B","P"))),""))</f>
        <v/>
      </c>
      <c r="AE233" s="53">
        <f>IF(OR($F233="",$G233=""),"",IF(AND(AE$5&lt;=$G233,AE$5+6&gt;=$F233),IF($H233="Complétée","F",IF(OR($H233="En cours",$H233="En revue"),"E",IF($H233="Bloquée","B","P"))),""))</f>
        <v/>
      </c>
      <c r="AF233" s="53">
        <f>IF(OR($F233="",$G233=""),"",IF(AND(AF$5&lt;=$G233,AF$5+6&gt;=$F233),IF($H233="Complétée","F",IF(OR($H233="En cours",$H233="En revue"),"E",IF($H233="Bloquée","B","P"))),""))</f>
        <v/>
      </c>
      <c r="AG233" s="53">
        <f>IF(OR($F233="",$G233=""),"",IF(AND(AG$5&lt;=$G233,AG$5+6&gt;=$F233),IF($H233="Complétée","F",IF(OR($H233="En cours",$H233="En revue"),"E",IF($H233="Bloquée","B","P"))),""))</f>
        <v/>
      </c>
      <c r="AH233" s="53">
        <f>IF(OR($F233="",$G233=""),"",IF(AND(AH$5&lt;=$G233,AH$5+6&gt;=$F233),IF($H233="Complétée","F",IF(OR($H233="En cours",$H233="En revue"),"E",IF($H233="Bloquée","B","P"))),""))</f>
        <v/>
      </c>
      <c r="AI233" s="53">
        <f>IF(OR($F233="",$G233=""),"",IF(AND(AI$5&lt;=$G233,AI$5+6&gt;=$F233),IF($H233="Complétée","F",IF(OR($H233="En cours",$H233="En revue"),"E",IF($H233="Bloquée","B","P"))),""))</f>
        <v/>
      </c>
      <c r="AJ233" s="53">
        <f>IF(OR($F233="",$G233=""),"",IF(AND(AJ$5&lt;=$G233,AJ$5+6&gt;=$F233),IF($H233="Complétée","F",IF(OR($H233="En cours",$H233="En revue"),"E",IF($H233="Bloquée","B","P"))),""))</f>
        <v/>
      </c>
      <c r="AK233" s="53">
        <f>IF(OR($F233="",$G233=""),"",IF(AND(AK$5&lt;=$G233,AK$5+6&gt;=$F233),IF($H233="Complétée","F",IF(OR($H233="En cours",$H233="En revue"),"E",IF($H233="Bloquée","B","P"))),""))</f>
        <v/>
      </c>
      <c r="AL233" s="53">
        <f>IF(OR($F233="",$G233=""),"",IF(AND(AL$5&lt;=$G233,AL$5+6&gt;=$F233),IF($H233="Complétée","F",IF(OR($H233="En cours",$H233="En revue"),"E",IF($H233="Bloquée","B","P"))),""))</f>
        <v/>
      </c>
      <c r="AM233" s="53">
        <f>IF(OR($F233="",$G233=""),"",IF(AND(AM$5&lt;=$G233,AM$5+6&gt;=$F233),IF($H233="Complétée","F",IF(OR($H233="En cours",$H233="En revue"),"E",IF($H233="Bloquée","B","P"))),""))</f>
        <v/>
      </c>
      <c r="AN233" s="53">
        <f>IF(OR($F233="",$G233=""),"",IF(AND(AN$5&lt;=$G233,AN$5+6&gt;=$F233),IF($H233="Complétée","F",IF(OR($H233="En cours",$H233="En revue"),"E",IF($H233="Bloquée","B","P"))),""))</f>
        <v/>
      </c>
      <c r="AO233" s="53">
        <f>IF(OR($F233="",$G233=""),"",IF(AND(AO$5&lt;=$G233,AO$5+6&gt;=$F233),IF($H233="Complétée","F",IF(OR($H233="En cours",$H233="En revue"),"E",IF($H233="Bloquée","B","P"))),""))</f>
        <v/>
      </c>
      <c r="AP233" s="53">
        <f>IF(OR($F233="",$G233=""),"",IF(AND(AP$5&lt;=$G233,AP$5+6&gt;=$F233),IF($H233="Complétée","F",IF(OR($H233="En cours",$H233="En revue"),"E",IF($H233="Bloquée","B","P"))),""))</f>
        <v/>
      </c>
      <c r="AQ233" s="53">
        <f>IF(OR($F233="",$G233=""),"",IF(AND(AQ$5&lt;=$G233,AQ$5+6&gt;=$F233),IF($H233="Complétée","F",IF(OR($H233="En cours",$H233="En revue"),"E",IF($H233="Bloquée","B","P"))),""))</f>
        <v/>
      </c>
      <c r="AR233" s="53">
        <f>IF(OR($F233="",$G233=""),"",IF(AND(AR$5&lt;=$G233,AR$5+6&gt;=$F233),IF($H233="Complétée","F",IF(OR($H233="En cours",$H233="En revue"),"E",IF($H233="Bloquée","B","P"))),""))</f>
        <v/>
      </c>
      <c r="AS233" s="53">
        <f>IF(OR($F233="",$G233=""),"",IF(AND(AS$5&lt;=$G233,AS$5+6&gt;=$F233),IF($H233="Complétée","F",IF(OR($H233="En cours",$H233="En revue"),"E",IF($H233="Bloquée","B","P"))),""))</f>
        <v/>
      </c>
      <c r="AT233" s="53">
        <f>IF(OR($F233="",$G233=""),"",IF(AND(AT$5&lt;=$G233,AT$5+6&gt;=$F233),IF($H233="Complétée","F",IF(OR($H233="En cours",$H233="En revue"),"E",IF($H233="Bloquée","B","P"))),""))</f>
        <v/>
      </c>
      <c r="AU233" s="53">
        <f>IF(OR($F233="",$G233=""),"",IF(AND(AU$5&lt;=$G233,AU$5+6&gt;=$F233),IF($H233="Complétée","F",IF(OR($H233="En cours",$H233="En revue"),"E",IF($H233="Bloquée","B","P"))),""))</f>
        <v/>
      </c>
      <c r="AV233" s="53">
        <f>IF(OR($F233="",$G233=""),"",IF(AND(AV$5&lt;=$G233,AV$5+6&gt;=$F233),IF($H233="Complétée","F",IF(OR($H233="En cours",$H233="En revue"),"E",IF($H233="Bloquée","B","P"))),""))</f>
        <v/>
      </c>
      <c r="AW233" s="53">
        <f>IF(OR($F233="",$G233=""),"",IF(AND(AW$5&lt;=$G233,AW$5+6&gt;=$F233),IF($H233="Complétée","F",IF(OR($H233="En cours",$H233="En revue"),"E",IF($H233="Bloquée","B","P"))),""))</f>
        <v/>
      </c>
    </row>
    <row r="234">
      <c r="B234" s="50">
        <f>IF(Taches!B234="","",Taches!B234)</f>
        <v/>
      </c>
      <c r="C234" s="51">
        <f>IF(Taches!B234="","",Taches!F234)</f>
        <v/>
      </c>
      <c r="D234" s="50">
        <f>IF(Taches!B234="","",Taches!C234)</f>
        <v/>
      </c>
      <c r="E234" s="50">
        <f>IF(Taches!B234="","",Taches!D234)</f>
        <v/>
      </c>
      <c r="F234" s="52">
        <f>IF(Taches!P234="","",Taches!P234)</f>
        <v/>
      </c>
      <c r="G234" s="52">
        <f>IF(Taches!Q234="","",Taches!Q234)</f>
        <v/>
      </c>
      <c r="H234" s="50">
        <f>IF(Taches!B234="","",Taches!J234)</f>
        <v/>
      </c>
      <c r="I234" s="53">
        <f>IF(OR($F234="",$G234=""),"",IF(AND(I$5&lt;=$G234,I$5+6&gt;=$F234),IF($H234="Complétée","F",IF(OR($H234="En cours",$H234="En revue"),"E",IF($H234="Bloquée","B","P"))),""))</f>
        <v/>
      </c>
      <c r="J234" s="53">
        <f>IF(OR($F234="",$G234=""),"",IF(AND(J$5&lt;=$G234,J$5+6&gt;=$F234),IF($H234="Complétée","F",IF(OR($H234="En cours",$H234="En revue"),"E",IF($H234="Bloquée","B","P"))),""))</f>
        <v/>
      </c>
      <c r="K234" s="53">
        <f>IF(OR($F234="",$G234=""),"",IF(AND(K$5&lt;=$G234,K$5+6&gt;=$F234),IF($H234="Complétée","F",IF(OR($H234="En cours",$H234="En revue"),"E",IF($H234="Bloquée","B","P"))),""))</f>
        <v/>
      </c>
      <c r="L234" s="53">
        <f>IF(OR($F234="",$G234=""),"",IF(AND(L$5&lt;=$G234,L$5+6&gt;=$F234),IF($H234="Complétée","F",IF(OR($H234="En cours",$H234="En revue"),"E",IF($H234="Bloquée","B","P"))),""))</f>
        <v/>
      </c>
      <c r="M234" s="53">
        <f>IF(OR($F234="",$G234=""),"",IF(AND(M$5&lt;=$G234,M$5+6&gt;=$F234),IF($H234="Complétée","F",IF(OR($H234="En cours",$H234="En revue"),"E",IF($H234="Bloquée","B","P"))),""))</f>
        <v/>
      </c>
      <c r="N234" s="53">
        <f>IF(OR($F234="",$G234=""),"",IF(AND(N$5&lt;=$G234,N$5+6&gt;=$F234),IF($H234="Complétée","F",IF(OR($H234="En cours",$H234="En revue"),"E",IF($H234="Bloquée","B","P"))),""))</f>
        <v/>
      </c>
      <c r="O234" s="53">
        <f>IF(OR($F234="",$G234=""),"",IF(AND(O$5&lt;=$G234,O$5+6&gt;=$F234),IF($H234="Complétée","F",IF(OR($H234="En cours",$H234="En revue"),"E",IF($H234="Bloquée","B","P"))),""))</f>
        <v/>
      </c>
      <c r="P234" s="53">
        <f>IF(OR($F234="",$G234=""),"",IF(AND(P$5&lt;=$G234,P$5+6&gt;=$F234),IF($H234="Complétée","F",IF(OR($H234="En cours",$H234="En revue"),"E",IF($H234="Bloquée","B","P"))),""))</f>
        <v/>
      </c>
      <c r="Q234" s="53">
        <f>IF(OR($F234="",$G234=""),"",IF(AND(Q$5&lt;=$G234,Q$5+6&gt;=$F234),IF($H234="Complétée","F",IF(OR($H234="En cours",$H234="En revue"),"E",IF($H234="Bloquée","B","P"))),""))</f>
        <v/>
      </c>
      <c r="R234" s="53">
        <f>IF(OR($F234="",$G234=""),"",IF(AND(R$5&lt;=$G234,R$5+6&gt;=$F234),IF($H234="Complétée","F",IF(OR($H234="En cours",$H234="En revue"),"E",IF($H234="Bloquée","B","P"))),""))</f>
        <v/>
      </c>
      <c r="S234" s="53">
        <f>IF(OR($F234="",$G234=""),"",IF(AND(S$5&lt;=$G234,S$5+6&gt;=$F234),IF($H234="Complétée","F",IF(OR($H234="En cours",$H234="En revue"),"E",IF($H234="Bloquée","B","P"))),""))</f>
        <v/>
      </c>
      <c r="T234" s="53">
        <f>IF(OR($F234="",$G234=""),"",IF(AND(T$5&lt;=$G234,T$5+6&gt;=$F234),IF($H234="Complétée","F",IF(OR($H234="En cours",$H234="En revue"),"E",IF($H234="Bloquée","B","P"))),""))</f>
        <v/>
      </c>
      <c r="U234" s="53">
        <f>IF(OR($F234="",$G234=""),"",IF(AND(U$5&lt;=$G234,U$5+6&gt;=$F234),IF($H234="Complétée","F",IF(OR($H234="En cours",$H234="En revue"),"E",IF($H234="Bloquée","B","P"))),""))</f>
        <v/>
      </c>
      <c r="V234" s="53">
        <f>IF(OR($F234="",$G234=""),"",IF(AND(V$5&lt;=$G234,V$5+6&gt;=$F234),IF($H234="Complétée","F",IF(OR($H234="En cours",$H234="En revue"),"E",IF($H234="Bloquée","B","P"))),""))</f>
        <v/>
      </c>
      <c r="W234" s="53">
        <f>IF(OR($F234="",$G234=""),"",IF(AND(W$5&lt;=$G234,W$5+6&gt;=$F234),IF($H234="Complétée","F",IF(OR($H234="En cours",$H234="En revue"),"E",IF($H234="Bloquée","B","P"))),""))</f>
        <v/>
      </c>
      <c r="X234" s="53">
        <f>IF(OR($F234="",$G234=""),"",IF(AND(X$5&lt;=$G234,X$5+6&gt;=$F234),IF($H234="Complétée","F",IF(OR($H234="En cours",$H234="En revue"),"E",IF($H234="Bloquée","B","P"))),""))</f>
        <v/>
      </c>
      <c r="Y234" s="53">
        <f>IF(OR($F234="",$G234=""),"",IF(AND(Y$5&lt;=$G234,Y$5+6&gt;=$F234),IF($H234="Complétée","F",IF(OR($H234="En cours",$H234="En revue"),"E",IF($H234="Bloquée","B","P"))),""))</f>
        <v/>
      </c>
      <c r="Z234" s="53">
        <f>IF(OR($F234="",$G234=""),"",IF(AND(Z$5&lt;=$G234,Z$5+6&gt;=$F234),IF($H234="Complétée","F",IF(OR($H234="En cours",$H234="En revue"),"E",IF($H234="Bloquée","B","P"))),""))</f>
        <v/>
      </c>
      <c r="AA234" s="53">
        <f>IF(OR($F234="",$G234=""),"",IF(AND(AA$5&lt;=$G234,AA$5+6&gt;=$F234),IF($H234="Complétée","F",IF(OR($H234="En cours",$H234="En revue"),"E",IF($H234="Bloquée","B","P"))),""))</f>
        <v/>
      </c>
      <c r="AB234" s="53">
        <f>IF(OR($F234="",$G234=""),"",IF(AND(AB$5&lt;=$G234,AB$5+6&gt;=$F234),IF($H234="Complétée","F",IF(OR($H234="En cours",$H234="En revue"),"E",IF($H234="Bloquée","B","P"))),""))</f>
        <v/>
      </c>
      <c r="AC234" s="53">
        <f>IF(OR($F234="",$G234=""),"",IF(AND(AC$5&lt;=$G234,AC$5+6&gt;=$F234),IF($H234="Complétée","F",IF(OR($H234="En cours",$H234="En revue"),"E",IF($H234="Bloquée","B","P"))),""))</f>
        <v/>
      </c>
      <c r="AD234" s="53">
        <f>IF(OR($F234="",$G234=""),"",IF(AND(AD$5&lt;=$G234,AD$5+6&gt;=$F234),IF($H234="Complétée","F",IF(OR($H234="En cours",$H234="En revue"),"E",IF($H234="Bloquée","B","P"))),""))</f>
        <v/>
      </c>
      <c r="AE234" s="53">
        <f>IF(OR($F234="",$G234=""),"",IF(AND(AE$5&lt;=$G234,AE$5+6&gt;=$F234),IF($H234="Complétée","F",IF(OR($H234="En cours",$H234="En revue"),"E",IF($H234="Bloquée","B","P"))),""))</f>
        <v/>
      </c>
      <c r="AF234" s="53">
        <f>IF(OR($F234="",$G234=""),"",IF(AND(AF$5&lt;=$G234,AF$5+6&gt;=$F234),IF($H234="Complétée","F",IF(OR($H234="En cours",$H234="En revue"),"E",IF($H234="Bloquée","B","P"))),""))</f>
        <v/>
      </c>
      <c r="AG234" s="53">
        <f>IF(OR($F234="",$G234=""),"",IF(AND(AG$5&lt;=$G234,AG$5+6&gt;=$F234),IF($H234="Complétée","F",IF(OR($H234="En cours",$H234="En revue"),"E",IF($H234="Bloquée","B","P"))),""))</f>
        <v/>
      </c>
      <c r="AH234" s="53">
        <f>IF(OR($F234="",$G234=""),"",IF(AND(AH$5&lt;=$G234,AH$5+6&gt;=$F234),IF($H234="Complétée","F",IF(OR($H234="En cours",$H234="En revue"),"E",IF($H234="Bloquée","B","P"))),""))</f>
        <v/>
      </c>
      <c r="AI234" s="53">
        <f>IF(OR($F234="",$G234=""),"",IF(AND(AI$5&lt;=$G234,AI$5+6&gt;=$F234),IF($H234="Complétée","F",IF(OR($H234="En cours",$H234="En revue"),"E",IF($H234="Bloquée","B","P"))),""))</f>
        <v/>
      </c>
      <c r="AJ234" s="53">
        <f>IF(OR($F234="",$G234=""),"",IF(AND(AJ$5&lt;=$G234,AJ$5+6&gt;=$F234),IF($H234="Complétée","F",IF(OR($H234="En cours",$H234="En revue"),"E",IF($H234="Bloquée","B","P"))),""))</f>
        <v/>
      </c>
      <c r="AK234" s="53">
        <f>IF(OR($F234="",$G234=""),"",IF(AND(AK$5&lt;=$G234,AK$5+6&gt;=$F234),IF($H234="Complétée","F",IF(OR($H234="En cours",$H234="En revue"),"E",IF($H234="Bloquée","B","P"))),""))</f>
        <v/>
      </c>
      <c r="AL234" s="53">
        <f>IF(OR($F234="",$G234=""),"",IF(AND(AL$5&lt;=$G234,AL$5+6&gt;=$F234),IF($H234="Complétée","F",IF(OR($H234="En cours",$H234="En revue"),"E",IF($H234="Bloquée","B","P"))),""))</f>
        <v/>
      </c>
      <c r="AM234" s="53">
        <f>IF(OR($F234="",$G234=""),"",IF(AND(AM$5&lt;=$G234,AM$5+6&gt;=$F234),IF($H234="Complétée","F",IF(OR($H234="En cours",$H234="En revue"),"E",IF($H234="Bloquée","B","P"))),""))</f>
        <v/>
      </c>
      <c r="AN234" s="53">
        <f>IF(OR($F234="",$G234=""),"",IF(AND(AN$5&lt;=$G234,AN$5+6&gt;=$F234),IF($H234="Complétée","F",IF(OR($H234="En cours",$H234="En revue"),"E",IF($H234="Bloquée","B","P"))),""))</f>
        <v/>
      </c>
      <c r="AO234" s="53">
        <f>IF(OR($F234="",$G234=""),"",IF(AND(AO$5&lt;=$G234,AO$5+6&gt;=$F234),IF($H234="Complétée","F",IF(OR($H234="En cours",$H234="En revue"),"E",IF($H234="Bloquée","B","P"))),""))</f>
        <v/>
      </c>
      <c r="AP234" s="53">
        <f>IF(OR($F234="",$G234=""),"",IF(AND(AP$5&lt;=$G234,AP$5+6&gt;=$F234),IF($H234="Complétée","F",IF(OR($H234="En cours",$H234="En revue"),"E",IF($H234="Bloquée","B","P"))),""))</f>
        <v/>
      </c>
      <c r="AQ234" s="53">
        <f>IF(OR($F234="",$G234=""),"",IF(AND(AQ$5&lt;=$G234,AQ$5+6&gt;=$F234),IF($H234="Complétée","F",IF(OR($H234="En cours",$H234="En revue"),"E",IF($H234="Bloquée","B","P"))),""))</f>
        <v/>
      </c>
      <c r="AR234" s="53">
        <f>IF(OR($F234="",$G234=""),"",IF(AND(AR$5&lt;=$G234,AR$5+6&gt;=$F234),IF($H234="Complétée","F",IF(OR($H234="En cours",$H234="En revue"),"E",IF($H234="Bloquée","B","P"))),""))</f>
        <v/>
      </c>
      <c r="AS234" s="53">
        <f>IF(OR($F234="",$G234=""),"",IF(AND(AS$5&lt;=$G234,AS$5+6&gt;=$F234),IF($H234="Complétée","F",IF(OR($H234="En cours",$H234="En revue"),"E",IF($H234="Bloquée","B","P"))),""))</f>
        <v/>
      </c>
      <c r="AT234" s="53">
        <f>IF(OR($F234="",$G234=""),"",IF(AND(AT$5&lt;=$G234,AT$5+6&gt;=$F234),IF($H234="Complétée","F",IF(OR($H234="En cours",$H234="En revue"),"E",IF($H234="Bloquée","B","P"))),""))</f>
        <v/>
      </c>
      <c r="AU234" s="53">
        <f>IF(OR($F234="",$G234=""),"",IF(AND(AU$5&lt;=$G234,AU$5+6&gt;=$F234),IF($H234="Complétée","F",IF(OR($H234="En cours",$H234="En revue"),"E",IF($H234="Bloquée","B","P"))),""))</f>
        <v/>
      </c>
      <c r="AV234" s="53">
        <f>IF(OR($F234="",$G234=""),"",IF(AND(AV$5&lt;=$G234,AV$5+6&gt;=$F234),IF($H234="Complétée","F",IF(OR($H234="En cours",$H234="En revue"),"E",IF($H234="Bloquée","B","P"))),""))</f>
        <v/>
      </c>
      <c r="AW234" s="53">
        <f>IF(OR($F234="",$G234=""),"",IF(AND(AW$5&lt;=$G234,AW$5+6&gt;=$F234),IF($H234="Complétée","F",IF(OR($H234="En cours",$H234="En revue"),"E",IF($H234="Bloquée","B","P"))),""))</f>
        <v/>
      </c>
    </row>
    <row r="235">
      <c r="B235" s="50">
        <f>IF(Taches!B235="","",Taches!B235)</f>
        <v/>
      </c>
      <c r="C235" s="51">
        <f>IF(Taches!B235="","",Taches!F235)</f>
        <v/>
      </c>
      <c r="D235" s="50">
        <f>IF(Taches!B235="","",Taches!C235)</f>
        <v/>
      </c>
      <c r="E235" s="50">
        <f>IF(Taches!B235="","",Taches!D235)</f>
        <v/>
      </c>
      <c r="F235" s="52">
        <f>IF(Taches!P235="","",Taches!P235)</f>
        <v/>
      </c>
      <c r="G235" s="52">
        <f>IF(Taches!Q235="","",Taches!Q235)</f>
        <v/>
      </c>
      <c r="H235" s="50">
        <f>IF(Taches!B235="","",Taches!J235)</f>
        <v/>
      </c>
      <c r="I235" s="53">
        <f>IF(OR($F235="",$G235=""),"",IF(AND(I$5&lt;=$G235,I$5+6&gt;=$F235),IF($H235="Complétée","F",IF(OR($H235="En cours",$H235="En revue"),"E",IF($H235="Bloquée","B","P"))),""))</f>
        <v/>
      </c>
      <c r="J235" s="53">
        <f>IF(OR($F235="",$G235=""),"",IF(AND(J$5&lt;=$G235,J$5+6&gt;=$F235),IF($H235="Complétée","F",IF(OR($H235="En cours",$H235="En revue"),"E",IF($H235="Bloquée","B","P"))),""))</f>
        <v/>
      </c>
      <c r="K235" s="53">
        <f>IF(OR($F235="",$G235=""),"",IF(AND(K$5&lt;=$G235,K$5+6&gt;=$F235),IF($H235="Complétée","F",IF(OR($H235="En cours",$H235="En revue"),"E",IF($H235="Bloquée","B","P"))),""))</f>
        <v/>
      </c>
      <c r="L235" s="53">
        <f>IF(OR($F235="",$G235=""),"",IF(AND(L$5&lt;=$G235,L$5+6&gt;=$F235),IF($H235="Complétée","F",IF(OR($H235="En cours",$H235="En revue"),"E",IF($H235="Bloquée","B","P"))),""))</f>
        <v/>
      </c>
      <c r="M235" s="53">
        <f>IF(OR($F235="",$G235=""),"",IF(AND(M$5&lt;=$G235,M$5+6&gt;=$F235),IF($H235="Complétée","F",IF(OR($H235="En cours",$H235="En revue"),"E",IF($H235="Bloquée","B","P"))),""))</f>
        <v/>
      </c>
      <c r="N235" s="53">
        <f>IF(OR($F235="",$G235=""),"",IF(AND(N$5&lt;=$G235,N$5+6&gt;=$F235),IF($H235="Complétée","F",IF(OR($H235="En cours",$H235="En revue"),"E",IF($H235="Bloquée","B","P"))),""))</f>
        <v/>
      </c>
      <c r="O235" s="53">
        <f>IF(OR($F235="",$G235=""),"",IF(AND(O$5&lt;=$G235,O$5+6&gt;=$F235),IF($H235="Complétée","F",IF(OR($H235="En cours",$H235="En revue"),"E",IF($H235="Bloquée","B","P"))),""))</f>
        <v/>
      </c>
      <c r="P235" s="53">
        <f>IF(OR($F235="",$G235=""),"",IF(AND(P$5&lt;=$G235,P$5+6&gt;=$F235),IF($H235="Complétée","F",IF(OR($H235="En cours",$H235="En revue"),"E",IF($H235="Bloquée","B","P"))),""))</f>
        <v/>
      </c>
      <c r="Q235" s="53">
        <f>IF(OR($F235="",$G235=""),"",IF(AND(Q$5&lt;=$G235,Q$5+6&gt;=$F235),IF($H235="Complétée","F",IF(OR($H235="En cours",$H235="En revue"),"E",IF($H235="Bloquée","B","P"))),""))</f>
        <v/>
      </c>
      <c r="R235" s="53">
        <f>IF(OR($F235="",$G235=""),"",IF(AND(R$5&lt;=$G235,R$5+6&gt;=$F235),IF($H235="Complétée","F",IF(OR($H235="En cours",$H235="En revue"),"E",IF($H235="Bloquée","B","P"))),""))</f>
        <v/>
      </c>
      <c r="S235" s="53">
        <f>IF(OR($F235="",$G235=""),"",IF(AND(S$5&lt;=$G235,S$5+6&gt;=$F235),IF($H235="Complétée","F",IF(OR($H235="En cours",$H235="En revue"),"E",IF($H235="Bloquée","B","P"))),""))</f>
        <v/>
      </c>
      <c r="T235" s="53">
        <f>IF(OR($F235="",$G235=""),"",IF(AND(T$5&lt;=$G235,T$5+6&gt;=$F235),IF($H235="Complétée","F",IF(OR($H235="En cours",$H235="En revue"),"E",IF($H235="Bloquée","B","P"))),""))</f>
        <v/>
      </c>
      <c r="U235" s="53">
        <f>IF(OR($F235="",$G235=""),"",IF(AND(U$5&lt;=$G235,U$5+6&gt;=$F235),IF($H235="Complétée","F",IF(OR($H235="En cours",$H235="En revue"),"E",IF($H235="Bloquée","B","P"))),""))</f>
        <v/>
      </c>
      <c r="V235" s="53">
        <f>IF(OR($F235="",$G235=""),"",IF(AND(V$5&lt;=$G235,V$5+6&gt;=$F235),IF($H235="Complétée","F",IF(OR($H235="En cours",$H235="En revue"),"E",IF($H235="Bloquée","B","P"))),""))</f>
        <v/>
      </c>
      <c r="W235" s="53">
        <f>IF(OR($F235="",$G235=""),"",IF(AND(W$5&lt;=$G235,W$5+6&gt;=$F235),IF($H235="Complétée","F",IF(OR($H235="En cours",$H235="En revue"),"E",IF($H235="Bloquée","B","P"))),""))</f>
        <v/>
      </c>
      <c r="X235" s="53">
        <f>IF(OR($F235="",$G235=""),"",IF(AND(X$5&lt;=$G235,X$5+6&gt;=$F235),IF($H235="Complétée","F",IF(OR($H235="En cours",$H235="En revue"),"E",IF($H235="Bloquée","B","P"))),""))</f>
        <v/>
      </c>
      <c r="Y235" s="53">
        <f>IF(OR($F235="",$G235=""),"",IF(AND(Y$5&lt;=$G235,Y$5+6&gt;=$F235),IF($H235="Complétée","F",IF(OR($H235="En cours",$H235="En revue"),"E",IF($H235="Bloquée","B","P"))),""))</f>
        <v/>
      </c>
      <c r="Z235" s="53">
        <f>IF(OR($F235="",$G235=""),"",IF(AND(Z$5&lt;=$G235,Z$5+6&gt;=$F235),IF($H235="Complétée","F",IF(OR($H235="En cours",$H235="En revue"),"E",IF($H235="Bloquée","B","P"))),""))</f>
        <v/>
      </c>
      <c r="AA235" s="53">
        <f>IF(OR($F235="",$G235=""),"",IF(AND(AA$5&lt;=$G235,AA$5+6&gt;=$F235),IF($H235="Complétée","F",IF(OR($H235="En cours",$H235="En revue"),"E",IF($H235="Bloquée","B","P"))),""))</f>
        <v/>
      </c>
      <c r="AB235" s="53">
        <f>IF(OR($F235="",$G235=""),"",IF(AND(AB$5&lt;=$G235,AB$5+6&gt;=$F235),IF($H235="Complétée","F",IF(OR($H235="En cours",$H235="En revue"),"E",IF($H235="Bloquée","B","P"))),""))</f>
        <v/>
      </c>
      <c r="AC235" s="53">
        <f>IF(OR($F235="",$G235=""),"",IF(AND(AC$5&lt;=$G235,AC$5+6&gt;=$F235),IF($H235="Complétée","F",IF(OR($H235="En cours",$H235="En revue"),"E",IF($H235="Bloquée","B","P"))),""))</f>
        <v/>
      </c>
      <c r="AD235" s="53">
        <f>IF(OR($F235="",$G235=""),"",IF(AND(AD$5&lt;=$G235,AD$5+6&gt;=$F235),IF($H235="Complétée","F",IF(OR($H235="En cours",$H235="En revue"),"E",IF($H235="Bloquée","B","P"))),""))</f>
        <v/>
      </c>
      <c r="AE235" s="53">
        <f>IF(OR($F235="",$G235=""),"",IF(AND(AE$5&lt;=$G235,AE$5+6&gt;=$F235),IF($H235="Complétée","F",IF(OR($H235="En cours",$H235="En revue"),"E",IF($H235="Bloquée","B","P"))),""))</f>
        <v/>
      </c>
      <c r="AF235" s="53">
        <f>IF(OR($F235="",$G235=""),"",IF(AND(AF$5&lt;=$G235,AF$5+6&gt;=$F235),IF($H235="Complétée","F",IF(OR($H235="En cours",$H235="En revue"),"E",IF($H235="Bloquée","B","P"))),""))</f>
        <v/>
      </c>
      <c r="AG235" s="53">
        <f>IF(OR($F235="",$G235=""),"",IF(AND(AG$5&lt;=$G235,AG$5+6&gt;=$F235),IF($H235="Complétée","F",IF(OR($H235="En cours",$H235="En revue"),"E",IF($H235="Bloquée","B","P"))),""))</f>
        <v/>
      </c>
      <c r="AH235" s="53">
        <f>IF(OR($F235="",$G235=""),"",IF(AND(AH$5&lt;=$G235,AH$5+6&gt;=$F235),IF($H235="Complétée","F",IF(OR($H235="En cours",$H235="En revue"),"E",IF($H235="Bloquée","B","P"))),""))</f>
        <v/>
      </c>
      <c r="AI235" s="53">
        <f>IF(OR($F235="",$G235=""),"",IF(AND(AI$5&lt;=$G235,AI$5+6&gt;=$F235),IF($H235="Complétée","F",IF(OR($H235="En cours",$H235="En revue"),"E",IF($H235="Bloquée","B","P"))),""))</f>
        <v/>
      </c>
      <c r="AJ235" s="53">
        <f>IF(OR($F235="",$G235=""),"",IF(AND(AJ$5&lt;=$G235,AJ$5+6&gt;=$F235),IF($H235="Complétée","F",IF(OR($H235="En cours",$H235="En revue"),"E",IF($H235="Bloquée","B","P"))),""))</f>
        <v/>
      </c>
      <c r="AK235" s="53">
        <f>IF(OR($F235="",$G235=""),"",IF(AND(AK$5&lt;=$G235,AK$5+6&gt;=$F235),IF($H235="Complétée","F",IF(OR($H235="En cours",$H235="En revue"),"E",IF($H235="Bloquée","B","P"))),""))</f>
        <v/>
      </c>
      <c r="AL235" s="53">
        <f>IF(OR($F235="",$G235=""),"",IF(AND(AL$5&lt;=$G235,AL$5+6&gt;=$F235),IF($H235="Complétée","F",IF(OR($H235="En cours",$H235="En revue"),"E",IF($H235="Bloquée","B","P"))),""))</f>
        <v/>
      </c>
      <c r="AM235" s="53">
        <f>IF(OR($F235="",$G235=""),"",IF(AND(AM$5&lt;=$G235,AM$5+6&gt;=$F235),IF($H235="Complétée","F",IF(OR($H235="En cours",$H235="En revue"),"E",IF($H235="Bloquée","B","P"))),""))</f>
        <v/>
      </c>
      <c r="AN235" s="53">
        <f>IF(OR($F235="",$G235=""),"",IF(AND(AN$5&lt;=$G235,AN$5+6&gt;=$F235),IF($H235="Complétée","F",IF(OR($H235="En cours",$H235="En revue"),"E",IF($H235="Bloquée","B","P"))),""))</f>
        <v/>
      </c>
      <c r="AO235" s="53">
        <f>IF(OR($F235="",$G235=""),"",IF(AND(AO$5&lt;=$G235,AO$5+6&gt;=$F235),IF($H235="Complétée","F",IF(OR($H235="En cours",$H235="En revue"),"E",IF($H235="Bloquée","B","P"))),""))</f>
        <v/>
      </c>
      <c r="AP235" s="53">
        <f>IF(OR($F235="",$G235=""),"",IF(AND(AP$5&lt;=$G235,AP$5+6&gt;=$F235),IF($H235="Complétée","F",IF(OR($H235="En cours",$H235="En revue"),"E",IF($H235="Bloquée","B","P"))),""))</f>
        <v/>
      </c>
      <c r="AQ235" s="53">
        <f>IF(OR($F235="",$G235=""),"",IF(AND(AQ$5&lt;=$G235,AQ$5+6&gt;=$F235),IF($H235="Complétée","F",IF(OR($H235="En cours",$H235="En revue"),"E",IF($H235="Bloquée","B","P"))),""))</f>
        <v/>
      </c>
      <c r="AR235" s="53">
        <f>IF(OR($F235="",$G235=""),"",IF(AND(AR$5&lt;=$G235,AR$5+6&gt;=$F235),IF($H235="Complétée","F",IF(OR($H235="En cours",$H235="En revue"),"E",IF($H235="Bloquée","B","P"))),""))</f>
        <v/>
      </c>
      <c r="AS235" s="53">
        <f>IF(OR($F235="",$G235=""),"",IF(AND(AS$5&lt;=$G235,AS$5+6&gt;=$F235),IF($H235="Complétée","F",IF(OR($H235="En cours",$H235="En revue"),"E",IF($H235="Bloquée","B","P"))),""))</f>
        <v/>
      </c>
      <c r="AT235" s="53">
        <f>IF(OR($F235="",$G235=""),"",IF(AND(AT$5&lt;=$G235,AT$5+6&gt;=$F235),IF($H235="Complétée","F",IF(OR($H235="En cours",$H235="En revue"),"E",IF($H235="Bloquée","B","P"))),""))</f>
        <v/>
      </c>
      <c r="AU235" s="53">
        <f>IF(OR($F235="",$G235=""),"",IF(AND(AU$5&lt;=$G235,AU$5+6&gt;=$F235),IF($H235="Complétée","F",IF(OR($H235="En cours",$H235="En revue"),"E",IF($H235="Bloquée","B","P"))),""))</f>
        <v/>
      </c>
      <c r="AV235" s="53">
        <f>IF(OR($F235="",$G235=""),"",IF(AND(AV$5&lt;=$G235,AV$5+6&gt;=$F235),IF($H235="Complétée","F",IF(OR($H235="En cours",$H235="En revue"),"E",IF($H235="Bloquée","B","P"))),""))</f>
        <v/>
      </c>
      <c r="AW235" s="53">
        <f>IF(OR($F235="",$G235=""),"",IF(AND(AW$5&lt;=$G235,AW$5+6&gt;=$F235),IF($H235="Complétée","F",IF(OR($H235="En cours",$H235="En revue"),"E",IF($H235="Bloquée","B","P"))),""))</f>
        <v/>
      </c>
    </row>
    <row r="236">
      <c r="B236" s="50">
        <f>IF(Taches!B236="","",Taches!B236)</f>
        <v/>
      </c>
      <c r="C236" s="51">
        <f>IF(Taches!B236="","",Taches!F236)</f>
        <v/>
      </c>
      <c r="D236" s="50">
        <f>IF(Taches!B236="","",Taches!C236)</f>
        <v/>
      </c>
      <c r="E236" s="50">
        <f>IF(Taches!B236="","",Taches!D236)</f>
        <v/>
      </c>
      <c r="F236" s="52">
        <f>IF(Taches!P236="","",Taches!P236)</f>
        <v/>
      </c>
      <c r="G236" s="52">
        <f>IF(Taches!Q236="","",Taches!Q236)</f>
        <v/>
      </c>
      <c r="H236" s="50">
        <f>IF(Taches!B236="","",Taches!J236)</f>
        <v/>
      </c>
      <c r="I236" s="53">
        <f>IF(OR($F236="",$G236=""),"",IF(AND(I$5&lt;=$G236,I$5+6&gt;=$F236),IF($H236="Complétée","F",IF(OR($H236="En cours",$H236="En revue"),"E",IF($H236="Bloquée","B","P"))),""))</f>
        <v/>
      </c>
      <c r="J236" s="53">
        <f>IF(OR($F236="",$G236=""),"",IF(AND(J$5&lt;=$G236,J$5+6&gt;=$F236),IF($H236="Complétée","F",IF(OR($H236="En cours",$H236="En revue"),"E",IF($H236="Bloquée","B","P"))),""))</f>
        <v/>
      </c>
      <c r="K236" s="53">
        <f>IF(OR($F236="",$G236=""),"",IF(AND(K$5&lt;=$G236,K$5+6&gt;=$F236),IF($H236="Complétée","F",IF(OR($H236="En cours",$H236="En revue"),"E",IF($H236="Bloquée","B","P"))),""))</f>
        <v/>
      </c>
      <c r="L236" s="53">
        <f>IF(OR($F236="",$G236=""),"",IF(AND(L$5&lt;=$G236,L$5+6&gt;=$F236),IF($H236="Complétée","F",IF(OR($H236="En cours",$H236="En revue"),"E",IF($H236="Bloquée","B","P"))),""))</f>
        <v/>
      </c>
      <c r="M236" s="53">
        <f>IF(OR($F236="",$G236=""),"",IF(AND(M$5&lt;=$G236,M$5+6&gt;=$F236),IF($H236="Complétée","F",IF(OR($H236="En cours",$H236="En revue"),"E",IF($H236="Bloquée","B","P"))),""))</f>
        <v/>
      </c>
      <c r="N236" s="53">
        <f>IF(OR($F236="",$G236=""),"",IF(AND(N$5&lt;=$G236,N$5+6&gt;=$F236),IF($H236="Complétée","F",IF(OR($H236="En cours",$H236="En revue"),"E",IF($H236="Bloquée","B","P"))),""))</f>
        <v/>
      </c>
      <c r="O236" s="53">
        <f>IF(OR($F236="",$G236=""),"",IF(AND(O$5&lt;=$G236,O$5+6&gt;=$F236),IF($H236="Complétée","F",IF(OR($H236="En cours",$H236="En revue"),"E",IF($H236="Bloquée","B","P"))),""))</f>
        <v/>
      </c>
      <c r="P236" s="53">
        <f>IF(OR($F236="",$G236=""),"",IF(AND(P$5&lt;=$G236,P$5+6&gt;=$F236),IF($H236="Complétée","F",IF(OR($H236="En cours",$H236="En revue"),"E",IF($H236="Bloquée","B","P"))),""))</f>
        <v/>
      </c>
      <c r="Q236" s="53">
        <f>IF(OR($F236="",$G236=""),"",IF(AND(Q$5&lt;=$G236,Q$5+6&gt;=$F236),IF($H236="Complétée","F",IF(OR($H236="En cours",$H236="En revue"),"E",IF($H236="Bloquée","B","P"))),""))</f>
        <v/>
      </c>
      <c r="R236" s="53">
        <f>IF(OR($F236="",$G236=""),"",IF(AND(R$5&lt;=$G236,R$5+6&gt;=$F236),IF($H236="Complétée","F",IF(OR($H236="En cours",$H236="En revue"),"E",IF($H236="Bloquée","B","P"))),""))</f>
        <v/>
      </c>
      <c r="S236" s="53">
        <f>IF(OR($F236="",$G236=""),"",IF(AND(S$5&lt;=$G236,S$5+6&gt;=$F236),IF($H236="Complétée","F",IF(OR($H236="En cours",$H236="En revue"),"E",IF($H236="Bloquée","B","P"))),""))</f>
        <v/>
      </c>
      <c r="T236" s="53">
        <f>IF(OR($F236="",$G236=""),"",IF(AND(T$5&lt;=$G236,T$5+6&gt;=$F236),IF($H236="Complétée","F",IF(OR($H236="En cours",$H236="En revue"),"E",IF($H236="Bloquée","B","P"))),""))</f>
        <v/>
      </c>
      <c r="U236" s="53">
        <f>IF(OR($F236="",$G236=""),"",IF(AND(U$5&lt;=$G236,U$5+6&gt;=$F236),IF($H236="Complétée","F",IF(OR($H236="En cours",$H236="En revue"),"E",IF($H236="Bloquée","B","P"))),""))</f>
        <v/>
      </c>
      <c r="V236" s="53">
        <f>IF(OR($F236="",$G236=""),"",IF(AND(V$5&lt;=$G236,V$5+6&gt;=$F236),IF($H236="Complétée","F",IF(OR($H236="En cours",$H236="En revue"),"E",IF($H236="Bloquée","B","P"))),""))</f>
        <v/>
      </c>
      <c r="W236" s="53">
        <f>IF(OR($F236="",$G236=""),"",IF(AND(W$5&lt;=$G236,W$5+6&gt;=$F236),IF($H236="Complétée","F",IF(OR($H236="En cours",$H236="En revue"),"E",IF($H236="Bloquée","B","P"))),""))</f>
        <v/>
      </c>
      <c r="X236" s="53">
        <f>IF(OR($F236="",$G236=""),"",IF(AND(X$5&lt;=$G236,X$5+6&gt;=$F236),IF($H236="Complétée","F",IF(OR($H236="En cours",$H236="En revue"),"E",IF($H236="Bloquée","B","P"))),""))</f>
        <v/>
      </c>
      <c r="Y236" s="53">
        <f>IF(OR($F236="",$G236=""),"",IF(AND(Y$5&lt;=$G236,Y$5+6&gt;=$F236),IF($H236="Complétée","F",IF(OR($H236="En cours",$H236="En revue"),"E",IF($H236="Bloquée","B","P"))),""))</f>
        <v/>
      </c>
      <c r="Z236" s="53">
        <f>IF(OR($F236="",$G236=""),"",IF(AND(Z$5&lt;=$G236,Z$5+6&gt;=$F236),IF($H236="Complétée","F",IF(OR($H236="En cours",$H236="En revue"),"E",IF($H236="Bloquée","B","P"))),""))</f>
        <v/>
      </c>
      <c r="AA236" s="53">
        <f>IF(OR($F236="",$G236=""),"",IF(AND(AA$5&lt;=$G236,AA$5+6&gt;=$F236),IF($H236="Complétée","F",IF(OR($H236="En cours",$H236="En revue"),"E",IF($H236="Bloquée","B","P"))),""))</f>
        <v/>
      </c>
      <c r="AB236" s="53">
        <f>IF(OR($F236="",$G236=""),"",IF(AND(AB$5&lt;=$G236,AB$5+6&gt;=$F236),IF($H236="Complétée","F",IF(OR($H236="En cours",$H236="En revue"),"E",IF($H236="Bloquée","B","P"))),""))</f>
        <v/>
      </c>
      <c r="AC236" s="53">
        <f>IF(OR($F236="",$G236=""),"",IF(AND(AC$5&lt;=$G236,AC$5+6&gt;=$F236),IF($H236="Complétée","F",IF(OR($H236="En cours",$H236="En revue"),"E",IF($H236="Bloquée","B","P"))),""))</f>
        <v/>
      </c>
      <c r="AD236" s="53">
        <f>IF(OR($F236="",$G236=""),"",IF(AND(AD$5&lt;=$G236,AD$5+6&gt;=$F236),IF($H236="Complétée","F",IF(OR($H236="En cours",$H236="En revue"),"E",IF($H236="Bloquée","B","P"))),""))</f>
        <v/>
      </c>
      <c r="AE236" s="53">
        <f>IF(OR($F236="",$G236=""),"",IF(AND(AE$5&lt;=$G236,AE$5+6&gt;=$F236),IF($H236="Complétée","F",IF(OR($H236="En cours",$H236="En revue"),"E",IF($H236="Bloquée","B","P"))),""))</f>
        <v/>
      </c>
      <c r="AF236" s="53">
        <f>IF(OR($F236="",$G236=""),"",IF(AND(AF$5&lt;=$G236,AF$5+6&gt;=$F236),IF($H236="Complétée","F",IF(OR($H236="En cours",$H236="En revue"),"E",IF($H236="Bloquée","B","P"))),""))</f>
        <v/>
      </c>
      <c r="AG236" s="53">
        <f>IF(OR($F236="",$G236=""),"",IF(AND(AG$5&lt;=$G236,AG$5+6&gt;=$F236),IF($H236="Complétée","F",IF(OR($H236="En cours",$H236="En revue"),"E",IF($H236="Bloquée","B","P"))),""))</f>
        <v/>
      </c>
      <c r="AH236" s="53">
        <f>IF(OR($F236="",$G236=""),"",IF(AND(AH$5&lt;=$G236,AH$5+6&gt;=$F236),IF($H236="Complétée","F",IF(OR($H236="En cours",$H236="En revue"),"E",IF($H236="Bloquée","B","P"))),""))</f>
        <v/>
      </c>
      <c r="AI236" s="53">
        <f>IF(OR($F236="",$G236=""),"",IF(AND(AI$5&lt;=$G236,AI$5+6&gt;=$F236),IF($H236="Complétée","F",IF(OR($H236="En cours",$H236="En revue"),"E",IF($H236="Bloquée","B","P"))),""))</f>
        <v/>
      </c>
      <c r="AJ236" s="53">
        <f>IF(OR($F236="",$G236=""),"",IF(AND(AJ$5&lt;=$G236,AJ$5+6&gt;=$F236),IF($H236="Complétée","F",IF(OR($H236="En cours",$H236="En revue"),"E",IF($H236="Bloquée","B","P"))),""))</f>
        <v/>
      </c>
      <c r="AK236" s="53">
        <f>IF(OR($F236="",$G236=""),"",IF(AND(AK$5&lt;=$G236,AK$5+6&gt;=$F236),IF($H236="Complétée","F",IF(OR($H236="En cours",$H236="En revue"),"E",IF($H236="Bloquée","B","P"))),""))</f>
        <v/>
      </c>
      <c r="AL236" s="53">
        <f>IF(OR($F236="",$G236=""),"",IF(AND(AL$5&lt;=$G236,AL$5+6&gt;=$F236),IF($H236="Complétée","F",IF(OR($H236="En cours",$H236="En revue"),"E",IF($H236="Bloquée","B","P"))),""))</f>
        <v/>
      </c>
      <c r="AM236" s="53">
        <f>IF(OR($F236="",$G236=""),"",IF(AND(AM$5&lt;=$G236,AM$5+6&gt;=$F236),IF($H236="Complétée","F",IF(OR($H236="En cours",$H236="En revue"),"E",IF($H236="Bloquée","B","P"))),""))</f>
        <v/>
      </c>
      <c r="AN236" s="53">
        <f>IF(OR($F236="",$G236=""),"",IF(AND(AN$5&lt;=$G236,AN$5+6&gt;=$F236),IF($H236="Complétée","F",IF(OR($H236="En cours",$H236="En revue"),"E",IF($H236="Bloquée","B","P"))),""))</f>
        <v/>
      </c>
      <c r="AO236" s="53">
        <f>IF(OR($F236="",$G236=""),"",IF(AND(AO$5&lt;=$G236,AO$5+6&gt;=$F236),IF($H236="Complétée","F",IF(OR($H236="En cours",$H236="En revue"),"E",IF($H236="Bloquée","B","P"))),""))</f>
        <v/>
      </c>
      <c r="AP236" s="53">
        <f>IF(OR($F236="",$G236=""),"",IF(AND(AP$5&lt;=$G236,AP$5+6&gt;=$F236),IF($H236="Complétée","F",IF(OR($H236="En cours",$H236="En revue"),"E",IF($H236="Bloquée","B","P"))),""))</f>
        <v/>
      </c>
      <c r="AQ236" s="53">
        <f>IF(OR($F236="",$G236=""),"",IF(AND(AQ$5&lt;=$G236,AQ$5+6&gt;=$F236),IF($H236="Complétée","F",IF(OR($H236="En cours",$H236="En revue"),"E",IF($H236="Bloquée","B","P"))),""))</f>
        <v/>
      </c>
      <c r="AR236" s="53">
        <f>IF(OR($F236="",$G236=""),"",IF(AND(AR$5&lt;=$G236,AR$5+6&gt;=$F236),IF($H236="Complétée","F",IF(OR($H236="En cours",$H236="En revue"),"E",IF($H236="Bloquée","B","P"))),""))</f>
        <v/>
      </c>
      <c r="AS236" s="53">
        <f>IF(OR($F236="",$G236=""),"",IF(AND(AS$5&lt;=$G236,AS$5+6&gt;=$F236),IF($H236="Complétée","F",IF(OR($H236="En cours",$H236="En revue"),"E",IF($H236="Bloquée","B","P"))),""))</f>
        <v/>
      </c>
      <c r="AT236" s="53">
        <f>IF(OR($F236="",$G236=""),"",IF(AND(AT$5&lt;=$G236,AT$5+6&gt;=$F236),IF($H236="Complétée","F",IF(OR($H236="En cours",$H236="En revue"),"E",IF($H236="Bloquée","B","P"))),""))</f>
        <v/>
      </c>
      <c r="AU236" s="53">
        <f>IF(OR($F236="",$G236=""),"",IF(AND(AU$5&lt;=$G236,AU$5+6&gt;=$F236),IF($H236="Complétée","F",IF(OR($H236="En cours",$H236="En revue"),"E",IF($H236="Bloquée","B","P"))),""))</f>
        <v/>
      </c>
      <c r="AV236" s="53">
        <f>IF(OR($F236="",$G236=""),"",IF(AND(AV$5&lt;=$G236,AV$5+6&gt;=$F236),IF($H236="Complétée","F",IF(OR($H236="En cours",$H236="En revue"),"E",IF($H236="Bloquée","B","P"))),""))</f>
        <v/>
      </c>
      <c r="AW236" s="53">
        <f>IF(OR($F236="",$G236=""),"",IF(AND(AW$5&lt;=$G236,AW$5+6&gt;=$F236),IF($H236="Complétée","F",IF(OR($H236="En cours",$H236="En revue"),"E",IF($H236="Bloquée","B","P"))),""))</f>
        <v/>
      </c>
    </row>
    <row r="237">
      <c r="B237" s="50">
        <f>IF(Taches!B237="","",Taches!B237)</f>
        <v/>
      </c>
      <c r="C237" s="51">
        <f>IF(Taches!B237="","",Taches!F237)</f>
        <v/>
      </c>
      <c r="D237" s="50">
        <f>IF(Taches!B237="","",Taches!C237)</f>
        <v/>
      </c>
      <c r="E237" s="50">
        <f>IF(Taches!B237="","",Taches!D237)</f>
        <v/>
      </c>
      <c r="F237" s="52">
        <f>IF(Taches!P237="","",Taches!P237)</f>
        <v/>
      </c>
      <c r="G237" s="52">
        <f>IF(Taches!Q237="","",Taches!Q237)</f>
        <v/>
      </c>
      <c r="H237" s="50">
        <f>IF(Taches!B237="","",Taches!J237)</f>
        <v/>
      </c>
      <c r="I237" s="53">
        <f>IF(OR($F237="",$G237=""),"",IF(AND(I$5&lt;=$G237,I$5+6&gt;=$F237),IF($H237="Complétée","F",IF(OR($H237="En cours",$H237="En revue"),"E",IF($H237="Bloquée","B","P"))),""))</f>
        <v/>
      </c>
      <c r="J237" s="53">
        <f>IF(OR($F237="",$G237=""),"",IF(AND(J$5&lt;=$G237,J$5+6&gt;=$F237),IF($H237="Complétée","F",IF(OR($H237="En cours",$H237="En revue"),"E",IF($H237="Bloquée","B","P"))),""))</f>
        <v/>
      </c>
      <c r="K237" s="53">
        <f>IF(OR($F237="",$G237=""),"",IF(AND(K$5&lt;=$G237,K$5+6&gt;=$F237),IF($H237="Complétée","F",IF(OR($H237="En cours",$H237="En revue"),"E",IF($H237="Bloquée","B","P"))),""))</f>
        <v/>
      </c>
      <c r="L237" s="53">
        <f>IF(OR($F237="",$G237=""),"",IF(AND(L$5&lt;=$G237,L$5+6&gt;=$F237),IF($H237="Complétée","F",IF(OR($H237="En cours",$H237="En revue"),"E",IF($H237="Bloquée","B","P"))),""))</f>
        <v/>
      </c>
      <c r="M237" s="53">
        <f>IF(OR($F237="",$G237=""),"",IF(AND(M$5&lt;=$G237,M$5+6&gt;=$F237),IF($H237="Complétée","F",IF(OR($H237="En cours",$H237="En revue"),"E",IF($H237="Bloquée","B","P"))),""))</f>
        <v/>
      </c>
      <c r="N237" s="53">
        <f>IF(OR($F237="",$G237=""),"",IF(AND(N$5&lt;=$G237,N$5+6&gt;=$F237),IF($H237="Complétée","F",IF(OR($H237="En cours",$H237="En revue"),"E",IF($H237="Bloquée","B","P"))),""))</f>
        <v/>
      </c>
      <c r="O237" s="53">
        <f>IF(OR($F237="",$G237=""),"",IF(AND(O$5&lt;=$G237,O$5+6&gt;=$F237),IF($H237="Complétée","F",IF(OR($H237="En cours",$H237="En revue"),"E",IF($H237="Bloquée","B","P"))),""))</f>
        <v/>
      </c>
      <c r="P237" s="53">
        <f>IF(OR($F237="",$G237=""),"",IF(AND(P$5&lt;=$G237,P$5+6&gt;=$F237),IF($H237="Complétée","F",IF(OR($H237="En cours",$H237="En revue"),"E",IF($H237="Bloquée","B","P"))),""))</f>
        <v/>
      </c>
      <c r="Q237" s="53">
        <f>IF(OR($F237="",$G237=""),"",IF(AND(Q$5&lt;=$G237,Q$5+6&gt;=$F237),IF($H237="Complétée","F",IF(OR($H237="En cours",$H237="En revue"),"E",IF($H237="Bloquée","B","P"))),""))</f>
        <v/>
      </c>
      <c r="R237" s="53">
        <f>IF(OR($F237="",$G237=""),"",IF(AND(R$5&lt;=$G237,R$5+6&gt;=$F237),IF($H237="Complétée","F",IF(OR($H237="En cours",$H237="En revue"),"E",IF($H237="Bloquée","B","P"))),""))</f>
        <v/>
      </c>
      <c r="S237" s="53">
        <f>IF(OR($F237="",$G237=""),"",IF(AND(S$5&lt;=$G237,S$5+6&gt;=$F237),IF($H237="Complétée","F",IF(OR($H237="En cours",$H237="En revue"),"E",IF($H237="Bloquée","B","P"))),""))</f>
        <v/>
      </c>
      <c r="T237" s="53">
        <f>IF(OR($F237="",$G237=""),"",IF(AND(T$5&lt;=$G237,T$5+6&gt;=$F237),IF($H237="Complétée","F",IF(OR($H237="En cours",$H237="En revue"),"E",IF($H237="Bloquée","B","P"))),""))</f>
        <v/>
      </c>
      <c r="U237" s="53">
        <f>IF(OR($F237="",$G237=""),"",IF(AND(U$5&lt;=$G237,U$5+6&gt;=$F237),IF($H237="Complétée","F",IF(OR($H237="En cours",$H237="En revue"),"E",IF($H237="Bloquée","B","P"))),""))</f>
        <v/>
      </c>
      <c r="V237" s="53">
        <f>IF(OR($F237="",$G237=""),"",IF(AND(V$5&lt;=$G237,V$5+6&gt;=$F237),IF($H237="Complétée","F",IF(OR($H237="En cours",$H237="En revue"),"E",IF($H237="Bloquée","B","P"))),""))</f>
        <v/>
      </c>
      <c r="W237" s="53">
        <f>IF(OR($F237="",$G237=""),"",IF(AND(W$5&lt;=$G237,W$5+6&gt;=$F237),IF($H237="Complétée","F",IF(OR($H237="En cours",$H237="En revue"),"E",IF($H237="Bloquée","B","P"))),""))</f>
        <v/>
      </c>
      <c r="X237" s="53">
        <f>IF(OR($F237="",$G237=""),"",IF(AND(X$5&lt;=$G237,X$5+6&gt;=$F237),IF($H237="Complétée","F",IF(OR($H237="En cours",$H237="En revue"),"E",IF($H237="Bloquée","B","P"))),""))</f>
        <v/>
      </c>
      <c r="Y237" s="53">
        <f>IF(OR($F237="",$G237=""),"",IF(AND(Y$5&lt;=$G237,Y$5+6&gt;=$F237),IF($H237="Complétée","F",IF(OR($H237="En cours",$H237="En revue"),"E",IF($H237="Bloquée","B","P"))),""))</f>
        <v/>
      </c>
      <c r="Z237" s="53">
        <f>IF(OR($F237="",$G237=""),"",IF(AND(Z$5&lt;=$G237,Z$5+6&gt;=$F237),IF($H237="Complétée","F",IF(OR($H237="En cours",$H237="En revue"),"E",IF($H237="Bloquée","B","P"))),""))</f>
        <v/>
      </c>
      <c r="AA237" s="53">
        <f>IF(OR($F237="",$G237=""),"",IF(AND(AA$5&lt;=$G237,AA$5+6&gt;=$F237),IF($H237="Complétée","F",IF(OR($H237="En cours",$H237="En revue"),"E",IF($H237="Bloquée","B","P"))),""))</f>
        <v/>
      </c>
      <c r="AB237" s="53">
        <f>IF(OR($F237="",$G237=""),"",IF(AND(AB$5&lt;=$G237,AB$5+6&gt;=$F237),IF($H237="Complétée","F",IF(OR($H237="En cours",$H237="En revue"),"E",IF($H237="Bloquée","B","P"))),""))</f>
        <v/>
      </c>
      <c r="AC237" s="53">
        <f>IF(OR($F237="",$G237=""),"",IF(AND(AC$5&lt;=$G237,AC$5+6&gt;=$F237),IF($H237="Complétée","F",IF(OR($H237="En cours",$H237="En revue"),"E",IF($H237="Bloquée","B","P"))),""))</f>
        <v/>
      </c>
      <c r="AD237" s="53">
        <f>IF(OR($F237="",$G237=""),"",IF(AND(AD$5&lt;=$G237,AD$5+6&gt;=$F237),IF($H237="Complétée","F",IF(OR($H237="En cours",$H237="En revue"),"E",IF($H237="Bloquée","B","P"))),""))</f>
        <v/>
      </c>
      <c r="AE237" s="53">
        <f>IF(OR($F237="",$G237=""),"",IF(AND(AE$5&lt;=$G237,AE$5+6&gt;=$F237),IF($H237="Complétée","F",IF(OR($H237="En cours",$H237="En revue"),"E",IF($H237="Bloquée","B","P"))),""))</f>
        <v/>
      </c>
      <c r="AF237" s="53">
        <f>IF(OR($F237="",$G237=""),"",IF(AND(AF$5&lt;=$G237,AF$5+6&gt;=$F237),IF($H237="Complétée","F",IF(OR($H237="En cours",$H237="En revue"),"E",IF($H237="Bloquée","B","P"))),""))</f>
        <v/>
      </c>
      <c r="AG237" s="53">
        <f>IF(OR($F237="",$G237=""),"",IF(AND(AG$5&lt;=$G237,AG$5+6&gt;=$F237),IF($H237="Complétée","F",IF(OR($H237="En cours",$H237="En revue"),"E",IF($H237="Bloquée","B","P"))),""))</f>
        <v/>
      </c>
      <c r="AH237" s="53">
        <f>IF(OR($F237="",$G237=""),"",IF(AND(AH$5&lt;=$G237,AH$5+6&gt;=$F237),IF($H237="Complétée","F",IF(OR($H237="En cours",$H237="En revue"),"E",IF($H237="Bloquée","B","P"))),""))</f>
        <v/>
      </c>
      <c r="AI237" s="53">
        <f>IF(OR($F237="",$G237=""),"",IF(AND(AI$5&lt;=$G237,AI$5+6&gt;=$F237),IF($H237="Complétée","F",IF(OR($H237="En cours",$H237="En revue"),"E",IF($H237="Bloquée","B","P"))),""))</f>
        <v/>
      </c>
      <c r="AJ237" s="53">
        <f>IF(OR($F237="",$G237=""),"",IF(AND(AJ$5&lt;=$G237,AJ$5+6&gt;=$F237),IF($H237="Complétée","F",IF(OR($H237="En cours",$H237="En revue"),"E",IF($H237="Bloquée","B","P"))),""))</f>
        <v/>
      </c>
      <c r="AK237" s="53">
        <f>IF(OR($F237="",$G237=""),"",IF(AND(AK$5&lt;=$G237,AK$5+6&gt;=$F237),IF($H237="Complétée","F",IF(OR($H237="En cours",$H237="En revue"),"E",IF($H237="Bloquée","B","P"))),""))</f>
        <v/>
      </c>
      <c r="AL237" s="53">
        <f>IF(OR($F237="",$G237=""),"",IF(AND(AL$5&lt;=$G237,AL$5+6&gt;=$F237),IF($H237="Complétée","F",IF(OR($H237="En cours",$H237="En revue"),"E",IF($H237="Bloquée","B","P"))),""))</f>
        <v/>
      </c>
      <c r="AM237" s="53">
        <f>IF(OR($F237="",$G237=""),"",IF(AND(AM$5&lt;=$G237,AM$5+6&gt;=$F237),IF($H237="Complétée","F",IF(OR($H237="En cours",$H237="En revue"),"E",IF($H237="Bloquée","B","P"))),""))</f>
        <v/>
      </c>
      <c r="AN237" s="53">
        <f>IF(OR($F237="",$G237=""),"",IF(AND(AN$5&lt;=$G237,AN$5+6&gt;=$F237),IF($H237="Complétée","F",IF(OR($H237="En cours",$H237="En revue"),"E",IF($H237="Bloquée","B","P"))),""))</f>
        <v/>
      </c>
      <c r="AO237" s="53">
        <f>IF(OR($F237="",$G237=""),"",IF(AND(AO$5&lt;=$G237,AO$5+6&gt;=$F237),IF($H237="Complétée","F",IF(OR($H237="En cours",$H237="En revue"),"E",IF($H237="Bloquée","B","P"))),""))</f>
        <v/>
      </c>
      <c r="AP237" s="53">
        <f>IF(OR($F237="",$G237=""),"",IF(AND(AP$5&lt;=$G237,AP$5+6&gt;=$F237),IF($H237="Complétée","F",IF(OR($H237="En cours",$H237="En revue"),"E",IF($H237="Bloquée","B","P"))),""))</f>
        <v/>
      </c>
      <c r="AQ237" s="53">
        <f>IF(OR($F237="",$G237=""),"",IF(AND(AQ$5&lt;=$G237,AQ$5+6&gt;=$F237),IF($H237="Complétée","F",IF(OR($H237="En cours",$H237="En revue"),"E",IF($H237="Bloquée","B","P"))),""))</f>
        <v/>
      </c>
      <c r="AR237" s="53">
        <f>IF(OR($F237="",$G237=""),"",IF(AND(AR$5&lt;=$G237,AR$5+6&gt;=$F237),IF($H237="Complétée","F",IF(OR($H237="En cours",$H237="En revue"),"E",IF($H237="Bloquée","B","P"))),""))</f>
        <v/>
      </c>
      <c r="AS237" s="53">
        <f>IF(OR($F237="",$G237=""),"",IF(AND(AS$5&lt;=$G237,AS$5+6&gt;=$F237),IF($H237="Complétée","F",IF(OR($H237="En cours",$H237="En revue"),"E",IF($H237="Bloquée","B","P"))),""))</f>
        <v/>
      </c>
      <c r="AT237" s="53">
        <f>IF(OR($F237="",$G237=""),"",IF(AND(AT$5&lt;=$G237,AT$5+6&gt;=$F237),IF($H237="Complétée","F",IF(OR($H237="En cours",$H237="En revue"),"E",IF($H237="Bloquée","B","P"))),""))</f>
        <v/>
      </c>
      <c r="AU237" s="53">
        <f>IF(OR($F237="",$G237=""),"",IF(AND(AU$5&lt;=$G237,AU$5+6&gt;=$F237),IF($H237="Complétée","F",IF(OR($H237="En cours",$H237="En revue"),"E",IF($H237="Bloquée","B","P"))),""))</f>
        <v/>
      </c>
      <c r="AV237" s="53">
        <f>IF(OR($F237="",$G237=""),"",IF(AND(AV$5&lt;=$G237,AV$5+6&gt;=$F237),IF($H237="Complétée","F",IF(OR($H237="En cours",$H237="En revue"),"E",IF($H237="Bloquée","B","P"))),""))</f>
        <v/>
      </c>
      <c r="AW237" s="53">
        <f>IF(OR($F237="",$G237=""),"",IF(AND(AW$5&lt;=$G237,AW$5+6&gt;=$F237),IF($H237="Complétée","F",IF(OR($H237="En cours",$H237="En revue"),"E",IF($H237="Bloquée","B","P"))),""))</f>
        <v/>
      </c>
    </row>
    <row r="238">
      <c r="B238" s="50">
        <f>IF(Taches!B238="","",Taches!B238)</f>
        <v/>
      </c>
      <c r="C238" s="51">
        <f>IF(Taches!B238="","",Taches!F238)</f>
        <v/>
      </c>
      <c r="D238" s="50">
        <f>IF(Taches!B238="","",Taches!C238)</f>
        <v/>
      </c>
      <c r="E238" s="50">
        <f>IF(Taches!B238="","",Taches!D238)</f>
        <v/>
      </c>
      <c r="F238" s="52">
        <f>IF(Taches!P238="","",Taches!P238)</f>
        <v/>
      </c>
      <c r="G238" s="52">
        <f>IF(Taches!Q238="","",Taches!Q238)</f>
        <v/>
      </c>
      <c r="H238" s="50">
        <f>IF(Taches!B238="","",Taches!J238)</f>
        <v/>
      </c>
      <c r="I238" s="53">
        <f>IF(OR($F238="",$G238=""),"",IF(AND(I$5&lt;=$G238,I$5+6&gt;=$F238),IF($H238="Complétée","F",IF(OR($H238="En cours",$H238="En revue"),"E",IF($H238="Bloquée","B","P"))),""))</f>
        <v/>
      </c>
      <c r="J238" s="53">
        <f>IF(OR($F238="",$G238=""),"",IF(AND(J$5&lt;=$G238,J$5+6&gt;=$F238),IF($H238="Complétée","F",IF(OR($H238="En cours",$H238="En revue"),"E",IF($H238="Bloquée","B","P"))),""))</f>
        <v/>
      </c>
      <c r="K238" s="53">
        <f>IF(OR($F238="",$G238=""),"",IF(AND(K$5&lt;=$G238,K$5+6&gt;=$F238),IF($H238="Complétée","F",IF(OR($H238="En cours",$H238="En revue"),"E",IF($H238="Bloquée","B","P"))),""))</f>
        <v/>
      </c>
      <c r="L238" s="53">
        <f>IF(OR($F238="",$G238=""),"",IF(AND(L$5&lt;=$G238,L$5+6&gt;=$F238),IF($H238="Complétée","F",IF(OR($H238="En cours",$H238="En revue"),"E",IF($H238="Bloquée","B","P"))),""))</f>
        <v/>
      </c>
      <c r="M238" s="53">
        <f>IF(OR($F238="",$G238=""),"",IF(AND(M$5&lt;=$G238,M$5+6&gt;=$F238),IF($H238="Complétée","F",IF(OR($H238="En cours",$H238="En revue"),"E",IF($H238="Bloquée","B","P"))),""))</f>
        <v/>
      </c>
      <c r="N238" s="53">
        <f>IF(OR($F238="",$G238=""),"",IF(AND(N$5&lt;=$G238,N$5+6&gt;=$F238),IF($H238="Complétée","F",IF(OR($H238="En cours",$H238="En revue"),"E",IF($H238="Bloquée","B","P"))),""))</f>
        <v/>
      </c>
      <c r="O238" s="53">
        <f>IF(OR($F238="",$G238=""),"",IF(AND(O$5&lt;=$G238,O$5+6&gt;=$F238),IF($H238="Complétée","F",IF(OR($H238="En cours",$H238="En revue"),"E",IF($H238="Bloquée","B","P"))),""))</f>
        <v/>
      </c>
      <c r="P238" s="53">
        <f>IF(OR($F238="",$G238=""),"",IF(AND(P$5&lt;=$G238,P$5+6&gt;=$F238),IF($H238="Complétée","F",IF(OR($H238="En cours",$H238="En revue"),"E",IF($H238="Bloquée","B","P"))),""))</f>
        <v/>
      </c>
      <c r="Q238" s="53">
        <f>IF(OR($F238="",$G238=""),"",IF(AND(Q$5&lt;=$G238,Q$5+6&gt;=$F238),IF($H238="Complétée","F",IF(OR($H238="En cours",$H238="En revue"),"E",IF($H238="Bloquée","B","P"))),""))</f>
        <v/>
      </c>
      <c r="R238" s="53">
        <f>IF(OR($F238="",$G238=""),"",IF(AND(R$5&lt;=$G238,R$5+6&gt;=$F238),IF($H238="Complétée","F",IF(OR($H238="En cours",$H238="En revue"),"E",IF($H238="Bloquée","B","P"))),""))</f>
        <v/>
      </c>
      <c r="S238" s="53">
        <f>IF(OR($F238="",$G238=""),"",IF(AND(S$5&lt;=$G238,S$5+6&gt;=$F238),IF($H238="Complétée","F",IF(OR($H238="En cours",$H238="En revue"),"E",IF($H238="Bloquée","B","P"))),""))</f>
        <v/>
      </c>
      <c r="T238" s="53">
        <f>IF(OR($F238="",$G238=""),"",IF(AND(T$5&lt;=$G238,T$5+6&gt;=$F238),IF($H238="Complétée","F",IF(OR($H238="En cours",$H238="En revue"),"E",IF($H238="Bloquée","B","P"))),""))</f>
        <v/>
      </c>
      <c r="U238" s="53">
        <f>IF(OR($F238="",$G238=""),"",IF(AND(U$5&lt;=$G238,U$5+6&gt;=$F238),IF($H238="Complétée","F",IF(OR($H238="En cours",$H238="En revue"),"E",IF($H238="Bloquée","B","P"))),""))</f>
        <v/>
      </c>
      <c r="V238" s="53">
        <f>IF(OR($F238="",$G238=""),"",IF(AND(V$5&lt;=$G238,V$5+6&gt;=$F238),IF($H238="Complétée","F",IF(OR($H238="En cours",$H238="En revue"),"E",IF($H238="Bloquée","B","P"))),""))</f>
        <v/>
      </c>
      <c r="W238" s="53">
        <f>IF(OR($F238="",$G238=""),"",IF(AND(W$5&lt;=$G238,W$5+6&gt;=$F238),IF($H238="Complétée","F",IF(OR($H238="En cours",$H238="En revue"),"E",IF($H238="Bloquée","B","P"))),""))</f>
        <v/>
      </c>
      <c r="X238" s="53">
        <f>IF(OR($F238="",$G238=""),"",IF(AND(X$5&lt;=$G238,X$5+6&gt;=$F238),IF($H238="Complétée","F",IF(OR($H238="En cours",$H238="En revue"),"E",IF($H238="Bloquée","B","P"))),""))</f>
        <v/>
      </c>
      <c r="Y238" s="53">
        <f>IF(OR($F238="",$G238=""),"",IF(AND(Y$5&lt;=$G238,Y$5+6&gt;=$F238),IF($H238="Complétée","F",IF(OR($H238="En cours",$H238="En revue"),"E",IF($H238="Bloquée","B","P"))),""))</f>
        <v/>
      </c>
      <c r="Z238" s="53">
        <f>IF(OR($F238="",$G238=""),"",IF(AND(Z$5&lt;=$G238,Z$5+6&gt;=$F238),IF($H238="Complétée","F",IF(OR($H238="En cours",$H238="En revue"),"E",IF($H238="Bloquée","B","P"))),""))</f>
        <v/>
      </c>
      <c r="AA238" s="53">
        <f>IF(OR($F238="",$G238=""),"",IF(AND(AA$5&lt;=$G238,AA$5+6&gt;=$F238),IF($H238="Complétée","F",IF(OR($H238="En cours",$H238="En revue"),"E",IF($H238="Bloquée","B","P"))),""))</f>
        <v/>
      </c>
      <c r="AB238" s="53">
        <f>IF(OR($F238="",$G238=""),"",IF(AND(AB$5&lt;=$G238,AB$5+6&gt;=$F238),IF($H238="Complétée","F",IF(OR($H238="En cours",$H238="En revue"),"E",IF($H238="Bloquée","B","P"))),""))</f>
        <v/>
      </c>
      <c r="AC238" s="53">
        <f>IF(OR($F238="",$G238=""),"",IF(AND(AC$5&lt;=$G238,AC$5+6&gt;=$F238),IF($H238="Complétée","F",IF(OR($H238="En cours",$H238="En revue"),"E",IF($H238="Bloquée","B","P"))),""))</f>
        <v/>
      </c>
      <c r="AD238" s="53">
        <f>IF(OR($F238="",$G238=""),"",IF(AND(AD$5&lt;=$G238,AD$5+6&gt;=$F238),IF($H238="Complétée","F",IF(OR($H238="En cours",$H238="En revue"),"E",IF($H238="Bloquée","B","P"))),""))</f>
        <v/>
      </c>
      <c r="AE238" s="53">
        <f>IF(OR($F238="",$G238=""),"",IF(AND(AE$5&lt;=$G238,AE$5+6&gt;=$F238),IF($H238="Complétée","F",IF(OR($H238="En cours",$H238="En revue"),"E",IF($H238="Bloquée","B","P"))),""))</f>
        <v/>
      </c>
      <c r="AF238" s="53">
        <f>IF(OR($F238="",$G238=""),"",IF(AND(AF$5&lt;=$G238,AF$5+6&gt;=$F238),IF($H238="Complétée","F",IF(OR($H238="En cours",$H238="En revue"),"E",IF($H238="Bloquée","B","P"))),""))</f>
        <v/>
      </c>
      <c r="AG238" s="53">
        <f>IF(OR($F238="",$G238=""),"",IF(AND(AG$5&lt;=$G238,AG$5+6&gt;=$F238),IF($H238="Complétée","F",IF(OR($H238="En cours",$H238="En revue"),"E",IF($H238="Bloquée","B","P"))),""))</f>
        <v/>
      </c>
      <c r="AH238" s="53">
        <f>IF(OR($F238="",$G238=""),"",IF(AND(AH$5&lt;=$G238,AH$5+6&gt;=$F238),IF($H238="Complétée","F",IF(OR($H238="En cours",$H238="En revue"),"E",IF($H238="Bloquée","B","P"))),""))</f>
        <v/>
      </c>
      <c r="AI238" s="53">
        <f>IF(OR($F238="",$G238=""),"",IF(AND(AI$5&lt;=$G238,AI$5+6&gt;=$F238),IF($H238="Complétée","F",IF(OR($H238="En cours",$H238="En revue"),"E",IF($H238="Bloquée","B","P"))),""))</f>
        <v/>
      </c>
      <c r="AJ238" s="53">
        <f>IF(OR($F238="",$G238=""),"",IF(AND(AJ$5&lt;=$G238,AJ$5+6&gt;=$F238),IF($H238="Complétée","F",IF(OR($H238="En cours",$H238="En revue"),"E",IF($H238="Bloquée","B","P"))),""))</f>
        <v/>
      </c>
      <c r="AK238" s="53">
        <f>IF(OR($F238="",$G238=""),"",IF(AND(AK$5&lt;=$G238,AK$5+6&gt;=$F238),IF($H238="Complétée","F",IF(OR($H238="En cours",$H238="En revue"),"E",IF($H238="Bloquée","B","P"))),""))</f>
        <v/>
      </c>
      <c r="AL238" s="53">
        <f>IF(OR($F238="",$G238=""),"",IF(AND(AL$5&lt;=$G238,AL$5+6&gt;=$F238),IF($H238="Complétée","F",IF(OR($H238="En cours",$H238="En revue"),"E",IF($H238="Bloquée","B","P"))),""))</f>
        <v/>
      </c>
      <c r="AM238" s="53">
        <f>IF(OR($F238="",$G238=""),"",IF(AND(AM$5&lt;=$G238,AM$5+6&gt;=$F238),IF($H238="Complétée","F",IF(OR($H238="En cours",$H238="En revue"),"E",IF($H238="Bloquée","B","P"))),""))</f>
        <v/>
      </c>
      <c r="AN238" s="53">
        <f>IF(OR($F238="",$G238=""),"",IF(AND(AN$5&lt;=$G238,AN$5+6&gt;=$F238),IF($H238="Complétée","F",IF(OR($H238="En cours",$H238="En revue"),"E",IF($H238="Bloquée","B","P"))),""))</f>
        <v/>
      </c>
      <c r="AO238" s="53">
        <f>IF(OR($F238="",$G238=""),"",IF(AND(AO$5&lt;=$G238,AO$5+6&gt;=$F238),IF($H238="Complétée","F",IF(OR($H238="En cours",$H238="En revue"),"E",IF($H238="Bloquée","B","P"))),""))</f>
        <v/>
      </c>
      <c r="AP238" s="53">
        <f>IF(OR($F238="",$G238=""),"",IF(AND(AP$5&lt;=$G238,AP$5+6&gt;=$F238),IF($H238="Complétée","F",IF(OR($H238="En cours",$H238="En revue"),"E",IF($H238="Bloquée","B","P"))),""))</f>
        <v/>
      </c>
      <c r="AQ238" s="53">
        <f>IF(OR($F238="",$G238=""),"",IF(AND(AQ$5&lt;=$G238,AQ$5+6&gt;=$F238),IF($H238="Complétée","F",IF(OR($H238="En cours",$H238="En revue"),"E",IF($H238="Bloquée","B","P"))),""))</f>
        <v/>
      </c>
      <c r="AR238" s="53">
        <f>IF(OR($F238="",$G238=""),"",IF(AND(AR$5&lt;=$G238,AR$5+6&gt;=$F238),IF($H238="Complétée","F",IF(OR($H238="En cours",$H238="En revue"),"E",IF($H238="Bloquée","B","P"))),""))</f>
        <v/>
      </c>
      <c r="AS238" s="53">
        <f>IF(OR($F238="",$G238=""),"",IF(AND(AS$5&lt;=$G238,AS$5+6&gt;=$F238),IF($H238="Complétée","F",IF(OR($H238="En cours",$H238="En revue"),"E",IF($H238="Bloquée","B","P"))),""))</f>
        <v/>
      </c>
      <c r="AT238" s="53">
        <f>IF(OR($F238="",$G238=""),"",IF(AND(AT$5&lt;=$G238,AT$5+6&gt;=$F238),IF($H238="Complétée","F",IF(OR($H238="En cours",$H238="En revue"),"E",IF($H238="Bloquée","B","P"))),""))</f>
        <v/>
      </c>
      <c r="AU238" s="53">
        <f>IF(OR($F238="",$G238=""),"",IF(AND(AU$5&lt;=$G238,AU$5+6&gt;=$F238),IF($H238="Complétée","F",IF(OR($H238="En cours",$H238="En revue"),"E",IF($H238="Bloquée","B","P"))),""))</f>
        <v/>
      </c>
      <c r="AV238" s="53">
        <f>IF(OR($F238="",$G238=""),"",IF(AND(AV$5&lt;=$G238,AV$5+6&gt;=$F238),IF($H238="Complétée","F",IF(OR($H238="En cours",$H238="En revue"),"E",IF($H238="Bloquée","B","P"))),""))</f>
        <v/>
      </c>
      <c r="AW238" s="53">
        <f>IF(OR($F238="",$G238=""),"",IF(AND(AW$5&lt;=$G238,AW$5+6&gt;=$F238),IF($H238="Complétée","F",IF(OR($H238="En cours",$H238="En revue"),"E",IF($H238="Bloquée","B","P"))),""))</f>
        <v/>
      </c>
    </row>
    <row r="239">
      <c r="B239" s="50">
        <f>IF(Taches!B239="","",Taches!B239)</f>
        <v/>
      </c>
      <c r="C239" s="51">
        <f>IF(Taches!B239="","",Taches!F239)</f>
        <v/>
      </c>
      <c r="D239" s="50">
        <f>IF(Taches!B239="","",Taches!C239)</f>
        <v/>
      </c>
      <c r="E239" s="50">
        <f>IF(Taches!B239="","",Taches!D239)</f>
        <v/>
      </c>
      <c r="F239" s="52">
        <f>IF(Taches!P239="","",Taches!P239)</f>
        <v/>
      </c>
      <c r="G239" s="52">
        <f>IF(Taches!Q239="","",Taches!Q239)</f>
        <v/>
      </c>
      <c r="H239" s="50">
        <f>IF(Taches!B239="","",Taches!J239)</f>
        <v/>
      </c>
      <c r="I239" s="53">
        <f>IF(OR($F239="",$G239=""),"",IF(AND(I$5&lt;=$G239,I$5+6&gt;=$F239),IF($H239="Complétée","F",IF(OR($H239="En cours",$H239="En revue"),"E",IF($H239="Bloquée","B","P"))),""))</f>
        <v/>
      </c>
      <c r="J239" s="53">
        <f>IF(OR($F239="",$G239=""),"",IF(AND(J$5&lt;=$G239,J$5+6&gt;=$F239),IF($H239="Complétée","F",IF(OR($H239="En cours",$H239="En revue"),"E",IF($H239="Bloquée","B","P"))),""))</f>
        <v/>
      </c>
      <c r="K239" s="53">
        <f>IF(OR($F239="",$G239=""),"",IF(AND(K$5&lt;=$G239,K$5+6&gt;=$F239),IF($H239="Complétée","F",IF(OR($H239="En cours",$H239="En revue"),"E",IF($H239="Bloquée","B","P"))),""))</f>
        <v/>
      </c>
      <c r="L239" s="53">
        <f>IF(OR($F239="",$G239=""),"",IF(AND(L$5&lt;=$G239,L$5+6&gt;=$F239),IF($H239="Complétée","F",IF(OR($H239="En cours",$H239="En revue"),"E",IF($H239="Bloquée","B","P"))),""))</f>
        <v/>
      </c>
      <c r="M239" s="53">
        <f>IF(OR($F239="",$G239=""),"",IF(AND(M$5&lt;=$G239,M$5+6&gt;=$F239),IF($H239="Complétée","F",IF(OR($H239="En cours",$H239="En revue"),"E",IF($H239="Bloquée","B","P"))),""))</f>
        <v/>
      </c>
      <c r="N239" s="53">
        <f>IF(OR($F239="",$G239=""),"",IF(AND(N$5&lt;=$G239,N$5+6&gt;=$F239),IF($H239="Complétée","F",IF(OR($H239="En cours",$H239="En revue"),"E",IF($H239="Bloquée","B","P"))),""))</f>
        <v/>
      </c>
      <c r="O239" s="53">
        <f>IF(OR($F239="",$G239=""),"",IF(AND(O$5&lt;=$G239,O$5+6&gt;=$F239),IF($H239="Complétée","F",IF(OR($H239="En cours",$H239="En revue"),"E",IF($H239="Bloquée","B","P"))),""))</f>
        <v/>
      </c>
      <c r="P239" s="53">
        <f>IF(OR($F239="",$G239=""),"",IF(AND(P$5&lt;=$G239,P$5+6&gt;=$F239),IF($H239="Complétée","F",IF(OR($H239="En cours",$H239="En revue"),"E",IF($H239="Bloquée","B","P"))),""))</f>
        <v/>
      </c>
      <c r="Q239" s="53">
        <f>IF(OR($F239="",$G239=""),"",IF(AND(Q$5&lt;=$G239,Q$5+6&gt;=$F239),IF($H239="Complétée","F",IF(OR($H239="En cours",$H239="En revue"),"E",IF($H239="Bloquée","B","P"))),""))</f>
        <v/>
      </c>
      <c r="R239" s="53">
        <f>IF(OR($F239="",$G239=""),"",IF(AND(R$5&lt;=$G239,R$5+6&gt;=$F239),IF($H239="Complétée","F",IF(OR($H239="En cours",$H239="En revue"),"E",IF($H239="Bloquée","B","P"))),""))</f>
        <v/>
      </c>
      <c r="S239" s="53">
        <f>IF(OR($F239="",$G239=""),"",IF(AND(S$5&lt;=$G239,S$5+6&gt;=$F239),IF($H239="Complétée","F",IF(OR($H239="En cours",$H239="En revue"),"E",IF($H239="Bloquée","B","P"))),""))</f>
        <v/>
      </c>
      <c r="T239" s="53">
        <f>IF(OR($F239="",$G239=""),"",IF(AND(T$5&lt;=$G239,T$5+6&gt;=$F239),IF($H239="Complétée","F",IF(OR($H239="En cours",$H239="En revue"),"E",IF($H239="Bloquée","B","P"))),""))</f>
        <v/>
      </c>
      <c r="U239" s="53">
        <f>IF(OR($F239="",$G239=""),"",IF(AND(U$5&lt;=$G239,U$5+6&gt;=$F239),IF($H239="Complétée","F",IF(OR($H239="En cours",$H239="En revue"),"E",IF($H239="Bloquée","B","P"))),""))</f>
        <v/>
      </c>
      <c r="V239" s="53">
        <f>IF(OR($F239="",$G239=""),"",IF(AND(V$5&lt;=$G239,V$5+6&gt;=$F239),IF($H239="Complétée","F",IF(OR($H239="En cours",$H239="En revue"),"E",IF($H239="Bloquée","B","P"))),""))</f>
        <v/>
      </c>
      <c r="W239" s="53">
        <f>IF(OR($F239="",$G239=""),"",IF(AND(W$5&lt;=$G239,W$5+6&gt;=$F239),IF($H239="Complétée","F",IF(OR($H239="En cours",$H239="En revue"),"E",IF($H239="Bloquée","B","P"))),""))</f>
        <v/>
      </c>
      <c r="X239" s="53">
        <f>IF(OR($F239="",$G239=""),"",IF(AND(X$5&lt;=$G239,X$5+6&gt;=$F239),IF($H239="Complétée","F",IF(OR($H239="En cours",$H239="En revue"),"E",IF($H239="Bloquée","B","P"))),""))</f>
        <v/>
      </c>
      <c r="Y239" s="53">
        <f>IF(OR($F239="",$G239=""),"",IF(AND(Y$5&lt;=$G239,Y$5+6&gt;=$F239),IF($H239="Complétée","F",IF(OR($H239="En cours",$H239="En revue"),"E",IF($H239="Bloquée","B","P"))),""))</f>
        <v/>
      </c>
      <c r="Z239" s="53">
        <f>IF(OR($F239="",$G239=""),"",IF(AND(Z$5&lt;=$G239,Z$5+6&gt;=$F239),IF($H239="Complétée","F",IF(OR($H239="En cours",$H239="En revue"),"E",IF($H239="Bloquée","B","P"))),""))</f>
        <v/>
      </c>
      <c r="AA239" s="53">
        <f>IF(OR($F239="",$G239=""),"",IF(AND(AA$5&lt;=$G239,AA$5+6&gt;=$F239),IF($H239="Complétée","F",IF(OR($H239="En cours",$H239="En revue"),"E",IF($H239="Bloquée","B","P"))),""))</f>
        <v/>
      </c>
      <c r="AB239" s="53">
        <f>IF(OR($F239="",$G239=""),"",IF(AND(AB$5&lt;=$G239,AB$5+6&gt;=$F239),IF($H239="Complétée","F",IF(OR($H239="En cours",$H239="En revue"),"E",IF($H239="Bloquée","B","P"))),""))</f>
        <v/>
      </c>
      <c r="AC239" s="53">
        <f>IF(OR($F239="",$G239=""),"",IF(AND(AC$5&lt;=$G239,AC$5+6&gt;=$F239),IF($H239="Complétée","F",IF(OR($H239="En cours",$H239="En revue"),"E",IF($H239="Bloquée","B","P"))),""))</f>
        <v/>
      </c>
      <c r="AD239" s="53">
        <f>IF(OR($F239="",$G239=""),"",IF(AND(AD$5&lt;=$G239,AD$5+6&gt;=$F239),IF($H239="Complétée","F",IF(OR($H239="En cours",$H239="En revue"),"E",IF($H239="Bloquée","B","P"))),""))</f>
        <v/>
      </c>
      <c r="AE239" s="53">
        <f>IF(OR($F239="",$G239=""),"",IF(AND(AE$5&lt;=$G239,AE$5+6&gt;=$F239),IF($H239="Complétée","F",IF(OR($H239="En cours",$H239="En revue"),"E",IF($H239="Bloquée","B","P"))),""))</f>
        <v/>
      </c>
      <c r="AF239" s="53">
        <f>IF(OR($F239="",$G239=""),"",IF(AND(AF$5&lt;=$G239,AF$5+6&gt;=$F239),IF($H239="Complétée","F",IF(OR($H239="En cours",$H239="En revue"),"E",IF($H239="Bloquée","B","P"))),""))</f>
        <v/>
      </c>
      <c r="AG239" s="53">
        <f>IF(OR($F239="",$G239=""),"",IF(AND(AG$5&lt;=$G239,AG$5+6&gt;=$F239),IF($H239="Complétée","F",IF(OR($H239="En cours",$H239="En revue"),"E",IF($H239="Bloquée","B","P"))),""))</f>
        <v/>
      </c>
      <c r="AH239" s="53">
        <f>IF(OR($F239="",$G239=""),"",IF(AND(AH$5&lt;=$G239,AH$5+6&gt;=$F239),IF($H239="Complétée","F",IF(OR($H239="En cours",$H239="En revue"),"E",IF($H239="Bloquée","B","P"))),""))</f>
        <v/>
      </c>
      <c r="AI239" s="53">
        <f>IF(OR($F239="",$G239=""),"",IF(AND(AI$5&lt;=$G239,AI$5+6&gt;=$F239),IF($H239="Complétée","F",IF(OR($H239="En cours",$H239="En revue"),"E",IF($H239="Bloquée","B","P"))),""))</f>
        <v/>
      </c>
      <c r="AJ239" s="53">
        <f>IF(OR($F239="",$G239=""),"",IF(AND(AJ$5&lt;=$G239,AJ$5+6&gt;=$F239),IF($H239="Complétée","F",IF(OR($H239="En cours",$H239="En revue"),"E",IF($H239="Bloquée","B","P"))),""))</f>
        <v/>
      </c>
      <c r="AK239" s="53">
        <f>IF(OR($F239="",$G239=""),"",IF(AND(AK$5&lt;=$G239,AK$5+6&gt;=$F239),IF($H239="Complétée","F",IF(OR($H239="En cours",$H239="En revue"),"E",IF($H239="Bloquée","B","P"))),""))</f>
        <v/>
      </c>
      <c r="AL239" s="53">
        <f>IF(OR($F239="",$G239=""),"",IF(AND(AL$5&lt;=$G239,AL$5+6&gt;=$F239),IF($H239="Complétée","F",IF(OR($H239="En cours",$H239="En revue"),"E",IF($H239="Bloquée","B","P"))),""))</f>
        <v/>
      </c>
      <c r="AM239" s="53">
        <f>IF(OR($F239="",$G239=""),"",IF(AND(AM$5&lt;=$G239,AM$5+6&gt;=$F239),IF($H239="Complétée","F",IF(OR($H239="En cours",$H239="En revue"),"E",IF($H239="Bloquée","B","P"))),""))</f>
        <v/>
      </c>
      <c r="AN239" s="53">
        <f>IF(OR($F239="",$G239=""),"",IF(AND(AN$5&lt;=$G239,AN$5+6&gt;=$F239),IF($H239="Complétée","F",IF(OR($H239="En cours",$H239="En revue"),"E",IF($H239="Bloquée","B","P"))),""))</f>
        <v/>
      </c>
      <c r="AO239" s="53">
        <f>IF(OR($F239="",$G239=""),"",IF(AND(AO$5&lt;=$G239,AO$5+6&gt;=$F239),IF($H239="Complétée","F",IF(OR($H239="En cours",$H239="En revue"),"E",IF($H239="Bloquée","B","P"))),""))</f>
        <v/>
      </c>
      <c r="AP239" s="53">
        <f>IF(OR($F239="",$G239=""),"",IF(AND(AP$5&lt;=$G239,AP$5+6&gt;=$F239),IF($H239="Complétée","F",IF(OR($H239="En cours",$H239="En revue"),"E",IF($H239="Bloquée","B","P"))),""))</f>
        <v/>
      </c>
      <c r="AQ239" s="53">
        <f>IF(OR($F239="",$G239=""),"",IF(AND(AQ$5&lt;=$G239,AQ$5+6&gt;=$F239),IF($H239="Complétée","F",IF(OR($H239="En cours",$H239="En revue"),"E",IF($H239="Bloquée","B","P"))),""))</f>
        <v/>
      </c>
      <c r="AR239" s="53">
        <f>IF(OR($F239="",$G239=""),"",IF(AND(AR$5&lt;=$G239,AR$5+6&gt;=$F239),IF($H239="Complétée","F",IF(OR($H239="En cours",$H239="En revue"),"E",IF($H239="Bloquée","B","P"))),""))</f>
        <v/>
      </c>
      <c r="AS239" s="53">
        <f>IF(OR($F239="",$G239=""),"",IF(AND(AS$5&lt;=$G239,AS$5+6&gt;=$F239),IF($H239="Complétée","F",IF(OR($H239="En cours",$H239="En revue"),"E",IF($H239="Bloquée","B","P"))),""))</f>
        <v/>
      </c>
      <c r="AT239" s="53">
        <f>IF(OR($F239="",$G239=""),"",IF(AND(AT$5&lt;=$G239,AT$5+6&gt;=$F239),IF($H239="Complétée","F",IF(OR($H239="En cours",$H239="En revue"),"E",IF($H239="Bloquée","B","P"))),""))</f>
        <v/>
      </c>
      <c r="AU239" s="53">
        <f>IF(OR($F239="",$G239=""),"",IF(AND(AU$5&lt;=$G239,AU$5+6&gt;=$F239),IF($H239="Complétée","F",IF(OR($H239="En cours",$H239="En revue"),"E",IF($H239="Bloquée","B","P"))),""))</f>
        <v/>
      </c>
      <c r="AV239" s="53">
        <f>IF(OR($F239="",$G239=""),"",IF(AND(AV$5&lt;=$G239,AV$5+6&gt;=$F239),IF($H239="Complétée","F",IF(OR($H239="En cours",$H239="En revue"),"E",IF($H239="Bloquée","B","P"))),""))</f>
        <v/>
      </c>
      <c r="AW239" s="53">
        <f>IF(OR($F239="",$G239=""),"",IF(AND(AW$5&lt;=$G239,AW$5+6&gt;=$F239),IF($H239="Complétée","F",IF(OR($H239="En cours",$H239="En revue"),"E",IF($H239="Bloquée","B","P"))),""))</f>
        <v/>
      </c>
    </row>
    <row r="240">
      <c r="B240" s="50">
        <f>IF(Taches!B240="","",Taches!B240)</f>
        <v/>
      </c>
      <c r="C240" s="51">
        <f>IF(Taches!B240="","",Taches!F240)</f>
        <v/>
      </c>
      <c r="D240" s="50">
        <f>IF(Taches!B240="","",Taches!C240)</f>
        <v/>
      </c>
      <c r="E240" s="50">
        <f>IF(Taches!B240="","",Taches!D240)</f>
        <v/>
      </c>
      <c r="F240" s="52">
        <f>IF(Taches!P240="","",Taches!P240)</f>
        <v/>
      </c>
      <c r="G240" s="52">
        <f>IF(Taches!Q240="","",Taches!Q240)</f>
        <v/>
      </c>
      <c r="H240" s="50">
        <f>IF(Taches!B240="","",Taches!J240)</f>
        <v/>
      </c>
      <c r="I240" s="53">
        <f>IF(OR($F240="",$G240=""),"",IF(AND(I$5&lt;=$G240,I$5+6&gt;=$F240),IF($H240="Complétée","F",IF(OR($H240="En cours",$H240="En revue"),"E",IF($H240="Bloquée","B","P"))),""))</f>
        <v/>
      </c>
      <c r="J240" s="53">
        <f>IF(OR($F240="",$G240=""),"",IF(AND(J$5&lt;=$G240,J$5+6&gt;=$F240),IF($H240="Complétée","F",IF(OR($H240="En cours",$H240="En revue"),"E",IF($H240="Bloquée","B","P"))),""))</f>
        <v/>
      </c>
      <c r="K240" s="53">
        <f>IF(OR($F240="",$G240=""),"",IF(AND(K$5&lt;=$G240,K$5+6&gt;=$F240),IF($H240="Complétée","F",IF(OR($H240="En cours",$H240="En revue"),"E",IF($H240="Bloquée","B","P"))),""))</f>
        <v/>
      </c>
      <c r="L240" s="53">
        <f>IF(OR($F240="",$G240=""),"",IF(AND(L$5&lt;=$G240,L$5+6&gt;=$F240),IF($H240="Complétée","F",IF(OR($H240="En cours",$H240="En revue"),"E",IF($H240="Bloquée","B","P"))),""))</f>
        <v/>
      </c>
      <c r="M240" s="53">
        <f>IF(OR($F240="",$G240=""),"",IF(AND(M$5&lt;=$G240,M$5+6&gt;=$F240),IF($H240="Complétée","F",IF(OR($H240="En cours",$H240="En revue"),"E",IF($H240="Bloquée","B","P"))),""))</f>
        <v/>
      </c>
      <c r="N240" s="53">
        <f>IF(OR($F240="",$G240=""),"",IF(AND(N$5&lt;=$G240,N$5+6&gt;=$F240),IF($H240="Complétée","F",IF(OR($H240="En cours",$H240="En revue"),"E",IF($H240="Bloquée","B","P"))),""))</f>
        <v/>
      </c>
      <c r="O240" s="53">
        <f>IF(OR($F240="",$G240=""),"",IF(AND(O$5&lt;=$G240,O$5+6&gt;=$F240),IF($H240="Complétée","F",IF(OR($H240="En cours",$H240="En revue"),"E",IF($H240="Bloquée","B","P"))),""))</f>
        <v/>
      </c>
      <c r="P240" s="53">
        <f>IF(OR($F240="",$G240=""),"",IF(AND(P$5&lt;=$G240,P$5+6&gt;=$F240),IF($H240="Complétée","F",IF(OR($H240="En cours",$H240="En revue"),"E",IF($H240="Bloquée","B","P"))),""))</f>
        <v/>
      </c>
      <c r="Q240" s="53">
        <f>IF(OR($F240="",$G240=""),"",IF(AND(Q$5&lt;=$G240,Q$5+6&gt;=$F240),IF($H240="Complétée","F",IF(OR($H240="En cours",$H240="En revue"),"E",IF($H240="Bloquée","B","P"))),""))</f>
        <v/>
      </c>
      <c r="R240" s="53">
        <f>IF(OR($F240="",$G240=""),"",IF(AND(R$5&lt;=$G240,R$5+6&gt;=$F240),IF($H240="Complétée","F",IF(OR($H240="En cours",$H240="En revue"),"E",IF($H240="Bloquée","B","P"))),""))</f>
        <v/>
      </c>
      <c r="S240" s="53">
        <f>IF(OR($F240="",$G240=""),"",IF(AND(S$5&lt;=$G240,S$5+6&gt;=$F240),IF($H240="Complétée","F",IF(OR($H240="En cours",$H240="En revue"),"E",IF($H240="Bloquée","B","P"))),""))</f>
        <v/>
      </c>
      <c r="T240" s="53">
        <f>IF(OR($F240="",$G240=""),"",IF(AND(T$5&lt;=$G240,T$5+6&gt;=$F240),IF($H240="Complétée","F",IF(OR($H240="En cours",$H240="En revue"),"E",IF($H240="Bloquée","B","P"))),""))</f>
        <v/>
      </c>
      <c r="U240" s="53">
        <f>IF(OR($F240="",$G240=""),"",IF(AND(U$5&lt;=$G240,U$5+6&gt;=$F240),IF($H240="Complétée","F",IF(OR($H240="En cours",$H240="En revue"),"E",IF($H240="Bloquée","B","P"))),""))</f>
        <v/>
      </c>
      <c r="V240" s="53">
        <f>IF(OR($F240="",$G240=""),"",IF(AND(V$5&lt;=$G240,V$5+6&gt;=$F240),IF($H240="Complétée","F",IF(OR($H240="En cours",$H240="En revue"),"E",IF($H240="Bloquée","B","P"))),""))</f>
        <v/>
      </c>
      <c r="W240" s="53">
        <f>IF(OR($F240="",$G240=""),"",IF(AND(W$5&lt;=$G240,W$5+6&gt;=$F240),IF($H240="Complétée","F",IF(OR($H240="En cours",$H240="En revue"),"E",IF($H240="Bloquée","B","P"))),""))</f>
        <v/>
      </c>
      <c r="X240" s="53">
        <f>IF(OR($F240="",$G240=""),"",IF(AND(X$5&lt;=$G240,X$5+6&gt;=$F240),IF($H240="Complétée","F",IF(OR($H240="En cours",$H240="En revue"),"E",IF($H240="Bloquée","B","P"))),""))</f>
        <v/>
      </c>
      <c r="Y240" s="53">
        <f>IF(OR($F240="",$G240=""),"",IF(AND(Y$5&lt;=$G240,Y$5+6&gt;=$F240),IF($H240="Complétée","F",IF(OR($H240="En cours",$H240="En revue"),"E",IF($H240="Bloquée","B","P"))),""))</f>
        <v/>
      </c>
      <c r="Z240" s="53">
        <f>IF(OR($F240="",$G240=""),"",IF(AND(Z$5&lt;=$G240,Z$5+6&gt;=$F240),IF($H240="Complétée","F",IF(OR($H240="En cours",$H240="En revue"),"E",IF($H240="Bloquée","B","P"))),""))</f>
        <v/>
      </c>
      <c r="AA240" s="53">
        <f>IF(OR($F240="",$G240=""),"",IF(AND(AA$5&lt;=$G240,AA$5+6&gt;=$F240),IF($H240="Complétée","F",IF(OR($H240="En cours",$H240="En revue"),"E",IF($H240="Bloquée","B","P"))),""))</f>
        <v/>
      </c>
      <c r="AB240" s="53">
        <f>IF(OR($F240="",$G240=""),"",IF(AND(AB$5&lt;=$G240,AB$5+6&gt;=$F240),IF($H240="Complétée","F",IF(OR($H240="En cours",$H240="En revue"),"E",IF($H240="Bloquée","B","P"))),""))</f>
        <v/>
      </c>
      <c r="AC240" s="53">
        <f>IF(OR($F240="",$G240=""),"",IF(AND(AC$5&lt;=$G240,AC$5+6&gt;=$F240),IF($H240="Complétée","F",IF(OR($H240="En cours",$H240="En revue"),"E",IF($H240="Bloquée","B","P"))),""))</f>
        <v/>
      </c>
      <c r="AD240" s="53">
        <f>IF(OR($F240="",$G240=""),"",IF(AND(AD$5&lt;=$G240,AD$5+6&gt;=$F240),IF($H240="Complétée","F",IF(OR($H240="En cours",$H240="En revue"),"E",IF($H240="Bloquée","B","P"))),""))</f>
        <v/>
      </c>
      <c r="AE240" s="53">
        <f>IF(OR($F240="",$G240=""),"",IF(AND(AE$5&lt;=$G240,AE$5+6&gt;=$F240),IF($H240="Complétée","F",IF(OR($H240="En cours",$H240="En revue"),"E",IF($H240="Bloquée","B","P"))),""))</f>
        <v/>
      </c>
      <c r="AF240" s="53">
        <f>IF(OR($F240="",$G240=""),"",IF(AND(AF$5&lt;=$G240,AF$5+6&gt;=$F240),IF($H240="Complétée","F",IF(OR($H240="En cours",$H240="En revue"),"E",IF($H240="Bloquée","B","P"))),""))</f>
        <v/>
      </c>
      <c r="AG240" s="53">
        <f>IF(OR($F240="",$G240=""),"",IF(AND(AG$5&lt;=$G240,AG$5+6&gt;=$F240),IF($H240="Complétée","F",IF(OR($H240="En cours",$H240="En revue"),"E",IF($H240="Bloquée","B","P"))),""))</f>
        <v/>
      </c>
      <c r="AH240" s="53">
        <f>IF(OR($F240="",$G240=""),"",IF(AND(AH$5&lt;=$G240,AH$5+6&gt;=$F240),IF($H240="Complétée","F",IF(OR($H240="En cours",$H240="En revue"),"E",IF($H240="Bloquée","B","P"))),""))</f>
        <v/>
      </c>
      <c r="AI240" s="53">
        <f>IF(OR($F240="",$G240=""),"",IF(AND(AI$5&lt;=$G240,AI$5+6&gt;=$F240),IF($H240="Complétée","F",IF(OR($H240="En cours",$H240="En revue"),"E",IF($H240="Bloquée","B","P"))),""))</f>
        <v/>
      </c>
      <c r="AJ240" s="53">
        <f>IF(OR($F240="",$G240=""),"",IF(AND(AJ$5&lt;=$G240,AJ$5+6&gt;=$F240),IF($H240="Complétée","F",IF(OR($H240="En cours",$H240="En revue"),"E",IF($H240="Bloquée","B","P"))),""))</f>
        <v/>
      </c>
      <c r="AK240" s="53">
        <f>IF(OR($F240="",$G240=""),"",IF(AND(AK$5&lt;=$G240,AK$5+6&gt;=$F240),IF($H240="Complétée","F",IF(OR($H240="En cours",$H240="En revue"),"E",IF($H240="Bloquée","B","P"))),""))</f>
        <v/>
      </c>
      <c r="AL240" s="53">
        <f>IF(OR($F240="",$G240=""),"",IF(AND(AL$5&lt;=$G240,AL$5+6&gt;=$F240),IF($H240="Complétée","F",IF(OR($H240="En cours",$H240="En revue"),"E",IF($H240="Bloquée","B","P"))),""))</f>
        <v/>
      </c>
      <c r="AM240" s="53">
        <f>IF(OR($F240="",$G240=""),"",IF(AND(AM$5&lt;=$G240,AM$5+6&gt;=$F240),IF($H240="Complétée","F",IF(OR($H240="En cours",$H240="En revue"),"E",IF($H240="Bloquée","B","P"))),""))</f>
        <v/>
      </c>
      <c r="AN240" s="53">
        <f>IF(OR($F240="",$G240=""),"",IF(AND(AN$5&lt;=$G240,AN$5+6&gt;=$F240),IF($H240="Complétée","F",IF(OR($H240="En cours",$H240="En revue"),"E",IF($H240="Bloquée","B","P"))),""))</f>
        <v/>
      </c>
      <c r="AO240" s="53">
        <f>IF(OR($F240="",$G240=""),"",IF(AND(AO$5&lt;=$G240,AO$5+6&gt;=$F240),IF($H240="Complétée","F",IF(OR($H240="En cours",$H240="En revue"),"E",IF($H240="Bloquée","B","P"))),""))</f>
        <v/>
      </c>
      <c r="AP240" s="53">
        <f>IF(OR($F240="",$G240=""),"",IF(AND(AP$5&lt;=$G240,AP$5+6&gt;=$F240),IF($H240="Complétée","F",IF(OR($H240="En cours",$H240="En revue"),"E",IF($H240="Bloquée","B","P"))),""))</f>
        <v/>
      </c>
      <c r="AQ240" s="53">
        <f>IF(OR($F240="",$G240=""),"",IF(AND(AQ$5&lt;=$G240,AQ$5+6&gt;=$F240),IF($H240="Complétée","F",IF(OR($H240="En cours",$H240="En revue"),"E",IF($H240="Bloquée","B","P"))),""))</f>
        <v/>
      </c>
      <c r="AR240" s="53">
        <f>IF(OR($F240="",$G240=""),"",IF(AND(AR$5&lt;=$G240,AR$5+6&gt;=$F240),IF($H240="Complétée","F",IF(OR($H240="En cours",$H240="En revue"),"E",IF($H240="Bloquée","B","P"))),""))</f>
        <v/>
      </c>
      <c r="AS240" s="53">
        <f>IF(OR($F240="",$G240=""),"",IF(AND(AS$5&lt;=$G240,AS$5+6&gt;=$F240),IF($H240="Complétée","F",IF(OR($H240="En cours",$H240="En revue"),"E",IF($H240="Bloquée","B","P"))),""))</f>
        <v/>
      </c>
      <c r="AT240" s="53">
        <f>IF(OR($F240="",$G240=""),"",IF(AND(AT$5&lt;=$G240,AT$5+6&gt;=$F240),IF($H240="Complétée","F",IF(OR($H240="En cours",$H240="En revue"),"E",IF($H240="Bloquée","B","P"))),""))</f>
        <v/>
      </c>
      <c r="AU240" s="53">
        <f>IF(OR($F240="",$G240=""),"",IF(AND(AU$5&lt;=$G240,AU$5+6&gt;=$F240),IF($H240="Complétée","F",IF(OR($H240="En cours",$H240="En revue"),"E",IF($H240="Bloquée","B","P"))),""))</f>
        <v/>
      </c>
      <c r="AV240" s="53">
        <f>IF(OR($F240="",$G240=""),"",IF(AND(AV$5&lt;=$G240,AV$5+6&gt;=$F240),IF($H240="Complétée","F",IF(OR($H240="En cours",$H240="En revue"),"E",IF($H240="Bloquée","B","P"))),""))</f>
        <v/>
      </c>
      <c r="AW240" s="53">
        <f>IF(OR($F240="",$G240=""),"",IF(AND(AW$5&lt;=$G240,AW$5+6&gt;=$F240),IF($H240="Complétée","F",IF(OR($H240="En cours",$H240="En revue"),"E",IF($H240="Bloquée","B","P"))),""))</f>
        <v/>
      </c>
    </row>
    <row r="241">
      <c r="B241" s="50">
        <f>IF(Taches!B241="","",Taches!B241)</f>
        <v/>
      </c>
      <c r="C241" s="51">
        <f>IF(Taches!B241="","",Taches!F241)</f>
        <v/>
      </c>
      <c r="D241" s="50">
        <f>IF(Taches!B241="","",Taches!C241)</f>
        <v/>
      </c>
      <c r="E241" s="50">
        <f>IF(Taches!B241="","",Taches!D241)</f>
        <v/>
      </c>
      <c r="F241" s="52">
        <f>IF(Taches!P241="","",Taches!P241)</f>
        <v/>
      </c>
      <c r="G241" s="52">
        <f>IF(Taches!Q241="","",Taches!Q241)</f>
        <v/>
      </c>
      <c r="H241" s="50">
        <f>IF(Taches!B241="","",Taches!J241)</f>
        <v/>
      </c>
      <c r="I241" s="53">
        <f>IF(OR($F241="",$G241=""),"",IF(AND(I$5&lt;=$G241,I$5+6&gt;=$F241),IF($H241="Complétée","F",IF(OR($H241="En cours",$H241="En revue"),"E",IF($H241="Bloquée","B","P"))),""))</f>
        <v/>
      </c>
      <c r="J241" s="53">
        <f>IF(OR($F241="",$G241=""),"",IF(AND(J$5&lt;=$G241,J$5+6&gt;=$F241),IF($H241="Complétée","F",IF(OR($H241="En cours",$H241="En revue"),"E",IF($H241="Bloquée","B","P"))),""))</f>
        <v/>
      </c>
      <c r="K241" s="53">
        <f>IF(OR($F241="",$G241=""),"",IF(AND(K$5&lt;=$G241,K$5+6&gt;=$F241),IF($H241="Complétée","F",IF(OR($H241="En cours",$H241="En revue"),"E",IF($H241="Bloquée","B","P"))),""))</f>
        <v/>
      </c>
      <c r="L241" s="53">
        <f>IF(OR($F241="",$G241=""),"",IF(AND(L$5&lt;=$G241,L$5+6&gt;=$F241),IF($H241="Complétée","F",IF(OR($H241="En cours",$H241="En revue"),"E",IF($H241="Bloquée","B","P"))),""))</f>
        <v/>
      </c>
      <c r="M241" s="53">
        <f>IF(OR($F241="",$G241=""),"",IF(AND(M$5&lt;=$G241,M$5+6&gt;=$F241),IF($H241="Complétée","F",IF(OR($H241="En cours",$H241="En revue"),"E",IF($H241="Bloquée","B","P"))),""))</f>
        <v/>
      </c>
      <c r="N241" s="53">
        <f>IF(OR($F241="",$G241=""),"",IF(AND(N$5&lt;=$G241,N$5+6&gt;=$F241),IF($H241="Complétée","F",IF(OR($H241="En cours",$H241="En revue"),"E",IF($H241="Bloquée","B","P"))),""))</f>
        <v/>
      </c>
      <c r="O241" s="53">
        <f>IF(OR($F241="",$G241=""),"",IF(AND(O$5&lt;=$G241,O$5+6&gt;=$F241),IF($H241="Complétée","F",IF(OR($H241="En cours",$H241="En revue"),"E",IF($H241="Bloquée","B","P"))),""))</f>
        <v/>
      </c>
      <c r="P241" s="53">
        <f>IF(OR($F241="",$G241=""),"",IF(AND(P$5&lt;=$G241,P$5+6&gt;=$F241),IF($H241="Complétée","F",IF(OR($H241="En cours",$H241="En revue"),"E",IF($H241="Bloquée","B","P"))),""))</f>
        <v/>
      </c>
      <c r="Q241" s="53">
        <f>IF(OR($F241="",$G241=""),"",IF(AND(Q$5&lt;=$G241,Q$5+6&gt;=$F241),IF($H241="Complétée","F",IF(OR($H241="En cours",$H241="En revue"),"E",IF($H241="Bloquée","B","P"))),""))</f>
        <v/>
      </c>
      <c r="R241" s="53">
        <f>IF(OR($F241="",$G241=""),"",IF(AND(R$5&lt;=$G241,R$5+6&gt;=$F241),IF($H241="Complétée","F",IF(OR($H241="En cours",$H241="En revue"),"E",IF($H241="Bloquée","B","P"))),""))</f>
        <v/>
      </c>
      <c r="S241" s="53">
        <f>IF(OR($F241="",$G241=""),"",IF(AND(S$5&lt;=$G241,S$5+6&gt;=$F241),IF($H241="Complétée","F",IF(OR($H241="En cours",$H241="En revue"),"E",IF($H241="Bloquée","B","P"))),""))</f>
        <v/>
      </c>
      <c r="T241" s="53">
        <f>IF(OR($F241="",$G241=""),"",IF(AND(T$5&lt;=$G241,T$5+6&gt;=$F241),IF($H241="Complétée","F",IF(OR($H241="En cours",$H241="En revue"),"E",IF($H241="Bloquée","B","P"))),""))</f>
        <v/>
      </c>
      <c r="U241" s="53">
        <f>IF(OR($F241="",$G241=""),"",IF(AND(U$5&lt;=$G241,U$5+6&gt;=$F241),IF($H241="Complétée","F",IF(OR($H241="En cours",$H241="En revue"),"E",IF($H241="Bloquée","B","P"))),""))</f>
        <v/>
      </c>
      <c r="V241" s="53">
        <f>IF(OR($F241="",$G241=""),"",IF(AND(V$5&lt;=$G241,V$5+6&gt;=$F241),IF($H241="Complétée","F",IF(OR($H241="En cours",$H241="En revue"),"E",IF($H241="Bloquée","B","P"))),""))</f>
        <v/>
      </c>
      <c r="W241" s="53">
        <f>IF(OR($F241="",$G241=""),"",IF(AND(W$5&lt;=$G241,W$5+6&gt;=$F241),IF($H241="Complétée","F",IF(OR($H241="En cours",$H241="En revue"),"E",IF($H241="Bloquée","B","P"))),""))</f>
        <v/>
      </c>
      <c r="X241" s="53">
        <f>IF(OR($F241="",$G241=""),"",IF(AND(X$5&lt;=$G241,X$5+6&gt;=$F241),IF($H241="Complétée","F",IF(OR($H241="En cours",$H241="En revue"),"E",IF($H241="Bloquée","B","P"))),""))</f>
        <v/>
      </c>
      <c r="Y241" s="53">
        <f>IF(OR($F241="",$G241=""),"",IF(AND(Y$5&lt;=$G241,Y$5+6&gt;=$F241),IF($H241="Complétée","F",IF(OR($H241="En cours",$H241="En revue"),"E",IF($H241="Bloquée","B","P"))),""))</f>
        <v/>
      </c>
      <c r="Z241" s="53">
        <f>IF(OR($F241="",$G241=""),"",IF(AND(Z$5&lt;=$G241,Z$5+6&gt;=$F241),IF($H241="Complétée","F",IF(OR($H241="En cours",$H241="En revue"),"E",IF($H241="Bloquée","B","P"))),""))</f>
        <v/>
      </c>
      <c r="AA241" s="53">
        <f>IF(OR($F241="",$G241=""),"",IF(AND(AA$5&lt;=$G241,AA$5+6&gt;=$F241),IF($H241="Complétée","F",IF(OR($H241="En cours",$H241="En revue"),"E",IF($H241="Bloquée","B","P"))),""))</f>
        <v/>
      </c>
      <c r="AB241" s="53">
        <f>IF(OR($F241="",$G241=""),"",IF(AND(AB$5&lt;=$G241,AB$5+6&gt;=$F241),IF($H241="Complétée","F",IF(OR($H241="En cours",$H241="En revue"),"E",IF($H241="Bloquée","B","P"))),""))</f>
        <v/>
      </c>
      <c r="AC241" s="53">
        <f>IF(OR($F241="",$G241=""),"",IF(AND(AC$5&lt;=$G241,AC$5+6&gt;=$F241),IF($H241="Complétée","F",IF(OR($H241="En cours",$H241="En revue"),"E",IF($H241="Bloquée","B","P"))),""))</f>
        <v/>
      </c>
      <c r="AD241" s="53">
        <f>IF(OR($F241="",$G241=""),"",IF(AND(AD$5&lt;=$G241,AD$5+6&gt;=$F241),IF($H241="Complétée","F",IF(OR($H241="En cours",$H241="En revue"),"E",IF($H241="Bloquée","B","P"))),""))</f>
        <v/>
      </c>
      <c r="AE241" s="53">
        <f>IF(OR($F241="",$G241=""),"",IF(AND(AE$5&lt;=$G241,AE$5+6&gt;=$F241),IF($H241="Complétée","F",IF(OR($H241="En cours",$H241="En revue"),"E",IF($H241="Bloquée","B","P"))),""))</f>
        <v/>
      </c>
      <c r="AF241" s="53">
        <f>IF(OR($F241="",$G241=""),"",IF(AND(AF$5&lt;=$G241,AF$5+6&gt;=$F241),IF($H241="Complétée","F",IF(OR($H241="En cours",$H241="En revue"),"E",IF($H241="Bloquée","B","P"))),""))</f>
        <v/>
      </c>
      <c r="AG241" s="53">
        <f>IF(OR($F241="",$G241=""),"",IF(AND(AG$5&lt;=$G241,AG$5+6&gt;=$F241),IF($H241="Complétée","F",IF(OR($H241="En cours",$H241="En revue"),"E",IF($H241="Bloquée","B","P"))),""))</f>
        <v/>
      </c>
      <c r="AH241" s="53">
        <f>IF(OR($F241="",$G241=""),"",IF(AND(AH$5&lt;=$G241,AH$5+6&gt;=$F241),IF($H241="Complétée","F",IF(OR($H241="En cours",$H241="En revue"),"E",IF($H241="Bloquée","B","P"))),""))</f>
        <v/>
      </c>
      <c r="AI241" s="53">
        <f>IF(OR($F241="",$G241=""),"",IF(AND(AI$5&lt;=$G241,AI$5+6&gt;=$F241),IF($H241="Complétée","F",IF(OR($H241="En cours",$H241="En revue"),"E",IF($H241="Bloquée","B","P"))),""))</f>
        <v/>
      </c>
      <c r="AJ241" s="53">
        <f>IF(OR($F241="",$G241=""),"",IF(AND(AJ$5&lt;=$G241,AJ$5+6&gt;=$F241),IF($H241="Complétée","F",IF(OR($H241="En cours",$H241="En revue"),"E",IF($H241="Bloquée","B","P"))),""))</f>
        <v/>
      </c>
      <c r="AK241" s="53">
        <f>IF(OR($F241="",$G241=""),"",IF(AND(AK$5&lt;=$G241,AK$5+6&gt;=$F241),IF($H241="Complétée","F",IF(OR($H241="En cours",$H241="En revue"),"E",IF($H241="Bloquée","B","P"))),""))</f>
        <v/>
      </c>
      <c r="AL241" s="53">
        <f>IF(OR($F241="",$G241=""),"",IF(AND(AL$5&lt;=$G241,AL$5+6&gt;=$F241),IF($H241="Complétée","F",IF(OR($H241="En cours",$H241="En revue"),"E",IF($H241="Bloquée","B","P"))),""))</f>
        <v/>
      </c>
      <c r="AM241" s="53">
        <f>IF(OR($F241="",$G241=""),"",IF(AND(AM$5&lt;=$G241,AM$5+6&gt;=$F241),IF($H241="Complétée","F",IF(OR($H241="En cours",$H241="En revue"),"E",IF($H241="Bloquée","B","P"))),""))</f>
        <v/>
      </c>
      <c r="AN241" s="53">
        <f>IF(OR($F241="",$G241=""),"",IF(AND(AN$5&lt;=$G241,AN$5+6&gt;=$F241),IF($H241="Complétée","F",IF(OR($H241="En cours",$H241="En revue"),"E",IF($H241="Bloquée","B","P"))),""))</f>
        <v/>
      </c>
      <c r="AO241" s="53">
        <f>IF(OR($F241="",$G241=""),"",IF(AND(AO$5&lt;=$G241,AO$5+6&gt;=$F241),IF($H241="Complétée","F",IF(OR($H241="En cours",$H241="En revue"),"E",IF($H241="Bloquée","B","P"))),""))</f>
        <v/>
      </c>
      <c r="AP241" s="53">
        <f>IF(OR($F241="",$G241=""),"",IF(AND(AP$5&lt;=$G241,AP$5+6&gt;=$F241),IF($H241="Complétée","F",IF(OR($H241="En cours",$H241="En revue"),"E",IF($H241="Bloquée","B","P"))),""))</f>
        <v/>
      </c>
      <c r="AQ241" s="53">
        <f>IF(OR($F241="",$G241=""),"",IF(AND(AQ$5&lt;=$G241,AQ$5+6&gt;=$F241),IF($H241="Complétée","F",IF(OR($H241="En cours",$H241="En revue"),"E",IF($H241="Bloquée","B","P"))),""))</f>
        <v/>
      </c>
      <c r="AR241" s="53">
        <f>IF(OR($F241="",$G241=""),"",IF(AND(AR$5&lt;=$G241,AR$5+6&gt;=$F241),IF($H241="Complétée","F",IF(OR($H241="En cours",$H241="En revue"),"E",IF($H241="Bloquée","B","P"))),""))</f>
        <v/>
      </c>
      <c r="AS241" s="53">
        <f>IF(OR($F241="",$G241=""),"",IF(AND(AS$5&lt;=$G241,AS$5+6&gt;=$F241),IF($H241="Complétée","F",IF(OR($H241="En cours",$H241="En revue"),"E",IF($H241="Bloquée","B","P"))),""))</f>
        <v/>
      </c>
      <c r="AT241" s="53">
        <f>IF(OR($F241="",$G241=""),"",IF(AND(AT$5&lt;=$G241,AT$5+6&gt;=$F241),IF($H241="Complétée","F",IF(OR($H241="En cours",$H241="En revue"),"E",IF($H241="Bloquée","B","P"))),""))</f>
        <v/>
      </c>
      <c r="AU241" s="53">
        <f>IF(OR($F241="",$G241=""),"",IF(AND(AU$5&lt;=$G241,AU$5+6&gt;=$F241),IF($H241="Complétée","F",IF(OR($H241="En cours",$H241="En revue"),"E",IF($H241="Bloquée","B","P"))),""))</f>
        <v/>
      </c>
      <c r="AV241" s="53">
        <f>IF(OR($F241="",$G241=""),"",IF(AND(AV$5&lt;=$G241,AV$5+6&gt;=$F241),IF($H241="Complétée","F",IF(OR($H241="En cours",$H241="En revue"),"E",IF($H241="Bloquée","B","P"))),""))</f>
        <v/>
      </c>
      <c r="AW241" s="53">
        <f>IF(OR($F241="",$G241=""),"",IF(AND(AW$5&lt;=$G241,AW$5+6&gt;=$F241),IF($H241="Complétée","F",IF(OR($H241="En cours",$H241="En revue"),"E",IF($H241="Bloquée","B","P"))),""))</f>
        <v/>
      </c>
    </row>
    <row r="242">
      <c r="B242" s="50">
        <f>IF(Taches!B242="","",Taches!B242)</f>
        <v/>
      </c>
      <c r="C242" s="51">
        <f>IF(Taches!B242="","",Taches!F242)</f>
        <v/>
      </c>
      <c r="D242" s="50">
        <f>IF(Taches!B242="","",Taches!C242)</f>
        <v/>
      </c>
      <c r="E242" s="50">
        <f>IF(Taches!B242="","",Taches!D242)</f>
        <v/>
      </c>
      <c r="F242" s="52">
        <f>IF(Taches!P242="","",Taches!P242)</f>
        <v/>
      </c>
      <c r="G242" s="52">
        <f>IF(Taches!Q242="","",Taches!Q242)</f>
        <v/>
      </c>
      <c r="H242" s="50">
        <f>IF(Taches!B242="","",Taches!J242)</f>
        <v/>
      </c>
      <c r="I242" s="53">
        <f>IF(OR($F242="",$G242=""),"",IF(AND(I$5&lt;=$G242,I$5+6&gt;=$F242),IF($H242="Complétée","F",IF(OR($H242="En cours",$H242="En revue"),"E",IF($H242="Bloquée","B","P"))),""))</f>
        <v/>
      </c>
      <c r="J242" s="53">
        <f>IF(OR($F242="",$G242=""),"",IF(AND(J$5&lt;=$G242,J$5+6&gt;=$F242),IF($H242="Complétée","F",IF(OR($H242="En cours",$H242="En revue"),"E",IF($H242="Bloquée","B","P"))),""))</f>
        <v/>
      </c>
      <c r="K242" s="53">
        <f>IF(OR($F242="",$G242=""),"",IF(AND(K$5&lt;=$G242,K$5+6&gt;=$F242),IF($H242="Complétée","F",IF(OR($H242="En cours",$H242="En revue"),"E",IF($H242="Bloquée","B","P"))),""))</f>
        <v/>
      </c>
      <c r="L242" s="53">
        <f>IF(OR($F242="",$G242=""),"",IF(AND(L$5&lt;=$G242,L$5+6&gt;=$F242),IF($H242="Complétée","F",IF(OR($H242="En cours",$H242="En revue"),"E",IF($H242="Bloquée","B","P"))),""))</f>
        <v/>
      </c>
      <c r="M242" s="53">
        <f>IF(OR($F242="",$G242=""),"",IF(AND(M$5&lt;=$G242,M$5+6&gt;=$F242),IF($H242="Complétée","F",IF(OR($H242="En cours",$H242="En revue"),"E",IF($H242="Bloquée","B","P"))),""))</f>
        <v/>
      </c>
      <c r="N242" s="53">
        <f>IF(OR($F242="",$G242=""),"",IF(AND(N$5&lt;=$G242,N$5+6&gt;=$F242),IF($H242="Complétée","F",IF(OR($H242="En cours",$H242="En revue"),"E",IF($H242="Bloquée","B","P"))),""))</f>
        <v/>
      </c>
      <c r="O242" s="53">
        <f>IF(OR($F242="",$G242=""),"",IF(AND(O$5&lt;=$G242,O$5+6&gt;=$F242),IF($H242="Complétée","F",IF(OR($H242="En cours",$H242="En revue"),"E",IF($H242="Bloquée","B","P"))),""))</f>
        <v/>
      </c>
      <c r="P242" s="53">
        <f>IF(OR($F242="",$G242=""),"",IF(AND(P$5&lt;=$G242,P$5+6&gt;=$F242),IF($H242="Complétée","F",IF(OR($H242="En cours",$H242="En revue"),"E",IF($H242="Bloquée","B","P"))),""))</f>
        <v/>
      </c>
      <c r="Q242" s="53">
        <f>IF(OR($F242="",$G242=""),"",IF(AND(Q$5&lt;=$G242,Q$5+6&gt;=$F242),IF($H242="Complétée","F",IF(OR($H242="En cours",$H242="En revue"),"E",IF($H242="Bloquée","B","P"))),""))</f>
        <v/>
      </c>
      <c r="R242" s="53">
        <f>IF(OR($F242="",$G242=""),"",IF(AND(R$5&lt;=$G242,R$5+6&gt;=$F242),IF($H242="Complétée","F",IF(OR($H242="En cours",$H242="En revue"),"E",IF($H242="Bloquée","B","P"))),""))</f>
        <v/>
      </c>
      <c r="S242" s="53">
        <f>IF(OR($F242="",$G242=""),"",IF(AND(S$5&lt;=$G242,S$5+6&gt;=$F242),IF($H242="Complétée","F",IF(OR($H242="En cours",$H242="En revue"),"E",IF($H242="Bloquée","B","P"))),""))</f>
        <v/>
      </c>
      <c r="T242" s="53">
        <f>IF(OR($F242="",$G242=""),"",IF(AND(T$5&lt;=$G242,T$5+6&gt;=$F242),IF($H242="Complétée","F",IF(OR($H242="En cours",$H242="En revue"),"E",IF($H242="Bloquée","B","P"))),""))</f>
        <v/>
      </c>
      <c r="U242" s="53">
        <f>IF(OR($F242="",$G242=""),"",IF(AND(U$5&lt;=$G242,U$5+6&gt;=$F242),IF($H242="Complétée","F",IF(OR($H242="En cours",$H242="En revue"),"E",IF($H242="Bloquée","B","P"))),""))</f>
        <v/>
      </c>
      <c r="V242" s="53">
        <f>IF(OR($F242="",$G242=""),"",IF(AND(V$5&lt;=$G242,V$5+6&gt;=$F242),IF($H242="Complétée","F",IF(OR($H242="En cours",$H242="En revue"),"E",IF($H242="Bloquée","B","P"))),""))</f>
        <v/>
      </c>
      <c r="W242" s="53">
        <f>IF(OR($F242="",$G242=""),"",IF(AND(W$5&lt;=$G242,W$5+6&gt;=$F242),IF($H242="Complétée","F",IF(OR($H242="En cours",$H242="En revue"),"E",IF($H242="Bloquée","B","P"))),""))</f>
        <v/>
      </c>
      <c r="X242" s="53">
        <f>IF(OR($F242="",$G242=""),"",IF(AND(X$5&lt;=$G242,X$5+6&gt;=$F242),IF($H242="Complétée","F",IF(OR($H242="En cours",$H242="En revue"),"E",IF($H242="Bloquée","B","P"))),""))</f>
        <v/>
      </c>
      <c r="Y242" s="53">
        <f>IF(OR($F242="",$G242=""),"",IF(AND(Y$5&lt;=$G242,Y$5+6&gt;=$F242),IF($H242="Complétée","F",IF(OR($H242="En cours",$H242="En revue"),"E",IF($H242="Bloquée","B","P"))),""))</f>
        <v/>
      </c>
      <c r="Z242" s="53">
        <f>IF(OR($F242="",$G242=""),"",IF(AND(Z$5&lt;=$G242,Z$5+6&gt;=$F242),IF($H242="Complétée","F",IF(OR($H242="En cours",$H242="En revue"),"E",IF($H242="Bloquée","B","P"))),""))</f>
        <v/>
      </c>
      <c r="AA242" s="53">
        <f>IF(OR($F242="",$G242=""),"",IF(AND(AA$5&lt;=$G242,AA$5+6&gt;=$F242),IF($H242="Complétée","F",IF(OR($H242="En cours",$H242="En revue"),"E",IF($H242="Bloquée","B","P"))),""))</f>
        <v/>
      </c>
      <c r="AB242" s="53">
        <f>IF(OR($F242="",$G242=""),"",IF(AND(AB$5&lt;=$G242,AB$5+6&gt;=$F242),IF($H242="Complétée","F",IF(OR($H242="En cours",$H242="En revue"),"E",IF($H242="Bloquée","B","P"))),""))</f>
        <v/>
      </c>
      <c r="AC242" s="53">
        <f>IF(OR($F242="",$G242=""),"",IF(AND(AC$5&lt;=$G242,AC$5+6&gt;=$F242),IF($H242="Complétée","F",IF(OR($H242="En cours",$H242="En revue"),"E",IF($H242="Bloquée","B","P"))),""))</f>
        <v/>
      </c>
      <c r="AD242" s="53">
        <f>IF(OR($F242="",$G242=""),"",IF(AND(AD$5&lt;=$G242,AD$5+6&gt;=$F242),IF($H242="Complétée","F",IF(OR($H242="En cours",$H242="En revue"),"E",IF($H242="Bloquée","B","P"))),""))</f>
        <v/>
      </c>
      <c r="AE242" s="53">
        <f>IF(OR($F242="",$G242=""),"",IF(AND(AE$5&lt;=$G242,AE$5+6&gt;=$F242),IF($H242="Complétée","F",IF(OR($H242="En cours",$H242="En revue"),"E",IF($H242="Bloquée","B","P"))),""))</f>
        <v/>
      </c>
      <c r="AF242" s="53">
        <f>IF(OR($F242="",$G242=""),"",IF(AND(AF$5&lt;=$G242,AF$5+6&gt;=$F242),IF($H242="Complétée","F",IF(OR($H242="En cours",$H242="En revue"),"E",IF($H242="Bloquée","B","P"))),""))</f>
        <v/>
      </c>
      <c r="AG242" s="53">
        <f>IF(OR($F242="",$G242=""),"",IF(AND(AG$5&lt;=$G242,AG$5+6&gt;=$F242),IF($H242="Complétée","F",IF(OR($H242="En cours",$H242="En revue"),"E",IF($H242="Bloquée","B","P"))),""))</f>
        <v/>
      </c>
      <c r="AH242" s="53">
        <f>IF(OR($F242="",$G242=""),"",IF(AND(AH$5&lt;=$G242,AH$5+6&gt;=$F242),IF($H242="Complétée","F",IF(OR($H242="En cours",$H242="En revue"),"E",IF($H242="Bloquée","B","P"))),""))</f>
        <v/>
      </c>
      <c r="AI242" s="53">
        <f>IF(OR($F242="",$G242=""),"",IF(AND(AI$5&lt;=$G242,AI$5+6&gt;=$F242),IF($H242="Complétée","F",IF(OR($H242="En cours",$H242="En revue"),"E",IF($H242="Bloquée","B","P"))),""))</f>
        <v/>
      </c>
      <c r="AJ242" s="53">
        <f>IF(OR($F242="",$G242=""),"",IF(AND(AJ$5&lt;=$G242,AJ$5+6&gt;=$F242),IF($H242="Complétée","F",IF(OR($H242="En cours",$H242="En revue"),"E",IF($H242="Bloquée","B","P"))),""))</f>
        <v/>
      </c>
      <c r="AK242" s="53">
        <f>IF(OR($F242="",$G242=""),"",IF(AND(AK$5&lt;=$G242,AK$5+6&gt;=$F242),IF($H242="Complétée","F",IF(OR($H242="En cours",$H242="En revue"),"E",IF($H242="Bloquée","B","P"))),""))</f>
        <v/>
      </c>
      <c r="AL242" s="53">
        <f>IF(OR($F242="",$G242=""),"",IF(AND(AL$5&lt;=$G242,AL$5+6&gt;=$F242),IF($H242="Complétée","F",IF(OR($H242="En cours",$H242="En revue"),"E",IF($H242="Bloquée","B","P"))),""))</f>
        <v/>
      </c>
      <c r="AM242" s="53">
        <f>IF(OR($F242="",$G242=""),"",IF(AND(AM$5&lt;=$G242,AM$5+6&gt;=$F242),IF($H242="Complétée","F",IF(OR($H242="En cours",$H242="En revue"),"E",IF($H242="Bloquée","B","P"))),""))</f>
        <v/>
      </c>
      <c r="AN242" s="53">
        <f>IF(OR($F242="",$G242=""),"",IF(AND(AN$5&lt;=$G242,AN$5+6&gt;=$F242),IF($H242="Complétée","F",IF(OR($H242="En cours",$H242="En revue"),"E",IF($H242="Bloquée","B","P"))),""))</f>
        <v/>
      </c>
      <c r="AO242" s="53">
        <f>IF(OR($F242="",$G242=""),"",IF(AND(AO$5&lt;=$G242,AO$5+6&gt;=$F242),IF($H242="Complétée","F",IF(OR($H242="En cours",$H242="En revue"),"E",IF($H242="Bloquée","B","P"))),""))</f>
        <v/>
      </c>
      <c r="AP242" s="53">
        <f>IF(OR($F242="",$G242=""),"",IF(AND(AP$5&lt;=$G242,AP$5+6&gt;=$F242),IF($H242="Complétée","F",IF(OR($H242="En cours",$H242="En revue"),"E",IF($H242="Bloquée","B","P"))),""))</f>
        <v/>
      </c>
      <c r="AQ242" s="53">
        <f>IF(OR($F242="",$G242=""),"",IF(AND(AQ$5&lt;=$G242,AQ$5+6&gt;=$F242),IF($H242="Complétée","F",IF(OR($H242="En cours",$H242="En revue"),"E",IF($H242="Bloquée","B","P"))),""))</f>
        <v/>
      </c>
      <c r="AR242" s="53">
        <f>IF(OR($F242="",$G242=""),"",IF(AND(AR$5&lt;=$G242,AR$5+6&gt;=$F242),IF($H242="Complétée","F",IF(OR($H242="En cours",$H242="En revue"),"E",IF($H242="Bloquée","B","P"))),""))</f>
        <v/>
      </c>
      <c r="AS242" s="53">
        <f>IF(OR($F242="",$G242=""),"",IF(AND(AS$5&lt;=$G242,AS$5+6&gt;=$F242),IF($H242="Complétée","F",IF(OR($H242="En cours",$H242="En revue"),"E",IF($H242="Bloquée","B","P"))),""))</f>
        <v/>
      </c>
      <c r="AT242" s="53">
        <f>IF(OR($F242="",$G242=""),"",IF(AND(AT$5&lt;=$G242,AT$5+6&gt;=$F242),IF($H242="Complétée","F",IF(OR($H242="En cours",$H242="En revue"),"E",IF($H242="Bloquée","B","P"))),""))</f>
        <v/>
      </c>
      <c r="AU242" s="53">
        <f>IF(OR($F242="",$G242=""),"",IF(AND(AU$5&lt;=$G242,AU$5+6&gt;=$F242),IF($H242="Complétée","F",IF(OR($H242="En cours",$H242="En revue"),"E",IF($H242="Bloquée","B","P"))),""))</f>
        <v/>
      </c>
      <c r="AV242" s="53">
        <f>IF(OR($F242="",$G242=""),"",IF(AND(AV$5&lt;=$G242,AV$5+6&gt;=$F242),IF($H242="Complétée","F",IF(OR($H242="En cours",$H242="En revue"),"E",IF($H242="Bloquée","B","P"))),""))</f>
        <v/>
      </c>
      <c r="AW242" s="53">
        <f>IF(OR($F242="",$G242=""),"",IF(AND(AW$5&lt;=$G242,AW$5+6&gt;=$F242),IF($H242="Complétée","F",IF(OR($H242="En cours",$H242="En revue"),"E",IF($H242="Bloquée","B","P"))),""))</f>
        <v/>
      </c>
    </row>
    <row r="243">
      <c r="B243" s="50">
        <f>IF(Taches!B243="","",Taches!B243)</f>
        <v/>
      </c>
      <c r="C243" s="51">
        <f>IF(Taches!B243="","",Taches!F243)</f>
        <v/>
      </c>
      <c r="D243" s="50">
        <f>IF(Taches!B243="","",Taches!C243)</f>
        <v/>
      </c>
      <c r="E243" s="50">
        <f>IF(Taches!B243="","",Taches!D243)</f>
        <v/>
      </c>
      <c r="F243" s="52">
        <f>IF(Taches!P243="","",Taches!P243)</f>
        <v/>
      </c>
      <c r="G243" s="52">
        <f>IF(Taches!Q243="","",Taches!Q243)</f>
        <v/>
      </c>
      <c r="H243" s="50">
        <f>IF(Taches!B243="","",Taches!J243)</f>
        <v/>
      </c>
      <c r="I243" s="53">
        <f>IF(OR($F243="",$G243=""),"",IF(AND(I$5&lt;=$G243,I$5+6&gt;=$F243),IF($H243="Complétée","F",IF(OR($H243="En cours",$H243="En revue"),"E",IF($H243="Bloquée","B","P"))),""))</f>
        <v/>
      </c>
      <c r="J243" s="53">
        <f>IF(OR($F243="",$G243=""),"",IF(AND(J$5&lt;=$G243,J$5+6&gt;=$F243),IF($H243="Complétée","F",IF(OR($H243="En cours",$H243="En revue"),"E",IF($H243="Bloquée","B","P"))),""))</f>
        <v/>
      </c>
      <c r="K243" s="53">
        <f>IF(OR($F243="",$G243=""),"",IF(AND(K$5&lt;=$G243,K$5+6&gt;=$F243),IF($H243="Complétée","F",IF(OR($H243="En cours",$H243="En revue"),"E",IF($H243="Bloquée","B","P"))),""))</f>
        <v/>
      </c>
      <c r="L243" s="53">
        <f>IF(OR($F243="",$G243=""),"",IF(AND(L$5&lt;=$G243,L$5+6&gt;=$F243),IF($H243="Complétée","F",IF(OR($H243="En cours",$H243="En revue"),"E",IF($H243="Bloquée","B","P"))),""))</f>
        <v/>
      </c>
      <c r="M243" s="53">
        <f>IF(OR($F243="",$G243=""),"",IF(AND(M$5&lt;=$G243,M$5+6&gt;=$F243),IF($H243="Complétée","F",IF(OR($H243="En cours",$H243="En revue"),"E",IF($H243="Bloquée","B","P"))),""))</f>
        <v/>
      </c>
      <c r="N243" s="53">
        <f>IF(OR($F243="",$G243=""),"",IF(AND(N$5&lt;=$G243,N$5+6&gt;=$F243),IF($H243="Complétée","F",IF(OR($H243="En cours",$H243="En revue"),"E",IF($H243="Bloquée","B","P"))),""))</f>
        <v/>
      </c>
      <c r="O243" s="53">
        <f>IF(OR($F243="",$G243=""),"",IF(AND(O$5&lt;=$G243,O$5+6&gt;=$F243),IF($H243="Complétée","F",IF(OR($H243="En cours",$H243="En revue"),"E",IF($H243="Bloquée","B","P"))),""))</f>
        <v/>
      </c>
      <c r="P243" s="53">
        <f>IF(OR($F243="",$G243=""),"",IF(AND(P$5&lt;=$G243,P$5+6&gt;=$F243),IF($H243="Complétée","F",IF(OR($H243="En cours",$H243="En revue"),"E",IF($H243="Bloquée","B","P"))),""))</f>
        <v/>
      </c>
      <c r="Q243" s="53">
        <f>IF(OR($F243="",$G243=""),"",IF(AND(Q$5&lt;=$G243,Q$5+6&gt;=$F243),IF($H243="Complétée","F",IF(OR($H243="En cours",$H243="En revue"),"E",IF($H243="Bloquée","B","P"))),""))</f>
        <v/>
      </c>
      <c r="R243" s="53">
        <f>IF(OR($F243="",$G243=""),"",IF(AND(R$5&lt;=$G243,R$5+6&gt;=$F243),IF($H243="Complétée","F",IF(OR($H243="En cours",$H243="En revue"),"E",IF($H243="Bloquée","B","P"))),""))</f>
        <v/>
      </c>
      <c r="S243" s="53">
        <f>IF(OR($F243="",$G243=""),"",IF(AND(S$5&lt;=$G243,S$5+6&gt;=$F243),IF($H243="Complétée","F",IF(OR($H243="En cours",$H243="En revue"),"E",IF($H243="Bloquée","B","P"))),""))</f>
        <v/>
      </c>
      <c r="T243" s="53">
        <f>IF(OR($F243="",$G243=""),"",IF(AND(T$5&lt;=$G243,T$5+6&gt;=$F243),IF($H243="Complétée","F",IF(OR($H243="En cours",$H243="En revue"),"E",IF($H243="Bloquée","B","P"))),""))</f>
        <v/>
      </c>
      <c r="U243" s="53">
        <f>IF(OR($F243="",$G243=""),"",IF(AND(U$5&lt;=$G243,U$5+6&gt;=$F243),IF($H243="Complétée","F",IF(OR($H243="En cours",$H243="En revue"),"E",IF($H243="Bloquée","B","P"))),""))</f>
        <v/>
      </c>
      <c r="V243" s="53">
        <f>IF(OR($F243="",$G243=""),"",IF(AND(V$5&lt;=$G243,V$5+6&gt;=$F243),IF($H243="Complétée","F",IF(OR($H243="En cours",$H243="En revue"),"E",IF($H243="Bloquée","B","P"))),""))</f>
        <v/>
      </c>
      <c r="W243" s="53">
        <f>IF(OR($F243="",$G243=""),"",IF(AND(W$5&lt;=$G243,W$5+6&gt;=$F243),IF($H243="Complétée","F",IF(OR($H243="En cours",$H243="En revue"),"E",IF($H243="Bloquée","B","P"))),""))</f>
        <v/>
      </c>
      <c r="X243" s="53">
        <f>IF(OR($F243="",$G243=""),"",IF(AND(X$5&lt;=$G243,X$5+6&gt;=$F243),IF($H243="Complétée","F",IF(OR($H243="En cours",$H243="En revue"),"E",IF($H243="Bloquée","B","P"))),""))</f>
        <v/>
      </c>
      <c r="Y243" s="53">
        <f>IF(OR($F243="",$G243=""),"",IF(AND(Y$5&lt;=$G243,Y$5+6&gt;=$F243),IF($H243="Complétée","F",IF(OR($H243="En cours",$H243="En revue"),"E",IF($H243="Bloquée","B","P"))),""))</f>
        <v/>
      </c>
      <c r="Z243" s="53">
        <f>IF(OR($F243="",$G243=""),"",IF(AND(Z$5&lt;=$G243,Z$5+6&gt;=$F243),IF($H243="Complétée","F",IF(OR($H243="En cours",$H243="En revue"),"E",IF($H243="Bloquée","B","P"))),""))</f>
        <v/>
      </c>
      <c r="AA243" s="53">
        <f>IF(OR($F243="",$G243=""),"",IF(AND(AA$5&lt;=$G243,AA$5+6&gt;=$F243),IF($H243="Complétée","F",IF(OR($H243="En cours",$H243="En revue"),"E",IF($H243="Bloquée","B","P"))),""))</f>
        <v/>
      </c>
      <c r="AB243" s="53">
        <f>IF(OR($F243="",$G243=""),"",IF(AND(AB$5&lt;=$G243,AB$5+6&gt;=$F243),IF($H243="Complétée","F",IF(OR($H243="En cours",$H243="En revue"),"E",IF($H243="Bloquée","B","P"))),""))</f>
        <v/>
      </c>
      <c r="AC243" s="53">
        <f>IF(OR($F243="",$G243=""),"",IF(AND(AC$5&lt;=$G243,AC$5+6&gt;=$F243),IF($H243="Complétée","F",IF(OR($H243="En cours",$H243="En revue"),"E",IF($H243="Bloquée","B","P"))),""))</f>
        <v/>
      </c>
      <c r="AD243" s="53">
        <f>IF(OR($F243="",$G243=""),"",IF(AND(AD$5&lt;=$G243,AD$5+6&gt;=$F243),IF($H243="Complétée","F",IF(OR($H243="En cours",$H243="En revue"),"E",IF($H243="Bloquée","B","P"))),""))</f>
        <v/>
      </c>
      <c r="AE243" s="53">
        <f>IF(OR($F243="",$G243=""),"",IF(AND(AE$5&lt;=$G243,AE$5+6&gt;=$F243),IF($H243="Complétée","F",IF(OR($H243="En cours",$H243="En revue"),"E",IF($H243="Bloquée","B","P"))),""))</f>
        <v/>
      </c>
      <c r="AF243" s="53">
        <f>IF(OR($F243="",$G243=""),"",IF(AND(AF$5&lt;=$G243,AF$5+6&gt;=$F243),IF($H243="Complétée","F",IF(OR($H243="En cours",$H243="En revue"),"E",IF($H243="Bloquée","B","P"))),""))</f>
        <v/>
      </c>
      <c r="AG243" s="53">
        <f>IF(OR($F243="",$G243=""),"",IF(AND(AG$5&lt;=$G243,AG$5+6&gt;=$F243),IF($H243="Complétée","F",IF(OR($H243="En cours",$H243="En revue"),"E",IF($H243="Bloquée","B","P"))),""))</f>
        <v/>
      </c>
      <c r="AH243" s="53">
        <f>IF(OR($F243="",$G243=""),"",IF(AND(AH$5&lt;=$G243,AH$5+6&gt;=$F243),IF($H243="Complétée","F",IF(OR($H243="En cours",$H243="En revue"),"E",IF($H243="Bloquée","B","P"))),""))</f>
        <v/>
      </c>
      <c r="AI243" s="53">
        <f>IF(OR($F243="",$G243=""),"",IF(AND(AI$5&lt;=$G243,AI$5+6&gt;=$F243),IF($H243="Complétée","F",IF(OR($H243="En cours",$H243="En revue"),"E",IF($H243="Bloquée","B","P"))),""))</f>
        <v/>
      </c>
      <c r="AJ243" s="53">
        <f>IF(OR($F243="",$G243=""),"",IF(AND(AJ$5&lt;=$G243,AJ$5+6&gt;=$F243),IF($H243="Complétée","F",IF(OR($H243="En cours",$H243="En revue"),"E",IF($H243="Bloquée","B","P"))),""))</f>
        <v/>
      </c>
      <c r="AK243" s="53">
        <f>IF(OR($F243="",$G243=""),"",IF(AND(AK$5&lt;=$G243,AK$5+6&gt;=$F243),IF($H243="Complétée","F",IF(OR($H243="En cours",$H243="En revue"),"E",IF($H243="Bloquée","B","P"))),""))</f>
        <v/>
      </c>
      <c r="AL243" s="53">
        <f>IF(OR($F243="",$G243=""),"",IF(AND(AL$5&lt;=$G243,AL$5+6&gt;=$F243),IF($H243="Complétée","F",IF(OR($H243="En cours",$H243="En revue"),"E",IF($H243="Bloquée","B","P"))),""))</f>
        <v/>
      </c>
      <c r="AM243" s="53">
        <f>IF(OR($F243="",$G243=""),"",IF(AND(AM$5&lt;=$G243,AM$5+6&gt;=$F243),IF($H243="Complétée","F",IF(OR($H243="En cours",$H243="En revue"),"E",IF($H243="Bloquée","B","P"))),""))</f>
        <v/>
      </c>
      <c r="AN243" s="53">
        <f>IF(OR($F243="",$G243=""),"",IF(AND(AN$5&lt;=$G243,AN$5+6&gt;=$F243),IF($H243="Complétée","F",IF(OR($H243="En cours",$H243="En revue"),"E",IF($H243="Bloquée","B","P"))),""))</f>
        <v/>
      </c>
      <c r="AO243" s="53">
        <f>IF(OR($F243="",$G243=""),"",IF(AND(AO$5&lt;=$G243,AO$5+6&gt;=$F243),IF($H243="Complétée","F",IF(OR($H243="En cours",$H243="En revue"),"E",IF($H243="Bloquée","B","P"))),""))</f>
        <v/>
      </c>
      <c r="AP243" s="53">
        <f>IF(OR($F243="",$G243=""),"",IF(AND(AP$5&lt;=$G243,AP$5+6&gt;=$F243),IF($H243="Complétée","F",IF(OR($H243="En cours",$H243="En revue"),"E",IF($H243="Bloquée","B","P"))),""))</f>
        <v/>
      </c>
      <c r="AQ243" s="53">
        <f>IF(OR($F243="",$G243=""),"",IF(AND(AQ$5&lt;=$G243,AQ$5+6&gt;=$F243),IF($H243="Complétée","F",IF(OR($H243="En cours",$H243="En revue"),"E",IF($H243="Bloquée","B","P"))),""))</f>
        <v/>
      </c>
      <c r="AR243" s="53">
        <f>IF(OR($F243="",$G243=""),"",IF(AND(AR$5&lt;=$G243,AR$5+6&gt;=$F243),IF($H243="Complétée","F",IF(OR($H243="En cours",$H243="En revue"),"E",IF($H243="Bloquée","B","P"))),""))</f>
        <v/>
      </c>
      <c r="AS243" s="53">
        <f>IF(OR($F243="",$G243=""),"",IF(AND(AS$5&lt;=$G243,AS$5+6&gt;=$F243),IF($H243="Complétée","F",IF(OR($H243="En cours",$H243="En revue"),"E",IF($H243="Bloquée","B","P"))),""))</f>
        <v/>
      </c>
      <c r="AT243" s="53">
        <f>IF(OR($F243="",$G243=""),"",IF(AND(AT$5&lt;=$G243,AT$5+6&gt;=$F243),IF($H243="Complétée","F",IF(OR($H243="En cours",$H243="En revue"),"E",IF($H243="Bloquée","B","P"))),""))</f>
        <v/>
      </c>
      <c r="AU243" s="53">
        <f>IF(OR($F243="",$G243=""),"",IF(AND(AU$5&lt;=$G243,AU$5+6&gt;=$F243),IF($H243="Complétée","F",IF(OR($H243="En cours",$H243="En revue"),"E",IF($H243="Bloquée","B","P"))),""))</f>
        <v/>
      </c>
      <c r="AV243" s="53">
        <f>IF(OR($F243="",$G243=""),"",IF(AND(AV$5&lt;=$G243,AV$5+6&gt;=$F243),IF($H243="Complétée","F",IF(OR($H243="En cours",$H243="En revue"),"E",IF($H243="Bloquée","B","P"))),""))</f>
        <v/>
      </c>
      <c r="AW243" s="53">
        <f>IF(OR($F243="",$G243=""),"",IF(AND(AW$5&lt;=$G243,AW$5+6&gt;=$F243),IF($H243="Complétée","F",IF(OR($H243="En cours",$H243="En revue"),"E",IF($H243="Bloquée","B","P"))),""))</f>
        <v/>
      </c>
    </row>
    <row r="244">
      <c r="B244" s="50">
        <f>IF(Taches!B244="","",Taches!B244)</f>
        <v/>
      </c>
      <c r="C244" s="51">
        <f>IF(Taches!B244="","",Taches!F244)</f>
        <v/>
      </c>
      <c r="D244" s="50">
        <f>IF(Taches!B244="","",Taches!C244)</f>
        <v/>
      </c>
      <c r="E244" s="50">
        <f>IF(Taches!B244="","",Taches!D244)</f>
        <v/>
      </c>
      <c r="F244" s="52">
        <f>IF(Taches!P244="","",Taches!P244)</f>
        <v/>
      </c>
      <c r="G244" s="52">
        <f>IF(Taches!Q244="","",Taches!Q244)</f>
        <v/>
      </c>
      <c r="H244" s="50">
        <f>IF(Taches!B244="","",Taches!J244)</f>
        <v/>
      </c>
      <c r="I244" s="53">
        <f>IF(OR($F244="",$G244=""),"",IF(AND(I$5&lt;=$G244,I$5+6&gt;=$F244),IF($H244="Complétée","F",IF(OR($H244="En cours",$H244="En revue"),"E",IF($H244="Bloquée","B","P"))),""))</f>
        <v/>
      </c>
      <c r="J244" s="53">
        <f>IF(OR($F244="",$G244=""),"",IF(AND(J$5&lt;=$G244,J$5+6&gt;=$F244),IF($H244="Complétée","F",IF(OR($H244="En cours",$H244="En revue"),"E",IF($H244="Bloquée","B","P"))),""))</f>
        <v/>
      </c>
      <c r="K244" s="53">
        <f>IF(OR($F244="",$G244=""),"",IF(AND(K$5&lt;=$G244,K$5+6&gt;=$F244),IF($H244="Complétée","F",IF(OR($H244="En cours",$H244="En revue"),"E",IF($H244="Bloquée","B","P"))),""))</f>
        <v/>
      </c>
      <c r="L244" s="53">
        <f>IF(OR($F244="",$G244=""),"",IF(AND(L$5&lt;=$G244,L$5+6&gt;=$F244),IF($H244="Complétée","F",IF(OR($H244="En cours",$H244="En revue"),"E",IF($H244="Bloquée","B","P"))),""))</f>
        <v/>
      </c>
      <c r="M244" s="53">
        <f>IF(OR($F244="",$G244=""),"",IF(AND(M$5&lt;=$G244,M$5+6&gt;=$F244),IF($H244="Complétée","F",IF(OR($H244="En cours",$H244="En revue"),"E",IF($H244="Bloquée","B","P"))),""))</f>
        <v/>
      </c>
      <c r="N244" s="53">
        <f>IF(OR($F244="",$G244=""),"",IF(AND(N$5&lt;=$G244,N$5+6&gt;=$F244),IF($H244="Complétée","F",IF(OR($H244="En cours",$H244="En revue"),"E",IF($H244="Bloquée","B","P"))),""))</f>
        <v/>
      </c>
      <c r="O244" s="53">
        <f>IF(OR($F244="",$G244=""),"",IF(AND(O$5&lt;=$G244,O$5+6&gt;=$F244),IF($H244="Complétée","F",IF(OR($H244="En cours",$H244="En revue"),"E",IF($H244="Bloquée","B","P"))),""))</f>
        <v/>
      </c>
      <c r="P244" s="53">
        <f>IF(OR($F244="",$G244=""),"",IF(AND(P$5&lt;=$G244,P$5+6&gt;=$F244),IF($H244="Complétée","F",IF(OR($H244="En cours",$H244="En revue"),"E",IF($H244="Bloquée","B","P"))),""))</f>
        <v/>
      </c>
      <c r="Q244" s="53">
        <f>IF(OR($F244="",$G244=""),"",IF(AND(Q$5&lt;=$G244,Q$5+6&gt;=$F244),IF($H244="Complétée","F",IF(OR($H244="En cours",$H244="En revue"),"E",IF($H244="Bloquée","B","P"))),""))</f>
        <v/>
      </c>
      <c r="R244" s="53">
        <f>IF(OR($F244="",$G244=""),"",IF(AND(R$5&lt;=$G244,R$5+6&gt;=$F244),IF($H244="Complétée","F",IF(OR($H244="En cours",$H244="En revue"),"E",IF($H244="Bloquée","B","P"))),""))</f>
        <v/>
      </c>
      <c r="S244" s="53">
        <f>IF(OR($F244="",$G244=""),"",IF(AND(S$5&lt;=$G244,S$5+6&gt;=$F244),IF($H244="Complétée","F",IF(OR($H244="En cours",$H244="En revue"),"E",IF($H244="Bloquée","B","P"))),""))</f>
        <v/>
      </c>
      <c r="T244" s="53">
        <f>IF(OR($F244="",$G244=""),"",IF(AND(T$5&lt;=$G244,T$5+6&gt;=$F244),IF($H244="Complétée","F",IF(OR($H244="En cours",$H244="En revue"),"E",IF($H244="Bloquée","B","P"))),""))</f>
        <v/>
      </c>
      <c r="U244" s="53">
        <f>IF(OR($F244="",$G244=""),"",IF(AND(U$5&lt;=$G244,U$5+6&gt;=$F244),IF($H244="Complétée","F",IF(OR($H244="En cours",$H244="En revue"),"E",IF($H244="Bloquée","B","P"))),""))</f>
        <v/>
      </c>
      <c r="V244" s="53">
        <f>IF(OR($F244="",$G244=""),"",IF(AND(V$5&lt;=$G244,V$5+6&gt;=$F244),IF($H244="Complétée","F",IF(OR($H244="En cours",$H244="En revue"),"E",IF($H244="Bloquée","B","P"))),""))</f>
        <v/>
      </c>
      <c r="W244" s="53">
        <f>IF(OR($F244="",$G244=""),"",IF(AND(W$5&lt;=$G244,W$5+6&gt;=$F244),IF($H244="Complétée","F",IF(OR($H244="En cours",$H244="En revue"),"E",IF($H244="Bloquée","B","P"))),""))</f>
        <v/>
      </c>
      <c r="X244" s="53">
        <f>IF(OR($F244="",$G244=""),"",IF(AND(X$5&lt;=$G244,X$5+6&gt;=$F244),IF($H244="Complétée","F",IF(OR($H244="En cours",$H244="En revue"),"E",IF($H244="Bloquée","B","P"))),""))</f>
        <v/>
      </c>
      <c r="Y244" s="53">
        <f>IF(OR($F244="",$G244=""),"",IF(AND(Y$5&lt;=$G244,Y$5+6&gt;=$F244),IF($H244="Complétée","F",IF(OR($H244="En cours",$H244="En revue"),"E",IF($H244="Bloquée","B","P"))),""))</f>
        <v/>
      </c>
      <c r="Z244" s="53">
        <f>IF(OR($F244="",$G244=""),"",IF(AND(Z$5&lt;=$G244,Z$5+6&gt;=$F244),IF($H244="Complétée","F",IF(OR($H244="En cours",$H244="En revue"),"E",IF($H244="Bloquée","B","P"))),""))</f>
        <v/>
      </c>
      <c r="AA244" s="53">
        <f>IF(OR($F244="",$G244=""),"",IF(AND(AA$5&lt;=$G244,AA$5+6&gt;=$F244),IF($H244="Complétée","F",IF(OR($H244="En cours",$H244="En revue"),"E",IF($H244="Bloquée","B","P"))),""))</f>
        <v/>
      </c>
      <c r="AB244" s="53">
        <f>IF(OR($F244="",$G244=""),"",IF(AND(AB$5&lt;=$G244,AB$5+6&gt;=$F244),IF($H244="Complétée","F",IF(OR($H244="En cours",$H244="En revue"),"E",IF($H244="Bloquée","B","P"))),""))</f>
        <v/>
      </c>
      <c r="AC244" s="53">
        <f>IF(OR($F244="",$G244=""),"",IF(AND(AC$5&lt;=$G244,AC$5+6&gt;=$F244),IF($H244="Complétée","F",IF(OR($H244="En cours",$H244="En revue"),"E",IF($H244="Bloquée","B","P"))),""))</f>
        <v/>
      </c>
      <c r="AD244" s="53">
        <f>IF(OR($F244="",$G244=""),"",IF(AND(AD$5&lt;=$G244,AD$5+6&gt;=$F244),IF($H244="Complétée","F",IF(OR($H244="En cours",$H244="En revue"),"E",IF($H244="Bloquée","B","P"))),""))</f>
        <v/>
      </c>
      <c r="AE244" s="53">
        <f>IF(OR($F244="",$G244=""),"",IF(AND(AE$5&lt;=$G244,AE$5+6&gt;=$F244),IF($H244="Complétée","F",IF(OR($H244="En cours",$H244="En revue"),"E",IF($H244="Bloquée","B","P"))),""))</f>
        <v/>
      </c>
      <c r="AF244" s="53">
        <f>IF(OR($F244="",$G244=""),"",IF(AND(AF$5&lt;=$G244,AF$5+6&gt;=$F244),IF($H244="Complétée","F",IF(OR($H244="En cours",$H244="En revue"),"E",IF($H244="Bloquée","B","P"))),""))</f>
        <v/>
      </c>
      <c r="AG244" s="53">
        <f>IF(OR($F244="",$G244=""),"",IF(AND(AG$5&lt;=$G244,AG$5+6&gt;=$F244),IF($H244="Complétée","F",IF(OR($H244="En cours",$H244="En revue"),"E",IF($H244="Bloquée","B","P"))),""))</f>
        <v/>
      </c>
      <c r="AH244" s="53">
        <f>IF(OR($F244="",$G244=""),"",IF(AND(AH$5&lt;=$G244,AH$5+6&gt;=$F244),IF($H244="Complétée","F",IF(OR($H244="En cours",$H244="En revue"),"E",IF($H244="Bloquée","B","P"))),""))</f>
        <v/>
      </c>
      <c r="AI244" s="53">
        <f>IF(OR($F244="",$G244=""),"",IF(AND(AI$5&lt;=$G244,AI$5+6&gt;=$F244),IF($H244="Complétée","F",IF(OR($H244="En cours",$H244="En revue"),"E",IF($H244="Bloquée","B","P"))),""))</f>
        <v/>
      </c>
      <c r="AJ244" s="53">
        <f>IF(OR($F244="",$G244=""),"",IF(AND(AJ$5&lt;=$G244,AJ$5+6&gt;=$F244),IF($H244="Complétée","F",IF(OR($H244="En cours",$H244="En revue"),"E",IF($H244="Bloquée","B","P"))),""))</f>
        <v/>
      </c>
      <c r="AK244" s="53">
        <f>IF(OR($F244="",$G244=""),"",IF(AND(AK$5&lt;=$G244,AK$5+6&gt;=$F244),IF($H244="Complétée","F",IF(OR($H244="En cours",$H244="En revue"),"E",IF($H244="Bloquée","B","P"))),""))</f>
        <v/>
      </c>
      <c r="AL244" s="53">
        <f>IF(OR($F244="",$G244=""),"",IF(AND(AL$5&lt;=$G244,AL$5+6&gt;=$F244),IF($H244="Complétée","F",IF(OR($H244="En cours",$H244="En revue"),"E",IF($H244="Bloquée","B","P"))),""))</f>
        <v/>
      </c>
      <c r="AM244" s="53">
        <f>IF(OR($F244="",$G244=""),"",IF(AND(AM$5&lt;=$G244,AM$5+6&gt;=$F244),IF($H244="Complétée","F",IF(OR($H244="En cours",$H244="En revue"),"E",IF($H244="Bloquée","B","P"))),""))</f>
        <v/>
      </c>
      <c r="AN244" s="53">
        <f>IF(OR($F244="",$G244=""),"",IF(AND(AN$5&lt;=$G244,AN$5+6&gt;=$F244),IF($H244="Complétée","F",IF(OR($H244="En cours",$H244="En revue"),"E",IF($H244="Bloquée","B","P"))),""))</f>
        <v/>
      </c>
      <c r="AO244" s="53">
        <f>IF(OR($F244="",$G244=""),"",IF(AND(AO$5&lt;=$G244,AO$5+6&gt;=$F244),IF($H244="Complétée","F",IF(OR($H244="En cours",$H244="En revue"),"E",IF($H244="Bloquée","B","P"))),""))</f>
        <v/>
      </c>
      <c r="AP244" s="53">
        <f>IF(OR($F244="",$G244=""),"",IF(AND(AP$5&lt;=$G244,AP$5+6&gt;=$F244),IF($H244="Complétée","F",IF(OR($H244="En cours",$H244="En revue"),"E",IF($H244="Bloquée","B","P"))),""))</f>
        <v/>
      </c>
      <c r="AQ244" s="53">
        <f>IF(OR($F244="",$G244=""),"",IF(AND(AQ$5&lt;=$G244,AQ$5+6&gt;=$F244),IF($H244="Complétée","F",IF(OR($H244="En cours",$H244="En revue"),"E",IF($H244="Bloquée","B","P"))),""))</f>
        <v/>
      </c>
      <c r="AR244" s="53">
        <f>IF(OR($F244="",$G244=""),"",IF(AND(AR$5&lt;=$G244,AR$5+6&gt;=$F244),IF($H244="Complétée","F",IF(OR($H244="En cours",$H244="En revue"),"E",IF($H244="Bloquée","B","P"))),""))</f>
        <v/>
      </c>
      <c r="AS244" s="53">
        <f>IF(OR($F244="",$G244=""),"",IF(AND(AS$5&lt;=$G244,AS$5+6&gt;=$F244),IF($H244="Complétée","F",IF(OR($H244="En cours",$H244="En revue"),"E",IF($H244="Bloquée","B","P"))),""))</f>
        <v/>
      </c>
      <c r="AT244" s="53">
        <f>IF(OR($F244="",$G244=""),"",IF(AND(AT$5&lt;=$G244,AT$5+6&gt;=$F244),IF($H244="Complétée","F",IF(OR($H244="En cours",$H244="En revue"),"E",IF($H244="Bloquée","B","P"))),""))</f>
        <v/>
      </c>
      <c r="AU244" s="53">
        <f>IF(OR($F244="",$G244=""),"",IF(AND(AU$5&lt;=$G244,AU$5+6&gt;=$F244),IF($H244="Complétée","F",IF(OR($H244="En cours",$H244="En revue"),"E",IF($H244="Bloquée","B","P"))),""))</f>
        <v/>
      </c>
      <c r="AV244" s="53">
        <f>IF(OR($F244="",$G244=""),"",IF(AND(AV$5&lt;=$G244,AV$5+6&gt;=$F244),IF($H244="Complétée","F",IF(OR($H244="En cours",$H244="En revue"),"E",IF($H244="Bloquée","B","P"))),""))</f>
        <v/>
      </c>
      <c r="AW244" s="53">
        <f>IF(OR($F244="",$G244=""),"",IF(AND(AW$5&lt;=$G244,AW$5+6&gt;=$F244),IF($H244="Complétée","F",IF(OR($H244="En cours",$H244="En revue"),"E",IF($H244="Bloquée","B","P"))),""))</f>
        <v/>
      </c>
    </row>
    <row r="245">
      <c r="B245" s="50">
        <f>IF(Taches!B245="","",Taches!B245)</f>
        <v/>
      </c>
      <c r="C245" s="51">
        <f>IF(Taches!B245="","",Taches!F245)</f>
        <v/>
      </c>
      <c r="D245" s="50">
        <f>IF(Taches!B245="","",Taches!C245)</f>
        <v/>
      </c>
      <c r="E245" s="50">
        <f>IF(Taches!B245="","",Taches!D245)</f>
        <v/>
      </c>
      <c r="F245" s="52">
        <f>IF(Taches!P245="","",Taches!P245)</f>
        <v/>
      </c>
      <c r="G245" s="52">
        <f>IF(Taches!Q245="","",Taches!Q245)</f>
        <v/>
      </c>
      <c r="H245" s="50">
        <f>IF(Taches!B245="","",Taches!J245)</f>
        <v/>
      </c>
      <c r="I245" s="53">
        <f>IF(OR($F245="",$G245=""),"",IF(AND(I$5&lt;=$G245,I$5+6&gt;=$F245),IF($H245="Complétée","F",IF(OR($H245="En cours",$H245="En revue"),"E",IF($H245="Bloquée","B","P"))),""))</f>
        <v/>
      </c>
      <c r="J245" s="53">
        <f>IF(OR($F245="",$G245=""),"",IF(AND(J$5&lt;=$G245,J$5+6&gt;=$F245),IF($H245="Complétée","F",IF(OR($H245="En cours",$H245="En revue"),"E",IF($H245="Bloquée","B","P"))),""))</f>
        <v/>
      </c>
      <c r="K245" s="53">
        <f>IF(OR($F245="",$G245=""),"",IF(AND(K$5&lt;=$G245,K$5+6&gt;=$F245),IF($H245="Complétée","F",IF(OR($H245="En cours",$H245="En revue"),"E",IF($H245="Bloquée","B","P"))),""))</f>
        <v/>
      </c>
      <c r="L245" s="53">
        <f>IF(OR($F245="",$G245=""),"",IF(AND(L$5&lt;=$G245,L$5+6&gt;=$F245),IF($H245="Complétée","F",IF(OR($H245="En cours",$H245="En revue"),"E",IF($H245="Bloquée","B","P"))),""))</f>
        <v/>
      </c>
      <c r="M245" s="53">
        <f>IF(OR($F245="",$G245=""),"",IF(AND(M$5&lt;=$G245,M$5+6&gt;=$F245),IF($H245="Complétée","F",IF(OR($H245="En cours",$H245="En revue"),"E",IF($H245="Bloquée","B","P"))),""))</f>
        <v/>
      </c>
      <c r="N245" s="53">
        <f>IF(OR($F245="",$G245=""),"",IF(AND(N$5&lt;=$G245,N$5+6&gt;=$F245),IF($H245="Complétée","F",IF(OR($H245="En cours",$H245="En revue"),"E",IF($H245="Bloquée","B","P"))),""))</f>
        <v/>
      </c>
      <c r="O245" s="53">
        <f>IF(OR($F245="",$G245=""),"",IF(AND(O$5&lt;=$G245,O$5+6&gt;=$F245),IF($H245="Complétée","F",IF(OR($H245="En cours",$H245="En revue"),"E",IF($H245="Bloquée","B","P"))),""))</f>
        <v/>
      </c>
      <c r="P245" s="53">
        <f>IF(OR($F245="",$G245=""),"",IF(AND(P$5&lt;=$G245,P$5+6&gt;=$F245),IF($H245="Complétée","F",IF(OR($H245="En cours",$H245="En revue"),"E",IF($H245="Bloquée","B","P"))),""))</f>
        <v/>
      </c>
      <c r="Q245" s="53">
        <f>IF(OR($F245="",$G245=""),"",IF(AND(Q$5&lt;=$G245,Q$5+6&gt;=$F245),IF($H245="Complétée","F",IF(OR($H245="En cours",$H245="En revue"),"E",IF($H245="Bloquée","B","P"))),""))</f>
        <v/>
      </c>
      <c r="R245" s="53">
        <f>IF(OR($F245="",$G245=""),"",IF(AND(R$5&lt;=$G245,R$5+6&gt;=$F245),IF($H245="Complétée","F",IF(OR($H245="En cours",$H245="En revue"),"E",IF($H245="Bloquée","B","P"))),""))</f>
        <v/>
      </c>
      <c r="S245" s="53">
        <f>IF(OR($F245="",$G245=""),"",IF(AND(S$5&lt;=$G245,S$5+6&gt;=$F245),IF($H245="Complétée","F",IF(OR($H245="En cours",$H245="En revue"),"E",IF($H245="Bloquée","B","P"))),""))</f>
        <v/>
      </c>
      <c r="T245" s="53">
        <f>IF(OR($F245="",$G245=""),"",IF(AND(T$5&lt;=$G245,T$5+6&gt;=$F245),IF($H245="Complétée","F",IF(OR($H245="En cours",$H245="En revue"),"E",IF($H245="Bloquée","B","P"))),""))</f>
        <v/>
      </c>
      <c r="U245" s="53">
        <f>IF(OR($F245="",$G245=""),"",IF(AND(U$5&lt;=$G245,U$5+6&gt;=$F245),IF($H245="Complétée","F",IF(OR($H245="En cours",$H245="En revue"),"E",IF($H245="Bloquée","B","P"))),""))</f>
        <v/>
      </c>
      <c r="V245" s="53">
        <f>IF(OR($F245="",$G245=""),"",IF(AND(V$5&lt;=$G245,V$5+6&gt;=$F245),IF($H245="Complétée","F",IF(OR($H245="En cours",$H245="En revue"),"E",IF($H245="Bloquée","B","P"))),""))</f>
        <v/>
      </c>
      <c r="W245" s="53">
        <f>IF(OR($F245="",$G245=""),"",IF(AND(W$5&lt;=$G245,W$5+6&gt;=$F245),IF($H245="Complétée","F",IF(OR($H245="En cours",$H245="En revue"),"E",IF($H245="Bloquée","B","P"))),""))</f>
        <v/>
      </c>
      <c r="X245" s="53">
        <f>IF(OR($F245="",$G245=""),"",IF(AND(X$5&lt;=$G245,X$5+6&gt;=$F245),IF($H245="Complétée","F",IF(OR($H245="En cours",$H245="En revue"),"E",IF($H245="Bloquée","B","P"))),""))</f>
        <v/>
      </c>
      <c r="Y245" s="53">
        <f>IF(OR($F245="",$G245=""),"",IF(AND(Y$5&lt;=$G245,Y$5+6&gt;=$F245),IF($H245="Complétée","F",IF(OR($H245="En cours",$H245="En revue"),"E",IF($H245="Bloquée","B","P"))),""))</f>
        <v/>
      </c>
      <c r="Z245" s="53">
        <f>IF(OR($F245="",$G245=""),"",IF(AND(Z$5&lt;=$G245,Z$5+6&gt;=$F245),IF($H245="Complétée","F",IF(OR($H245="En cours",$H245="En revue"),"E",IF($H245="Bloquée","B","P"))),""))</f>
        <v/>
      </c>
      <c r="AA245" s="53">
        <f>IF(OR($F245="",$G245=""),"",IF(AND(AA$5&lt;=$G245,AA$5+6&gt;=$F245),IF($H245="Complétée","F",IF(OR($H245="En cours",$H245="En revue"),"E",IF($H245="Bloquée","B","P"))),""))</f>
        <v/>
      </c>
      <c r="AB245" s="53">
        <f>IF(OR($F245="",$G245=""),"",IF(AND(AB$5&lt;=$G245,AB$5+6&gt;=$F245),IF($H245="Complétée","F",IF(OR($H245="En cours",$H245="En revue"),"E",IF($H245="Bloquée","B","P"))),""))</f>
        <v/>
      </c>
      <c r="AC245" s="53">
        <f>IF(OR($F245="",$G245=""),"",IF(AND(AC$5&lt;=$G245,AC$5+6&gt;=$F245),IF($H245="Complétée","F",IF(OR($H245="En cours",$H245="En revue"),"E",IF($H245="Bloquée","B","P"))),""))</f>
        <v/>
      </c>
      <c r="AD245" s="53">
        <f>IF(OR($F245="",$G245=""),"",IF(AND(AD$5&lt;=$G245,AD$5+6&gt;=$F245),IF($H245="Complétée","F",IF(OR($H245="En cours",$H245="En revue"),"E",IF($H245="Bloquée","B","P"))),""))</f>
        <v/>
      </c>
      <c r="AE245" s="53">
        <f>IF(OR($F245="",$G245=""),"",IF(AND(AE$5&lt;=$G245,AE$5+6&gt;=$F245),IF($H245="Complétée","F",IF(OR($H245="En cours",$H245="En revue"),"E",IF($H245="Bloquée","B","P"))),""))</f>
        <v/>
      </c>
      <c r="AF245" s="53">
        <f>IF(OR($F245="",$G245=""),"",IF(AND(AF$5&lt;=$G245,AF$5+6&gt;=$F245),IF($H245="Complétée","F",IF(OR($H245="En cours",$H245="En revue"),"E",IF($H245="Bloquée","B","P"))),""))</f>
        <v/>
      </c>
      <c r="AG245" s="53">
        <f>IF(OR($F245="",$G245=""),"",IF(AND(AG$5&lt;=$G245,AG$5+6&gt;=$F245),IF($H245="Complétée","F",IF(OR($H245="En cours",$H245="En revue"),"E",IF($H245="Bloquée","B","P"))),""))</f>
        <v/>
      </c>
      <c r="AH245" s="53">
        <f>IF(OR($F245="",$G245=""),"",IF(AND(AH$5&lt;=$G245,AH$5+6&gt;=$F245),IF($H245="Complétée","F",IF(OR($H245="En cours",$H245="En revue"),"E",IF($H245="Bloquée","B","P"))),""))</f>
        <v/>
      </c>
      <c r="AI245" s="53">
        <f>IF(OR($F245="",$G245=""),"",IF(AND(AI$5&lt;=$G245,AI$5+6&gt;=$F245),IF($H245="Complétée","F",IF(OR($H245="En cours",$H245="En revue"),"E",IF($H245="Bloquée","B","P"))),""))</f>
        <v/>
      </c>
      <c r="AJ245" s="53">
        <f>IF(OR($F245="",$G245=""),"",IF(AND(AJ$5&lt;=$G245,AJ$5+6&gt;=$F245),IF($H245="Complétée","F",IF(OR($H245="En cours",$H245="En revue"),"E",IF($H245="Bloquée","B","P"))),""))</f>
        <v/>
      </c>
      <c r="AK245" s="53">
        <f>IF(OR($F245="",$G245=""),"",IF(AND(AK$5&lt;=$G245,AK$5+6&gt;=$F245),IF($H245="Complétée","F",IF(OR($H245="En cours",$H245="En revue"),"E",IF($H245="Bloquée","B","P"))),""))</f>
        <v/>
      </c>
      <c r="AL245" s="53">
        <f>IF(OR($F245="",$G245=""),"",IF(AND(AL$5&lt;=$G245,AL$5+6&gt;=$F245),IF($H245="Complétée","F",IF(OR($H245="En cours",$H245="En revue"),"E",IF($H245="Bloquée","B","P"))),""))</f>
        <v/>
      </c>
      <c r="AM245" s="53">
        <f>IF(OR($F245="",$G245=""),"",IF(AND(AM$5&lt;=$G245,AM$5+6&gt;=$F245),IF($H245="Complétée","F",IF(OR($H245="En cours",$H245="En revue"),"E",IF($H245="Bloquée","B","P"))),""))</f>
        <v/>
      </c>
      <c r="AN245" s="53">
        <f>IF(OR($F245="",$G245=""),"",IF(AND(AN$5&lt;=$G245,AN$5+6&gt;=$F245),IF($H245="Complétée","F",IF(OR($H245="En cours",$H245="En revue"),"E",IF($H245="Bloquée","B","P"))),""))</f>
        <v/>
      </c>
      <c r="AO245" s="53">
        <f>IF(OR($F245="",$G245=""),"",IF(AND(AO$5&lt;=$G245,AO$5+6&gt;=$F245),IF($H245="Complétée","F",IF(OR($H245="En cours",$H245="En revue"),"E",IF($H245="Bloquée","B","P"))),""))</f>
        <v/>
      </c>
      <c r="AP245" s="53">
        <f>IF(OR($F245="",$G245=""),"",IF(AND(AP$5&lt;=$G245,AP$5+6&gt;=$F245),IF($H245="Complétée","F",IF(OR($H245="En cours",$H245="En revue"),"E",IF($H245="Bloquée","B","P"))),""))</f>
        <v/>
      </c>
      <c r="AQ245" s="53">
        <f>IF(OR($F245="",$G245=""),"",IF(AND(AQ$5&lt;=$G245,AQ$5+6&gt;=$F245),IF($H245="Complétée","F",IF(OR($H245="En cours",$H245="En revue"),"E",IF($H245="Bloquée","B","P"))),""))</f>
        <v/>
      </c>
      <c r="AR245" s="53">
        <f>IF(OR($F245="",$G245=""),"",IF(AND(AR$5&lt;=$G245,AR$5+6&gt;=$F245),IF($H245="Complétée","F",IF(OR($H245="En cours",$H245="En revue"),"E",IF($H245="Bloquée","B","P"))),""))</f>
        <v/>
      </c>
      <c r="AS245" s="53">
        <f>IF(OR($F245="",$G245=""),"",IF(AND(AS$5&lt;=$G245,AS$5+6&gt;=$F245),IF($H245="Complétée","F",IF(OR($H245="En cours",$H245="En revue"),"E",IF($H245="Bloquée","B","P"))),""))</f>
        <v/>
      </c>
      <c r="AT245" s="53">
        <f>IF(OR($F245="",$G245=""),"",IF(AND(AT$5&lt;=$G245,AT$5+6&gt;=$F245),IF($H245="Complétée","F",IF(OR($H245="En cours",$H245="En revue"),"E",IF($H245="Bloquée","B","P"))),""))</f>
        <v/>
      </c>
      <c r="AU245" s="53">
        <f>IF(OR($F245="",$G245=""),"",IF(AND(AU$5&lt;=$G245,AU$5+6&gt;=$F245),IF($H245="Complétée","F",IF(OR($H245="En cours",$H245="En revue"),"E",IF($H245="Bloquée","B","P"))),""))</f>
        <v/>
      </c>
      <c r="AV245" s="53">
        <f>IF(OR($F245="",$G245=""),"",IF(AND(AV$5&lt;=$G245,AV$5+6&gt;=$F245),IF($H245="Complétée","F",IF(OR($H245="En cours",$H245="En revue"),"E",IF($H245="Bloquée","B","P"))),""))</f>
        <v/>
      </c>
      <c r="AW245" s="53">
        <f>IF(OR($F245="",$G245=""),"",IF(AND(AW$5&lt;=$G245,AW$5+6&gt;=$F245),IF($H245="Complétée","F",IF(OR($H245="En cours",$H245="En revue"),"E",IF($H245="Bloquée","B","P"))),""))</f>
        <v/>
      </c>
    </row>
    <row r="246">
      <c r="B246" s="50">
        <f>IF(Taches!B246="","",Taches!B246)</f>
        <v/>
      </c>
      <c r="C246" s="51">
        <f>IF(Taches!B246="","",Taches!F246)</f>
        <v/>
      </c>
      <c r="D246" s="50">
        <f>IF(Taches!B246="","",Taches!C246)</f>
        <v/>
      </c>
      <c r="E246" s="50">
        <f>IF(Taches!B246="","",Taches!D246)</f>
        <v/>
      </c>
      <c r="F246" s="52">
        <f>IF(Taches!P246="","",Taches!P246)</f>
        <v/>
      </c>
      <c r="G246" s="52">
        <f>IF(Taches!Q246="","",Taches!Q246)</f>
        <v/>
      </c>
      <c r="H246" s="50">
        <f>IF(Taches!B246="","",Taches!J246)</f>
        <v/>
      </c>
      <c r="I246" s="53">
        <f>IF(OR($F246="",$G246=""),"",IF(AND(I$5&lt;=$G246,I$5+6&gt;=$F246),IF($H246="Complétée","F",IF(OR($H246="En cours",$H246="En revue"),"E",IF($H246="Bloquée","B","P"))),""))</f>
        <v/>
      </c>
      <c r="J246" s="53">
        <f>IF(OR($F246="",$G246=""),"",IF(AND(J$5&lt;=$G246,J$5+6&gt;=$F246),IF($H246="Complétée","F",IF(OR($H246="En cours",$H246="En revue"),"E",IF($H246="Bloquée","B","P"))),""))</f>
        <v/>
      </c>
      <c r="K246" s="53">
        <f>IF(OR($F246="",$G246=""),"",IF(AND(K$5&lt;=$G246,K$5+6&gt;=$F246),IF($H246="Complétée","F",IF(OR($H246="En cours",$H246="En revue"),"E",IF($H246="Bloquée","B","P"))),""))</f>
        <v/>
      </c>
      <c r="L246" s="53">
        <f>IF(OR($F246="",$G246=""),"",IF(AND(L$5&lt;=$G246,L$5+6&gt;=$F246),IF($H246="Complétée","F",IF(OR($H246="En cours",$H246="En revue"),"E",IF($H246="Bloquée","B","P"))),""))</f>
        <v/>
      </c>
      <c r="M246" s="53">
        <f>IF(OR($F246="",$G246=""),"",IF(AND(M$5&lt;=$G246,M$5+6&gt;=$F246),IF($H246="Complétée","F",IF(OR($H246="En cours",$H246="En revue"),"E",IF($H246="Bloquée","B","P"))),""))</f>
        <v/>
      </c>
      <c r="N246" s="53">
        <f>IF(OR($F246="",$G246=""),"",IF(AND(N$5&lt;=$G246,N$5+6&gt;=$F246),IF($H246="Complétée","F",IF(OR($H246="En cours",$H246="En revue"),"E",IF($H246="Bloquée","B","P"))),""))</f>
        <v/>
      </c>
      <c r="O246" s="53">
        <f>IF(OR($F246="",$G246=""),"",IF(AND(O$5&lt;=$G246,O$5+6&gt;=$F246),IF($H246="Complétée","F",IF(OR($H246="En cours",$H246="En revue"),"E",IF($H246="Bloquée","B","P"))),""))</f>
        <v/>
      </c>
      <c r="P246" s="53">
        <f>IF(OR($F246="",$G246=""),"",IF(AND(P$5&lt;=$G246,P$5+6&gt;=$F246),IF($H246="Complétée","F",IF(OR($H246="En cours",$H246="En revue"),"E",IF($H246="Bloquée","B","P"))),""))</f>
        <v/>
      </c>
      <c r="Q246" s="53">
        <f>IF(OR($F246="",$G246=""),"",IF(AND(Q$5&lt;=$G246,Q$5+6&gt;=$F246),IF($H246="Complétée","F",IF(OR($H246="En cours",$H246="En revue"),"E",IF($H246="Bloquée","B","P"))),""))</f>
        <v/>
      </c>
      <c r="R246" s="53">
        <f>IF(OR($F246="",$G246=""),"",IF(AND(R$5&lt;=$G246,R$5+6&gt;=$F246),IF($H246="Complétée","F",IF(OR($H246="En cours",$H246="En revue"),"E",IF($H246="Bloquée","B","P"))),""))</f>
        <v/>
      </c>
      <c r="S246" s="53">
        <f>IF(OR($F246="",$G246=""),"",IF(AND(S$5&lt;=$G246,S$5+6&gt;=$F246),IF($H246="Complétée","F",IF(OR($H246="En cours",$H246="En revue"),"E",IF($H246="Bloquée","B","P"))),""))</f>
        <v/>
      </c>
      <c r="T246" s="53">
        <f>IF(OR($F246="",$G246=""),"",IF(AND(T$5&lt;=$G246,T$5+6&gt;=$F246),IF($H246="Complétée","F",IF(OR($H246="En cours",$H246="En revue"),"E",IF($H246="Bloquée","B","P"))),""))</f>
        <v/>
      </c>
      <c r="U246" s="53">
        <f>IF(OR($F246="",$G246=""),"",IF(AND(U$5&lt;=$G246,U$5+6&gt;=$F246),IF($H246="Complétée","F",IF(OR($H246="En cours",$H246="En revue"),"E",IF($H246="Bloquée","B","P"))),""))</f>
        <v/>
      </c>
      <c r="V246" s="53">
        <f>IF(OR($F246="",$G246=""),"",IF(AND(V$5&lt;=$G246,V$5+6&gt;=$F246),IF($H246="Complétée","F",IF(OR($H246="En cours",$H246="En revue"),"E",IF($H246="Bloquée","B","P"))),""))</f>
        <v/>
      </c>
      <c r="W246" s="53">
        <f>IF(OR($F246="",$G246=""),"",IF(AND(W$5&lt;=$G246,W$5+6&gt;=$F246),IF($H246="Complétée","F",IF(OR($H246="En cours",$H246="En revue"),"E",IF($H246="Bloquée","B","P"))),""))</f>
        <v/>
      </c>
      <c r="X246" s="53">
        <f>IF(OR($F246="",$G246=""),"",IF(AND(X$5&lt;=$G246,X$5+6&gt;=$F246),IF($H246="Complétée","F",IF(OR($H246="En cours",$H246="En revue"),"E",IF($H246="Bloquée","B","P"))),""))</f>
        <v/>
      </c>
      <c r="Y246" s="53">
        <f>IF(OR($F246="",$G246=""),"",IF(AND(Y$5&lt;=$G246,Y$5+6&gt;=$F246),IF($H246="Complétée","F",IF(OR($H246="En cours",$H246="En revue"),"E",IF($H246="Bloquée","B","P"))),""))</f>
        <v/>
      </c>
      <c r="Z246" s="53">
        <f>IF(OR($F246="",$G246=""),"",IF(AND(Z$5&lt;=$G246,Z$5+6&gt;=$F246),IF($H246="Complétée","F",IF(OR($H246="En cours",$H246="En revue"),"E",IF($H246="Bloquée","B","P"))),""))</f>
        <v/>
      </c>
      <c r="AA246" s="53">
        <f>IF(OR($F246="",$G246=""),"",IF(AND(AA$5&lt;=$G246,AA$5+6&gt;=$F246),IF($H246="Complétée","F",IF(OR($H246="En cours",$H246="En revue"),"E",IF($H246="Bloquée","B","P"))),""))</f>
        <v/>
      </c>
      <c r="AB246" s="53">
        <f>IF(OR($F246="",$G246=""),"",IF(AND(AB$5&lt;=$G246,AB$5+6&gt;=$F246),IF($H246="Complétée","F",IF(OR($H246="En cours",$H246="En revue"),"E",IF($H246="Bloquée","B","P"))),""))</f>
        <v/>
      </c>
      <c r="AC246" s="53">
        <f>IF(OR($F246="",$G246=""),"",IF(AND(AC$5&lt;=$G246,AC$5+6&gt;=$F246),IF($H246="Complétée","F",IF(OR($H246="En cours",$H246="En revue"),"E",IF($H246="Bloquée","B","P"))),""))</f>
        <v/>
      </c>
      <c r="AD246" s="53">
        <f>IF(OR($F246="",$G246=""),"",IF(AND(AD$5&lt;=$G246,AD$5+6&gt;=$F246),IF($H246="Complétée","F",IF(OR($H246="En cours",$H246="En revue"),"E",IF($H246="Bloquée","B","P"))),""))</f>
        <v/>
      </c>
      <c r="AE246" s="53">
        <f>IF(OR($F246="",$G246=""),"",IF(AND(AE$5&lt;=$G246,AE$5+6&gt;=$F246),IF($H246="Complétée","F",IF(OR($H246="En cours",$H246="En revue"),"E",IF($H246="Bloquée","B","P"))),""))</f>
        <v/>
      </c>
      <c r="AF246" s="53">
        <f>IF(OR($F246="",$G246=""),"",IF(AND(AF$5&lt;=$G246,AF$5+6&gt;=$F246),IF($H246="Complétée","F",IF(OR($H246="En cours",$H246="En revue"),"E",IF($H246="Bloquée","B","P"))),""))</f>
        <v/>
      </c>
      <c r="AG246" s="53">
        <f>IF(OR($F246="",$G246=""),"",IF(AND(AG$5&lt;=$G246,AG$5+6&gt;=$F246),IF($H246="Complétée","F",IF(OR($H246="En cours",$H246="En revue"),"E",IF($H246="Bloquée","B","P"))),""))</f>
        <v/>
      </c>
      <c r="AH246" s="53">
        <f>IF(OR($F246="",$G246=""),"",IF(AND(AH$5&lt;=$G246,AH$5+6&gt;=$F246),IF($H246="Complétée","F",IF(OR($H246="En cours",$H246="En revue"),"E",IF($H246="Bloquée","B","P"))),""))</f>
        <v/>
      </c>
      <c r="AI246" s="53">
        <f>IF(OR($F246="",$G246=""),"",IF(AND(AI$5&lt;=$G246,AI$5+6&gt;=$F246),IF($H246="Complétée","F",IF(OR($H246="En cours",$H246="En revue"),"E",IF($H246="Bloquée","B","P"))),""))</f>
        <v/>
      </c>
      <c r="AJ246" s="53">
        <f>IF(OR($F246="",$G246=""),"",IF(AND(AJ$5&lt;=$G246,AJ$5+6&gt;=$F246),IF($H246="Complétée","F",IF(OR($H246="En cours",$H246="En revue"),"E",IF($H246="Bloquée","B","P"))),""))</f>
        <v/>
      </c>
      <c r="AK246" s="53">
        <f>IF(OR($F246="",$G246=""),"",IF(AND(AK$5&lt;=$G246,AK$5+6&gt;=$F246),IF($H246="Complétée","F",IF(OR($H246="En cours",$H246="En revue"),"E",IF($H246="Bloquée","B","P"))),""))</f>
        <v/>
      </c>
      <c r="AL246" s="53">
        <f>IF(OR($F246="",$G246=""),"",IF(AND(AL$5&lt;=$G246,AL$5+6&gt;=$F246),IF($H246="Complétée","F",IF(OR($H246="En cours",$H246="En revue"),"E",IF($H246="Bloquée","B","P"))),""))</f>
        <v/>
      </c>
      <c r="AM246" s="53">
        <f>IF(OR($F246="",$G246=""),"",IF(AND(AM$5&lt;=$G246,AM$5+6&gt;=$F246),IF($H246="Complétée","F",IF(OR($H246="En cours",$H246="En revue"),"E",IF($H246="Bloquée","B","P"))),""))</f>
        <v/>
      </c>
      <c r="AN246" s="53">
        <f>IF(OR($F246="",$G246=""),"",IF(AND(AN$5&lt;=$G246,AN$5+6&gt;=$F246),IF($H246="Complétée","F",IF(OR($H246="En cours",$H246="En revue"),"E",IF($H246="Bloquée","B","P"))),""))</f>
        <v/>
      </c>
      <c r="AO246" s="53">
        <f>IF(OR($F246="",$G246=""),"",IF(AND(AO$5&lt;=$G246,AO$5+6&gt;=$F246),IF($H246="Complétée","F",IF(OR($H246="En cours",$H246="En revue"),"E",IF($H246="Bloquée","B","P"))),""))</f>
        <v/>
      </c>
      <c r="AP246" s="53">
        <f>IF(OR($F246="",$G246=""),"",IF(AND(AP$5&lt;=$G246,AP$5+6&gt;=$F246),IF($H246="Complétée","F",IF(OR($H246="En cours",$H246="En revue"),"E",IF($H246="Bloquée","B","P"))),""))</f>
        <v/>
      </c>
      <c r="AQ246" s="53">
        <f>IF(OR($F246="",$G246=""),"",IF(AND(AQ$5&lt;=$G246,AQ$5+6&gt;=$F246),IF($H246="Complétée","F",IF(OR($H246="En cours",$H246="En revue"),"E",IF($H246="Bloquée","B","P"))),""))</f>
        <v/>
      </c>
      <c r="AR246" s="53">
        <f>IF(OR($F246="",$G246=""),"",IF(AND(AR$5&lt;=$G246,AR$5+6&gt;=$F246),IF($H246="Complétée","F",IF(OR($H246="En cours",$H246="En revue"),"E",IF($H246="Bloquée","B","P"))),""))</f>
        <v/>
      </c>
      <c r="AS246" s="53">
        <f>IF(OR($F246="",$G246=""),"",IF(AND(AS$5&lt;=$G246,AS$5+6&gt;=$F246),IF($H246="Complétée","F",IF(OR($H246="En cours",$H246="En revue"),"E",IF($H246="Bloquée","B","P"))),""))</f>
        <v/>
      </c>
      <c r="AT246" s="53">
        <f>IF(OR($F246="",$G246=""),"",IF(AND(AT$5&lt;=$G246,AT$5+6&gt;=$F246),IF($H246="Complétée","F",IF(OR($H246="En cours",$H246="En revue"),"E",IF($H246="Bloquée","B","P"))),""))</f>
        <v/>
      </c>
      <c r="AU246" s="53">
        <f>IF(OR($F246="",$G246=""),"",IF(AND(AU$5&lt;=$G246,AU$5+6&gt;=$F246),IF($H246="Complétée","F",IF(OR($H246="En cours",$H246="En revue"),"E",IF($H246="Bloquée","B","P"))),""))</f>
        <v/>
      </c>
      <c r="AV246" s="53">
        <f>IF(OR($F246="",$G246=""),"",IF(AND(AV$5&lt;=$G246,AV$5+6&gt;=$F246),IF($H246="Complétée","F",IF(OR($H246="En cours",$H246="En revue"),"E",IF($H246="Bloquée","B","P"))),""))</f>
        <v/>
      </c>
      <c r="AW246" s="53">
        <f>IF(OR($F246="",$G246=""),"",IF(AND(AW$5&lt;=$G246,AW$5+6&gt;=$F246),IF($H246="Complétée","F",IF(OR($H246="En cours",$H246="En revue"),"E",IF($H246="Bloquée","B","P"))),""))</f>
        <v/>
      </c>
    </row>
    <row r="247">
      <c r="B247" s="50">
        <f>IF(Taches!B247="","",Taches!B247)</f>
        <v/>
      </c>
      <c r="C247" s="51">
        <f>IF(Taches!B247="","",Taches!F247)</f>
        <v/>
      </c>
      <c r="D247" s="50">
        <f>IF(Taches!B247="","",Taches!C247)</f>
        <v/>
      </c>
      <c r="E247" s="50">
        <f>IF(Taches!B247="","",Taches!D247)</f>
        <v/>
      </c>
      <c r="F247" s="52">
        <f>IF(Taches!P247="","",Taches!P247)</f>
        <v/>
      </c>
      <c r="G247" s="52">
        <f>IF(Taches!Q247="","",Taches!Q247)</f>
        <v/>
      </c>
      <c r="H247" s="50">
        <f>IF(Taches!B247="","",Taches!J247)</f>
        <v/>
      </c>
      <c r="I247" s="53">
        <f>IF(OR($F247="",$G247=""),"",IF(AND(I$5&lt;=$G247,I$5+6&gt;=$F247),IF($H247="Complétée","F",IF(OR($H247="En cours",$H247="En revue"),"E",IF($H247="Bloquée","B","P"))),""))</f>
        <v/>
      </c>
      <c r="J247" s="53">
        <f>IF(OR($F247="",$G247=""),"",IF(AND(J$5&lt;=$G247,J$5+6&gt;=$F247),IF($H247="Complétée","F",IF(OR($H247="En cours",$H247="En revue"),"E",IF($H247="Bloquée","B","P"))),""))</f>
        <v/>
      </c>
      <c r="K247" s="53">
        <f>IF(OR($F247="",$G247=""),"",IF(AND(K$5&lt;=$G247,K$5+6&gt;=$F247),IF($H247="Complétée","F",IF(OR($H247="En cours",$H247="En revue"),"E",IF($H247="Bloquée","B","P"))),""))</f>
        <v/>
      </c>
      <c r="L247" s="53">
        <f>IF(OR($F247="",$G247=""),"",IF(AND(L$5&lt;=$G247,L$5+6&gt;=$F247),IF($H247="Complétée","F",IF(OR($H247="En cours",$H247="En revue"),"E",IF($H247="Bloquée","B","P"))),""))</f>
        <v/>
      </c>
      <c r="M247" s="53">
        <f>IF(OR($F247="",$G247=""),"",IF(AND(M$5&lt;=$G247,M$5+6&gt;=$F247),IF($H247="Complétée","F",IF(OR($H247="En cours",$H247="En revue"),"E",IF($H247="Bloquée","B","P"))),""))</f>
        <v/>
      </c>
      <c r="N247" s="53">
        <f>IF(OR($F247="",$G247=""),"",IF(AND(N$5&lt;=$G247,N$5+6&gt;=$F247),IF($H247="Complétée","F",IF(OR($H247="En cours",$H247="En revue"),"E",IF($H247="Bloquée","B","P"))),""))</f>
        <v/>
      </c>
      <c r="O247" s="53">
        <f>IF(OR($F247="",$G247=""),"",IF(AND(O$5&lt;=$G247,O$5+6&gt;=$F247),IF($H247="Complétée","F",IF(OR($H247="En cours",$H247="En revue"),"E",IF($H247="Bloquée","B","P"))),""))</f>
        <v/>
      </c>
      <c r="P247" s="53">
        <f>IF(OR($F247="",$G247=""),"",IF(AND(P$5&lt;=$G247,P$5+6&gt;=$F247),IF($H247="Complétée","F",IF(OR($H247="En cours",$H247="En revue"),"E",IF($H247="Bloquée","B","P"))),""))</f>
        <v/>
      </c>
      <c r="Q247" s="53">
        <f>IF(OR($F247="",$G247=""),"",IF(AND(Q$5&lt;=$G247,Q$5+6&gt;=$F247),IF($H247="Complétée","F",IF(OR($H247="En cours",$H247="En revue"),"E",IF($H247="Bloquée","B","P"))),""))</f>
        <v/>
      </c>
      <c r="R247" s="53">
        <f>IF(OR($F247="",$G247=""),"",IF(AND(R$5&lt;=$G247,R$5+6&gt;=$F247),IF($H247="Complétée","F",IF(OR($H247="En cours",$H247="En revue"),"E",IF($H247="Bloquée","B","P"))),""))</f>
        <v/>
      </c>
      <c r="S247" s="53">
        <f>IF(OR($F247="",$G247=""),"",IF(AND(S$5&lt;=$G247,S$5+6&gt;=$F247),IF($H247="Complétée","F",IF(OR($H247="En cours",$H247="En revue"),"E",IF($H247="Bloquée","B","P"))),""))</f>
        <v/>
      </c>
      <c r="T247" s="53">
        <f>IF(OR($F247="",$G247=""),"",IF(AND(T$5&lt;=$G247,T$5+6&gt;=$F247),IF($H247="Complétée","F",IF(OR($H247="En cours",$H247="En revue"),"E",IF($H247="Bloquée","B","P"))),""))</f>
        <v/>
      </c>
      <c r="U247" s="53">
        <f>IF(OR($F247="",$G247=""),"",IF(AND(U$5&lt;=$G247,U$5+6&gt;=$F247),IF($H247="Complétée","F",IF(OR($H247="En cours",$H247="En revue"),"E",IF($H247="Bloquée","B","P"))),""))</f>
        <v/>
      </c>
      <c r="V247" s="53">
        <f>IF(OR($F247="",$G247=""),"",IF(AND(V$5&lt;=$G247,V$5+6&gt;=$F247),IF($H247="Complétée","F",IF(OR($H247="En cours",$H247="En revue"),"E",IF($H247="Bloquée","B","P"))),""))</f>
        <v/>
      </c>
      <c r="W247" s="53">
        <f>IF(OR($F247="",$G247=""),"",IF(AND(W$5&lt;=$G247,W$5+6&gt;=$F247),IF($H247="Complétée","F",IF(OR($H247="En cours",$H247="En revue"),"E",IF($H247="Bloquée","B","P"))),""))</f>
        <v/>
      </c>
      <c r="X247" s="53">
        <f>IF(OR($F247="",$G247=""),"",IF(AND(X$5&lt;=$G247,X$5+6&gt;=$F247),IF($H247="Complétée","F",IF(OR($H247="En cours",$H247="En revue"),"E",IF($H247="Bloquée","B","P"))),""))</f>
        <v/>
      </c>
      <c r="Y247" s="53">
        <f>IF(OR($F247="",$G247=""),"",IF(AND(Y$5&lt;=$G247,Y$5+6&gt;=$F247),IF($H247="Complétée","F",IF(OR($H247="En cours",$H247="En revue"),"E",IF($H247="Bloquée","B","P"))),""))</f>
        <v/>
      </c>
      <c r="Z247" s="53">
        <f>IF(OR($F247="",$G247=""),"",IF(AND(Z$5&lt;=$G247,Z$5+6&gt;=$F247),IF($H247="Complétée","F",IF(OR($H247="En cours",$H247="En revue"),"E",IF($H247="Bloquée","B","P"))),""))</f>
        <v/>
      </c>
      <c r="AA247" s="53">
        <f>IF(OR($F247="",$G247=""),"",IF(AND(AA$5&lt;=$G247,AA$5+6&gt;=$F247),IF($H247="Complétée","F",IF(OR($H247="En cours",$H247="En revue"),"E",IF($H247="Bloquée","B","P"))),""))</f>
        <v/>
      </c>
      <c r="AB247" s="53">
        <f>IF(OR($F247="",$G247=""),"",IF(AND(AB$5&lt;=$G247,AB$5+6&gt;=$F247),IF($H247="Complétée","F",IF(OR($H247="En cours",$H247="En revue"),"E",IF($H247="Bloquée","B","P"))),""))</f>
        <v/>
      </c>
      <c r="AC247" s="53">
        <f>IF(OR($F247="",$G247=""),"",IF(AND(AC$5&lt;=$G247,AC$5+6&gt;=$F247),IF($H247="Complétée","F",IF(OR($H247="En cours",$H247="En revue"),"E",IF($H247="Bloquée","B","P"))),""))</f>
        <v/>
      </c>
      <c r="AD247" s="53">
        <f>IF(OR($F247="",$G247=""),"",IF(AND(AD$5&lt;=$G247,AD$5+6&gt;=$F247),IF($H247="Complétée","F",IF(OR($H247="En cours",$H247="En revue"),"E",IF($H247="Bloquée","B","P"))),""))</f>
        <v/>
      </c>
      <c r="AE247" s="53">
        <f>IF(OR($F247="",$G247=""),"",IF(AND(AE$5&lt;=$G247,AE$5+6&gt;=$F247),IF($H247="Complétée","F",IF(OR($H247="En cours",$H247="En revue"),"E",IF($H247="Bloquée","B","P"))),""))</f>
        <v/>
      </c>
      <c r="AF247" s="53">
        <f>IF(OR($F247="",$G247=""),"",IF(AND(AF$5&lt;=$G247,AF$5+6&gt;=$F247),IF($H247="Complétée","F",IF(OR($H247="En cours",$H247="En revue"),"E",IF($H247="Bloquée","B","P"))),""))</f>
        <v/>
      </c>
      <c r="AG247" s="53">
        <f>IF(OR($F247="",$G247=""),"",IF(AND(AG$5&lt;=$G247,AG$5+6&gt;=$F247),IF($H247="Complétée","F",IF(OR($H247="En cours",$H247="En revue"),"E",IF($H247="Bloquée","B","P"))),""))</f>
        <v/>
      </c>
      <c r="AH247" s="53">
        <f>IF(OR($F247="",$G247=""),"",IF(AND(AH$5&lt;=$G247,AH$5+6&gt;=$F247),IF($H247="Complétée","F",IF(OR($H247="En cours",$H247="En revue"),"E",IF($H247="Bloquée","B","P"))),""))</f>
        <v/>
      </c>
      <c r="AI247" s="53">
        <f>IF(OR($F247="",$G247=""),"",IF(AND(AI$5&lt;=$G247,AI$5+6&gt;=$F247),IF($H247="Complétée","F",IF(OR($H247="En cours",$H247="En revue"),"E",IF($H247="Bloquée","B","P"))),""))</f>
        <v/>
      </c>
      <c r="AJ247" s="53">
        <f>IF(OR($F247="",$G247=""),"",IF(AND(AJ$5&lt;=$G247,AJ$5+6&gt;=$F247),IF($H247="Complétée","F",IF(OR($H247="En cours",$H247="En revue"),"E",IF($H247="Bloquée","B","P"))),""))</f>
        <v/>
      </c>
      <c r="AK247" s="53">
        <f>IF(OR($F247="",$G247=""),"",IF(AND(AK$5&lt;=$G247,AK$5+6&gt;=$F247),IF($H247="Complétée","F",IF(OR($H247="En cours",$H247="En revue"),"E",IF($H247="Bloquée","B","P"))),""))</f>
        <v/>
      </c>
      <c r="AL247" s="53">
        <f>IF(OR($F247="",$G247=""),"",IF(AND(AL$5&lt;=$G247,AL$5+6&gt;=$F247),IF($H247="Complétée","F",IF(OR($H247="En cours",$H247="En revue"),"E",IF($H247="Bloquée","B","P"))),""))</f>
        <v/>
      </c>
      <c r="AM247" s="53">
        <f>IF(OR($F247="",$G247=""),"",IF(AND(AM$5&lt;=$G247,AM$5+6&gt;=$F247),IF($H247="Complétée","F",IF(OR($H247="En cours",$H247="En revue"),"E",IF($H247="Bloquée","B","P"))),""))</f>
        <v/>
      </c>
      <c r="AN247" s="53">
        <f>IF(OR($F247="",$G247=""),"",IF(AND(AN$5&lt;=$G247,AN$5+6&gt;=$F247),IF($H247="Complétée","F",IF(OR($H247="En cours",$H247="En revue"),"E",IF($H247="Bloquée","B","P"))),""))</f>
        <v/>
      </c>
      <c r="AO247" s="53">
        <f>IF(OR($F247="",$G247=""),"",IF(AND(AO$5&lt;=$G247,AO$5+6&gt;=$F247),IF($H247="Complétée","F",IF(OR($H247="En cours",$H247="En revue"),"E",IF($H247="Bloquée","B","P"))),""))</f>
        <v/>
      </c>
      <c r="AP247" s="53">
        <f>IF(OR($F247="",$G247=""),"",IF(AND(AP$5&lt;=$G247,AP$5+6&gt;=$F247),IF($H247="Complétée","F",IF(OR($H247="En cours",$H247="En revue"),"E",IF($H247="Bloquée","B","P"))),""))</f>
        <v/>
      </c>
      <c r="AQ247" s="53">
        <f>IF(OR($F247="",$G247=""),"",IF(AND(AQ$5&lt;=$G247,AQ$5+6&gt;=$F247),IF($H247="Complétée","F",IF(OR($H247="En cours",$H247="En revue"),"E",IF($H247="Bloquée","B","P"))),""))</f>
        <v/>
      </c>
      <c r="AR247" s="53">
        <f>IF(OR($F247="",$G247=""),"",IF(AND(AR$5&lt;=$G247,AR$5+6&gt;=$F247),IF($H247="Complétée","F",IF(OR($H247="En cours",$H247="En revue"),"E",IF($H247="Bloquée","B","P"))),""))</f>
        <v/>
      </c>
      <c r="AS247" s="53">
        <f>IF(OR($F247="",$G247=""),"",IF(AND(AS$5&lt;=$G247,AS$5+6&gt;=$F247),IF($H247="Complétée","F",IF(OR($H247="En cours",$H247="En revue"),"E",IF($H247="Bloquée","B","P"))),""))</f>
        <v/>
      </c>
      <c r="AT247" s="53">
        <f>IF(OR($F247="",$G247=""),"",IF(AND(AT$5&lt;=$G247,AT$5+6&gt;=$F247),IF($H247="Complétée","F",IF(OR($H247="En cours",$H247="En revue"),"E",IF($H247="Bloquée","B","P"))),""))</f>
        <v/>
      </c>
      <c r="AU247" s="53">
        <f>IF(OR($F247="",$G247=""),"",IF(AND(AU$5&lt;=$G247,AU$5+6&gt;=$F247),IF($H247="Complétée","F",IF(OR($H247="En cours",$H247="En revue"),"E",IF($H247="Bloquée","B","P"))),""))</f>
        <v/>
      </c>
      <c r="AV247" s="53">
        <f>IF(OR($F247="",$G247=""),"",IF(AND(AV$5&lt;=$G247,AV$5+6&gt;=$F247),IF($H247="Complétée","F",IF(OR($H247="En cours",$H247="En revue"),"E",IF($H247="Bloquée","B","P"))),""))</f>
        <v/>
      </c>
      <c r="AW247" s="53">
        <f>IF(OR($F247="",$G247=""),"",IF(AND(AW$5&lt;=$G247,AW$5+6&gt;=$F247),IF($H247="Complétée","F",IF(OR($H247="En cours",$H247="En revue"),"E",IF($H247="Bloquée","B","P"))),""))</f>
        <v/>
      </c>
    </row>
    <row r="248">
      <c r="B248" s="50">
        <f>IF(Taches!B248="","",Taches!B248)</f>
        <v/>
      </c>
      <c r="C248" s="51">
        <f>IF(Taches!B248="","",Taches!F248)</f>
        <v/>
      </c>
      <c r="D248" s="50">
        <f>IF(Taches!B248="","",Taches!C248)</f>
        <v/>
      </c>
      <c r="E248" s="50">
        <f>IF(Taches!B248="","",Taches!D248)</f>
        <v/>
      </c>
      <c r="F248" s="52">
        <f>IF(Taches!P248="","",Taches!P248)</f>
        <v/>
      </c>
      <c r="G248" s="52">
        <f>IF(Taches!Q248="","",Taches!Q248)</f>
        <v/>
      </c>
      <c r="H248" s="50">
        <f>IF(Taches!B248="","",Taches!J248)</f>
        <v/>
      </c>
      <c r="I248" s="53">
        <f>IF(OR($F248="",$G248=""),"",IF(AND(I$5&lt;=$G248,I$5+6&gt;=$F248),IF($H248="Complétée","F",IF(OR($H248="En cours",$H248="En revue"),"E",IF($H248="Bloquée","B","P"))),""))</f>
        <v/>
      </c>
      <c r="J248" s="53">
        <f>IF(OR($F248="",$G248=""),"",IF(AND(J$5&lt;=$G248,J$5+6&gt;=$F248),IF($H248="Complétée","F",IF(OR($H248="En cours",$H248="En revue"),"E",IF($H248="Bloquée","B","P"))),""))</f>
        <v/>
      </c>
      <c r="K248" s="53">
        <f>IF(OR($F248="",$G248=""),"",IF(AND(K$5&lt;=$G248,K$5+6&gt;=$F248),IF($H248="Complétée","F",IF(OR($H248="En cours",$H248="En revue"),"E",IF($H248="Bloquée","B","P"))),""))</f>
        <v/>
      </c>
      <c r="L248" s="53">
        <f>IF(OR($F248="",$G248=""),"",IF(AND(L$5&lt;=$G248,L$5+6&gt;=$F248),IF($H248="Complétée","F",IF(OR($H248="En cours",$H248="En revue"),"E",IF($H248="Bloquée","B","P"))),""))</f>
        <v/>
      </c>
      <c r="M248" s="53">
        <f>IF(OR($F248="",$G248=""),"",IF(AND(M$5&lt;=$G248,M$5+6&gt;=$F248),IF($H248="Complétée","F",IF(OR($H248="En cours",$H248="En revue"),"E",IF($H248="Bloquée","B","P"))),""))</f>
        <v/>
      </c>
      <c r="N248" s="53">
        <f>IF(OR($F248="",$G248=""),"",IF(AND(N$5&lt;=$G248,N$5+6&gt;=$F248),IF($H248="Complétée","F",IF(OR($H248="En cours",$H248="En revue"),"E",IF($H248="Bloquée","B","P"))),""))</f>
        <v/>
      </c>
      <c r="O248" s="53">
        <f>IF(OR($F248="",$G248=""),"",IF(AND(O$5&lt;=$G248,O$5+6&gt;=$F248),IF($H248="Complétée","F",IF(OR($H248="En cours",$H248="En revue"),"E",IF($H248="Bloquée","B","P"))),""))</f>
        <v/>
      </c>
      <c r="P248" s="53">
        <f>IF(OR($F248="",$G248=""),"",IF(AND(P$5&lt;=$G248,P$5+6&gt;=$F248),IF($H248="Complétée","F",IF(OR($H248="En cours",$H248="En revue"),"E",IF($H248="Bloquée","B","P"))),""))</f>
        <v/>
      </c>
      <c r="Q248" s="53">
        <f>IF(OR($F248="",$G248=""),"",IF(AND(Q$5&lt;=$G248,Q$5+6&gt;=$F248),IF($H248="Complétée","F",IF(OR($H248="En cours",$H248="En revue"),"E",IF($H248="Bloquée","B","P"))),""))</f>
        <v/>
      </c>
      <c r="R248" s="53">
        <f>IF(OR($F248="",$G248=""),"",IF(AND(R$5&lt;=$G248,R$5+6&gt;=$F248),IF($H248="Complétée","F",IF(OR($H248="En cours",$H248="En revue"),"E",IF($H248="Bloquée","B","P"))),""))</f>
        <v/>
      </c>
      <c r="S248" s="53">
        <f>IF(OR($F248="",$G248=""),"",IF(AND(S$5&lt;=$G248,S$5+6&gt;=$F248),IF($H248="Complétée","F",IF(OR($H248="En cours",$H248="En revue"),"E",IF($H248="Bloquée","B","P"))),""))</f>
        <v/>
      </c>
      <c r="T248" s="53">
        <f>IF(OR($F248="",$G248=""),"",IF(AND(T$5&lt;=$G248,T$5+6&gt;=$F248),IF($H248="Complétée","F",IF(OR($H248="En cours",$H248="En revue"),"E",IF($H248="Bloquée","B","P"))),""))</f>
        <v/>
      </c>
      <c r="U248" s="53">
        <f>IF(OR($F248="",$G248=""),"",IF(AND(U$5&lt;=$G248,U$5+6&gt;=$F248),IF($H248="Complétée","F",IF(OR($H248="En cours",$H248="En revue"),"E",IF($H248="Bloquée","B","P"))),""))</f>
        <v/>
      </c>
      <c r="V248" s="53">
        <f>IF(OR($F248="",$G248=""),"",IF(AND(V$5&lt;=$G248,V$5+6&gt;=$F248),IF($H248="Complétée","F",IF(OR($H248="En cours",$H248="En revue"),"E",IF($H248="Bloquée","B","P"))),""))</f>
        <v/>
      </c>
      <c r="W248" s="53">
        <f>IF(OR($F248="",$G248=""),"",IF(AND(W$5&lt;=$G248,W$5+6&gt;=$F248),IF($H248="Complétée","F",IF(OR($H248="En cours",$H248="En revue"),"E",IF($H248="Bloquée","B","P"))),""))</f>
        <v/>
      </c>
      <c r="X248" s="53">
        <f>IF(OR($F248="",$G248=""),"",IF(AND(X$5&lt;=$G248,X$5+6&gt;=$F248),IF($H248="Complétée","F",IF(OR($H248="En cours",$H248="En revue"),"E",IF($H248="Bloquée","B","P"))),""))</f>
        <v/>
      </c>
      <c r="Y248" s="53">
        <f>IF(OR($F248="",$G248=""),"",IF(AND(Y$5&lt;=$G248,Y$5+6&gt;=$F248),IF($H248="Complétée","F",IF(OR($H248="En cours",$H248="En revue"),"E",IF($H248="Bloquée","B","P"))),""))</f>
        <v/>
      </c>
      <c r="Z248" s="53">
        <f>IF(OR($F248="",$G248=""),"",IF(AND(Z$5&lt;=$G248,Z$5+6&gt;=$F248),IF($H248="Complétée","F",IF(OR($H248="En cours",$H248="En revue"),"E",IF($H248="Bloquée","B","P"))),""))</f>
        <v/>
      </c>
      <c r="AA248" s="53">
        <f>IF(OR($F248="",$G248=""),"",IF(AND(AA$5&lt;=$G248,AA$5+6&gt;=$F248),IF($H248="Complétée","F",IF(OR($H248="En cours",$H248="En revue"),"E",IF($H248="Bloquée","B","P"))),""))</f>
        <v/>
      </c>
      <c r="AB248" s="53">
        <f>IF(OR($F248="",$G248=""),"",IF(AND(AB$5&lt;=$G248,AB$5+6&gt;=$F248),IF($H248="Complétée","F",IF(OR($H248="En cours",$H248="En revue"),"E",IF($H248="Bloquée","B","P"))),""))</f>
        <v/>
      </c>
      <c r="AC248" s="53">
        <f>IF(OR($F248="",$G248=""),"",IF(AND(AC$5&lt;=$G248,AC$5+6&gt;=$F248),IF($H248="Complétée","F",IF(OR($H248="En cours",$H248="En revue"),"E",IF($H248="Bloquée","B","P"))),""))</f>
        <v/>
      </c>
      <c r="AD248" s="53">
        <f>IF(OR($F248="",$G248=""),"",IF(AND(AD$5&lt;=$G248,AD$5+6&gt;=$F248),IF($H248="Complétée","F",IF(OR($H248="En cours",$H248="En revue"),"E",IF($H248="Bloquée","B","P"))),""))</f>
        <v/>
      </c>
      <c r="AE248" s="53">
        <f>IF(OR($F248="",$G248=""),"",IF(AND(AE$5&lt;=$G248,AE$5+6&gt;=$F248),IF($H248="Complétée","F",IF(OR($H248="En cours",$H248="En revue"),"E",IF($H248="Bloquée","B","P"))),""))</f>
        <v/>
      </c>
      <c r="AF248" s="53">
        <f>IF(OR($F248="",$G248=""),"",IF(AND(AF$5&lt;=$G248,AF$5+6&gt;=$F248),IF($H248="Complétée","F",IF(OR($H248="En cours",$H248="En revue"),"E",IF($H248="Bloquée","B","P"))),""))</f>
        <v/>
      </c>
      <c r="AG248" s="53">
        <f>IF(OR($F248="",$G248=""),"",IF(AND(AG$5&lt;=$G248,AG$5+6&gt;=$F248),IF($H248="Complétée","F",IF(OR($H248="En cours",$H248="En revue"),"E",IF($H248="Bloquée","B","P"))),""))</f>
        <v/>
      </c>
      <c r="AH248" s="53">
        <f>IF(OR($F248="",$G248=""),"",IF(AND(AH$5&lt;=$G248,AH$5+6&gt;=$F248),IF($H248="Complétée","F",IF(OR($H248="En cours",$H248="En revue"),"E",IF($H248="Bloquée","B","P"))),""))</f>
        <v/>
      </c>
      <c r="AI248" s="53">
        <f>IF(OR($F248="",$G248=""),"",IF(AND(AI$5&lt;=$G248,AI$5+6&gt;=$F248),IF($H248="Complétée","F",IF(OR($H248="En cours",$H248="En revue"),"E",IF($H248="Bloquée","B","P"))),""))</f>
        <v/>
      </c>
      <c r="AJ248" s="53">
        <f>IF(OR($F248="",$G248=""),"",IF(AND(AJ$5&lt;=$G248,AJ$5+6&gt;=$F248),IF($H248="Complétée","F",IF(OR($H248="En cours",$H248="En revue"),"E",IF($H248="Bloquée","B","P"))),""))</f>
        <v/>
      </c>
      <c r="AK248" s="53">
        <f>IF(OR($F248="",$G248=""),"",IF(AND(AK$5&lt;=$G248,AK$5+6&gt;=$F248),IF($H248="Complétée","F",IF(OR($H248="En cours",$H248="En revue"),"E",IF($H248="Bloquée","B","P"))),""))</f>
        <v/>
      </c>
      <c r="AL248" s="53">
        <f>IF(OR($F248="",$G248=""),"",IF(AND(AL$5&lt;=$G248,AL$5+6&gt;=$F248),IF($H248="Complétée","F",IF(OR($H248="En cours",$H248="En revue"),"E",IF($H248="Bloquée","B","P"))),""))</f>
        <v/>
      </c>
      <c r="AM248" s="53">
        <f>IF(OR($F248="",$G248=""),"",IF(AND(AM$5&lt;=$G248,AM$5+6&gt;=$F248),IF($H248="Complétée","F",IF(OR($H248="En cours",$H248="En revue"),"E",IF($H248="Bloquée","B","P"))),""))</f>
        <v/>
      </c>
      <c r="AN248" s="53">
        <f>IF(OR($F248="",$G248=""),"",IF(AND(AN$5&lt;=$G248,AN$5+6&gt;=$F248),IF($H248="Complétée","F",IF(OR($H248="En cours",$H248="En revue"),"E",IF($H248="Bloquée","B","P"))),""))</f>
        <v/>
      </c>
      <c r="AO248" s="53">
        <f>IF(OR($F248="",$G248=""),"",IF(AND(AO$5&lt;=$G248,AO$5+6&gt;=$F248),IF($H248="Complétée","F",IF(OR($H248="En cours",$H248="En revue"),"E",IF($H248="Bloquée","B","P"))),""))</f>
        <v/>
      </c>
      <c r="AP248" s="53">
        <f>IF(OR($F248="",$G248=""),"",IF(AND(AP$5&lt;=$G248,AP$5+6&gt;=$F248),IF($H248="Complétée","F",IF(OR($H248="En cours",$H248="En revue"),"E",IF($H248="Bloquée","B","P"))),""))</f>
        <v/>
      </c>
      <c r="AQ248" s="53">
        <f>IF(OR($F248="",$G248=""),"",IF(AND(AQ$5&lt;=$G248,AQ$5+6&gt;=$F248),IF($H248="Complétée","F",IF(OR($H248="En cours",$H248="En revue"),"E",IF($H248="Bloquée","B","P"))),""))</f>
        <v/>
      </c>
      <c r="AR248" s="53">
        <f>IF(OR($F248="",$G248=""),"",IF(AND(AR$5&lt;=$G248,AR$5+6&gt;=$F248),IF($H248="Complétée","F",IF(OR($H248="En cours",$H248="En revue"),"E",IF($H248="Bloquée","B","P"))),""))</f>
        <v/>
      </c>
      <c r="AS248" s="53">
        <f>IF(OR($F248="",$G248=""),"",IF(AND(AS$5&lt;=$G248,AS$5+6&gt;=$F248),IF($H248="Complétée","F",IF(OR($H248="En cours",$H248="En revue"),"E",IF($H248="Bloquée","B","P"))),""))</f>
        <v/>
      </c>
      <c r="AT248" s="53">
        <f>IF(OR($F248="",$G248=""),"",IF(AND(AT$5&lt;=$G248,AT$5+6&gt;=$F248),IF($H248="Complétée","F",IF(OR($H248="En cours",$H248="En revue"),"E",IF($H248="Bloquée","B","P"))),""))</f>
        <v/>
      </c>
      <c r="AU248" s="53">
        <f>IF(OR($F248="",$G248=""),"",IF(AND(AU$5&lt;=$G248,AU$5+6&gt;=$F248),IF($H248="Complétée","F",IF(OR($H248="En cours",$H248="En revue"),"E",IF($H248="Bloquée","B","P"))),""))</f>
        <v/>
      </c>
      <c r="AV248" s="53">
        <f>IF(OR($F248="",$G248=""),"",IF(AND(AV$5&lt;=$G248,AV$5+6&gt;=$F248),IF($H248="Complétée","F",IF(OR($H248="En cours",$H248="En revue"),"E",IF($H248="Bloquée","B","P"))),""))</f>
        <v/>
      </c>
      <c r="AW248" s="53">
        <f>IF(OR($F248="",$G248=""),"",IF(AND(AW$5&lt;=$G248,AW$5+6&gt;=$F248),IF($H248="Complétée","F",IF(OR($H248="En cours",$H248="En revue"),"E",IF($H248="Bloquée","B","P"))),""))</f>
        <v/>
      </c>
    </row>
    <row r="249">
      <c r="B249" s="50">
        <f>IF(Taches!B249="","",Taches!B249)</f>
        <v/>
      </c>
      <c r="C249" s="51">
        <f>IF(Taches!B249="","",Taches!F249)</f>
        <v/>
      </c>
      <c r="D249" s="50">
        <f>IF(Taches!B249="","",Taches!C249)</f>
        <v/>
      </c>
      <c r="E249" s="50">
        <f>IF(Taches!B249="","",Taches!D249)</f>
        <v/>
      </c>
      <c r="F249" s="52">
        <f>IF(Taches!P249="","",Taches!P249)</f>
        <v/>
      </c>
      <c r="G249" s="52">
        <f>IF(Taches!Q249="","",Taches!Q249)</f>
        <v/>
      </c>
      <c r="H249" s="50">
        <f>IF(Taches!B249="","",Taches!J249)</f>
        <v/>
      </c>
      <c r="I249" s="53">
        <f>IF(OR($F249="",$G249=""),"",IF(AND(I$5&lt;=$G249,I$5+6&gt;=$F249),IF($H249="Complétée","F",IF(OR($H249="En cours",$H249="En revue"),"E",IF($H249="Bloquée","B","P"))),""))</f>
        <v/>
      </c>
      <c r="J249" s="53">
        <f>IF(OR($F249="",$G249=""),"",IF(AND(J$5&lt;=$G249,J$5+6&gt;=$F249),IF($H249="Complétée","F",IF(OR($H249="En cours",$H249="En revue"),"E",IF($H249="Bloquée","B","P"))),""))</f>
        <v/>
      </c>
      <c r="K249" s="53">
        <f>IF(OR($F249="",$G249=""),"",IF(AND(K$5&lt;=$G249,K$5+6&gt;=$F249),IF($H249="Complétée","F",IF(OR($H249="En cours",$H249="En revue"),"E",IF($H249="Bloquée","B","P"))),""))</f>
        <v/>
      </c>
      <c r="L249" s="53">
        <f>IF(OR($F249="",$G249=""),"",IF(AND(L$5&lt;=$G249,L$5+6&gt;=$F249),IF($H249="Complétée","F",IF(OR($H249="En cours",$H249="En revue"),"E",IF($H249="Bloquée","B","P"))),""))</f>
        <v/>
      </c>
      <c r="M249" s="53">
        <f>IF(OR($F249="",$G249=""),"",IF(AND(M$5&lt;=$G249,M$5+6&gt;=$F249),IF($H249="Complétée","F",IF(OR($H249="En cours",$H249="En revue"),"E",IF($H249="Bloquée","B","P"))),""))</f>
        <v/>
      </c>
      <c r="N249" s="53">
        <f>IF(OR($F249="",$G249=""),"",IF(AND(N$5&lt;=$G249,N$5+6&gt;=$F249),IF($H249="Complétée","F",IF(OR($H249="En cours",$H249="En revue"),"E",IF($H249="Bloquée","B","P"))),""))</f>
        <v/>
      </c>
      <c r="O249" s="53">
        <f>IF(OR($F249="",$G249=""),"",IF(AND(O$5&lt;=$G249,O$5+6&gt;=$F249),IF($H249="Complétée","F",IF(OR($H249="En cours",$H249="En revue"),"E",IF($H249="Bloquée","B","P"))),""))</f>
        <v/>
      </c>
      <c r="P249" s="53">
        <f>IF(OR($F249="",$G249=""),"",IF(AND(P$5&lt;=$G249,P$5+6&gt;=$F249),IF($H249="Complétée","F",IF(OR($H249="En cours",$H249="En revue"),"E",IF($H249="Bloquée","B","P"))),""))</f>
        <v/>
      </c>
      <c r="Q249" s="53">
        <f>IF(OR($F249="",$G249=""),"",IF(AND(Q$5&lt;=$G249,Q$5+6&gt;=$F249),IF($H249="Complétée","F",IF(OR($H249="En cours",$H249="En revue"),"E",IF($H249="Bloquée","B","P"))),""))</f>
        <v/>
      </c>
      <c r="R249" s="53">
        <f>IF(OR($F249="",$G249=""),"",IF(AND(R$5&lt;=$G249,R$5+6&gt;=$F249),IF($H249="Complétée","F",IF(OR($H249="En cours",$H249="En revue"),"E",IF($H249="Bloquée","B","P"))),""))</f>
        <v/>
      </c>
      <c r="S249" s="53">
        <f>IF(OR($F249="",$G249=""),"",IF(AND(S$5&lt;=$G249,S$5+6&gt;=$F249),IF($H249="Complétée","F",IF(OR($H249="En cours",$H249="En revue"),"E",IF($H249="Bloquée","B","P"))),""))</f>
        <v/>
      </c>
      <c r="T249" s="53">
        <f>IF(OR($F249="",$G249=""),"",IF(AND(T$5&lt;=$G249,T$5+6&gt;=$F249),IF($H249="Complétée","F",IF(OR($H249="En cours",$H249="En revue"),"E",IF($H249="Bloquée","B","P"))),""))</f>
        <v/>
      </c>
      <c r="U249" s="53">
        <f>IF(OR($F249="",$G249=""),"",IF(AND(U$5&lt;=$G249,U$5+6&gt;=$F249),IF($H249="Complétée","F",IF(OR($H249="En cours",$H249="En revue"),"E",IF($H249="Bloquée","B","P"))),""))</f>
        <v/>
      </c>
      <c r="V249" s="53">
        <f>IF(OR($F249="",$G249=""),"",IF(AND(V$5&lt;=$G249,V$5+6&gt;=$F249),IF($H249="Complétée","F",IF(OR($H249="En cours",$H249="En revue"),"E",IF($H249="Bloquée","B","P"))),""))</f>
        <v/>
      </c>
      <c r="W249" s="53">
        <f>IF(OR($F249="",$G249=""),"",IF(AND(W$5&lt;=$G249,W$5+6&gt;=$F249),IF($H249="Complétée","F",IF(OR($H249="En cours",$H249="En revue"),"E",IF($H249="Bloquée","B","P"))),""))</f>
        <v/>
      </c>
      <c r="X249" s="53">
        <f>IF(OR($F249="",$G249=""),"",IF(AND(X$5&lt;=$G249,X$5+6&gt;=$F249),IF($H249="Complétée","F",IF(OR($H249="En cours",$H249="En revue"),"E",IF($H249="Bloquée","B","P"))),""))</f>
        <v/>
      </c>
      <c r="Y249" s="53">
        <f>IF(OR($F249="",$G249=""),"",IF(AND(Y$5&lt;=$G249,Y$5+6&gt;=$F249),IF($H249="Complétée","F",IF(OR($H249="En cours",$H249="En revue"),"E",IF($H249="Bloquée","B","P"))),""))</f>
        <v/>
      </c>
      <c r="Z249" s="53">
        <f>IF(OR($F249="",$G249=""),"",IF(AND(Z$5&lt;=$G249,Z$5+6&gt;=$F249),IF($H249="Complétée","F",IF(OR($H249="En cours",$H249="En revue"),"E",IF($H249="Bloquée","B","P"))),""))</f>
        <v/>
      </c>
      <c r="AA249" s="53">
        <f>IF(OR($F249="",$G249=""),"",IF(AND(AA$5&lt;=$G249,AA$5+6&gt;=$F249),IF($H249="Complétée","F",IF(OR($H249="En cours",$H249="En revue"),"E",IF($H249="Bloquée","B","P"))),""))</f>
        <v/>
      </c>
      <c r="AB249" s="53">
        <f>IF(OR($F249="",$G249=""),"",IF(AND(AB$5&lt;=$G249,AB$5+6&gt;=$F249),IF($H249="Complétée","F",IF(OR($H249="En cours",$H249="En revue"),"E",IF($H249="Bloquée","B","P"))),""))</f>
        <v/>
      </c>
      <c r="AC249" s="53">
        <f>IF(OR($F249="",$G249=""),"",IF(AND(AC$5&lt;=$G249,AC$5+6&gt;=$F249),IF($H249="Complétée","F",IF(OR($H249="En cours",$H249="En revue"),"E",IF($H249="Bloquée","B","P"))),""))</f>
        <v/>
      </c>
      <c r="AD249" s="53">
        <f>IF(OR($F249="",$G249=""),"",IF(AND(AD$5&lt;=$G249,AD$5+6&gt;=$F249),IF($H249="Complétée","F",IF(OR($H249="En cours",$H249="En revue"),"E",IF($H249="Bloquée","B","P"))),""))</f>
        <v/>
      </c>
      <c r="AE249" s="53">
        <f>IF(OR($F249="",$G249=""),"",IF(AND(AE$5&lt;=$G249,AE$5+6&gt;=$F249),IF($H249="Complétée","F",IF(OR($H249="En cours",$H249="En revue"),"E",IF($H249="Bloquée","B","P"))),""))</f>
        <v/>
      </c>
      <c r="AF249" s="53">
        <f>IF(OR($F249="",$G249=""),"",IF(AND(AF$5&lt;=$G249,AF$5+6&gt;=$F249),IF($H249="Complétée","F",IF(OR($H249="En cours",$H249="En revue"),"E",IF($H249="Bloquée","B","P"))),""))</f>
        <v/>
      </c>
      <c r="AG249" s="53">
        <f>IF(OR($F249="",$G249=""),"",IF(AND(AG$5&lt;=$G249,AG$5+6&gt;=$F249),IF($H249="Complétée","F",IF(OR($H249="En cours",$H249="En revue"),"E",IF($H249="Bloquée","B","P"))),""))</f>
        <v/>
      </c>
      <c r="AH249" s="53">
        <f>IF(OR($F249="",$G249=""),"",IF(AND(AH$5&lt;=$G249,AH$5+6&gt;=$F249),IF($H249="Complétée","F",IF(OR($H249="En cours",$H249="En revue"),"E",IF($H249="Bloquée","B","P"))),""))</f>
        <v/>
      </c>
      <c r="AI249" s="53">
        <f>IF(OR($F249="",$G249=""),"",IF(AND(AI$5&lt;=$G249,AI$5+6&gt;=$F249),IF($H249="Complétée","F",IF(OR($H249="En cours",$H249="En revue"),"E",IF($H249="Bloquée","B","P"))),""))</f>
        <v/>
      </c>
      <c r="AJ249" s="53">
        <f>IF(OR($F249="",$G249=""),"",IF(AND(AJ$5&lt;=$G249,AJ$5+6&gt;=$F249),IF($H249="Complétée","F",IF(OR($H249="En cours",$H249="En revue"),"E",IF($H249="Bloquée","B","P"))),""))</f>
        <v/>
      </c>
      <c r="AK249" s="53">
        <f>IF(OR($F249="",$G249=""),"",IF(AND(AK$5&lt;=$G249,AK$5+6&gt;=$F249),IF($H249="Complétée","F",IF(OR($H249="En cours",$H249="En revue"),"E",IF($H249="Bloquée","B","P"))),""))</f>
        <v/>
      </c>
      <c r="AL249" s="53">
        <f>IF(OR($F249="",$G249=""),"",IF(AND(AL$5&lt;=$G249,AL$5+6&gt;=$F249),IF($H249="Complétée","F",IF(OR($H249="En cours",$H249="En revue"),"E",IF($H249="Bloquée","B","P"))),""))</f>
        <v/>
      </c>
      <c r="AM249" s="53">
        <f>IF(OR($F249="",$G249=""),"",IF(AND(AM$5&lt;=$G249,AM$5+6&gt;=$F249),IF($H249="Complétée","F",IF(OR($H249="En cours",$H249="En revue"),"E",IF($H249="Bloquée","B","P"))),""))</f>
        <v/>
      </c>
      <c r="AN249" s="53">
        <f>IF(OR($F249="",$G249=""),"",IF(AND(AN$5&lt;=$G249,AN$5+6&gt;=$F249),IF($H249="Complétée","F",IF(OR($H249="En cours",$H249="En revue"),"E",IF($H249="Bloquée","B","P"))),""))</f>
        <v/>
      </c>
      <c r="AO249" s="53">
        <f>IF(OR($F249="",$G249=""),"",IF(AND(AO$5&lt;=$G249,AO$5+6&gt;=$F249),IF($H249="Complétée","F",IF(OR($H249="En cours",$H249="En revue"),"E",IF($H249="Bloquée","B","P"))),""))</f>
        <v/>
      </c>
      <c r="AP249" s="53">
        <f>IF(OR($F249="",$G249=""),"",IF(AND(AP$5&lt;=$G249,AP$5+6&gt;=$F249),IF($H249="Complétée","F",IF(OR($H249="En cours",$H249="En revue"),"E",IF($H249="Bloquée","B","P"))),""))</f>
        <v/>
      </c>
      <c r="AQ249" s="53">
        <f>IF(OR($F249="",$G249=""),"",IF(AND(AQ$5&lt;=$G249,AQ$5+6&gt;=$F249),IF($H249="Complétée","F",IF(OR($H249="En cours",$H249="En revue"),"E",IF($H249="Bloquée","B","P"))),""))</f>
        <v/>
      </c>
      <c r="AR249" s="53">
        <f>IF(OR($F249="",$G249=""),"",IF(AND(AR$5&lt;=$G249,AR$5+6&gt;=$F249),IF($H249="Complétée","F",IF(OR($H249="En cours",$H249="En revue"),"E",IF($H249="Bloquée","B","P"))),""))</f>
        <v/>
      </c>
      <c r="AS249" s="53">
        <f>IF(OR($F249="",$G249=""),"",IF(AND(AS$5&lt;=$G249,AS$5+6&gt;=$F249),IF($H249="Complétée","F",IF(OR($H249="En cours",$H249="En revue"),"E",IF($H249="Bloquée","B","P"))),""))</f>
        <v/>
      </c>
      <c r="AT249" s="53">
        <f>IF(OR($F249="",$G249=""),"",IF(AND(AT$5&lt;=$G249,AT$5+6&gt;=$F249),IF($H249="Complétée","F",IF(OR($H249="En cours",$H249="En revue"),"E",IF($H249="Bloquée","B","P"))),""))</f>
        <v/>
      </c>
      <c r="AU249" s="53">
        <f>IF(OR($F249="",$G249=""),"",IF(AND(AU$5&lt;=$G249,AU$5+6&gt;=$F249),IF($H249="Complétée","F",IF(OR($H249="En cours",$H249="En revue"),"E",IF($H249="Bloquée","B","P"))),""))</f>
        <v/>
      </c>
      <c r="AV249" s="53">
        <f>IF(OR($F249="",$G249=""),"",IF(AND(AV$5&lt;=$G249,AV$5+6&gt;=$F249),IF($H249="Complétée","F",IF(OR($H249="En cours",$H249="En revue"),"E",IF($H249="Bloquée","B","P"))),""))</f>
        <v/>
      </c>
      <c r="AW249" s="53">
        <f>IF(OR($F249="",$G249=""),"",IF(AND(AW$5&lt;=$G249,AW$5+6&gt;=$F249),IF($H249="Complétée","F",IF(OR($H249="En cours",$H249="En revue"),"E",IF($H249="Bloquée","B","P"))),""))</f>
        <v/>
      </c>
    </row>
    <row r="250">
      <c r="B250" s="50">
        <f>IF(Taches!B250="","",Taches!B250)</f>
        <v/>
      </c>
      <c r="C250" s="51">
        <f>IF(Taches!B250="","",Taches!F250)</f>
        <v/>
      </c>
      <c r="D250" s="50">
        <f>IF(Taches!B250="","",Taches!C250)</f>
        <v/>
      </c>
      <c r="E250" s="50">
        <f>IF(Taches!B250="","",Taches!D250)</f>
        <v/>
      </c>
      <c r="F250" s="52">
        <f>IF(Taches!P250="","",Taches!P250)</f>
        <v/>
      </c>
      <c r="G250" s="52">
        <f>IF(Taches!Q250="","",Taches!Q250)</f>
        <v/>
      </c>
      <c r="H250" s="50">
        <f>IF(Taches!B250="","",Taches!J250)</f>
        <v/>
      </c>
      <c r="I250" s="53">
        <f>IF(OR($F250="",$G250=""),"",IF(AND(I$5&lt;=$G250,I$5+6&gt;=$F250),IF($H250="Complétée","F",IF(OR($H250="En cours",$H250="En revue"),"E",IF($H250="Bloquée","B","P"))),""))</f>
        <v/>
      </c>
      <c r="J250" s="53">
        <f>IF(OR($F250="",$G250=""),"",IF(AND(J$5&lt;=$G250,J$5+6&gt;=$F250),IF($H250="Complétée","F",IF(OR($H250="En cours",$H250="En revue"),"E",IF($H250="Bloquée","B","P"))),""))</f>
        <v/>
      </c>
      <c r="K250" s="53">
        <f>IF(OR($F250="",$G250=""),"",IF(AND(K$5&lt;=$G250,K$5+6&gt;=$F250),IF($H250="Complétée","F",IF(OR($H250="En cours",$H250="En revue"),"E",IF($H250="Bloquée","B","P"))),""))</f>
        <v/>
      </c>
      <c r="L250" s="53">
        <f>IF(OR($F250="",$G250=""),"",IF(AND(L$5&lt;=$G250,L$5+6&gt;=$F250),IF($H250="Complétée","F",IF(OR($H250="En cours",$H250="En revue"),"E",IF($H250="Bloquée","B","P"))),""))</f>
        <v/>
      </c>
      <c r="M250" s="53">
        <f>IF(OR($F250="",$G250=""),"",IF(AND(M$5&lt;=$G250,M$5+6&gt;=$F250),IF($H250="Complétée","F",IF(OR($H250="En cours",$H250="En revue"),"E",IF($H250="Bloquée","B","P"))),""))</f>
        <v/>
      </c>
      <c r="N250" s="53">
        <f>IF(OR($F250="",$G250=""),"",IF(AND(N$5&lt;=$G250,N$5+6&gt;=$F250),IF($H250="Complétée","F",IF(OR($H250="En cours",$H250="En revue"),"E",IF($H250="Bloquée","B","P"))),""))</f>
        <v/>
      </c>
      <c r="O250" s="53">
        <f>IF(OR($F250="",$G250=""),"",IF(AND(O$5&lt;=$G250,O$5+6&gt;=$F250),IF($H250="Complétée","F",IF(OR($H250="En cours",$H250="En revue"),"E",IF($H250="Bloquée","B","P"))),""))</f>
        <v/>
      </c>
      <c r="P250" s="53">
        <f>IF(OR($F250="",$G250=""),"",IF(AND(P$5&lt;=$G250,P$5+6&gt;=$F250),IF($H250="Complétée","F",IF(OR($H250="En cours",$H250="En revue"),"E",IF($H250="Bloquée","B","P"))),""))</f>
        <v/>
      </c>
      <c r="Q250" s="53">
        <f>IF(OR($F250="",$G250=""),"",IF(AND(Q$5&lt;=$G250,Q$5+6&gt;=$F250),IF($H250="Complétée","F",IF(OR($H250="En cours",$H250="En revue"),"E",IF($H250="Bloquée","B","P"))),""))</f>
        <v/>
      </c>
      <c r="R250" s="53">
        <f>IF(OR($F250="",$G250=""),"",IF(AND(R$5&lt;=$G250,R$5+6&gt;=$F250),IF($H250="Complétée","F",IF(OR($H250="En cours",$H250="En revue"),"E",IF($H250="Bloquée","B","P"))),""))</f>
        <v/>
      </c>
      <c r="S250" s="53">
        <f>IF(OR($F250="",$G250=""),"",IF(AND(S$5&lt;=$G250,S$5+6&gt;=$F250),IF($H250="Complétée","F",IF(OR($H250="En cours",$H250="En revue"),"E",IF($H250="Bloquée","B","P"))),""))</f>
        <v/>
      </c>
      <c r="T250" s="53">
        <f>IF(OR($F250="",$G250=""),"",IF(AND(T$5&lt;=$G250,T$5+6&gt;=$F250),IF($H250="Complétée","F",IF(OR($H250="En cours",$H250="En revue"),"E",IF($H250="Bloquée","B","P"))),""))</f>
        <v/>
      </c>
      <c r="U250" s="53">
        <f>IF(OR($F250="",$G250=""),"",IF(AND(U$5&lt;=$G250,U$5+6&gt;=$F250),IF($H250="Complétée","F",IF(OR($H250="En cours",$H250="En revue"),"E",IF($H250="Bloquée","B","P"))),""))</f>
        <v/>
      </c>
      <c r="V250" s="53">
        <f>IF(OR($F250="",$G250=""),"",IF(AND(V$5&lt;=$G250,V$5+6&gt;=$F250),IF($H250="Complétée","F",IF(OR($H250="En cours",$H250="En revue"),"E",IF($H250="Bloquée","B","P"))),""))</f>
        <v/>
      </c>
      <c r="W250" s="53">
        <f>IF(OR($F250="",$G250=""),"",IF(AND(W$5&lt;=$G250,W$5+6&gt;=$F250),IF($H250="Complétée","F",IF(OR($H250="En cours",$H250="En revue"),"E",IF($H250="Bloquée","B","P"))),""))</f>
        <v/>
      </c>
      <c r="X250" s="53">
        <f>IF(OR($F250="",$G250=""),"",IF(AND(X$5&lt;=$G250,X$5+6&gt;=$F250),IF($H250="Complétée","F",IF(OR($H250="En cours",$H250="En revue"),"E",IF($H250="Bloquée","B","P"))),""))</f>
        <v/>
      </c>
      <c r="Y250" s="53">
        <f>IF(OR($F250="",$G250=""),"",IF(AND(Y$5&lt;=$G250,Y$5+6&gt;=$F250),IF($H250="Complétée","F",IF(OR($H250="En cours",$H250="En revue"),"E",IF($H250="Bloquée","B","P"))),""))</f>
        <v/>
      </c>
      <c r="Z250" s="53">
        <f>IF(OR($F250="",$G250=""),"",IF(AND(Z$5&lt;=$G250,Z$5+6&gt;=$F250),IF($H250="Complétée","F",IF(OR($H250="En cours",$H250="En revue"),"E",IF($H250="Bloquée","B","P"))),""))</f>
        <v/>
      </c>
      <c r="AA250" s="53">
        <f>IF(OR($F250="",$G250=""),"",IF(AND(AA$5&lt;=$G250,AA$5+6&gt;=$F250),IF($H250="Complétée","F",IF(OR($H250="En cours",$H250="En revue"),"E",IF($H250="Bloquée","B","P"))),""))</f>
        <v/>
      </c>
      <c r="AB250" s="53">
        <f>IF(OR($F250="",$G250=""),"",IF(AND(AB$5&lt;=$G250,AB$5+6&gt;=$F250),IF($H250="Complétée","F",IF(OR($H250="En cours",$H250="En revue"),"E",IF($H250="Bloquée","B","P"))),""))</f>
        <v/>
      </c>
      <c r="AC250" s="53">
        <f>IF(OR($F250="",$G250=""),"",IF(AND(AC$5&lt;=$G250,AC$5+6&gt;=$F250),IF($H250="Complétée","F",IF(OR($H250="En cours",$H250="En revue"),"E",IF($H250="Bloquée","B","P"))),""))</f>
        <v/>
      </c>
      <c r="AD250" s="53">
        <f>IF(OR($F250="",$G250=""),"",IF(AND(AD$5&lt;=$G250,AD$5+6&gt;=$F250),IF($H250="Complétée","F",IF(OR($H250="En cours",$H250="En revue"),"E",IF($H250="Bloquée","B","P"))),""))</f>
        <v/>
      </c>
      <c r="AE250" s="53">
        <f>IF(OR($F250="",$G250=""),"",IF(AND(AE$5&lt;=$G250,AE$5+6&gt;=$F250),IF($H250="Complétée","F",IF(OR($H250="En cours",$H250="En revue"),"E",IF($H250="Bloquée","B","P"))),""))</f>
        <v/>
      </c>
      <c r="AF250" s="53">
        <f>IF(OR($F250="",$G250=""),"",IF(AND(AF$5&lt;=$G250,AF$5+6&gt;=$F250),IF($H250="Complétée","F",IF(OR($H250="En cours",$H250="En revue"),"E",IF($H250="Bloquée","B","P"))),""))</f>
        <v/>
      </c>
      <c r="AG250" s="53">
        <f>IF(OR($F250="",$G250=""),"",IF(AND(AG$5&lt;=$G250,AG$5+6&gt;=$F250),IF($H250="Complétée","F",IF(OR($H250="En cours",$H250="En revue"),"E",IF($H250="Bloquée","B","P"))),""))</f>
        <v/>
      </c>
      <c r="AH250" s="53">
        <f>IF(OR($F250="",$G250=""),"",IF(AND(AH$5&lt;=$G250,AH$5+6&gt;=$F250),IF($H250="Complétée","F",IF(OR($H250="En cours",$H250="En revue"),"E",IF($H250="Bloquée","B","P"))),""))</f>
        <v/>
      </c>
      <c r="AI250" s="53">
        <f>IF(OR($F250="",$G250=""),"",IF(AND(AI$5&lt;=$G250,AI$5+6&gt;=$F250),IF($H250="Complétée","F",IF(OR($H250="En cours",$H250="En revue"),"E",IF($H250="Bloquée","B","P"))),""))</f>
        <v/>
      </c>
      <c r="AJ250" s="53">
        <f>IF(OR($F250="",$G250=""),"",IF(AND(AJ$5&lt;=$G250,AJ$5+6&gt;=$F250),IF($H250="Complétée","F",IF(OR($H250="En cours",$H250="En revue"),"E",IF($H250="Bloquée","B","P"))),""))</f>
        <v/>
      </c>
      <c r="AK250" s="53">
        <f>IF(OR($F250="",$G250=""),"",IF(AND(AK$5&lt;=$G250,AK$5+6&gt;=$F250),IF($H250="Complétée","F",IF(OR($H250="En cours",$H250="En revue"),"E",IF($H250="Bloquée","B","P"))),""))</f>
        <v/>
      </c>
      <c r="AL250" s="53">
        <f>IF(OR($F250="",$G250=""),"",IF(AND(AL$5&lt;=$G250,AL$5+6&gt;=$F250),IF($H250="Complétée","F",IF(OR($H250="En cours",$H250="En revue"),"E",IF($H250="Bloquée","B","P"))),""))</f>
        <v/>
      </c>
      <c r="AM250" s="53">
        <f>IF(OR($F250="",$G250=""),"",IF(AND(AM$5&lt;=$G250,AM$5+6&gt;=$F250),IF($H250="Complétée","F",IF(OR($H250="En cours",$H250="En revue"),"E",IF($H250="Bloquée","B","P"))),""))</f>
        <v/>
      </c>
      <c r="AN250" s="53">
        <f>IF(OR($F250="",$G250=""),"",IF(AND(AN$5&lt;=$G250,AN$5+6&gt;=$F250),IF($H250="Complétée","F",IF(OR($H250="En cours",$H250="En revue"),"E",IF($H250="Bloquée","B","P"))),""))</f>
        <v/>
      </c>
      <c r="AO250" s="53">
        <f>IF(OR($F250="",$G250=""),"",IF(AND(AO$5&lt;=$G250,AO$5+6&gt;=$F250),IF($H250="Complétée","F",IF(OR($H250="En cours",$H250="En revue"),"E",IF($H250="Bloquée","B","P"))),""))</f>
        <v/>
      </c>
      <c r="AP250" s="53">
        <f>IF(OR($F250="",$G250=""),"",IF(AND(AP$5&lt;=$G250,AP$5+6&gt;=$F250),IF($H250="Complétée","F",IF(OR($H250="En cours",$H250="En revue"),"E",IF($H250="Bloquée","B","P"))),""))</f>
        <v/>
      </c>
      <c r="AQ250" s="53">
        <f>IF(OR($F250="",$G250=""),"",IF(AND(AQ$5&lt;=$G250,AQ$5+6&gt;=$F250),IF($H250="Complétée","F",IF(OR($H250="En cours",$H250="En revue"),"E",IF($H250="Bloquée","B","P"))),""))</f>
        <v/>
      </c>
      <c r="AR250" s="53">
        <f>IF(OR($F250="",$G250=""),"",IF(AND(AR$5&lt;=$G250,AR$5+6&gt;=$F250),IF($H250="Complétée","F",IF(OR($H250="En cours",$H250="En revue"),"E",IF($H250="Bloquée","B","P"))),""))</f>
        <v/>
      </c>
      <c r="AS250" s="53">
        <f>IF(OR($F250="",$G250=""),"",IF(AND(AS$5&lt;=$G250,AS$5+6&gt;=$F250),IF($H250="Complétée","F",IF(OR($H250="En cours",$H250="En revue"),"E",IF($H250="Bloquée","B","P"))),""))</f>
        <v/>
      </c>
      <c r="AT250" s="53">
        <f>IF(OR($F250="",$G250=""),"",IF(AND(AT$5&lt;=$G250,AT$5+6&gt;=$F250),IF($H250="Complétée","F",IF(OR($H250="En cours",$H250="En revue"),"E",IF($H250="Bloquée","B","P"))),""))</f>
        <v/>
      </c>
      <c r="AU250" s="53">
        <f>IF(OR($F250="",$G250=""),"",IF(AND(AU$5&lt;=$G250,AU$5+6&gt;=$F250),IF($H250="Complétée","F",IF(OR($H250="En cours",$H250="En revue"),"E",IF($H250="Bloquée","B","P"))),""))</f>
        <v/>
      </c>
      <c r="AV250" s="53">
        <f>IF(OR($F250="",$G250=""),"",IF(AND(AV$5&lt;=$G250,AV$5+6&gt;=$F250),IF($H250="Complétée","F",IF(OR($H250="En cours",$H250="En revue"),"E",IF($H250="Bloquée","B","P"))),""))</f>
        <v/>
      </c>
      <c r="AW250" s="53">
        <f>IF(OR($F250="",$G250=""),"",IF(AND(AW$5&lt;=$G250,AW$5+6&gt;=$F250),IF($H250="Complétée","F",IF(OR($H250="En cours",$H250="En revue"),"E",IF($H250="Bloquée","B","P"))),""))</f>
        <v/>
      </c>
    </row>
    <row r="251">
      <c r="B251" s="50">
        <f>IF(Taches!B251="","",Taches!B251)</f>
        <v/>
      </c>
      <c r="C251" s="51">
        <f>IF(Taches!B251="","",Taches!F251)</f>
        <v/>
      </c>
      <c r="D251" s="50">
        <f>IF(Taches!B251="","",Taches!C251)</f>
        <v/>
      </c>
      <c r="E251" s="50">
        <f>IF(Taches!B251="","",Taches!D251)</f>
        <v/>
      </c>
      <c r="F251" s="52">
        <f>IF(Taches!P251="","",Taches!P251)</f>
        <v/>
      </c>
      <c r="G251" s="52">
        <f>IF(Taches!Q251="","",Taches!Q251)</f>
        <v/>
      </c>
      <c r="H251" s="50">
        <f>IF(Taches!B251="","",Taches!J251)</f>
        <v/>
      </c>
      <c r="I251" s="53">
        <f>IF(OR($F251="",$G251=""),"",IF(AND(I$5&lt;=$G251,I$5+6&gt;=$F251),IF($H251="Complétée","F",IF(OR($H251="En cours",$H251="En revue"),"E",IF($H251="Bloquée","B","P"))),""))</f>
        <v/>
      </c>
      <c r="J251" s="53">
        <f>IF(OR($F251="",$G251=""),"",IF(AND(J$5&lt;=$G251,J$5+6&gt;=$F251),IF($H251="Complétée","F",IF(OR($H251="En cours",$H251="En revue"),"E",IF($H251="Bloquée","B","P"))),""))</f>
        <v/>
      </c>
      <c r="K251" s="53">
        <f>IF(OR($F251="",$G251=""),"",IF(AND(K$5&lt;=$G251,K$5+6&gt;=$F251),IF($H251="Complétée","F",IF(OR($H251="En cours",$H251="En revue"),"E",IF($H251="Bloquée","B","P"))),""))</f>
        <v/>
      </c>
      <c r="L251" s="53">
        <f>IF(OR($F251="",$G251=""),"",IF(AND(L$5&lt;=$G251,L$5+6&gt;=$F251),IF($H251="Complétée","F",IF(OR($H251="En cours",$H251="En revue"),"E",IF($H251="Bloquée","B","P"))),""))</f>
        <v/>
      </c>
      <c r="M251" s="53">
        <f>IF(OR($F251="",$G251=""),"",IF(AND(M$5&lt;=$G251,M$5+6&gt;=$F251),IF($H251="Complétée","F",IF(OR($H251="En cours",$H251="En revue"),"E",IF($H251="Bloquée","B","P"))),""))</f>
        <v/>
      </c>
      <c r="N251" s="53">
        <f>IF(OR($F251="",$G251=""),"",IF(AND(N$5&lt;=$G251,N$5+6&gt;=$F251),IF($H251="Complétée","F",IF(OR($H251="En cours",$H251="En revue"),"E",IF($H251="Bloquée","B","P"))),""))</f>
        <v/>
      </c>
      <c r="O251" s="53">
        <f>IF(OR($F251="",$G251=""),"",IF(AND(O$5&lt;=$G251,O$5+6&gt;=$F251),IF($H251="Complétée","F",IF(OR($H251="En cours",$H251="En revue"),"E",IF($H251="Bloquée","B","P"))),""))</f>
        <v/>
      </c>
      <c r="P251" s="53">
        <f>IF(OR($F251="",$G251=""),"",IF(AND(P$5&lt;=$G251,P$5+6&gt;=$F251),IF($H251="Complétée","F",IF(OR($H251="En cours",$H251="En revue"),"E",IF($H251="Bloquée","B","P"))),""))</f>
        <v/>
      </c>
      <c r="Q251" s="53">
        <f>IF(OR($F251="",$G251=""),"",IF(AND(Q$5&lt;=$G251,Q$5+6&gt;=$F251),IF($H251="Complétée","F",IF(OR($H251="En cours",$H251="En revue"),"E",IF($H251="Bloquée","B","P"))),""))</f>
        <v/>
      </c>
      <c r="R251" s="53">
        <f>IF(OR($F251="",$G251=""),"",IF(AND(R$5&lt;=$G251,R$5+6&gt;=$F251),IF($H251="Complétée","F",IF(OR($H251="En cours",$H251="En revue"),"E",IF($H251="Bloquée","B","P"))),""))</f>
        <v/>
      </c>
      <c r="S251" s="53">
        <f>IF(OR($F251="",$G251=""),"",IF(AND(S$5&lt;=$G251,S$5+6&gt;=$F251),IF($H251="Complétée","F",IF(OR($H251="En cours",$H251="En revue"),"E",IF($H251="Bloquée","B","P"))),""))</f>
        <v/>
      </c>
      <c r="T251" s="53">
        <f>IF(OR($F251="",$G251=""),"",IF(AND(T$5&lt;=$G251,T$5+6&gt;=$F251),IF($H251="Complétée","F",IF(OR($H251="En cours",$H251="En revue"),"E",IF($H251="Bloquée","B","P"))),""))</f>
        <v/>
      </c>
      <c r="U251" s="53">
        <f>IF(OR($F251="",$G251=""),"",IF(AND(U$5&lt;=$G251,U$5+6&gt;=$F251),IF($H251="Complétée","F",IF(OR($H251="En cours",$H251="En revue"),"E",IF($H251="Bloquée","B","P"))),""))</f>
        <v/>
      </c>
      <c r="V251" s="53">
        <f>IF(OR($F251="",$G251=""),"",IF(AND(V$5&lt;=$G251,V$5+6&gt;=$F251),IF($H251="Complétée","F",IF(OR($H251="En cours",$H251="En revue"),"E",IF($H251="Bloquée","B","P"))),""))</f>
        <v/>
      </c>
      <c r="W251" s="53">
        <f>IF(OR($F251="",$G251=""),"",IF(AND(W$5&lt;=$G251,W$5+6&gt;=$F251),IF($H251="Complétée","F",IF(OR($H251="En cours",$H251="En revue"),"E",IF($H251="Bloquée","B","P"))),""))</f>
        <v/>
      </c>
      <c r="X251" s="53">
        <f>IF(OR($F251="",$G251=""),"",IF(AND(X$5&lt;=$G251,X$5+6&gt;=$F251),IF($H251="Complétée","F",IF(OR($H251="En cours",$H251="En revue"),"E",IF($H251="Bloquée","B","P"))),""))</f>
        <v/>
      </c>
      <c r="Y251" s="53">
        <f>IF(OR($F251="",$G251=""),"",IF(AND(Y$5&lt;=$G251,Y$5+6&gt;=$F251),IF($H251="Complétée","F",IF(OR($H251="En cours",$H251="En revue"),"E",IF($H251="Bloquée","B","P"))),""))</f>
        <v/>
      </c>
      <c r="Z251" s="53">
        <f>IF(OR($F251="",$G251=""),"",IF(AND(Z$5&lt;=$G251,Z$5+6&gt;=$F251),IF($H251="Complétée","F",IF(OR($H251="En cours",$H251="En revue"),"E",IF($H251="Bloquée","B","P"))),""))</f>
        <v/>
      </c>
      <c r="AA251" s="53">
        <f>IF(OR($F251="",$G251=""),"",IF(AND(AA$5&lt;=$G251,AA$5+6&gt;=$F251),IF($H251="Complétée","F",IF(OR($H251="En cours",$H251="En revue"),"E",IF($H251="Bloquée","B","P"))),""))</f>
        <v/>
      </c>
      <c r="AB251" s="53">
        <f>IF(OR($F251="",$G251=""),"",IF(AND(AB$5&lt;=$G251,AB$5+6&gt;=$F251),IF($H251="Complétée","F",IF(OR($H251="En cours",$H251="En revue"),"E",IF($H251="Bloquée","B","P"))),""))</f>
        <v/>
      </c>
      <c r="AC251" s="53">
        <f>IF(OR($F251="",$G251=""),"",IF(AND(AC$5&lt;=$G251,AC$5+6&gt;=$F251),IF($H251="Complétée","F",IF(OR($H251="En cours",$H251="En revue"),"E",IF($H251="Bloquée","B","P"))),""))</f>
        <v/>
      </c>
      <c r="AD251" s="53">
        <f>IF(OR($F251="",$G251=""),"",IF(AND(AD$5&lt;=$G251,AD$5+6&gt;=$F251),IF($H251="Complétée","F",IF(OR($H251="En cours",$H251="En revue"),"E",IF($H251="Bloquée","B","P"))),""))</f>
        <v/>
      </c>
      <c r="AE251" s="53">
        <f>IF(OR($F251="",$G251=""),"",IF(AND(AE$5&lt;=$G251,AE$5+6&gt;=$F251),IF($H251="Complétée","F",IF(OR($H251="En cours",$H251="En revue"),"E",IF($H251="Bloquée","B","P"))),""))</f>
        <v/>
      </c>
      <c r="AF251" s="53">
        <f>IF(OR($F251="",$G251=""),"",IF(AND(AF$5&lt;=$G251,AF$5+6&gt;=$F251),IF($H251="Complétée","F",IF(OR($H251="En cours",$H251="En revue"),"E",IF($H251="Bloquée","B","P"))),""))</f>
        <v/>
      </c>
      <c r="AG251" s="53">
        <f>IF(OR($F251="",$G251=""),"",IF(AND(AG$5&lt;=$G251,AG$5+6&gt;=$F251),IF($H251="Complétée","F",IF(OR($H251="En cours",$H251="En revue"),"E",IF($H251="Bloquée","B","P"))),""))</f>
        <v/>
      </c>
      <c r="AH251" s="53">
        <f>IF(OR($F251="",$G251=""),"",IF(AND(AH$5&lt;=$G251,AH$5+6&gt;=$F251),IF($H251="Complétée","F",IF(OR($H251="En cours",$H251="En revue"),"E",IF($H251="Bloquée","B","P"))),""))</f>
        <v/>
      </c>
      <c r="AI251" s="53">
        <f>IF(OR($F251="",$G251=""),"",IF(AND(AI$5&lt;=$G251,AI$5+6&gt;=$F251),IF($H251="Complétée","F",IF(OR($H251="En cours",$H251="En revue"),"E",IF($H251="Bloquée","B","P"))),""))</f>
        <v/>
      </c>
      <c r="AJ251" s="53">
        <f>IF(OR($F251="",$G251=""),"",IF(AND(AJ$5&lt;=$G251,AJ$5+6&gt;=$F251),IF($H251="Complétée","F",IF(OR($H251="En cours",$H251="En revue"),"E",IF($H251="Bloquée","B","P"))),""))</f>
        <v/>
      </c>
      <c r="AK251" s="53">
        <f>IF(OR($F251="",$G251=""),"",IF(AND(AK$5&lt;=$G251,AK$5+6&gt;=$F251),IF($H251="Complétée","F",IF(OR($H251="En cours",$H251="En revue"),"E",IF($H251="Bloquée","B","P"))),""))</f>
        <v/>
      </c>
      <c r="AL251" s="53">
        <f>IF(OR($F251="",$G251=""),"",IF(AND(AL$5&lt;=$G251,AL$5+6&gt;=$F251),IF($H251="Complétée","F",IF(OR($H251="En cours",$H251="En revue"),"E",IF($H251="Bloquée","B","P"))),""))</f>
        <v/>
      </c>
      <c r="AM251" s="53">
        <f>IF(OR($F251="",$G251=""),"",IF(AND(AM$5&lt;=$G251,AM$5+6&gt;=$F251),IF($H251="Complétée","F",IF(OR($H251="En cours",$H251="En revue"),"E",IF($H251="Bloquée","B","P"))),""))</f>
        <v/>
      </c>
      <c r="AN251" s="53">
        <f>IF(OR($F251="",$G251=""),"",IF(AND(AN$5&lt;=$G251,AN$5+6&gt;=$F251),IF($H251="Complétée","F",IF(OR($H251="En cours",$H251="En revue"),"E",IF($H251="Bloquée","B","P"))),""))</f>
        <v/>
      </c>
      <c r="AO251" s="53">
        <f>IF(OR($F251="",$G251=""),"",IF(AND(AO$5&lt;=$G251,AO$5+6&gt;=$F251),IF($H251="Complétée","F",IF(OR($H251="En cours",$H251="En revue"),"E",IF($H251="Bloquée","B","P"))),""))</f>
        <v/>
      </c>
      <c r="AP251" s="53">
        <f>IF(OR($F251="",$G251=""),"",IF(AND(AP$5&lt;=$G251,AP$5+6&gt;=$F251),IF($H251="Complétée","F",IF(OR($H251="En cours",$H251="En revue"),"E",IF($H251="Bloquée","B","P"))),""))</f>
        <v/>
      </c>
      <c r="AQ251" s="53">
        <f>IF(OR($F251="",$G251=""),"",IF(AND(AQ$5&lt;=$G251,AQ$5+6&gt;=$F251),IF($H251="Complétée","F",IF(OR($H251="En cours",$H251="En revue"),"E",IF($H251="Bloquée","B","P"))),""))</f>
        <v/>
      </c>
      <c r="AR251" s="53">
        <f>IF(OR($F251="",$G251=""),"",IF(AND(AR$5&lt;=$G251,AR$5+6&gt;=$F251),IF($H251="Complétée","F",IF(OR($H251="En cours",$H251="En revue"),"E",IF($H251="Bloquée","B","P"))),""))</f>
        <v/>
      </c>
      <c r="AS251" s="53">
        <f>IF(OR($F251="",$G251=""),"",IF(AND(AS$5&lt;=$G251,AS$5+6&gt;=$F251),IF($H251="Complétée","F",IF(OR($H251="En cours",$H251="En revue"),"E",IF($H251="Bloquée","B","P"))),""))</f>
        <v/>
      </c>
      <c r="AT251" s="53">
        <f>IF(OR($F251="",$G251=""),"",IF(AND(AT$5&lt;=$G251,AT$5+6&gt;=$F251),IF($H251="Complétée","F",IF(OR($H251="En cours",$H251="En revue"),"E",IF($H251="Bloquée","B","P"))),""))</f>
        <v/>
      </c>
      <c r="AU251" s="53">
        <f>IF(OR($F251="",$G251=""),"",IF(AND(AU$5&lt;=$G251,AU$5+6&gt;=$F251),IF($H251="Complétée","F",IF(OR($H251="En cours",$H251="En revue"),"E",IF($H251="Bloquée","B","P"))),""))</f>
        <v/>
      </c>
      <c r="AV251" s="53">
        <f>IF(OR($F251="",$G251=""),"",IF(AND(AV$5&lt;=$G251,AV$5+6&gt;=$F251),IF($H251="Complétée","F",IF(OR($H251="En cours",$H251="En revue"),"E",IF($H251="Bloquée","B","P"))),""))</f>
        <v/>
      </c>
      <c r="AW251" s="53">
        <f>IF(OR($F251="",$G251=""),"",IF(AND(AW$5&lt;=$G251,AW$5+6&gt;=$F251),IF($H251="Complétée","F",IF(OR($H251="En cours",$H251="En revue"),"E",IF($H251="Bloquée","B","P"))),""))</f>
        <v/>
      </c>
    </row>
    <row r="252">
      <c r="B252" s="50">
        <f>IF(Taches!B252="","",Taches!B252)</f>
        <v/>
      </c>
      <c r="C252" s="51">
        <f>IF(Taches!B252="","",Taches!F252)</f>
        <v/>
      </c>
      <c r="D252" s="50">
        <f>IF(Taches!B252="","",Taches!C252)</f>
        <v/>
      </c>
      <c r="E252" s="50">
        <f>IF(Taches!B252="","",Taches!D252)</f>
        <v/>
      </c>
      <c r="F252" s="52">
        <f>IF(Taches!P252="","",Taches!P252)</f>
        <v/>
      </c>
      <c r="G252" s="52">
        <f>IF(Taches!Q252="","",Taches!Q252)</f>
        <v/>
      </c>
      <c r="H252" s="50">
        <f>IF(Taches!B252="","",Taches!J252)</f>
        <v/>
      </c>
      <c r="I252" s="53">
        <f>IF(OR($F252="",$G252=""),"",IF(AND(I$5&lt;=$G252,I$5+6&gt;=$F252),IF($H252="Complétée","F",IF(OR($H252="En cours",$H252="En revue"),"E",IF($H252="Bloquée","B","P"))),""))</f>
        <v/>
      </c>
      <c r="J252" s="53">
        <f>IF(OR($F252="",$G252=""),"",IF(AND(J$5&lt;=$G252,J$5+6&gt;=$F252),IF($H252="Complétée","F",IF(OR($H252="En cours",$H252="En revue"),"E",IF($H252="Bloquée","B","P"))),""))</f>
        <v/>
      </c>
      <c r="K252" s="53">
        <f>IF(OR($F252="",$G252=""),"",IF(AND(K$5&lt;=$G252,K$5+6&gt;=$F252),IF($H252="Complétée","F",IF(OR($H252="En cours",$H252="En revue"),"E",IF($H252="Bloquée","B","P"))),""))</f>
        <v/>
      </c>
      <c r="L252" s="53">
        <f>IF(OR($F252="",$G252=""),"",IF(AND(L$5&lt;=$G252,L$5+6&gt;=$F252),IF($H252="Complétée","F",IF(OR($H252="En cours",$H252="En revue"),"E",IF($H252="Bloquée","B","P"))),""))</f>
        <v/>
      </c>
      <c r="M252" s="53">
        <f>IF(OR($F252="",$G252=""),"",IF(AND(M$5&lt;=$G252,M$5+6&gt;=$F252),IF($H252="Complétée","F",IF(OR($H252="En cours",$H252="En revue"),"E",IF($H252="Bloquée","B","P"))),""))</f>
        <v/>
      </c>
      <c r="N252" s="53">
        <f>IF(OR($F252="",$G252=""),"",IF(AND(N$5&lt;=$G252,N$5+6&gt;=$F252),IF($H252="Complétée","F",IF(OR($H252="En cours",$H252="En revue"),"E",IF($H252="Bloquée","B","P"))),""))</f>
        <v/>
      </c>
      <c r="O252" s="53">
        <f>IF(OR($F252="",$G252=""),"",IF(AND(O$5&lt;=$G252,O$5+6&gt;=$F252),IF($H252="Complétée","F",IF(OR($H252="En cours",$H252="En revue"),"E",IF($H252="Bloquée","B","P"))),""))</f>
        <v/>
      </c>
      <c r="P252" s="53">
        <f>IF(OR($F252="",$G252=""),"",IF(AND(P$5&lt;=$G252,P$5+6&gt;=$F252),IF($H252="Complétée","F",IF(OR($H252="En cours",$H252="En revue"),"E",IF($H252="Bloquée","B","P"))),""))</f>
        <v/>
      </c>
      <c r="Q252" s="53">
        <f>IF(OR($F252="",$G252=""),"",IF(AND(Q$5&lt;=$G252,Q$5+6&gt;=$F252),IF($H252="Complétée","F",IF(OR($H252="En cours",$H252="En revue"),"E",IF($H252="Bloquée","B","P"))),""))</f>
        <v/>
      </c>
      <c r="R252" s="53">
        <f>IF(OR($F252="",$G252=""),"",IF(AND(R$5&lt;=$G252,R$5+6&gt;=$F252),IF($H252="Complétée","F",IF(OR($H252="En cours",$H252="En revue"),"E",IF($H252="Bloquée","B","P"))),""))</f>
        <v/>
      </c>
      <c r="S252" s="53">
        <f>IF(OR($F252="",$G252=""),"",IF(AND(S$5&lt;=$G252,S$5+6&gt;=$F252),IF($H252="Complétée","F",IF(OR($H252="En cours",$H252="En revue"),"E",IF($H252="Bloquée","B","P"))),""))</f>
        <v/>
      </c>
      <c r="T252" s="53">
        <f>IF(OR($F252="",$G252=""),"",IF(AND(T$5&lt;=$G252,T$5+6&gt;=$F252),IF($H252="Complétée","F",IF(OR($H252="En cours",$H252="En revue"),"E",IF($H252="Bloquée","B","P"))),""))</f>
        <v/>
      </c>
      <c r="U252" s="53">
        <f>IF(OR($F252="",$G252=""),"",IF(AND(U$5&lt;=$G252,U$5+6&gt;=$F252),IF($H252="Complétée","F",IF(OR($H252="En cours",$H252="En revue"),"E",IF($H252="Bloquée","B","P"))),""))</f>
        <v/>
      </c>
      <c r="V252" s="53">
        <f>IF(OR($F252="",$G252=""),"",IF(AND(V$5&lt;=$G252,V$5+6&gt;=$F252),IF($H252="Complétée","F",IF(OR($H252="En cours",$H252="En revue"),"E",IF($H252="Bloquée","B","P"))),""))</f>
        <v/>
      </c>
      <c r="W252" s="53">
        <f>IF(OR($F252="",$G252=""),"",IF(AND(W$5&lt;=$G252,W$5+6&gt;=$F252),IF($H252="Complétée","F",IF(OR($H252="En cours",$H252="En revue"),"E",IF($H252="Bloquée","B","P"))),""))</f>
        <v/>
      </c>
      <c r="X252" s="53">
        <f>IF(OR($F252="",$G252=""),"",IF(AND(X$5&lt;=$G252,X$5+6&gt;=$F252),IF($H252="Complétée","F",IF(OR($H252="En cours",$H252="En revue"),"E",IF($H252="Bloquée","B","P"))),""))</f>
        <v/>
      </c>
      <c r="Y252" s="53">
        <f>IF(OR($F252="",$G252=""),"",IF(AND(Y$5&lt;=$G252,Y$5+6&gt;=$F252),IF($H252="Complétée","F",IF(OR($H252="En cours",$H252="En revue"),"E",IF($H252="Bloquée","B","P"))),""))</f>
        <v/>
      </c>
      <c r="Z252" s="53">
        <f>IF(OR($F252="",$G252=""),"",IF(AND(Z$5&lt;=$G252,Z$5+6&gt;=$F252),IF($H252="Complétée","F",IF(OR($H252="En cours",$H252="En revue"),"E",IF($H252="Bloquée","B","P"))),""))</f>
        <v/>
      </c>
      <c r="AA252" s="53">
        <f>IF(OR($F252="",$G252=""),"",IF(AND(AA$5&lt;=$G252,AA$5+6&gt;=$F252),IF($H252="Complétée","F",IF(OR($H252="En cours",$H252="En revue"),"E",IF($H252="Bloquée","B","P"))),""))</f>
        <v/>
      </c>
      <c r="AB252" s="53">
        <f>IF(OR($F252="",$G252=""),"",IF(AND(AB$5&lt;=$G252,AB$5+6&gt;=$F252),IF($H252="Complétée","F",IF(OR($H252="En cours",$H252="En revue"),"E",IF($H252="Bloquée","B","P"))),""))</f>
        <v/>
      </c>
      <c r="AC252" s="53">
        <f>IF(OR($F252="",$G252=""),"",IF(AND(AC$5&lt;=$G252,AC$5+6&gt;=$F252),IF($H252="Complétée","F",IF(OR($H252="En cours",$H252="En revue"),"E",IF($H252="Bloquée","B","P"))),""))</f>
        <v/>
      </c>
      <c r="AD252" s="53">
        <f>IF(OR($F252="",$G252=""),"",IF(AND(AD$5&lt;=$G252,AD$5+6&gt;=$F252),IF($H252="Complétée","F",IF(OR($H252="En cours",$H252="En revue"),"E",IF($H252="Bloquée","B","P"))),""))</f>
        <v/>
      </c>
      <c r="AE252" s="53">
        <f>IF(OR($F252="",$G252=""),"",IF(AND(AE$5&lt;=$G252,AE$5+6&gt;=$F252),IF($H252="Complétée","F",IF(OR($H252="En cours",$H252="En revue"),"E",IF($H252="Bloquée","B","P"))),""))</f>
        <v/>
      </c>
      <c r="AF252" s="53">
        <f>IF(OR($F252="",$G252=""),"",IF(AND(AF$5&lt;=$G252,AF$5+6&gt;=$F252),IF($H252="Complétée","F",IF(OR($H252="En cours",$H252="En revue"),"E",IF($H252="Bloquée","B","P"))),""))</f>
        <v/>
      </c>
      <c r="AG252" s="53">
        <f>IF(OR($F252="",$G252=""),"",IF(AND(AG$5&lt;=$G252,AG$5+6&gt;=$F252),IF($H252="Complétée","F",IF(OR($H252="En cours",$H252="En revue"),"E",IF($H252="Bloquée","B","P"))),""))</f>
        <v/>
      </c>
      <c r="AH252" s="53">
        <f>IF(OR($F252="",$G252=""),"",IF(AND(AH$5&lt;=$G252,AH$5+6&gt;=$F252),IF($H252="Complétée","F",IF(OR($H252="En cours",$H252="En revue"),"E",IF($H252="Bloquée","B","P"))),""))</f>
        <v/>
      </c>
      <c r="AI252" s="53">
        <f>IF(OR($F252="",$G252=""),"",IF(AND(AI$5&lt;=$G252,AI$5+6&gt;=$F252),IF($H252="Complétée","F",IF(OR($H252="En cours",$H252="En revue"),"E",IF($H252="Bloquée","B","P"))),""))</f>
        <v/>
      </c>
      <c r="AJ252" s="53">
        <f>IF(OR($F252="",$G252=""),"",IF(AND(AJ$5&lt;=$G252,AJ$5+6&gt;=$F252),IF($H252="Complétée","F",IF(OR($H252="En cours",$H252="En revue"),"E",IF($H252="Bloquée","B","P"))),""))</f>
        <v/>
      </c>
      <c r="AK252" s="53">
        <f>IF(OR($F252="",$G252=""),"",IF(AND(AK$5&lt;=$G252,AK$5+6&gt;=$F252),IF($H252="Complétée","F",IF(OR($H252="En cours",$H252="En revue"),"E",IF($H252="Bloquée","B","P"))),""))</f>
        <v/>
      </c>
      <c r="AL252" s="53">
        <f>IF(OR($F252="",$G252=""),"",IF(AND(AL$5&lt;=$G252,AL$5+6&gt;=$F252),IF($H252="Complétée","F",IF(OR($H252="En cours",$H252="En revue"),"E",IF($H252="Bloquée","B","P"))),""))</f>
        <v/>
      </c>
      <c r="AM252" s="53">
        <f>IF(OR($F252="",$G252=""),"",IF(AND(AM$5&lt;=$G252,AM$5+6&gt;=$F252),IF($H252="Complétée","F",IF(OR($H252="En cours",$H252="En revue"),"E",IF($H252="Bloquée","B","P"))),""))</f>
        <v/>
      </c>
      <c r="AN252" s="53">
        <f>IF(OR($F252="",$G252=""),"",IF(AND(AN$5&lt;=$G252,AN$5+6&gt;=$F252),IF($H252="Complétée","F",IF(OR($H252="En cours",$H252="En revue"),"E",IF($H252="Bloquée","B","P"))),""))</f>
        <v/>
      </c>
      <c r="AO252" s="53">
        <f>IF(OR($F252="",$G252=""),"",IF(AND(AO$5&lt;=$G252,AO$5+6&gt;=$F252),IF($H252="Complétée","F",IF(OR($H252="En cours",$H252="En revue"),"E",IF($H252="Bloquée","B","P"))),""))</f>
        <v/>
      </c>
      <c r="AP252" s="53">
        <f>IF(OR($F252="",$G252=""),"",IF(AND(AP$5&lt;=$G252,AP$5+6&gt;=$F252),IF($H252="Complétée","F",IF(OR($H252="En cours",$H252="En revue"),"E",IF($H252="Bloquée","B","P"))),""))</f>
        <v/>
      </c>
      <c r="AQ252" s="53">
        <f>IF(OR($F252="",$G252=""),"",IF(AND(AQ$5&lt;=$G252,AQ$5+6&gt;=$F252),IF($H252="Complétée","F",IF(OR($H252="En cours",$H252="En revue"),"E",IF($H252="Bloquée","B","P"))),""))</f>
        <v/>
      </c>
      <c r="AR252" s="53">
        <f>IF(OR($F252="",$G252=""),"",IF(AND(AR$5&lt;=$G252,AR$5+6&gt;=$F252),IF($H252="Complétée","F",IF(OR($H252="En cours",$H252="En revue"),"E",IF($H252="Bloquée","B","P"))),""))</f>
        <v/>
      </c>
      <c r="AS252" s="53">
        <f>IF(OR($F252="",$G252=""),"",IF(AND(AS$5&lt;=$G252,AS$5+6&gt;=$F252),IF($H252="Complétée","F",IF(OR($H252="En cours",$H252="En revue"),"E",IF($H252="Bloquée","B","P"))),""))</f>
        <v/>
      </c>
      <c r="AT252" s="53">
        <f>IF(OR($F252="",$G252=""),"",IF(AND(AT$5&lt;=$G252,AT$5+6&gt;=$F252),IF($H252="Complétée","F",IF(OR($H252="En cours",$H252="En revue"),"E",IF($H252="Bloquée","B","P"))),""))</f>
        <v/>
      </c>
      <c r="AU252" s="53">
        <f>IF(OR($F252="",$G252=""),"",IF(AND(AU$5&lt;=$G252,AU$5+6&gt;=$F252),IF($H252="Complétée","F",IF(OR($H252="En cours",$H252="En revue"),"E",IF($H252="Bloquée","B","P"))),""))</f>
        <v/>
      </c>
      <c r="AV252" s="53">
        <f>IF(OR($F252="",$G252=""),"",IF(AND(AV$5&lt;=$G252,AV$5+6&gt;=$F252),IF($H252="Complétée","F",IF(OR($H252="En cours",$H252="En revue"),"E",IF($H252="Bloquée","B","P"))),""))</f>
        <v/>
      </c>
      <c r="AW252" s="53">
        <f>IF(OR($F252="",$G252=""),"",IF(AND(AW$5&lt;=$G252,AW$5+6&gt;=$F252),IF($H252="Complétée","F",IF(OR($H252="En cours",$H252="En revue"),"E",IF($H252="Bloquée","B","P"))),""))</f>
        <v/>
      </c>
    </row>
    <row r="253">
      <c r="B253" s="50">
        <f>IF(Taches!B253="","",Taches!B253)</f>
        <v/>
      </c>
      <c r="C253" s="51">
        <f>IF(Taches!B253="","",Taches!F253)</f>
        <v/>
      </c>
      <c r="D253" s="50">
        <f>IF(Taches!B253="","",Taches!C253)</f>
        <v/>
      </c>
      <c r="E253" s="50">
        <f>IF(Taches!B253="","",Taches!D253)</f>
        <v/>
      </c>
      <c r="F253" s="52">
        <f>IF(Taches!P253="","",Taches!P253)</f>
        <v/>
      </c>
      <c r="G253" s="52">
        <f>IF(Taches!Q253="","",Taches!Q253)</f>
        <v/>
      </c>
      <c r="H253" s="50">
        <f>IF(Taches!B253="","",Taches!J253)</f>
        <v/>
      </c>
      <c r="I253" s="53">
        <f>IF(OR($F253="",$G253=""),"",IF(AND(I$5&lt;=$G253,I$5+6&gt;=$F253),IF($H253="Complétée","F",IF(OR($H253="En cours",$H253="En revue"),"E",IF($H253="Bloquée","B","P"))),""))</f>
        <v/>
      </c>
      <c r="J253" s="53">
        <f>IF(OR($F253="",$G253=""),"",IF(AND(J$5&lt;=$G253,J$5+6&gt;=$F253),IF($H253="Complétée","F",IF(OR($H253="En cours",$H253="En revue"),"E",IF($H253="Bloquée","B","P"))),""))</f>
        <v/>
      </c>
      <c r="K253" s="53">
        <f>IF(OR($F253="",$G253=""),"",IF(AND(K$5&lt;=$G253,K$5+6&gt;=$F253),IF($H253="Complétée","F",IF(OR($H253="En cours",$H253="En revue"),"E",IF($H253="Bloquée","B","P"))),""))</f>
        <v/>
      </c>
      <c r="L253" s="53">
        <f>IF(OR($F253="",$G253=""),"",IF(AND(L$5&lt;=$G253,L$5+6&gt;=$F253),IF($H253="Complétée","F",IF(OR($H253="En cours",$H253="En revue"),"E",IF($H253="Bloquée","B","P"))),""))</f>
        <v/>
      </c>
      <c r="M253" s="53">
        <f>IF(OR($F253="",$G253=""),"",IF(AND(M$5&lt;=$G253,M$5+6&gt;=$F253),IF($H253="Complétée","F",IF(OR($H253="En cours",$H253="En revue"),"E",IF($H253="Bloquée","B","P"))),""))</f>
        <v/>
      </c>
      <c r="N253" s="53">
        <f>IF(OR($F253="",$G253=""),"",IF(AND(N$5&lt;=$G253,N$5+6&gt;=$F253),IF($H253="Complétée","F",IF(OR($H253="En cours",$H253="En revue"),"E",IF($H253="Bloquée","B","P"))),""))</f>
        <v/>
      </c>
      <c r="O253" s="53">
        <f>IF(OR($F253="",$G253=""),"",IF(AND(O$5&lt;=$G253,O$5+6&gt;=$F253),IF($H253="Complétée","F",IF(OR($H253="En cours",$H253="En revue"),"E",IF($H253="Bloquée","B","P"))),""))</f>
        <v/>
      </c>
      <c r="P253" s="53">
        <f>IF(OR($F253="",$G253=""),"",IF(AND(P$5&lt;=$G253,P$5+6&gt;=$F253),IF($H253="Complétée","F",IF(OR($H253="En cours",$H253="En revue"),"E",IF($H253="Bloquée","B","P"))),""))</f>
        <v/>
      </c>
      <c r="Q253" s="53">
        <f>IF(OR($F253="",$G253=""),"",IF(AND(Q$5&lt;=$G253,Q$5+6&gt;=$F253),IF($H253="Complétée","F",IF(OR($H253="En cours",$H253="En revue"),"E",IF($H253="Bloquée","B","P"))),""))</f>
        <v/>
      </c>
      <c r="R253" s="53">
        <f>IF(OR($F253="",$G253=""),"",IF(AND(R$5&lt;=$G253,R$5+6&gt;=$F253),IF($H253="Complétée","F",IF(OR($H253="En cours",$H253="En revue"),"E",IF($H253="Bloquée","B","P"))),""))</f>
        <v/>
      </c>
      <c r="S253" s="53">
        <f>IF(OR($F253="",$G253=""),"",IF(AND(S$5&lt;=$G253,S$5+6&gt;=$F253),IF($H253="Complétée","F",IF(OR($H253="En cours",$H253="En revue"),"E",IF($H253="Bloquée","B","P"))),""))</f>
        <v/>
      </c>
      <c r="T253" s="53">
        <f>IF(OR($F253="",$G253=""),"",IF(AND(T$5&lt;=$G253,T$5+6&gt;=$F253),IF($H253="Complétée","F",IF(OR($H253="En cours",$H253="En revue"),"E",IF($H253="Bloquée","B","P"))),""))</f>
        <v/>
      </c>
      <c r="U253" s="53">
        <f>IF(OR($F253="",$G253=""),"",IF(AND(U$5&lt;=$G253,U$5+6&gt;=$F253),IF($H253="Complétée","F",IF(OR($H253="En cours",$H253="En revue"),"E",IF($H253="Bloquée","B","P"))),""))</f>
        <v/>
      </c>
      <c r="V253" s="53">
        <f>IF(OR($F253="",$G253=""),"",IF(AND(V$5&lt;=$G253,V$5+6&gt;=$F253),IF($H253="Complétée","F",IF(OR($H253="En cours",$H253="En revue"),"E",IF($H253="Bloquée","B","P"))),""))</f>
        <v/>
      </c>
      <c r="W253" s="53">
        <f>IF(OR($F253="",$G253=""),"",IF(AND(W$5&lt;=$G253,W$5+6&gt;=$F253),IF($H253="Complétée","F",IF(OR($H253="En cours",$H253="En revue"),"E",IF($H253="Bloquée","B","P"))),""))</f>
        <v/>
      </c>
      <c r="X253" s="53">
        <f>IF(OR($F253="",$G253=""),"",IF(AND(X$5&lt;=$G253,X$5+6&gt;=$F253),IF($H253="Complétée","F",IF(OR($H253="En cours",$H253="En revue"),"E",IF($H253="Bloquée","B","P"))),""))</f>
        <v/>
      </c>
      <c r="Y253" s="53">
        <f>IF(OR($F253="",$G253=""),"",IF(AND(Y$5&lt;=$G253,Y$5+6&gt;=$F253),IF($H253="Complétée","F",IF(OR($H253="En cours",$H253="En revue"),"E",IF($H253="Bloquée","B","P"))),""))</f>
        <v/>
      </c>
      <c r="Z253" s="53">
        <f>IF(OR($F253="",$G253=""),"",IF(AND(Z$5&lt;=$G253,Z$5+6&gt;=$F253),IF($H253="Complétée","F",IF(OR($H253="En cours",$H253="En revue"),"E",IF($H253="Bloquée","B","P"))),""))</f>
        <v/>
      </c>
      <c r="AA253" s="53">
        <f>IF(OR($F253="",$G253=""),"",IF(AND(AA$5&lt;=$G253,AA$5+6&gt;=$F253),IF($H253="Complétée","F",IF(OR($H253="En cours",$H253="En revue"),"E",IF($H253="Bloquée","B","P"))),""))</f>
        <v/>
      </c>
      <c r="AB253" s="53">
        <f>IF(OR($F253="",$G253=""),"",IF(AND(AB$5&lt;=$G253,AB$5+6&gt;=$F253),IF($H253="Complétée","F",IF(OR($H253="En cours",$H253="En revue"),"E",IF($H253="Bloquée","B","P"))),""))</f>
        <v/>
      </c>
      <c r="AC253" s="53">
        <f>IF(OR($F253="",$G253=""),"",IF(AND(AC$5&lt;=$G253,AC$5+6&gt;=$F253),IF($H253="Complétée","F",IF(OR($H253="En cours",$H253="En revue"),"E",IF($H253="Bloquée","B","P"))),""))</f>
        <v/>
      </c>
      <c r="AD253" s="53">
        <f>IF(OR($F253="",$G253=""),"",IF(AND(AD$5&lt;=$G253,AD$5+6&gt;=$F253),IF($H253="Complétée","F",IF(OR($H253="En cours",$H253="En revue"),"E",IF($H253="Bloquée","B","P"))),""))</f>
        <v/>
      </c>
      <c r="AE253" s="53">
        <f>IF(OR($F253="",$G253=""),"",IF(AND(AE$5&lt;=$G253,AE$5+6&gt;=$F253),IF($H253="Complétée","F",IF(OR($H253="En cours",$H253="En revue"),"E",IF($H253="Bloquée","B","P"))),""))</f>
        <v/>
      </c>
      <c r="AF253" s="53">
        <f>IF(OR($F253="",$G253=""),"",IF(AND(AF$5&lt;=$G253,AF$5+6&gt;=$F253),IF($H253="Complétée","F",IF(OR($H253="En cours",$H253="En revue"),"E",IF($H253="Bloquée","B","P"))),""))</f>
        <v/>
      </c>
      <c r="AG253" s="53">
        <f>IF(OR($F253="",$G253=""),"",IF(AND(AG$5&lt;=$G253,AG$5+6&gt;=$F253),IF($H253="Complétée","F",IF(OR($H253="En cours",$H253="En revue"),"E",IF($H253="Bloquée","B","P"))),""))</f>
        <v/>
      </c>
      <c r="AH253" s="53">
        <f>IF(OR($F253="",$G253=""),"",IF(AND(AH$5&lt;=$G253,AH$5+6&gt;=$F253),IF($H253="Complétée","F",IF(OR($H253="En cours",$H253="En revue"),"E",IF($H253="Bloquée","B","P"))),""))</f>
        <v/>
      </c>
      <c r="AI253" s="53">
        <f>IF(OR($F253="",$G253=""),"",IF(AND(AI$5&lt;=$G253,AI$5+6&gt;=$F253),IF($H253="Complétée","F",IF(OR($H253="En cours",$H253="En revue"),"E",IF($H253="Bloquée","B","P"))),""))</f>
        <v/>
      </c>
      <c r="AJ253" s="53">
        <f>IF(OR($F253="",$G253=""),"",IF(AND(AJ$5&lt;=$G253,AJ$5+6&gt;=$F253),IF($H253="Complétée","F",IF(OR($H253="En cours",$H253="En revue"),"E",IF($H253="Bloquée","B","P"))),""))</f>
        <v/>
      </c>
      <c r="AK253" s="53">
        <f>IF(OR($F253="",$G253=""),"",IF(AND(AK$5&lt;=$G253,AK$5+6&gt;=$F253),IF($H253="Complétée","F",IF(OR($H253="En cours",$H253="En revue"),"E",IF($H253="Bloquée","B","P"))),""))</f>
        <v/>
      </c>
      <c r="AL253" s="53">
        <f>IF(OR($F253="",$G253=""),"",IF(AND(AL$5&lt;=$G253,AL$5+6&gt;=$F253),IF($H253="Complétée","F",IF(OR($H253="En cours",$H253="En revue"),"E",IF($H253="Bloquée","B","P"))),""))</f>
        <v/>
      </c>
      <c r="AM253" s="53">
        <f>IF(OR($F253="",$G253=""),"",IF(AND(AM$5&lt;=$G253,AM$5+6&gt;=$F253),IF($H253="Complétée","F",IF(OR($H253="En cours",$H253="En revue"),"E",IF($H253="Bloquée","B","P"))),""))</f>
        <v/>
      </c>
      <c r="AN253" s="53">
        <f>IF(OR($F253="",$G253=""),"",IF(AND(AN$5&lt;=$G253,AN$5+6&gt;=$F253),IF($H253="Complétée","F",IF(OR($H253="En cours",$H253="En revue"),"E",IF($H253="Bloquée","B","P"))),""))</f>
        <v/>
      </c>
      <c r="AO253" s="53">
        <f>IF(OR($F253="",$G253=""),"",IF(AND(AO$5&lt;=$G253,AO$5+6&gt;=$F253),IF($H253="Complétée","F",IF(OR($H253="En cours",$H253="En revue"),"E",IF($H253="Bloquée","B","P"))),""))</f>
        <v/>
      </c>
      <c r="AP253" s="53">
        <f>IF(OR($F253="",$G253=""),"",IF(AND(AP$5&lt;=$G253,AP$5+6&gt;=$F253),IF($H253="Complétée","F",IF(OR($H253="En cours",$H253="En revue"),"E",IF($H253="Bloquée","B","P"))),""))</f>
        <v/>
      </c>
      <c r="AQ253" s="53">
        <f>IF(OR($F253="",$G253=""),"",IF(AND(AQ$5&lt;=$G253,AQ$5+6&gt;=$F253),IF($H253="Complétée","F",IF(OR($H253="En cours",$H253="En revue"),"E",IF($H253="Bloquée","B","P"))),""))</f>
        <v/>
      </c>
      <c r="AR253" s="53">
        <f>IF(OR($F253="",$G253=""),"",IF(AND(AR$5&lt;=$G253,AR$5+6&gt;=$F253),IF($H253="Complétée","F",IF(OR($H253="En cours",$H253="En revue"),"E",IF($H253="Bloquée","B","P"))),""))</f>
        <v/>
      </c>
      <c r="AS253" s="53">
        <f>IF(OR($F253="",$G253=""),"",IF(AND(AS$5&lt;=$G253,AS$5+6&gt;=$F253),IF($H253="Complétée","F",IF(OR($H253="En cours",$H253="En revue"),"E",IF($H253="Bloquée","B","P"))),""))</f>
        <v/>
      </c>
      <c r="AT253" s="53">
        <f>IF(OR($F253="",$G253=""),"",IF(AND(AT$5&lt;=$G253,AT$5+6&gt;=$F253),IF($H253="Complétée","F",IF(OR($H253="En cours",$H253="En revue"),"E",IF($H253="Bloquée","B","P"))),""))</f>
        <v/>
      </c>
      <c r="AU253" s="53">
        <f>IF(OR($F253="",$G253=""),"",IF(AND(AU$5&lt;=$G253,AU$5+6&gt;=$F253),IF($H253="Complétée","F",IF(OR($H253="En cours",$H253="En revue"),"E",IF($H253="Bloquée","B","P"))),""))</f>
        <v/>
      </c>
      <c r="AV253" s="53">
        <f>IF(OR($F253="",$G253=""),"",IF(AND(AV$5&lt;=$G253,AV$5+6&gt;=$F253),IF($H253="Complétée","F",IF(OR($H253="En cours",$H253="En revue"),"E",IF($H253="Bloquée","B","P"))),""))</f>
        <v/>
      </c>
      <c r="AW253" s="53">
        <f>IF(OR($F253="",$G253=""),"",IF(AND(AW$5&lt;=$G253,AW$5+6&gt;=$F253),IF($H253="Complétée","F",IF(OR($H253="En cours",$H253="En revue"),"E",IF($H253="Bloquée","B","P"))),""))</f>
        <v/>
      </c>
    </row>
    <row r="254">
      <c r="B254" s="50">
        <f>IF(Taches!B254="","",Taches!B254)</f>
        <v/>
      </c>
      <c r="C254" s="51">
        <f>IF(Taches!B254="","",Taches!F254)</f>
        <v/>
      </c>
      <c r="D254" s="50">
        <f>IF(Taches!B254="","",Taches!C254)</f>
        <v/>
      </c>
      <c r="E254" s="50">
        <f>IF(Taches!B254="","",Taches!D254)</f>
        <v/>
      </c>
      <c r="F254" s="52">
        <f>IF(Taches!P254="","",Taches!P254)</f>
        <v/>
      </c>
      <c r="G254" s="52">
        <f>IF(Taches!Q254="","",Taches!Q254)</f>
        <v/>
      </c>
      <c r="H254" s="50">
        <f>IF(Taches!B254="","",Taches!J254)</f>
        <v/>
      </c>
      <c r="I254" s="53">
        <f>IF(OR($F254="",$G254=""),"",IF(AND(I$5&lt;=$G254,I$5+6&gt;=$F254),IF($H254="Complétée","F",IF(OR($H254="En cours",$H254="En revue"),"E",IF($H254="Bloquée","B","P"))),""))</f>
        <v/>
      </c>
      <c r="J254" s="53">
        <f>IF(OR($F254="",$G254=""),"",IF(AND(J$5&lt;=$G254,J$5+6&gt;=$F254),IF($H254="Complétée","F",IF(OR($H254="En cours",$H254="En revue"),"E",IF($H254="Bloquée","B","P"))),""))</f>
        <v/>
      </c>
      <c r="K254" s="53">
        <f>IF(OR($F254="",$G254=""),"",IF(AND(K$5&lt;=$G254,K$5+6&gt;=$F254),IF($H254="Complétée","F",IF(OR($H254="En cours",$H254="En revue"),"E",IF($H254="Bloquée","B","P"))),""))</f>
        <v/>
      </c>
      <c r="L254" s="53">
        <f>IF(OR($F254="",$G254=""),"",IF(AND(L$5&lt;=$G254,L$5+6&gt;=$F254),IF($H254="Complétée","F",IF(OR($H254="En cours",$H254="En revue"),"E",IF($H254="Bloquée","B","P"))),""))</f>
        <v/>
      </c>
      <c r="M254" s="53">
        <f>IF(OR($F254="",$G254=""),"",IF(AND(M$5&lt;=$G254,M$5+6&gt;=$F254),IF($H254="Complétée","F",IF(OR($H254="En cours",$H254="En revue"),"E",IF($H254="Bloquée","B","P"))),""))</f>
        <v/>
      </c>
      <c r="N254" s="53">
        <f>IF(OR($F254="",$G254=""),"",IF(AND(N$5&lt;=$G254,N$5+6&gt;=$F254),IF($H254="Complétée","F",IF(OR($H254="En cours",$H254="En revue"),"E",IF($H254="Bloquée","B","P"))),""))</f>
        <v/>
      </c>
      <c r="O254" s="53">
        <f>IF(OR($F254="",$G254=""),"",IF(AND(O$5&lt;=$G254,O$5+6&gt;=$F254),IF($H254="Complétée","F",IF(OR($H254="En cours",$H254="En revue"),"E",IF($H254="Bloquée","B","P"))),""))</f>
        <v/>
      </c>
      <c r="P254" s="53">
        <f>IF(OR($F254="",$G254=""),"",IF(AND(P$5&lt;=$G254,P$5+6&gt;=$F254),IF($H254="Complétée","F",IF(OR($H254="En cours",$H254="En revue"),"E",IF($H254="Bloquée","B","P"))),""))</f>
        <v/>
      </c>
      <c r="Q254" s="53">
        <f>IF(OR($F254="",$G254=""),"",IF(AND(Q$5&lt;=$G254,Q$5+6&gt;=$F254),IF($H254="Complétée","F",IF(OR($H254="En cours",$H254="En revue"),"E",IF($H254="Bloquée","B","P"))),""))</f>
        <v/>
      </c>
      <c r="R254" s="53">
        <f>IF(OR($F254="",$G254=""),"",IF(AND(R$5&lt;=$G254,R$5+6&gt;=$F254),IF($H254="Complétée","F",IF(OR($H254="En cours",$H254="En revue"),"E",IF($H254="Bloquée","B","P"))),""))</f>
        <v/>
      </c>
      <c r="S254" s="53">
        <f>IF(OR($F254="",$G254=""),"",IF(AND(S$5&lt;=$G254,S$5+6&gt;=$F254),IF($H254="Complétée","F",IF(OR($H254="En cours",$H254="En revue"),"E",IF($H254="Bloquée","B","P"))),""))</f>
        <v/>
      </c>
      <c r="T254" s="53">
        <f>IF(OR($F254="",$G254=""),"",IF(AND(T$5&lt;=$G254,T$5+6&gt;=$F254),IF($H254="Complétée","F",IF(OR($H254="En cours",$H254="En revue"),"E",IF($H254="Bloquée","B","P"))),""))</f>
        <v/>
      </c>
      <c r="U254" s="53">
        <f>IF(OR($F254="",$G254=""),"",IF(AND(U$5&lt;=$G254,U$5+6&gt;=$F254),IF($H254="Complétée","F",IF(OR($H254="En cours",$H254="En revue"),"E",IF($H254="Bloquée","B","P"))),""))</f>
        <v/>
      </c>
      <c r="V254" s="53">
        <f>IF(OR($F254="",$G254=""),"",IF(AND(V$5&lt;=$G254,V$5+6&gt;=$F254),IF($H254="Complétée","F",IF(OR($H254="En cours",$H254="En revue"),"E",IF($H254="Bloquée","B","P"))),""))</f>
        <v/>
      </c>
      <c r="W254" s="53">
        <f>IF(OR($F254="",$G254=""),"",IF(AND(W$5&lt;=$G254,W$5+6&gt;=$F254),IF($H254="Complétée","F",IF(OR($H254="En cours",$H254="En revue"),"E",IF($H254="Bloquée","B","P"))),""))</f>
        <v/>
      </c>
      <c r="X254" s="53">
        <f>IF(OR($F254="",$G254=""),"",IF(AND(X$5&lt;=$G254,X$5+6&gt;=$F254),IF($H254="Complétée","F",IF(OR($H254="En cours",$H254="En revue"),"E",IF($H254="Bloquée","B","P"))),""))</f>
        <v/>
      </c>
      <c r="Y254" s="53">
        <f>IF(OR($F254="",$G254=""),"",IF(AND(Y$5&lt;=$G254,Y$5+6&gt;=$F254),IF($H254="Complétée","F",IF(OR($H254="En cours",$H254="En revue"),"E",IF($H254="Bloquée","B","P"))),""))</f>
        <v/>
      </c>
      <c r="Z254" s="53">
        <f>IF(OR($F254="",$G254=""),"",IF(AND(Z$5&lt;=$G254,Z$5+6&gt;=$F254),IF($H254="Complétée","F",IF(OR($H254="En cours",$H254="En revue"),"E",IF($H254="Bloquée","B","P"))),""))</f>
        <v/>
      </c>
      <c r="AA254" s="53">
        <f>IF(OR($F254="",$G254=""),"",IF(AND(AA$5&lt;=$G254,AA$5+6&gt;=$F254),IF($H254="Complétée","F",IF(OR($H254="En cours",$H254="En revue"),"E",IF($H254="Bloquée","B","P"))),""))</f>
        <v/>
      </c>
      <c r="AB254" s="53">
        <f>IF(OR($F254="",$G254=""),"",IF(AND(AB$5&lt;=$G254,AB$5+6&gt;=$F254),IF($H254="Complétée","F",IF(OR($H254="En cours",$H254="En revue"),"E",IF($H254="Bloquée","B","P"))),""))</f>
        <v/>
      </c>
      <c r="AC254" s="53">
        <f>IF(OR($F254="",$G254=""),"",IF(AND(AC$5&lt;=$G254,AC$5+6&gt;=$F254),IF($H254="Complétée","F",IF(OR($H254="En cours",$H254="En revue"),"E",IF($H254="Bloquée","B","P"))),""))</f>
        <v/>
      </c>
      <c r="AD254" s="53">
        <f>IF(OR($F254="",$G254=""),"",IF(AND(AD$5&lt;=$G254,AD$5+6&gt;=$F254),IF($H254="Complétée","F",IF(OR($H254="En cours",$H254="En revue"),"E",IF($H254="Bloquée","B","P"))),""))</f>
        <v/>
      </c>
      <c r="AE254" s="53">
        <f>IF(OR($F254="",$G254=""),"",IF(AND(AE$5&lt;=$G254,AE$5+6&gt;=$F254),IF($H254="Complétée","F",IF(OR($H254="En cours",$H254="En revue"),"E",IF($H254="Bloquée","B","P"))),""))</f>
        <v/>
      </c>
      <c r="AF254" s="53">
        <f>IF(OR($F254="",$G254=""),"",IF(AND(AF$5&lt;=$G254,AF$5+6&gt;=$F254),IF($H254="Complétée","F",IF(OR($H254="En cours",$H254="En revue"),"E",IF($H254="Bloquée","B","P"))),""))</f>
        <v/>
      </c>
      <c r="AG254" s="53">
        <f>IF(OR($F254="",$G254=""),"",IF(AND(AG$5&lt;=$G254,AG$5+6&gt;=$F254),IF($H254="Complétée","F",IF(OR($H254="En cours",$H254="En revue"),"E",IF($H254="Bloquée","B","P"))),""))</f>
        <v/>
      </c>
      <c r="AH254" s="53">
        <f>IF(OR($F254="",$G254=""),"",IF(AND(AH$5&lt;=$G254,AH$5+6&gt;=$F254),IF($H254="Complétée","F",IF(OR($H254="En cours",$H254="En revue"),"E",IF($H254="Bloquée","B","P"))),""))</f>
        <v/>
      </c>
      <c r="AI254" s="53">
        <f>IF(OR($F254="",$G254=""),"",IF(AND(AI$5&lt;=$G254,AI$5+6&gt;=$F254),IF($H254="Complétée","F",IF(OR($H254="En cours",$H254="En revue"),"E",IF($H254="Bloquée","B","P"))),""))</f>
        <v/>
      </c>
      <c r="AJ254" s="53">
        <f>IF(OR($F254="",$G254=""),"",IF(AND(AJ$5&lt;=$G254,AJ$5+6&gt;=$F254),IF($H254="Complétée","F",IF(OR($H254="En cours",$H254="En revue"),"E",IF($H254="Bloquée","B","P"))),""))</f>
        <v/>
      </c>
      <c r="AK254" s="53">
        <f>IF(OR($F254="",$G254=""),"",IF(AND(AK$5&lt;=$G254,AK$5+6&gt;=$F254),IF($H254="Complétée","F",IF(OR($H254="En cours",$H254="En revue"),"E",IF($H254="Bloquée","B","P"))),""))</f>
        <v/>
      </c>
      <c r="AL254" s="53">
        <f>IF(OR($F254="",$G254=""),"",IF(AND(AL$5&lt;=$G254,AL$5+6&gt;=$F254),IF($H254="Complétée","F",IF(OR($H254="En cours",$H254="En revue"),"E",IF($H254="Bloquée","B","P"))),""))</f>
        <v/>
      </c>
      <c r="AM254" s="53">
        <f>IF(OR($F254="",$G254=""),"",IF(AND(AM$5&lt;=$G254,AM$5+6&gt;=$F254),IF($H254="Complétée","F",IF(OR($H254="En cours",$H254="En revue"),"E",IF($H254="Bloquée","B","P"))),""))</f>
        <v/>
      </c>
      <c r="AN254" s="53">
        <f>IF(OR($F254="",$G254=""),"",IF(AND(AN$5&lt;=$G254,AN$5+6&gt;=$F254),IF($H254="Complétée","F",IF(OR($H254="En cours",$H254="En revue"),"E",IF($H254="Bloquée","B","P"))),""))</f>
        <v/>
      </c>
      <c r="AO254" s="53">
        <f>IF(OR($F254="",$G254=""),"",IF(AND(AO$5&lt;=$G254,AO$5+6&gt;=$F254),IF($H254="Complétée","F",IF(OR($H254="En cours",$H254="En revue"),"E",IF($H254="Bloquée","B","P"))),""))</f>
        <v/>
      </c>
      <c r="AP254" s="53">
        <f>IF(OR($F254="",$G254=""),"",IF(AND(AP$5&lt;=$G254,AP$5+6&gt;=$F254),IF($H254="Complétée","F",IF(OR($H254="En cours",$H254="En revue"),"E",IF($H254="Bloquée","B","P"))),""))</f>
        <v/>
      </c>
      <c r="AQ254" s="53">
        <f>IF(OR($F254="",$G254=""),"",IF(AND(AQ$5&lt;=$G254,AQ$5+6&gt;=$F254),IF($H254="Complétée","F",IF(OR($H254="En cours",$H254="En revue"),"E",IF($H254="Bloquée","B","P"))),""))</f>
        <v/>
      </c>
      <c r="AR254" s="53">
        <f>IF(OR($F254="",$G254=""),"",IF(AND(AR$5&lt;=$G254,AR$5+6&gt;=$F254),IF($H254="Complétée","F",IF(OR($H254="En cours",$H254="En revue"),"E",IF($H254="Bloquée","B","P"))),""))</f>
        <v/>
      </c>
      <c r="AS254" s="53">
        <f>IF(OR($F254="",$G254=""),"",IF(AND(AS$5&lt;=$G254,AS$5+6&gt;=$F254),IF($H254="Complétée","F",IF(OR($H254="En cours",$H254="En revue"),"E",IF($H254="Bloquée","B","P"))),""))</f>
        <v/>
      </c>
      <c r="AT254" s="53">
        <f>IF(OR($F254="",$G254=""),"",IF(AND(AT$5&lt;=$G254,AT$5+6&gt;=$F254),IF($H254="Complétée","F",IF(OR($H254="En cours",$H254="En revue"),"E",IF($H254="Bloquée","B","P"))),""))</f>
        <v/>
      </c>
      <c r="AU254" s="53">
        <f>IF(OR($F254="",$G254=""),"",IF(AND(AU$5&lt;=$G254,AU$5+6&gt;=$F254),IF($H254="Complétée","F",IF(OR($H254="En cours",$H254="En revue"),"E",IF($H254="Bloquée","B","P"))),""))</f>
        <v/>
      </c>
      <c r="AV254" s="53">
        <f>IF(OR($F254="",$G254=""),"",IF(AND(AV$5&lt;=$G254,AV$5+6&gt;=$F254),IF($H254="Complétée","F",IF(OR($H254="En cours",$H254="En revue"),"E",IF($H254="Bloquée","B","P"))),""))</f>
        <v/>
      </c>
      <c r="AW254" s="53">
        <f>IF(OR($F254="",$G254=""),"",IF(AND(AW$5&lt;=$G254,AW$5+6&gt;=$F254),IF($H254="Complétée","F",IF(OR($H254="En cours",$H254="En revue"),"E",IF($H254="Bloquée","B","P"))),""))</f>
        <v/>
      </c>
    </row>
    <row r="255">
      <c r="B255" s="50">
        <f>IF(Taches!B255="","",Taches!B255)</f>
        <v/>
      </c>
      <c r="C255" s="51">
        <f>IF(Taches!B255="","",Taches!F255)</f>
        <v/>
      </c>
      <c r="D255" s="50">
        <f>IF(Taches!B255="","",Taches!C255)</f>
        <v/>
      </c>
      <c r="E255" s="50">
        <f>IF(Taches!B255="","",Taches!D255)</f>
        <v/>
      </c>
      <c r="F255" s="52">
        <f>IF(Taches!P255="","",Taches!P255)</f>
        <v/>
      </c>
      <c r="G255" s="52">
        <f>IF(Taches!Q255="","",Taches!Q255)</f>
        <v/>
      </c>
      <c r="H255" s="50">
        <f>IF(Taches!B255="","",Taches!J255)</f>
        <v/>
      </c>
      <c r="I255" s="53">
        <f>IF(OR($F255="",$G255=""),"",IF(AND(I$5&lt;=$G255,I$5+6&gt;=$F255),IF($H255="Complétée","F",IF(OR($H255="En cours",$H255="En revue"),"E",IF($H255="Bloquée","B","P"))),""))</f>
        <v/>
      </c>
      <c r="J255" s="53">
        <f>IF(OR($F255="",$G255=""),"",IF(AND(J$5&lt;=$G255,J$5+6&gt;=$F255),IF($H255="Complétée","F",IF(OR($H255="En cours",$H255="En revue"),"E",IF($H255="Bloquée","B","P"))),""))</f>
        <v/>
      </c>
      <c r="K255" s="53">
        <f>IF(OR($F255="",$G255=""),"",IF(AND(K$5&lt;=$G255,K$5+6&gt;=$F255),IF($H255="Complétée","F",IF(OR($H255="En cours",$H255="En revue"),"E",IF($H255="Bloquée","B","P"))),""))</f>
        <v/>
      </c>
      <c r="L255" s="53">
        <f>IF(OR($F255="",$G255=""),"",IF(AND(L$5&lt;=$G255,L$5+6&gt;=$F255),IF($H255="Complétée","F",IF(OR($H255="En cours",$H255="En revue"),"E",IF($H255="Bloquée","B","P"))),""))</f>
        <v/>
      </c>
      <c r="M255" s="53">
        <f>IF(OR($F255="",$G255=""),"",IF(AND(M$5&lt;=$G255,M$5+6&gt;=$F255),IF($H255="Complétée","F",IF(OR($H255="En cours",$H255="En revue"),"E",IF($H255="Bloquée","B","P"))),""))</f>
        <v/>
      </c>
      <c r="N255" s="53">
        <f>IF(OR($F255="",$G255=""),"",IF(AND(N$5&lt;=$G255,N$5+6&gt;=$F255),IF($H255="Complétée","F",IF(OR($H255="En cours",$H255="En revue"),"E",IF($H255="Bloquée","B","P"))),""))</f>
        <v/>
      </c>
      <c r="O255" s="53">
        <f>IF(OR($F255="",$G255=""),"",IF(AND(O$5&lt;=$G255,O$5+6&gt;=$F255),IF($H255="Complétée","F",IF(OR($H255="En cours",$H255="En revue"),"E",IF($H255="Bloquée","B","P"))),""))</f>
        <v/>
      </c>
      <c r="P255" s="53">
        <f>IF(OR($F255="",$G255=""),"",IF(AND(P$5&lt;=$G255,P$5+6&gt;=$F255),IF($H255="Complétée","F",IF(OR($H255="En cours",$H255="En revue"),"E",IF($H255="Bloquée","B","P"))),""))</f>
        <v/>
      </c>
      <c r="Q255" s="53">
        <f>IF(OR($F255="",$G255=""),"",IF(AND(Q$5&lt;=$G255,Q$5+6&gt;=$F255),IF($H255="Complétée","F",IF(OR($H255="En cours",$H255="En revue"),"E",IF($H255="Bloquée","B","P"))),""))</f>
        <v/>
      </c>
      <c r="R255" s="53">
        <f>IF(OR($F255="",$G255=""),"",IF(AND(R$5&lt;=$G255,R$5+6&gt;=$F255),IF($H255="Complétée","F",IF(OR($H255="En cours",$H255="En revue"),"E",IF($H255="Bloquée","B","P"))),""))</f>
        <v/>
      </c>
      <c r="S255" s="53">
        <f>IF(OR($F255="",$G255=""),"",IF(AND(S$5&lt;=$G255,S$5+6&gt;=$F255),IF($H255="Complétée","F",IF(OR($H255="En cours",$H255="En revue"),"E",IF($H255="Bloquée","B","P"))),""))</f>
        <v/>
      </c>
      <c r="T255" s="53">
        <f>IF(OR($F255="",$G255=""),"",IF(AND(T$5&lt;=$G255,T$5+6&gt;=$F255),IF($H255="Complétée","F",IF(OR($H255="En cours",$H255="En revue"),"E",IF($H255="Bloquée","B","P"))),""))</f>
        <v/>
      </c>
      <c r="U255" s="53">
        <f>IF(OR($F255="",$G255=""),"",IF(AND(U$5&lt;=$G255,U$5+6&gt;=$F255),IF($H255="Complétée","F",IF(OR($H255="En cours",$H255="En revue"),"E",IF($H255="Bloquée","B","P"))),""))</f>
        <v/>
      </c>
      <c r="V255" s="53">
        <f>IF(OR($F255="",$G255=""),"",IF(AND(V$5&lt;=$G255,V$5+6&gt;=$F255),IF($H255="Complétée","F",IF(OR($H255="En cours",$H255="En revue"),"E",IF($H255="Bloquée","B","P"))),""))</f>
        <v/>
      </c>
      <c r="W255" s="53">
        <f>IF(OR($F255="",$G255=""),"",IF(AND(W$5&lt;=$G255,W$5+6&gt;=$F255),IF($H255="Complétée","F",IF(OR($H255="En cours",$H255="En revue"),"E",IF($H255="Bloquée","B","P"))),""))</f>
        <v/>
      </c>
      <c r="X255" s="53">
        <f>IF(OR($F255="",$G255=""),"",IF(AND(X$5&lt;=$G255,X$5+6&gt;=$F255),IF($H255="Complétée","F",IF(OR($H255="En cours",$H255="En revue"),"E",IF($H255="Bloquée","B","P"))),""))</f>
        <v/>
      </c>
      <c r="Y255" s="53">
        <f>IF(OR($F255="",$G255=""),"",IF(AND(Y$5&lt;=$G255,Y$5+6&gt;=$F255),IF($H255="Complétée","F",IF(OR($H255="En cours",$H255="En revue"),"E",IF($H255="Bloquée","B","P"))),""))</f>
        <v/>
      </c>
      <c r="Z255" s="53">
        <f>IF(OR($F255="",$G255=""),"",IF(AND(Z$5&lt;=$G255,Z$5+6&gt;=$F255),IF($H255="Complétée","F",IF(OR($H255="En cours",$H255="En revue"),"E",IF($H255="Bloquée","B","P"))),""))</f>
        <v/>
      </c>
      <c r="AA255" s="53">
        <f>IF(OR($F255="",$G255=""),"",IF(AND(AA$5&lt;=$G255,AA$5+6&gt;=$F255),IF($H255="Complétée","F",IF(OR($H255="En cours",$H255="En revue"),"E",IF($H255="Bloquée","B","P"))),""))</f>
        <v/>
      </c>
      <c r="AB255" s="53">
        <f>IF(OR($F255="",$G255=""),"",IF(AND(AB$5&lt;=$G255,AB$5+6&gt;=$F255),IF($H255="Complétée","F",IF(OR($H255="En cours",$H255="En revue"),"E",IF($H255="Bloquée","B","P"))),""))</f>
        <v/>
      </c>
      <c r="AC255" s="53">
        <f>IF(OR($F255="",$G255=""),"",IF(AND(AC$5&lt;=$G255,AC$5+6&gt;=$F255),IF($H255="Complétée","F",IF(OR($H255="En cours",$H255="En revue"),"E",IF($H255="Bloquée","B","P"))),""))</f>
        <v/>
      </c>
      <c r="AD255" s="53">
        <f>IF(OR($F255="",$G255=""),"",IF(AND(AD$5&lt;=$G255,AD$5+6&gt;=$F255),IF($H255="Complétée","F",IF(OR($H255="En cours",$H255="En revue"),"E",IF($H255="Bloquée","B","P"))),""))</f>
        <v/>
      </c>
      <c r="AE255" s="53">
        <f>IF(OR($F255="",$G255=""),"",IF(AND(AE$5&lt;=$G255,AE$5+6&gt;=$F255),IF($H255="Complétée","F",IF(OR($H255="En cours",$H255="En revue"),"E",IF($H255="Bloquée","B","P"))),""))</f>
        <v/>
      </c>
      <c r="AF255" s="53">
        <f>IF(OR($F255="",$G255=""),"",IF(AND(AF$5&lt;=$G255,AF$5+6&gt;=$F255),IF($H255="Complétée","F",IF(OR($H255="En cours",$H255="En revue"),"E",IF($H255="Bloquée","B","P"))),""))</f>
        <v/>
      </c>
      <c r="AG255" s="53">
        <f>IF(OR($F255="",$G255=""),"",IF(AND(AG$5&lt;=$G255,AG$5+6&gt;=$F255),IF($H255="Complétée","F",IF(OR($H255="En cours",$H255="En revue"),"E",IF($H255="Bloquée","B","P"))),""))</f>
        <v/>
      </c>
      <c r="AH255" s="53">
        <f>IF(OR($F255="",$G255=""),"",IF(AND(AH$5&lt;=$G255,AH$5+6&gt;=$F255),IF($H255="Complétée","F",IF(OR($H255="En cours",$H255="En revue"),"E",IF($H255="Bloquée","B","P"))),""))</f>
        <v/>
      </c>
      <c r="AI255" s="53">
        <f>IF(OR($F255="",$G255=""),"",IF(AND(AI$5&lt;=$G255,AI$5+6&gt;=$F255),IF($H255="Complétée","F",IF(OR($H255="En cours",$H255="En revue"),"E",IF($H255="Bloquée","B","P"))),""))</f>
        <v/>
      </c>
      <c r="AJ255" s="53">
        <f>IF(OR($F255="",$G255=""),"",IF(AND(AJ$5&lt;=$G255,AJ$5+6&gt;=$F255),IF($H255="Complétée","F",IF(OR($H255="En cours",$H255="En revue"),"E",IF($H255="Bloquée","B","P"))),""))</f>
        <v/>
      </c>
      <c r="AK255" s="53">
        <f>IF(OR($F255="",$G255=""),"",IF(AND(AK$5&lt;=$G255,AK$5+6&gt;=$F255),IF($H255="Complétée","F",IF(OR($H255="En cours",$H255="En revue"),"E",IF($H255="Bloquée","B","P"))),""))</f>
        <v/>
      </c>
      <c r="AL255" s="53">
        <f>IF(OR($F255="",$G255=""),"",IF(AND(AL$5&lt;=$G255,AL$5+6&gt;=$F255),IF($H255="Complétée","F",IF(OR($H255="En cours",$H255="En revue"),"E",IF($H255="Bloquée","B","P"))),""))</f>
        <v/>
      </c>
      <c r="AM255" s="53">
        <f>IF(OR($F255="",$G255=""),"",IF(AND(AM$5&lt;=$G255,AM$5+6&gt;=$F255),IF($H255="Complétée","F",IF(OR($H255="En cours",$H255="En revue"),"E",IF($H255="Bloquée","B","P"))),""))</f>
        <v/>
      </c>
      <c r="AN255" s="53">
        <f>IF(OR($F255="",$G255=""),"",IF(AND(AN$5&lt;=$G255,AN$5+6&gt;=$F255),IF($H255="Complétée","F",IF(OR($H255="En cours",$H255="En revue"),"E",IF($H255="Bloquée","B","P"))),""))</f>
        <v/>
      </c>
      <c r="AO255" s="53">
        <f>IF(OR($F255="",$G255=""),"",IF(AND(AO$5&lt;=$G255,AO$5+6&gt;=$F255),IF($H255="Complétée","F",IF(OR($H255="En cours",$H255="En revue"),"E",IF($H255="Bloquée","B","P"))),""))</f>
        <v/>
      </c>
      <c r="AP255" s="53">
        <f>IF(OR($F255="",$G255=""),"",IF(AND(AP$5&lt;=$G255,AP$5+6&gt;=$F255),IF($H255="Complétée","F",IF(OR($H255="En cours",$H255="En revue"),"E",IF($H255="Bloquée","B","P"))),""))</f>
        <v/>
      </c>
      <c r="AQ255" s="53">
        <f>IF(OR($F255="",$G255=""),"",IF(AND(AQ$5&lt;=$G255,AQ$5+6&gt;=$F255),IF($H255="Complétée","F",IF(OR($H255="En cours",$H255="En revue"),"E",IF($H255="Bloquée","B","P"))),""))</f>
        <v/>
      </c>
      <c r="AR255" s="53">
        <f>IF(OR($F255="",$G255=""),"",IF(AND(AR$5&lt;=$G255,AR$5+6&gt;=$F255),IF($H255="Complétée","F",IF(OR($H255="En cours",$H255="En revue"),"E",IF($H255="Bloquée","B","P"))),""))</f>
        <v/>
      </c>
      <c r="AS255" s="53">
        <f>IF(OR($F255="",$G255=""),"",IF(AND(AS$5&lt;=$G255,AS$5+6&gt;=$F255),IF($H255="Complétée","F",IF(OR($H255="En cours",$H255="En revue"),"E",IF($H255="Bloquée","B","P"))),""))</f>
        <v/>
      </c>
      <c r="AT255" s="53">
        <f>IF(OR($F255="",$G255=""),"",IF(AND(AT$5&lt;=$G255,AT$5+6&gt;=$F255),IF($H255="Complétée","F",IF(OR($H255="En cours",$H255="En revue"),"E",IF($H255="Bloquée","B","P"))),""))</f>
        <v/>
      </c>
      <c r="AU255" s="53">
        <f>IF(OR($F255="",$G255=""),"",IF(AND(AU$5&lt;=$G255,AU$5+6&gt;=$F255),IF($H255="Complétée","F",IF(OR($H255="En cours",$H255="En revue"),"E",IF($H255="Bloquée","B","P"))),""))</f>
        <v/>
      </c>
      <c r="AV255" s="53">
        <f>IF(OR($F255="",$G255=""),"",IF(AND(AV$5&lt;=$G255,AV$5+6&gt;=$F255),IF($H255="Complétée","F",IF(OR($H255="En cours",$H255="En revue"),"E",IF($H255="Bloquée","B","P"))),""))</f>
        <v/>
      </c>
      <c r="AW255" s="53">
        <f>IF(OR($F255="",$G255=""),"",IF(AND(AW$5&lt;=$G255,AW$5+6&gt;=$F255),IF($H255="Complétée","F",IF(OR($H255="En cours",$H255="En revue"),"E",IF($H255="Bloquée","B","P"))),""))</f>
        <v/>
      </c>
    </row>
    <row r="256">
      <c r="B256" s="50">
        <f>IF(Taches!B256="","",Taches!B256)</f>
        <v/>
      </c>
      <c r="C256" s="51">
        <f>IF(Taches!B256="","",Taches!F256)</f>
        <v/>
      </c>
      <c r="D256" s="50">
        <f>IF(Taches!B256="","",Taches!C256)</f>
        <v/>
      </c>
      <c r="E256" s="50">
        <f>IF(Taches!B256="","",Taches!D256)</f>
        <v/>
      </c>
      <c r="F256" s="52">
        <f>IF(Taches!P256="","",Taches!P256)</f>
        <v/>
      </c>
      <c r="G256" s="52">
        <f>IF(Taches!Q256="","",Taches!Q256)</f>
        <v/>
      </c>
      <c r="H256" s="50">
        <f>IF(Taches!B256="","",Taches!J256)</f>
        <v/>
      </c>
      <c r="I256" s="53">
        <f>IF(OR($F256="",$G256=""),"",IF(AND(I$5&lt;=$G256,I$5+6&gt;=$F256),IF($H256="Complétée","F",IF(OR($H256="En cours",$H256="En revue"),"E",IF($H256="Bloquée","B","P"))),""))</f>
        <v/>
      </c>
      <c r="J256" s="53">
        <f>IF(OR($F256="",$G256=""),"",IF(AND(J$5&lt;=$G256,J$5+6&gt;=$F256),IF($H256="Complétée","F",IF(OR($H256="En cours",$H256="En revue"),"E",IF($H256="Bloquée","B","P"))),""))</f>
        <v/>
      </c>
      <c r="K256" s="53">
        <f>IF(OR($F256="",$G256=""),"",IF(AND(K$5&lt;=$G256,K$5+6&gt;=$F256),IF($H256="Complétée","F",IF(OR($H256="En cours",$H256="En revue"),"E",IF($H256="Bloquée","B","P"))),""))</f>
        <v/>
      </c>
      <c r="L256" s="53">
        <f>IF(OR($F256="",$G256=""),"",IF(AND(L$5&lt;=$G256,L$5+6&gt;=$F256),IF($H256="Complétée","F",IF(OR($H256="En cours",$H256="En revue"),"E",IF($H256="Bloquée","B","P"))),""))</f>
        <v/>
      </c>
      <c r="M256" s="53">
        <f>IF(OR($F256="",$G256=""),"",IF(AND(M$5&lt;=$G256,M$5+6&gt;=$F256),IF($H256="Complétée","F",IF(OR($H256="En cours",$H256="En revue"),"E",IF($H256="Bloquée","B","P"))),""))</f>
        <v/>
      </c>
      <c r="N256" s="53">
        <f>IF(OR($F256="",$G256=""),"",IF(AND(N$5&lt;=$G256,N$5+6&gt;=$F256),IF($H256="Complétée","F",IF(OR($H256="En cours",$H256="En revue"),"E",IF($H256="Bloquée","B","P"))),""))</f>
        <v/>
      </c>
      <c r="O256" s="53">
        <f>IF(OR($F256="",$G256=""),"",IF(AND(O$5&lt;=$G256,O$5+6&gt;=$F256),IF($H256="Complétée","F",IF(OR($H256="En cours",$H256="En revue"),"E",IF($H256="Bloquée","B","P"))),""))</f>
        <v/>
      </c>
      <c r="P256" s="53">
        <f>IF(OR($F256="",$G256=""),"",IF(AND(P$5&lt;=$G256,P$5+6&gt;=$F256),IF($H256="Complétée","F",IF(OR($H256="En cours",$H256="En revue"),"E",IF($H256="Bloquée","B","P"))),""))</f>
        <v/>
      </c>
      <c r="Q256" s="53">
        <f>IF(OR($F256="",$G256=""),"",IF(AND(Q$5&lt;=$G256,Q$5+6&gt;=$F256),IF($H256="Complétée","F",IF(OR($H256="En cours",$H256="En revue"),"E",IF($H256="Bloquée","B","P"))),""))</f>
        <v/>
      </c>
      <c r="R256" s="53">
        <f>IF(OR($F256="",$G256=""),"",IF(AND(R$5&lt;=$G256,R$5+6&gt;=$F256),IF($H256="Complétée","F",IF(OR($H256="En cours",$H256="En revue"),"E",IF($H256="Bloquée","B","P"))),""))</f>
        <v/>
      </c>
      <c r="S256" s="53">
        <f>IF(OR($F256="",$G256=""),"",IF(AND(S$5&lt;=$G256,S$5+6&gt;=$F256),IF($H256="Complétée","F",IF(OR($H256="En cours",$H256="En revue"),"E",IF($H256="Bloquée","B","P"))),""))</f>
        <v/>
      </c>
      <c r="T256" s="53">
        <f>IF(OR($F256="",$G256=""),"",IF(AND(T$5&lt;=$G256,T$5+6&gt;=$F256),IF($H256="Complétée","F",IF(OR($H256="En cours",$H256="En revue"),"E",IF($H256="Bloquée","B","P"))),""))</f>
        <v/>
      </c>
      <c r="U256" s="53">
        <f>IF(OR($F256="",$G256=""),"",IF(AND(U$5&lt;=$G256,U$5+6&gt;=$F256),IF($H256="Complétée","F",IF(OR($H256="En cours",$H256="En revue"),"E",IF($H256="Bloquée","B","P"))),""))</f>
        <v/>
      </c>
      <c r="V256" s="53">
        <f>IF(OR($F256="",$G256=""),"",IF(AND(V$5&lt;=$G256,V$5+6&gt;=$F256),IF($H256="Complétée","F",IF(OR($H256="En cours",$H256="En revue"),"E",IF($H256="Bloquée","B","P"))),""))</f>
        <v/>
      </c>
      <c r="W256" s="53">
        <f>IF(OR($F256="",$G256=""),"",IF(AND(W$5&lt;=$G256,W$5+6&gt;=$F256),IF($H256="Complétée","F",IF(OR($H256="En cours",$H256="En revue"),"E",IF($H256="Bloquée","B","P"))),""))</f>
        <v/>
      </c>
      <c r="X256" s="53">
        <f>IF(OR($F256="",$G256=""),"",IF(AND(X$5&lt;=$G256,X$5+6&gt;=$F256),IF($H256="Complétée","F",IF(OR($H256="En cours",$H256="En revue"),"E",IF($H256="Bloquée","B","P"))),""))</f>
        <v/>
      </c>
      <c r="Y256" s="53">
        <f>IF(OR($F256="",$G256=""),"",IF(AND(Y$5&lt;=$G256,Y$5+6&gt;=$F256),IF($H256="Complétée","F",IF(OR($H256="En cours",$H256="En revue"),"E",IF($H256="Bloquée","B","P"))),""))</f>
        <v/>
      </c>
      <c r="Z256" s="53">
        <f>IF(OR($F256="",$G256=""),"",IF(AND(Z$5&lt;=$G256,Z$5+6&gt;=$F256),IF($H256="Complétée","F",IF(OR($H256="En cours",$H256="En revue"),"E",IF($H256="Bloquée","B","P"))),""))</f>
        <v/>
      </c>
      <c r="AA256" s="53">
        <f>IF(OR($F256="",$G256=""),"",IF(AND(AA$5&lt;=$G256,AA$5+6&gt;=$F256),IF($H256="Complétée","F",IF(OR($H256="En cours",$H256="En revue"),"E",IF($H256="Bloquée","B","P"))),""))</f>
        <v/>
      </c>
      <c r="AB256" s="53">
        <f>IF(OR($F256="",$G256=""),"",IF(AND(AB$5&lt;=$G256,AB$5+6&gt;=$F256),IF($H256="Complétée","F",IF(OR($H256="En cours",$H256="En revue"),"E",IF($H256="Bloquée","B","P"))),""))</f>
        <v/>
      </c>
      <c r="AC256" s="53">
        <f>IF(OR($F256="",$G256=""),"",IF(AND(AC$5&lt;=$G256,AC$5+6&gt;=$F256),IF($H256="Complétée","F",IF(OR($H256="En cours",$H256="En revue"),"E",IF($H256="Bloquée","B","P"))),""))</f>
        <v/>
      </c>
      <c r="AD256" s="53">
        <f>IF(OR($F256="",$G256=""),"",IF(AND(AD$5&lt;=$G256,AD$5+6&gt;=$F256),IF($H256="Complétée","F",IF(OR($H256="En cours",$H256="En revue"),"E",IF($H256="Bloquée","B","P"))),""))</f>
        <v/>
      </c>
      <c r="AE256" s="53">
        <f>IF(OR($F256="",$G256=""),"",IF(AND(AE$5&lt;=$G256,AE$5+6&gt;=$F256),IF($H256="Complétée","F",IF(OR($H256="En cours",$H256="En revue"),"E",IF($H256="Bloquée","B","P"))),""))</f>
        <v/>
      </c>
      <c r="AF256" s="53">
        <f>IF(OR($F256="",$G256=""),"",IF(AND(AF$5&lt;=$G256,AF$5+6&gt;=$F256),IF($H256="Complétée","F",IF(OR($H256="En cours",$H256="En revue"),"E",IF($H256="Bloquée","B","P"))),""))</f>
        <v/>
      </c>
      <c r="AG256" s="53">
        <f>IF(OR($F256="",$G256=""),"",IF(AND(AG$5&lt;=$G256,AG$5+6&gt;=$F256),IF($H256="Complétée","F",IF(OR($H256="En cours",$H256="En revue"),"E",IF($H256="Bloquée","B","P"))),""))</f>
        <v/>
      </c>
      <c r="AH256" s="53">
        <f>IF(OR($F256="",$G256=""),"",IF(AND(AH$5&lt;=$G256,AH$5+6&gt;=$F256),IF($H256="Complétée","F",IF(OR($H256="En cours",$H256="En revue"),"E",IF($H256="Bloquée","B","P"))),""))</f>
        <v/>
      </c>
      <c r="AI256" s="53">
        <f>IF(OR($F256="",$G256=""),"",IF(AND(AI$5&lt;=$G256,AI$5+6&gt;=$F256),IF($H256="Complétée","F",IF(OR($H256="En cours",$H256="En revue"),"E",IF($H256="Bloquée","B","P"))),""))</f>
        <v/>
      </c>
      <c r="AJ256" s="53">
        <f>IF(OR($F256="",$G256=""),"",IF(AND(AJ$5&lt;=$G256,AJ$5+6&gt;=$F256),IF($H256="Complétée","F",IF(OR($H256="En cours",$H256="En revue"),"E",IF($H256="Bloquée","B","P"))),""))</f>
        <v/>
      </c>
      <c r="AK256" s="53">
        <f>IF(OR($F256="",$G256=""),"",IF(AND(AK$5&lt;=$G256,AK$5+6&gt;=$F256),IF($H256="Complétée","F",IF(OR($H256="En cours",$H256="En revue"),"E",IF($H256="Bloquée","B","P"))),""))</f>
        <v/>
      </c>
      <c r="AL256" s="53">
        <f>IF(OR($F256="",$G256=""),"",IF(AND(AL$5&lt;=$G256,AL$5+6&gt;=$F256),IF($H256="Complétée","F",IF(OR($H256="En cours",$H256="En revue"),"E",IF($H256="Bloquée","B","P"))),""))</f>
        <v/>
      </c>
      <c r="AM256" s="53">
        <f>IF(OR($F256="",$G256=""),"",IF(AND(AM$5&lt;=$G256,AM$5+6&gt;=$F256),IF($H256="Complétée","F",IF(OR($H256="En cours",$H256="En revue"),"E",IF($H256="Bloquée","B","P"))),""))</f>
        <v/>
      </c>
      <c r="AN256" s="53">
        <f>IF(OR($F256="",$G256=""),"",IF(AND(AN$5&lt;=$G256,AN$5+6&gt;=$F256),IF($H256="Complétée","F",IF(OR($H256="En cours",$H256="En revue"),"E",IF($H256="Bloquée","B","P"))),""))</f>
        <v/>
      </c>
      <c r="AO256" s="53">
        <f>IF(OR($F256="",$G256=""),"",IF(AND(AO$5&lt;=$G256,AO$5+6&gt;=$F256),IF($H256="Complétée","F",IF(OR($H256="En cours",$H256="En revue"),"E",IF($H256="Bloquée","B","P"))),""))</f>
        <v/>
      </c>
      <c r="AP256" s="53">
        <f>IF(OR($F256="",$G256=""),"",IF(AND(AP$5&lt;=$G256,AP$5+6&gt;=$F256),IF($H256="Complétée","F",IF(OR($H256="En cours",$H256="En revue"),"E",IF($H256="Bloquée","B","P"))),""))</f>
        <v/>
      </c>
      <c r="AQ256" s="53">
        <f>IF(OR($F256="",$G256=""),"",IF(AND(AQ$5&lt;=$G256,AQ$5+6&gt;=$F256),IF($H256="Complétée","F",IF(OR($H256="En cours",$H256="En revue"),"E",IF($H256="Bloquée","B","P"))),""))</f>
        <v/>
      </c>
      <c r="AR256" s="53">
        <f>IF(OR($F256="",$G256=""),"",IF(AND(AR$5&lt;=$G256,AR$5+6&gt;=$F256),IF($H256="Complétée","F",IF(OR($H256="En cours",$H256="En revue"),"E",IF($H256="Bloquée","B","P"))),""))</f>
        <v/>
      </c>
      <c r="AS256" s="53">
        <f>IF(OR($F256="",$G256=""),"",IF(AND(AS$5&lt;=$G256,AS$5+6&gt;=$F256),IF($H256="Complétée","F",IF(OR($H256="En cours",$H256="En revue"),"E",IF($H256="Bloquée","B","P"))),""))</f>
        <v/>
      </c>
      <c r="AT256" s="53">
        <f>IF(OR($F256="",$G256=""),"",IF(AND(AT$5&lt;=$G256,AT$5+6&gt;=$F256),IF($H256="Complétée","F",IF(OR($H256="En cours",$H256="En revue"),"E",IF($H256="Bloquée","B","P"))),""))</f>
        <v/>
      </c>
      <c r="AU256" s="53">
        <f>IF(OR($F256="",$G256=""),"",IF(AND(AU$5&lt;=$G256,AU$5+6&gt;=$F256),IF($H256="Complétée","F",IF(OR($H256="En cours",$H256="En revue"),"E",IF($H256="Bloquée","B","P"))),""))</f>
        <v/>
      </c>
      <c r="AV256" s="53">
        <f>IF(OR($F256="",$G256=""),"",IF(AND(AV$5&lt;=$G256,AV$5+6&gt;=$F256),IF($H256="Complétée","F",IF(OR($H256="En cours",$H256="En revue"),"E",IF($H256="Bloquée","B","P"))),""))</f>
        <v/>
      </c>
      <c r="AW256" s="53">
        <f>IF(OR($F256="",$G256=""),"",IF(AND(AW$5&lt;=$G256,AW$5+6&gt;=$F256),IF($H256="Complétée","F",IF(OR($H256="En cours",$H256="En revue"),"E",IF($H256="Bloquée","B","P"))),""))</f>
        <v/>
      </c>
    </row>
    <row r="257">
      <c r="B257" s="50">
        <f>IF(Taches!B257="","",Taches!B257)</f>
        <v/>
      </c>
      <c r="C257" s="51">
        <f>IF(Taches!B257="","",Taches!F257)</f>
        <v/>
      </c>
      <c r="D257" s="50">
        <f>IF(Taches!B257="","",Taches!C257)</f>
        <v/>
      </c>
      <c r="E257" s="50">
        <f>IF(Taches!B257="","",Taches!D257)</f>
        <v/>
      </c>
      <c r="F257" s="52">
        <f>IF(Taches!P257="","",Taches!P257)</f>
        <v/>
      </c>
      <c r="G257" s="52">
        <f>IF(Taches!Q257="","",Taches!Q257)</f>
        <v/>
      </c>
      <c r="H257" s="50">
        <f>IF(Taches!B257="","",Taches!J257)</f>
        <v/>
      </c>
      <c r="I257" s="53">
        <f>IF(OR($F257="",$G257=""),"",IF(AND(I$5&lt;=$G257,I$5+6&gt;=$F257),IF($H257="Complétée","F",IF(OR($H257="En cours",$H257="En revue"),"E",IF($H257="Bloquée","B","P"))),""))</f>
        <v/>
      </c>
      <c r="J257" s="53">
        <f>IF(OR($F257="",$G257=""),"",IF(AND(J$5&lt;=$G257,J$5+6&gt;=$F257),IF($H257="Complétée","F",IF(OR($H257="En cours",$H257="En revue"),"E",IF($H257="Bloquée","B","P"))),""))</f>
        <v/>
      </c>
      <c r="K257" s="53">
        <f>IF(OR($F257="",$G257=""),"",IF(AND(K$5&lt;=$G257,K$5+6&gt;=$F257),IF($H257="Complétée","F",IF(OR($H257="En cours",$H257="En revue"),"E",IF($H257="Bloquée","B","P"))),""))</f>
        <v/>
      </c>
      <c r="L257" s="53">
        <f>IF(OR($F257="",$G257=""),"",IF(AND(L$5&lt;=$G257,L$5+6&gt;=$F257),IF($H257="Complétée","F",IF(OR($H257="En cours",$H257="En revue"),"E",IF($H257="Bloquée","B","P"))),""))</f>
        <v/>
      </c>
      <c r="M257" s="53">
        <f>IF(OR($F257="",$G257=""),"",IF(AND(M$5&lt;=$G257,M$5+6&gt;=$F257),IF($H257="Complétée","F",IF(OR($H257="En cours",$H257="En revue"),"E",IF($H257="Bloquée","B","P"))),""))</f>
        <v/>
      </c>
      <c r="N257" s="53">
        <f>IF(OR($F257="",$G257=""),"",IF(AND(N$5&lt;=$G257,N$5+6&gt;=$F257),IF($H257="Complétée","F",IF(OR($H257="En cours",$H257="En revue"),"E",IF($H257="Bloquée","B","P"))),""))</f>
        <v/>
      </c>
      <c r="O257" s="53">
        <f>IF(OR($F257="",$G257=""),"",IF(AND(O$5&lt;=$G257,O$5+6&gt;=$F257),IF($H257="Complétée","F",IF(OR($H257="En cours",$H257="En revue"),"E",IF($H257="Bloquée","B","P"))),""))</f>
        <v/>
      </c>
      <c r="P257" s="53">
        <f>IF(OR($F257="",$G257=""),"",IF(AND(P$5&lt;=$G257,P$5+6&gt;=$F257),IF($H257="Complétée","F",IF(OR($H257="En cours",$H257="En revue"),"E",IF($H257="Bloquée","B","P"))),""))</f>
        <v/>
      </c>
      <c r="Q257" s="53">
        <f>IF(OR($F257="",$G257=""),"",IF(AND(Q$5&lt;=$G257,Q$5+6&gt;=$F257),IF($H257="Complétée","F",IF(OR($H257="En cours",$H257="En revue"),"E",IF($H257="Bloquée","B","P"))),""))</f>
        <v/>
      </c>
      <c r="R257" s="53">
        <f>IF(OR($F257="",$G257=""),"",IF(AND(R$5&lt;=$G257,R$5+6&gt;=$F257),IF($H257="Complétée","F",IF(OR($H257="En cours",$H257="En revue"),"E",IF($H257="Bloquée","B","P"))),""))</f>
        <v/>
      </c>
      <c r="S257" s="53">
        <f>IF(OR($F257="",$G257=""),"",IF(AND(S$5&lt;=$G257,S$5+6&gt;=$F257),IF($H257="Complétée","F",IF(OR($H257="En cours",$H257="En revue"),"E",IF($H257="Bloquée","B","P"))),""))</f>
        <v/>
      </c>
      <c r="T257" s="53">
        <f>IF(OR($F257="",$G257=""),"",IF(AND(T$5&lt;=$G257,T$5+6&gt;=$F257),IF($H257="Complétée","F",IF(OR($H257="En cours",$H257="En revue"),"E",IF($H257="Bloquée","B","P"))),""))</f>
        <v/>
      </c>
      <c r="U257" s="53">
        <f>IF(OR($F257="",$G257=""),"",IF(AND(U$5&lt;=$G257,U$5+6&gt;=$F257),IF($H257="Complétée","F",IF(OR($H257="En cours",$H257="En revue"),"E",IF($H257="Bloquée","B","P"))),""))</f>
        <v/>
      </c>
      <c r="V257" s="53">
        <f>IF(OR($F257="",$G257=""),"",IF(AND(V$5&lt;=$G257,V$5+6&gt;=$F257),IF($H257="Complétée","F",IF(OR($H257="En cours",$H257="En revue"),"E",IF($H257="Bloquée","B","P"))),""))</f>
        <v/>
      </c>
      <c r="W257" s="53">
        <f>IF(OR($F257="",$G257=""),"",IF(AND(W$5&lt;=$G257,W$5+6&gt;=$F257),IF($H257="Complétée","F",IF(OR($H257="En cours",$H257="En revue"),"E",IF($H257="Bloquée","B","P"))),""))</f>
        <v/>
      </c>
      <c r="X257" s="53">
        <f>IF(OR($F257="",$G257=""),"",IF(AND(X$5&lt;=$G257,X$5+6&gt;=$F257),IF($H257="Complétée","F",IF(OR($H257="En cours",$H257="En revue"),"E",IF($H257="Bloquée","B","P"))),""))</f>
        <v/>
      </c>
      <c r="Y257" s="53">
        <f>IF(OR($F257="",$G257=""),"",IF(AND(Y$5&lt;=$G257,Y$5+6&gt;=$F257),IF($H257="Complétée","F",IF(OR($H257="En cours",$H257="En revue"),"E",IF($H257="Bloquée","B","P"))),""))</f>
        <v/>
      </c>
      <c r="Z257" s="53">
        <f>IF(OR($F257="",$G257=""),"",IF(AND(Z$5&lt;=$G257,Z$5+6&gt;=$F257),IF($H257="Complétée","F",IF(OR($H257="En cours",$H257="En revue"),"E",IF($H257="Bloquée","B","P"))),""))</f>
        <v/>
      </c>
      <c r="AA257" s="53">
        <f>IF(OR($F257="",$G257=""),"",IF(AND(AA$5&lt;=$G257,AA$5+6&gt;=$F257),IF($H257="Complétée","F",IF(OR($H257="En cours",$H257="En revue"),"E",IF($H257="Bloquée","B","P"))),""))</f>
        <v/>
      </c>
      <c r="AB257" s="53">
        <f>IF(OR($F257="",$G257=""),"",IF(AND(AB$5&lt;=$G257,AB$5+6&gt;=$F257),IF($H257="Complétée","F",IF(OR($H257="En cours",$H257="En revue"),"E",IF($H257="Bloquée","B","P"))),""))</f>
        <v/>
      </c>
      <c r="AC257" s="53">
        <f>IF(OR($F257="",$G257=""),"",IF(AND(AC$5&lt;=$G257,AC$5+6&gt;=$F257),IF($H257="Complétée","F",IF(OR($H257="En cours",$H257="En revue"),"E",IF($H257="Bloquée","B","P"))),""))</f>
        <v/>
      </c>
      <c r="AD257" s="53">
        <f>IF(OR($F257="",$G257=""),"",IF(AND(AD$5&lt;=$G257,AD$5+6&gt;=$F257),IF($H257="Complétée","F",IF(OR($H257="En cours",$H257="En revue"),"E",IF($H257="Bloquée","B","P"))),""))</f>
        <v/>
      </c>
      <c r="AE257" s="53">
        <f>IF(OR($F257="",$G257=""),"",IF(AND(AE$5&lt;=$G257,AE$5+6&gt;=$F257),IF($H257="Complétée","F",IF(OR($H257="En cours",$H257="En revue"),"E",IF($H257="Bloquée","B","P"))),""))</f>
        <v/>
      </c>
      <c r="AF257" s="53">
        <f>IF(OR($F257="",$G257=""),"",IF(AND(AF$5&lt;=$G257,AF$5+6&gt;=$F257),IF($H257="Complétée","F",IF(OR($H257="En cours",$H257="En revue"),"E",IF($H257="Bloquée","B","P"))),""))</f>
        <v/>
      </c>
      <c r="AG257" s="53">
        <f>IF(OR($F257="",$G257=""),"",IF(AND(AG$5&lt;=$G257,AG$5+6&gt;=$F257),IF($H257="Complétée","F",IF(OR($H257="En cours",$H257="En revue"),"E",IF($H257="Bloquée","B","P"))),""))</f>
        <v/>
      </c>
      <c r="AH257" s="53">
        <f>IF(OR($F257="",$G257=""),"",IF(AND(AH$5&lt;=$G257,AH$5+6&gt;=$F257),IF($H257="Complétée","F",IF(OR($H257="En cours",$H257="En revue"),"E",IF($H257="Bloquée","B","P"))),""))</f>
        <v/>
      </c>
      <c r="AI257" s="53">
        <f>IF(OR($F257="",$G257=""),"",IF(AND(AI$5&lt;=$G257,AI$5+6&gt;=$F257),IF($H257="Complétée","F",IF(OR($H257="En cours",$H257="En revue"),"E",IF($H257="Bloquée","B","P"))),""))</f>
        <v/>
      </c>
      <c r="AJ257" s="53">
        <f>IF(OR($F257="",$G257=""),"",IF(AND(AJ$5&lt;=$G257,AJ$5+6&gt;=$F257),IF($H257="Complétée","F",IF(OR($H257="En cours",$H257="En revue"),"E",IF($H257="Bloquée","B","P"))),""))</f>
        <v/>
      </c>
      <c r="AK257" s="53">
        <f>IF(OR($F257="",$G257=""),"",IF(AND(AK$5&lt;=$G257,AK$5+6&gt;=$F257),IF($H257="Complétée","F",IF(OR($H257="En cours",$H257="En revue"),"E",IF($H257="Bloquée","B","P"))),""))</f>
        <v/>
      </c>
      <c r="AL257" s="53">
        <f>IF(OR($F257="",$G257=""),"",IF(AND(AL$5&lt;=$G257,AL$5+6&gt;=$F257),IF($H257="Complétée","F",IF(OR($H257="En cours",$H257="En revue"),"E",IF($H257="Bloquée","B","P"))),""))</f>
        <v/>
      </c>
      <c r="AM257" s="53">
        <f>IF(OR($F257="",$G257=""),"",IF(AND(AM$5&lt;=$G257,AM$5+6&gt;=$F257),IF($H257="Complétée","F",IF(OR($H257="En cours",$H257="En revue"),"E",IF($H257="Bloquée","B","P"))),""))</f>
        <v/>
      </c>
      <c r="AN257" s="53">
        <f>IF(OR($F257="",$G257=""),"",IF(AND(AN$5&lt;=$G257,AN$5+6&gt;=$F257),IF($H257="Complétée","F",IF(OR($H257="En cours",$H257="En revue"),"E",IF($H257="Bloquée","B","P"))),""))</f>
        <v/>
      </c>
      <c r="AO257" s="53">
        <f>IF(OR($F257="",$G257=""),"",IF(AND(AO$5&lt;=$G257,AO$5+6&gt;=$F257),IF($H257="Complétée","F",IF(OR($H257="En cours",$H257="En revue"),"E",IF($H257="Bloquée","B","P"))),""))</f>
        <v/>
      </c>
      <c r="AP257" s="53">
        <f>IF(OR($F257="",$G257=""),"",IF(AND(AP$5&lt;=$G257,AP$5+6&gt;=$F257),IF($H257="Complétée","F",IF(OR($H257="En cours",$H257="En revue"),"E",IF($H257="Bloquée","B","P"))),""))</f>
        <v/>
      </c>
      <c r="AQ257" s="53">
        <f>IF(OR($F257="",$G257=""),"",IF(AND(AQ$5&lt;=$G257,AQ$5+6&gt;=$F257),IF($H257="Complétée","F",IF(OR($H257="En cours",$H257="En revue"),"E",IF($H257="Bloquée","B","P"))),""))</f>
        <v/>
      </c>
      <c r="AR257" s="53">
        <f>IF(OR($F257="",$G257=""),"",IF(AND(AR$5&lt;=$G257,AR$5+6&gt;=$F257),IF($H257="Complétée","F",IF(OR($H257="En cours",$H257="En revue"),"E",IF($H257="Bloquée","B","P"))),""))</f>
        <v/>
      </c>
      <c r="AS257" s="53">
        <f>IF(OR($F257="",$G257=""),"",IF(AND(AS$5&lt;=$G257,AS$5+6&gt;=$F257),IF($H257="Complétée","F",IF(OR($H257="En cours",$H257="En revue"),"E",IF($H257="Bloquée","B","P"))),""))</f>
        <v/>
      </c>
      <c r="AT257" s="53">
        <f>IF(OR($F257="",$G257=""),"",IF(AND(AT$5&lt;=$G257,AT$5+6&gt;=$F257),IF($H257="Complétée","F",IF(OR($H257="En cours",$H257="En revue"),"E",IF($H257="Bloquée","B","P"))),""))</f>
        <v/>
      </c>
      <c r="AU257" s="53">
        <f>IF(OR($F257="",$G257=""),"",IF(AND(AU$5&lt;=$G257,AU$5+6&gt;=$F257),IF($H257="Complétée","F",IF(OR($H257="En cours",$H257="En revue"),"E",IF($H257="Bloquée","B","P"))),""))</f>
        <v/>
      </c>
      <c r="AV257" s="53">
        <f>IF(OR($F257="",$G257=""),"",IF(AND(AV$5&lt;=$G257,AV$5+6&gt;=$F257),IF($H257="Complétée","F",IF(OR($H257="En cours",$H257="En revue"),"E",IF($H257="Bloquée","B","P"))),""))</f>
        <v/>
      </c>
      <c r="AW257" s="53">
        <f>IF(OR($F257="",$G257=""),"",IF(AND(AW$5&lt;=$G257,AW$5+6&gt;=$F257),IF($H257="Complétée","F",IF(OR($H257="En cours",$H257="En revue"),"E",IF($H257="Bloquée","B","P"))),""))</f>
        <v/>
      </c>
    </row>
    <row r="258">
      <c r="B258" s="50">
        <f>IF(Taches!B258="","",Taches!B258)</f>
        <v/>
      </c>
      <c r="C258" s="51">
        <f>IF(Taches!B258="","",Taches!F258)</f>
        <v/>
      </c>
      <c r="D258" s="50">
        <f>IF(Taches!B258="","",Taches!C258)</f>
        <v/>
      </c>
      <c r="E258" s="50">
        <f>IF(Taches!B258="","",Taches!D258)</f>
        <v/>
      </c>
      <c r="F258" s="52">
        <f>IF(Taches!P258="","",Taches!P258)</f>
        <v/>
      </c>
      <c r="G258" s="52">
        <f>IF(Taches!Q258="","",Taches!Q258)</f>
        <v/>
      </c>
      <c r="H258" s="50">
        <f>IF(Taches!B258="","",Taches!J258)</f>
        <v/>
      </c>
      <c r="I258" s="53">
        <f>IF(OR($F258="",$G258=""),"",IF(AND(I$5&lt;=$G258,I$5+6&gt;=$F258),IF($H258="Complétée","F",IF(OR($H258="En cours",$H258="En revue"),"E",IF($H258="Bloquée","B","P"))),""))</f>
        <v/>
      </c>
      <c r="J258" s="53">
        <f>IF(OR($F258="",$G258=""),"",IF(AND(J$5&lt;=$G258,J$5+6&gt;=$F258),IF($H258="Complétée","F",IF(OR($H258="En cours",$H258="En revue"),"E",IF($H258="Bloquée","B","P"))),""))</f>
        <v/>
      </c>
      <c r="K258" s="53">
        <f>IF(OR($F258="",$G258=""),"",IF(AND(K$5&lt;=$G258,K$5+6&gt;=$F258),IF($H258="Complétée","F",IF(OR($H258="En cours",$H258="En revue"),"E",IF($H258="Bloquée","B","P"))),""))</f>
        <v/>
      </c>
      <c r="L258" s="53">
        <f>IF(OR($F258="",$G258=""),"",IF(AND(L$5&lt;=$G258,L$5+6&gt;=$F258),IF($H258="Complétée","F",IF(OR($H258="En cours",$H258="En revue"),"E",IF($H258="Bloquée","B","P"))),""))</f>
        <v/>
      </c>
      <c r="M258" s="53">
        <f>IF(OR($F258="",$G258=""),"",IF(AND(M$5&lt;=$G258,M$5+6&gt;=$F258),IF($H258="Complétée","F",IF(OR($H258="En cours",$H258="En revue"),"E",IF($H258="Bloquée","B","P"))),""))</f>
        <v/>
      </c>
      <c r="N258" s="53">
        <f>IF(OR($F258="",$G258=""),"",IF(AND(N$5&lt;=$G258,N$5+6&gt;=$F258),IF($H258="Complétée","F",IF(OR($H258="En cours",$H258="En revue"),"E",IF($H258="Bloquée","B","P"))),""))</f>
        <v/>
      </c>
      <c r="O258" s="53">
        <f>IF(OR($F258="",$G258=""),"",IF(AND(O$5&lt;=$G258,O$5+6&gt;=$F258),IF($H258="Complétée","F",IF(OR($H258="En cours",$H258="En revue"),"E",IF($H258="Bloquée","B","P"))),""))</f>
        <v/>
      </c>
      <c r="P258" s="53">
        <f>IF(OR($F258="",$G258=""),"",IF(AND(P$5&lt;=$G258,P$5+6&gt;=$F258),IF($H258="Complétée","F",IF(OR($H258="En cours",$H258="En revue"),"E",IF($H258="Bloquée","B","P"))),""))</f>
        <v/>
      </c>
      <c r="Q258" s="53">
        <f>IF(OR($F258="",$G258=""),"",IF(AND(Q$5&lt;=$G258,Q$5+6&gt;=$F258),IF($H258="Complétée","F",IF(OR($H258="En cours",$H258="En revue"),"E",IF($H258="Bloquée","B","P"))),""))</f>
        <v/>
      </c>
      <c r="R258" s="53">
        <f>IF(OR($F258="",$G258=""),"",IF(AND(R$5&lt;=$G258,R$5+6&gt;=$F258),IF($H258="Complétée","F",IF(OR($H258="En cours",$H258="En revue"),"E",IF($H258="Bloquée","B","P"))),""))</f>
        <v/>
      </c>
      <c r="S258" s="53">
        <f>IF(OR($F258="",$G258=""),"",IF(AND(S$5&lt;=$G258,S$5+6&gt;=$F258),IF($H258="Complétée","F",IF(OR($H258="En cours",$H258="En revue"),"E",IF($H258="Bloquée","B","P"))),""))</f>
        <v/>
      </c>
      <c r="T258" s="53">
        <f>IF(OR($F258="",$G258=""),"",IF(AND(T$5&lt;=$G258,T$5+6&gt;=$F258),IF($H258="Complétée","F",IF(OR($H258="En cours",$H258="En revue"),"E",IF($H258="Bloquée","B","P"))),""))</f>
        <v/>
      </c>
      <c r="U258" s="53">
        <f>IF(OR($F258="",$G258=""),"",IF(AND(U$5&lt;=$G258,U$5+6&gt;=$F258),IF($H258="Complétée","F",IF(OR($H258="En cours",$H258="En revue"),"E",IF($H258="Bloquée","B","P"))),""))</f>
        <v/>
      </c>
      <c r="V258" s="53">
        <f>IF(OR($F258="",$G258=""),"",IF(AND(V$5&lt;=$G258,V$5+6&gt;=$F258),IF($H258="Complétée","F",IF(OR($H258="En cours",$H258="En revue"),"E",IF($H258="Bloquée","B","P"))),""))</f>
        <v/>
      </c>
      <c r="W258" s="53">
        <f>IF(OR($F258="",$G258=""),"",IF(AND(W$5&lt;=$G258,W$5+6&gt;=$F258),IF($H258="Complétée","F",IF(OR($H258="En cours",$H258="En revue"),"E",IF($H258="Bloquée","B","P"))),""))</f>
        <v/>
      </c>
      <c r="X258" s="53">
        <f>IF(OR($F258="",$G258=""),"",IF(AND(X$5&lt;=$G258,X$5+6&gt;=$F258),IF($H258="Complétée","F",IF(OR($H258="En cours",$H258="En revue"),"E",IF($H258="Bloquée","B","P"))),""))</f>
        <v/>
      </c>
      <c r="Y258" s="53">
        <f>IF(OR($F258="",$G258=""),"",IF(AND(Y$5&lt;=$G258,Y$5+6&gt;=$F258),IF($H258="Complétée","F",IF(OR($H258="En cours",$H258="En revue"),"E",IF($H258="Bloquée","B","P"))),""))</f>
        <v/>
      </c>
      <c r="Z258" s="53">
        <f>IF(OR($F258="",$G258=""),"",IF(AND(Z$5&lt;=$G258,Z$5+6&gt;=$F258),IF($H258="Complétée","F",IF(OR($H258="En cours",$H258="En revue"),"E",IF($H258="Bloquée","B","P"))),""))</f>
        <v/>
      </c>
      <c r="AA258" s="53">
        <f>IF(OR($F258="",$G258=""),"",IF(AND(AA$5&lt;=$G258,AA$5+6&gt;=$F258),IF($H258="Complétée","F",IF(OR($H258="En cours",$H258="En revue"),"E",IF($H258="Bloquée","B","P"))),""))</f>
        <v/>
      </c>
      <c r="AB258" s="53">
        <f>IF(OR($F258="",$G258=""),"",IF(AND(AB$5&lt;=$G258,AB$5+6&gt;=$F258),IF($H258="Complétée","F",IF(OR($H258="En cours",$H258="En revue"),"E",IF($H258="Bloquée","B","P"))),""))</f>
        <v/>
      </c>
      <c r="AC258" s="53">
        <f>IF(OR($F258="",$G258=""),"",IF(AND(AC$5&lt;=$G258,AC$5+6&gt;=$F258),IF($H258="Complétée","F",IF(OR($H258="En cours",$H258="En revue"),"E",IF($H258="Bloquée","B","P"))),""))</f>
        <v/>
      </c>
      <c r="AD258" s="53">
        <f>IF(OR($F258="",$G258=""),"",IF(AND(AD$5&lt;=$G258,AD$5+6&gt;=$F258),IF($H258="Complétée","F",IF(OR($H258="En cours",$H258="En revue"),"E",IF($H258="Bloquée","B","P"))),""))</f>
        <v/>
      </c>
      <c r="AE258" s="53">
        <f>IF(OR($F258="",$G258=""),"",IF(AND(AE$5&lt;=$G258,AE$5+6&gt;=$F258),IF($H258="Complétée","F",IF(OR($H258="En cours",$H258="En revue"),"E",IF($H258="Bloquée","B","P"))),""))</f>
        <v/>
      </c>
      <c r="AF258" s="53">
        <f>IF(OR($F258="",$G258=""),"",IF(AND(AF$5&lt;=$G258,AF$5+6&gt;=$F258),IF($H258="Complétée","F",IF(OR($H258="En cours",$H258="En revue"),"E",IF($H258="Bloquée","B","P"))),""))</f>
        <v/>
      </c>
      <c r="AG258" s="53">
        <f>IF(OR($F258="",$G258=""),"",IF(AND(AG$5&lt;=$G258,AG$5+6&gt;=$F258),IF($H258="Complétée","F",IF(OR($H258="En cours",$H258="En revue"),"E",IF($H258="Bloquée","B","P"))),""))</f>
        <v/>
      </c>
      <c r="AH258" s="53">
        <f>IF(OR($F258="",$G258=""),"",IF(AND(AH$5&lt;=$G258,AH$5+6&gt;=$F258),IF($H258="Complétée","F",IF(OR($H258="En cours",$H258="En revue"),"E",IF($H258="Bloquée","B","P"))),""))</f>
        <v/>
      </c>
      <c r="AI258" s="53">
        <f>IF(OR($F258="",$G258=""),"",IF(AND(AI$5&lt;=$G258,AI$5+6&gt;=$F258),IF($H258="Complétée","F",IF(OR($H258="En cours",$H258="En revue"),"E",IF($H258="Bloquée","B","P"))),""))</f>
        <v/>
      </c>
      <c r="AJ258" s="53">
        <f>IF(OR($F258="",$G258=""),"",IF(AND(AJ$5&lt;=$G258,AJ$5+6&gt;=$F258),IF($H258="Complétée","F",IF(OR($H258="En cours",$H258="En revue"),"E",IF($H258="Bloquée","B","P"))),""))</f>
        <v/>
      </c>
      <c r="AK258" s="53">
        <f>IF(OR($F258="",$G258=""),"",IF(AND(AK$5&lt;=$G258,AK$5+6&gt;=$F258),IF($H258="Complétée","F",IF(OR($H258="En cours",$H258="En revue"),"E",IF($H258="Bloquée","B","P"))),""))</f>
        <v/>
      </c>
      <c r="AL258" s="53">
        <f>IF(OR($F258="",$G258=""),"",IF(AND(AL$5&lt;=$G258,AL$5+6&gt;=$F258),IF($H258="Complétée","F",IF(OR($H258="En cours",$H258="En revue"),"E",IF($H258="Bloquée","B","P"))),""))</f>
        <v/>
      </c>
      <c r="AM258" s="53">
        <f>IF(OR($F258="",$G258=""),"",IF(AND(AM$5&lt;=$G258,AM$5+6&gt;=$F258),IF($H258="Complétée","F",IF(OR($H258="En cours",$H258="En revue"),"E",IF($H258="Bloquée","B","P"))),""))</f>
        <v/>
      </c>
      <c r="AN258" s="53">
        <f>IF(OR($F258="",$G258=""),"",IF(AND(AN$5&lt;=$G258,AN$5+6&gt;=$F258),IF($H258="Complétée","F",IF(OR($H258="En cours",$H258="En revue"),"E",IF($H258="Bloquée","B","P"))),""))</f>
        <v/>
      </c>
      <c r="AO258" s="53">
        <f>IF(OR($F258="",$G258=""),"",IF(AND(AO$5&lt;=$G258,AO$5+6&gt;=$F258),IF($H258="Complétée","F",IF(OR($H258="En cours",$H258="En revue"),"E",IF($H258="Bloquée","B","P"))),""))</f>
        <v/>
      </c>
      <c r="AP258" s="53">
        <f>IF(OR($F258="",$G258=""),"",IF(AND(AP$5&lt;=$G258,AP$5+6&gt;=$F258),IF($H258="Complétée","F",IF(OR($H258="En cours",$H258="En revue"),"E",IF($H258="Bloquée","B","P"))),""))</f>
        <v/>
      </c>
      <c r="AQ258" s="53">
        <f>IF(OR($F258="",$G258=""),"",IF(AND(AQ$5&lt;=$G258,AQ$5+6&gt;=$F258),IF($H258="Complétée","F",IF(OR($H258="En cours",$H258="En revue"),"E",IF($H258="Bloquée","B","P"))),""))</f>
        <v/>
      </c>
      <c r="AR258" s="53">
        <f>IF(OR($F258="",$G258=""),"",IF(AND(AR$5&lt;=$G258,AR$5+6&gt;=$F258),IF($H258="Complétée","F",IF(OR($H258="En cours",$H258="En revue"),"E",IF($H258="Bloquée","B","P"))),""))</f>
        <v/>
      </c>
      <c r="AS258" s="53">
        <f>IF(OR($F258="",$G258=""),"",IF(AND(AS$5&lt;=$G258,AS$5+6&gt;=$F258),IF($H258="Complétée","F",IF(OR($H258="En cours",$H258="En revue"),"E",IF($H258="Bloquée","B","P"))),""))</f>
        <v/>
      </c>
      <c r="AT258" s="53">
        <f>IF(OR($F258="",$G258=""),"",IF(AND(AT$5&lt;=$G258,AT$5+6&gt;=$F258),IF($H258="Complétée","F",IF(OR($H258="En cours",$H258="En revue"),"E",IF($H258="Bloquée","B","P"))),""))</f>
        <v/>
      </c>
      <c r="AU258" s="53">
        <f>IF(OR($F258="",$G258=""),"",IF(AND(AU$5&lt;=$G258,AU$5+6&gt;=$F258),IF($H258="Complétée","F",IF(OR($H258="En cours",$H258="En revue"),"E",IF($H258="Bloquée","B","P"))),""))</f>
        <v/>
      </c>
      <c r="AV258" s="53">
        <f>IF(OR($F258="",$G258=""),"",IF(AND(AV$5&lt;=$G258,AV$5+6&gt;=$F258),IF($H258="Complétée","F",IF(OR($H258="En cours",$H258="En revue"),"E",IF($H258="Bloquée","B","P"))),""))</f>
        <v/>
      </c>
      <c r="AW258" s="53">
        <f>IF(OR($F258="",$G258=""),"",IF(AND(AW$5&lt;=$G258,AW$5+6&gt;=$F258),IF($H258="Complétée","F",IF(OR($H258="En cours",$H258="En revue"),"E",IF($H258="Bloquée","B","P"))),""))</f>
        <v/>
      </c>
    </row>
    <row r="259">
      <c r="B259" s="50">
        <f>IF(Taches!B259="","",Taches!B259)</f>
        <v/>
      </c>
      <c r="C259" s="51">
        <f>IF(Taches!B259="","",Taches!F259)</f>
        <v/>
      </c>
      <c r="D259" s="50">
        <f>IF(Taches!B259="","",Taches!C259)</f>
        <v/>
      </c>
      <c r="E259" s="50">
        <f>IF(Taches!B259="","",Taches!D259)</f>
        <v/>
      </c>
      <c r="F259" s="52">
        <f>IF(Taches!P259="","",Taches!P259)</f>
        <v/>
      </c>
      <c r="G259" s="52">
        <f>IF(Taches!Q259="","",Taches!Q259)</f>
        <v/>
      </c>
      <c r="H259" s="50">
        <f>IF(Taches!B259="","",Taches!J259)</f>
        <v/>
      </c>
      <c r="I259" s="53">
        <f>IF(OR($F259="",$G259=""),"",IF(AND(I$5&lt;=$G259,I$5+6&gt;=$F259),IF($H259="Complétée","F",IF(OR($H259="En cours",$H259="En revue"),"E",IF($H259="Bloquée","B","P"))),""))</f>
        <v/>
      </c>
      <c r="J259" s="53">
        <f>IF(OR($F259="",$G259=""),"",IF(AND(J$5&lt;=$G259,J$5+6&gt;=$F259),IF($H259="Complétée","F",IF(OR($H259="En cours",$H259="En revue"),"E",IF($H259="Bloquée","B","P"))),""))</f>
        <v/>
      </c>
      <c r="K259" s="53">
        <f>IF(OR($F259="",$G259=""),"",IF(AND(K$5&lt;=$G259,K$5+6&gt;=$F259),IF($H259="Complétée","F",IF(OR($H259="En cours",$H259="En revue"),"E",IF($H259="Bloquée","B","P"))),""))</f>
        <v/>
      </c>
      <c r="L259" s="53">
        <f>IF(OR($F259="",$G259=""),"",IF(AND(L$5&lt;=$G259,L$5+6&gt;=$F259),IF($H259="Complétée","F",IF(OR($H259="En cours",$H259="En revue"),"E",IF($H259="Bloquée","B","P"))),""))</f>
        <v/>
      </c>
      <c r="M259" s="53">
        <f>IF(OR($F259="",$G259=""),"",IF(AND(M$5&lt;=$G259,M$5+6&gt;=$F259),IF($H259="Complétée","F",IF(OR($H259="En cours",$H259="En revue"),"E",IF($H259="Bloquée","B","P"))),""))</f>
        <v/>
      </c>
      <c r="N259" s="53">
        <f>IF(OR($F259="",$G259=""),"",IF(AND(N$5&lt;=$G259,N$5+6&gt;=$F259),IF($H259="Complétée","F",IF(OR($H259="En cours",$H259="En revue"),"E",IF($H259="Bloquée","B","P"))),""))</f>
        <v/>
      </c>
      <c r="O259" s="53">
        <f>IF(OR($F259="",$G259=""),"",IF(AND(O$5&lt;=$G259,O$5+6&gt;=$F259),IF($H259="Complétée","F",IF(OR($H259="En cours",$H259="En revue"),"E",IF($H259="Bloquée","B","P"))),""))</f>
        <v/>
      </c>
      <c r="P259" s="53">
        <f>IF(OR($F259="",$G259=""),"",IF(AND(P$5&lt;=$G259,P$5+6&gt;=$F259),IF($H259="Complétée","F",IF(OR($H259="En cours",$H259="En revue"),"E",IF($H259="Bloquée","B","P"))),""))</f>
        <v/>
      </c>
      <c r="Q259" s="53">
        <f>IF(OR($F259="",$G259=""),"",IF(AND(Q$5&lt;=$G259,Q$5+6&gt;=$F259),IF($H259="Complétée","F",IF(OR($H259="En cours",$H259="En revue"),"E",IF($H259="Bloquée","B","P"))),""))</f>
        <v/>
      </c>
      <c r="R259" s="53">
        <f>IF(OR($F259="",$G259=""),"",IF(AND(R$5&lt;=$G259,R$5+6&gt;=$F259),IF($H259="Complétée","F",IF(OR($H259="En cours",$H259="En revue"),"E",IF($H259="Bloquée","B","P"))),""))</f>
        <v/>
      </c>
      <c r="S259" s="53">
        <f>IF(OR($F259="",$G259=""),"",IF(AND(S$5&lt;=$G259,S$5+6&gt;=$F259),IF($H259="Complétée","F",IF(OR($H259="En cours",$H259="En revue"),"E",IF($H259="Bloquée","B","P"))),""))</f>
        <v/>
      </c>
      <c r="T259" s="53">
        <f>IF(OR($F259="",$G259=""),"",IF(AND(T$5&lt;=$G259,T$5+6&gt;=$F259),IF($H259="Complétée","F",IF(OR($H259="En cours",$H259="En revue"),"E",IF($H259="Bloquée","B","P"))),""))</f>
        <v/>
      </c>
      <c r="U259" s="53">
        <f>IF(OR($F259="",$G259=""),"",IF(AND(U$5&lt;=$G259,U$5+6&gt;=$F259),IF($H259="Complétée","F",IF(OR($H259="En cours",$H259="En revue"),"E",IF($H259="Bloquée","B","P"))),""))</f>
        <v/>
      </c>
      <c r="V259" s="53">
        <f>IF(OR($F259="",$G259=""),"",IF(AND(V$5&lt;=$G259,V$5+6&gt;=$F259),IF($H259="Complétée","F",IF(OR($H259="En cours",$H259="En revue"),"E",IF($H259="Bloquée","B","P"))),""))</f>
        <v/>
      </c>
      <c r="W259" s="53">
        <f>IF(OR($F259="",$G259=""),"",IF(AND(W$5&lt;=$G259,W$5+6&gt;=$F259),IF($H259="Complétée","F",IF(OR($H259="En cours",$H259="En revue"),"E",IF($H259="Bloquée","B","P"))),""))</f>
        <v/>
      </c>
      <c r="X259" s="53">
        <f>IF(OR($F259="",$G259=""),"",IF(AND(X$5&lt;=$G259,X$5+6&gt;=$F259),IF($H259="Complétée","F",IF(OR($H259="En cours",$H259="En revue"),"E",IF($H259="Bloquée","B","P"))),""))</f>
        <v/>
      </c>
      <c r="Y259" s="53">
        <f>IF(OR($F259="",$G259=""),"",IF(AND(Y$5&lt;=$G259,Y$5+6&gt;=$F259),IF($H259="Complétée","F",IF(OR($H259="En cours",$H259="En revue"),"E",IF($H259="Bloquée","B","P"))),""))</f>
        <v/>
      </c>
      <c r="Z259" s="53">
        <f>IF(OR($F259="",$G259=""),"",IF(AND(Z$5&lt;=$G259,Z$5+6&gt;=$F259),IF($H259="Complétée","F",IF(OR($H259="En cours",$H259="En revue"),"E",IF($H259="Bloquée","B","P"))),""))</f>
        <v/>
      </c>
      <c r="AA259" s="53">
        <f>IF(OR($F259="",$G259=""),"",IF(AND(AA$5&lt;=$G259,AA$5+6&gt;=$F259),IF($H259="Complétée","F",IF(OR($H259="En cours",$H259="En revue"),"E",IF($H259="Bloquée","B","P"))),""))</f>
        <v/>
      </c>
      <c r="AB259" s="53">
        <f>IF(OR($F259="",$G259=""),"",IF(AND(AB$5&lt;=$G259,AB$5+6&gt;=$F259),IF($H259="Complétée","F",IF(OR($H259="En cours",$H259="En revue"),"E",IF($H259="Bloquée","B","P"))),""))</f>
        <v/>
      </c>
      <c r="AC259" s="53">
        <f>IF(OR($F259="",$G259=""),"",IF(AND(AC$5&lt;=$G259,AC$5+6&gt;=$F259),IF($H259="Complétée","F",IF(OR($H259="En cours",$H259="En revue"),"E",IF($H259="Bloquée","B","P"))),""))</f>
        <v/>
      </c>
      <c r="AD259" s="53">
        <f>IF(OR($F259="",$G259=""),"",IF(AND(AD$5&lt;=$G259,AD$5+6&gt;=$F259),IF($H259="Complétée","F",IF(OR($H259="En cours",$H259="En revue"),"E",IF($H259="Bloquée","B","P"))),""))</f>
        <v/>
      </c>
      <c r="AE259" s="53">
        <f>IF(OR($F259="",$G259=""),"",IF(AND(AE$5&lt;=$G259,AE$5+6&gt;=$F259),IF($H259="Complétée","F",IF(OR($H259="En cours",$H259="En revue"),"E",IF($H259="Bloquée","B","P"))),""))</f>
        <v/>
      </c>
      <c r="AF259" s="53">
        <f>IF(OR($F259="",$G259=""),"",IF(AND(AF$5&lt;=$G259,AF$5+6&gt;=$F259),IF($H259="Complétée","F",IF(OR($H259="En cours",$H259="En revue"),"E",IF($H259="Bloquée","B","P"))),""))</f>
        <v/>
      </c>
      <c r="AG259" s="53">
        <f>IF(OR($F259="",$G259=""),"",IF(AND(AG$5&lt;=$G259,AG$5+6&gt;=$F259),IF($H259="Complétée","F",IF(OR($H259="En cours",$H259="En revue"),"E",IF($H259="Bloquée","B","P"))),""))</f>
        <v/>
      </c>
      <c r="AH259" s="53">
        <f>IF(OR($F259="",$G259=""),"",IF(AND(AH$5&lt;=$G259,AH$5+6&gt;=$F259),IF($H259="Complétée","F",IF(OR($H259="En cours",$H259="En revue"),"E",IF($H259="Bloquée","B","P"))),""))</f>
        <v/>
      </c>
      <c r="AI259" s="53">
        <f>IF(OR($F259="",$G259=""),"",IF(AND(AI$5&lt;=$G259,AI$5+6&gt;=$F259),IF($H259="Complétée","F",IF(OR($H259="En cours",$H259="En revue"),"E",IF($H259="Bloquée","B","P"))),""))</f>
        <v/>
      </c>
      <c r="AJ259" s="53">
        <f>IF(OR($F259="",$G259=""),"",IF(AND(AJ$5&lt;=$G259,AJ$5+6&gt;=$F259),IF($H259="Complétée","F",IF(OR($H259="En cours",$H259="En revue"),"E",IF($H259="Bloquée","B","P"))),""))</f>
        <v/>
      </c>
      <c r="AK259" s="53">
        <f>IF(OR($F259="",$G259=""),"",IF(AND(AK$5&lt;=$G259,AK$5+6&gt;=$F259),IF($H259="Complétée","F",IF(OR($H259="En cours",$H259="En revue"),"E",IF($H259="Bloquée","B","P"))),""))</f>
        <v/>
      </c>
      <c r="AL259" s="53">
        <f>IF(OR($F259="",$G259=""),"",IF(AND(AL$5&lt;=$G259,AL$5+6&gt;=$F259),IF($H259="Complétée","F",IF(OR($H259="En cours",$H259="En revue"),"E",IF($H259="Bloquée","B","P"))),""))</f>
        <v/>
      </c>
      <c r="AM259" s="53">
        <f>IF(OR($F259="",$G259=""),"",IF(AND(AM$5&lt;=$G259,AM$5+6&gt;=$F259),IF($H259="Complétée","F",IF(OR($H259="En cours",$H259="En revue"),"E",IF($H259="Bloquée","B","P"))),""))</f>
        <v/>
      </c>
      <c r="AN259" s="53">
        <f>IF(OR($F259="",$G259=""),"",IF(AND(AN$5&lt;=$G259,AN$5+6&gt;=$F259),IF($H259="Complétée","F",IF(OR($H259="En cours",$H259="En revue"),"E",IF($H259="Bloquée","B","P"))),""))</f>
        <v/>
      </c>
      <c r="AO259" s="53">
        <f>IF(OR($F259="",$G259=""),"",IF(AND(AO$5&lt;=$G259,AO$5+6&gt;=$F259),IF($H259="Complétée","F",IF(OR($H259="En cours",$H259="En revue"),"E",IF($H259="Bloquée","B","P"))),""))</f>
        <v/>
      </c>
      <c r="AP259" s="53">
        <f>IF(OR($F259="",$G259=""),"",IF(AND(AP$5&lt;=$G259,AP$5+6&gt;=$F259),IF($H259="Complétée","F",IF(OR($H259="En cours",$H259="En revue"),"E",IF($H259="Bloquée","B","P"))),""))</f>
        <v/>
      </c>
      <c r="AQ259" s="53">
        <f>IF(OR($F259="",$G259=""),"",IF(AND(AQ$5&lt;=$G259,AQ$5+6&gt;=$F259),IF($H259="Complétée","F",IF(OR($H259="En cours",$H259="En revue"),"E",IF($H259="Bloquée","B","P"))),""))</f>
        <v/>
      </c>
      <c r="AR259" s="53">
        <f>IF(OR($F259="",$G259=""),"",IF(AND(AR$5&lt;=$G259,AR$5+6&gt;=$F259),IF($H259="Complétée","F",IF(OR($H259="En cours",$H259="En revue"),"E",IF($H259="Bloquée","B","P"))),""))</f>
        <v/>
      </c>
      <c r="AS259" s="53">
        <f>IF(OR($F259="",$G259=""),"",IF(AND(AS$5&lt;=$G259,AS$5+6&gt;=$F259),IF($H259="Complétée","F",IF(OR($H259="En cours",$H259="En revue"),"E",IF($H259="Bloquée","B","P"))),""))</f>
        <v/>
      </c>
      <c r="AT259" s="53">
        <f>IF(OR($F259="",$G259=""),"",IF(AND(AT$5&lt;=$G259,AT$5+6&gt;=$F259),IF($H259="Complétée","F",IF(OR($H259="En cours",$H259="En revue"),"E",IF($H259="Bloquée","B","P"))),""))</f>
        <v/>
      </c>
      <c r="AU259" s="53">
        <f>IF(OR($F259="",$G259=""),"",IF(AND(AU$5&lt;=$G259,AU$5+6&gt;=$F259),IF($H259="Complétée","F",IF(OR($H259="En cours",$H259="En revue"),"E",IF($H259="Bloquée","B","P"))),""))</f>
        <v/>
      </c>
      <c r="AV259" s="53">
        <f>IF(OR($F259="",$G259=""),"",IF(AND(AV$5&lt;=$G259,AV$5+6&gt;=$F259),IF($H259="Complétée","F",IF(OR($H259="En cours",$H259="En revue"),"E",IF($H259="Bloquée","B","P"))),""))</f>
        <v/>
      </c>
      <c r="AW259" s="53">
        <f>IF(OR($F259="",$G259=""),"",IF(AND(AW$5&lt;=$G259,AW$5+6&gt;=$F259),IF($H259="Complétée","F",IF(OR($H259="En cours",$H259="En revue"),"E",IF($H259="Bloquée","B","P"))),""))</f>
        <v/>
      </c>
    </row>
    <row r="260">
      <c r="B260" s="50">
        <f>IF(Taches!B260="","",Taches!B260)</f>
        <v/>
      </c>
      <c r="C260" s="51">
        <f>IF(Taches!B260="","",Taches!F260)</f>
        <v/>
      </c>
      <c r="D260" s="50">
        <f>IF(Taches!B260="","",Taches!C260)</f>
        <v/>
      </c>
      <c r="E260" s="50">
        <f>IF(Taches!B260="","",Taches!D260)</f>
        <v/>
      </c>
      <c r="F260" s="52">
        <f>IF(Taches!P260="","",Taches!P260)</f>
        <v/>
      </c>
      <c r="G260" s="52">
        <f>IF(Taches!Q260="","",Taches!Q260)</f>
        <v/>
      </c>
      <c r="H260" s="50">
        <f>IF(Taches!B260="","",Taches!J260)</f>
        <v/>
      </c>
      <c r="I260" s="53">
        <f>IF(OR($F260="",$G260=""),"",IF(AND(I$5&lt;=$G260,I$5+6&gt;=$F260),IF($H260="Complétée","F",IF(OR($H260="En cours",$H260="En revue"),"E",IF($H260="Bloquée","B","P"))),""))</f>
        <v/>
      </c>
      <c r="J260" s="53">
        <f>IF(OR($F260="",$G260=""),"",IF(AND(J$5&lt;=$G260,J$5+6&gt;=$F260),IF($H260="Complétée","F",IF(OR($H260="En cours",$H260="En revue"),"E",IF($H260="Bloquée","B","P"))),""))</f>
        <v/>
      </c>
      <c r="K260" s="53">
        <f>IF(OR($F260="",$G260=""),"",IF(AND(K$5&lt;=$G260,K$5+6&gt;=$F260),IF($H260="Complétée","F",IF(OR($H260="En cours",$H260="En revue"),"E",IF($H260="Bloquée","B","P"))),""))</f>
        <v/>
      </c>
      <c r="L260" s="53">
        <f>IF(OR($F260="",$G260=""),"",IF(AND(L$5&lt;=$G260,L$5+6&gt;=$F260),IF($H260="Complétée","F",IF(OR($H260="En cours",$H260="En revue"),"E",IF($H260="Bloquée","B","P"))),""))</f>
        <v/>
      </c>
      <c r="M260" s="53">
        <f>IF(OR($F260="",$G260=""),"",IF(AND(M$5&lt;=$G260,M$5+6&gt;=$F260),IF($H260="Complétée","F",IF(OR($H260="En cours",$H260="En revue"),"E",IF($H260="Bloquée","B","P"))),""))</f>
        <v/>
      </c>
      <c r="N260" s="53">
        <f>IF(OR($F260="",$G260=""),"",IF(AND(N$5&lt;=$G260,N$5+6&gt;=$F260),IF($H260="Complétée","F",IF(OR($H260="En cours",$H260="En revue"),"E",IF($H260="Bloquée","B","P"))),""))</f>
        <v/>
      </c>
      <c r="O260" s="53">
        <f>IF(OR($F260="",$G260=""),"",IF(AND(O$5&lt;=$G260,O$5+6&gt;=$F260),IF($H260="Complétée","F",IF(OR($H260="En cours",$H260="En revue"),"E",IF($H260="Bloquée","B","P"))),""))</f>
        <v/>
      </c>
      <c r="P260" s="53">
        <f>IF(OR($F260="",$G260=""),"",IF(AND(P$5&lt;=$G260,P$5+6&gt;=$F260),IF($H260="Complétée","F",IF(OR($H260="En cours",$H260="En revue"),"E",IF($H260="Bloquée","B","P"))),""))</f>
        <v/>
      </c>
      <c r="Q260" s="53">
        <f>IF(OR($F260="",$G260=""),"",IF(AND(Q$5&lt;=$G260,Q$5+6&gt;=$F260),IF($H260="Complétée","F",IF(OR($H260="En cours",$H260="En revue"),"E",IF($H260="Bloquée","B","P"))),""))</f>
        <v/>
      </c>
      <c r="R260" s="53">
        <f>IF(OR($F260="",$G260=""),"",IF(AND(R$5&lt;=$G260,R$5+6&gt;=$F260),IF($H260="Complétée","F",IF(OR($H260="En cours",$H260="En revue"),"E",IF($H260="Bloquée","B","P"))),""))</f>
        <v/>
      </c>
      <c r="S260" s="53">
        <f>IF(OR($F260="",$G260=""),"",IF(AND(S$5&lt;=$G260,S$5+6&gt;=$F260),IF($H260="Complétée","F",IF(OR($H260="En cours",$H260="En revue"),"E",IF($H260="Bloquée","B","P"))),""))</f>
        <v/>
      </c>
      <c r="T260" s="53">
        <f>IF(OR($F260="",$G260=""),"",IF(AND(T$5&lt;=$G260,T$5+6&gt;=$F260),IF($H260="Complétée","F",IF(OR($H260="En cours",$H260="En revue"),"E",IF($H260="Bloquée","B","P"))),""))</f>
        <v/>
      </c>
      <c r="U260" s="53">
        <f>IF(OR($F260="",$G260=""),"",IF(AND(U$5&lt;=$G260,U$5+6&gt;=$F260),IF($H260="Complétée","F",IF(OR($H260="En cours",$H260="En revue"),"E",IF($H260="Bloquée","B","P"))),""))</f>
        <v/>
      </c>
      <c r="V260" s="53">
        <f>IF(OR($F260="",$G260=""),"",IF(AND(V$5&lt;=$G260,V$5+6&gt;=$F260),IF($H260="Complétée","F",IF(OR($H260="En cours",$H260="En revue"),"E",IF($H260="Bloquée","B","P"))),""))</f>
        <v/>
      </c>
      <c r="W260" s="53">
        <f>IF(OR($F260="",$G260=""),"",IF(AND(W$5&lt;=$G260,W$5+6&gt;=$F260),IF($H260="Complétée","F",IF(OR($H260="En cours",$H260="En revue"),"E",IF($H260="Bloquée","B","P"))),""))</f>
        <v/>
      </c>
      <c r="X260" s="53">
        <f>IF(OR($F260="",$G260=""),"",IF(AND(X$5&lt;=$G260,X$5+6&gt;=$F260),IF($H260="Complétée","F",IF(OR($H260="En cours",$H260="En revue"),"E",IF($H260="Bloquée","B","P"))),""))</f>
        <v/>
      </c>
      <c r="Y260" s="53">
        <f>IF(OR($F260="",$G260=""),"",IF(AND(Y$5&lt;=$G260,Y$5+6&gt;=$F260),IF($H260="Complétée","F",IF(OR($H260="En cours",$H260="En revue"),"E",IF($H260="Bloquée","B","P"))),""))</f>
        <v/>
      </c>
      <c r="Z260" s="53">
        <f>IF(OR($F260="",$G260=""),"",IF(AND(Z$5&lt;=$G260,Z$5+6&gt;=$F260),IF($H260="Complétée","F",IF(OR($H260="En cours",$H260="En revue"),"E",IF($H260="Bloquée","B","P"))),""))</f>
        <v/>
      </c>
      <c r="AA260" s="53">
        <f>IF(OR($F260="",$G260=""),"",IF(AND(AA$5&lt;=$G260,AA$5+6&gt;=$F260),IF($H260="Complétée","F",IF(OR($H260="En cours",$H260="En revue"),"E",IF($H260="Bloquée","B","P"))),""))</f>
        <v/>
      </c>
      <c r="AB260" s="53">
        <f>IF(OR($F260="",$G260=""),"",IF(AND(AB$5&lt;=$G260,AB$5+6&gt;=$F260),IF($H260="Complétée","F",IF(OR($H260="En cours",$H260="En revue"),"E",IF($H260="Bloquée","B","P"))),""))</f>
        <v/>
      </c>
      <c r="AC260" s="53">
        <f>IF(OR($F260="",$G260=""),"",IF(AND(AC$5&lt;=$G260,AC$5+6&gt;=$F260),IF($H260="Complétée","F",IF(OR($H260="En cours",$H260="En revue"),"E",IF($H260="Bloquée","B","P"))),""))</f>
        <v/>
      </c>
      <c r="AD260" s="53">
        <f>IF(OR($F260="",$G260=""),"",IF(AND(AD$5&lt;=$G260,AD$5+6&gt;=$F260),IF($H260="Complétée","F",IF(OR($H260="En cours",$H260="En revue"),"E",IF($H260="Bloquée","B","P"))),""))</f>
        <v/>
      </c>
      <c r="AE260" s="53">
        <f>IF(OR($F260="",$G260=""),"",IF(AND(AE$5&lt;=$G260,AE$5+6&gt;=$F260),IF($H260="Complétée","F",IF(OR($H260="En cours",$H260="En revue"),"E",IF($H260="Bloquée","B","P"))),""))</f>
        <v/>
      </c>
      <c r="AF260" s="53">
        <f>IF(OR($F260="",$G260=""),"",IF(AND(AF$5&lt;=$G260,AF$5+6&gt;=$F260),IF($H260="Complétée","F",IF(OR($H260="En cours",$H260="En revue"),"E",IF($H260="Bloquée","B","P"))),""))</f>
        <v/>
      </c>
      <c r="AG260" s="53">
        <f>IF(OR($F260="",$G260=""),"",IF(AND(AG$5&lt;=$G260,AG$5+6&gt;=$F260),IF($H260="Complétée","F",IF(OR($H260="En cours",$H260="En revue"),"E",IF($H260="Bloquée","B","P"))),""))</f>
        <v/>
      </c>
      <c r="AH260" s="53">
        <f>IF(OR($F260="",$G260=""),"",IF(AND(AH$5&lt;=$G260,AH$5+6&gt;=$F260),IF($H260="Complétée","F",IF(OR($H260="En cours",$H260="En revue"),"E",IF($H260="Bloquée","B","P"))),""))</f>
        <v/>
      </c>
      <c r="AI260" s="53">
        <f>IF(OR($F260="",$G260=""),"",IF(AND(AI$5&lt;=$G260,AI$5+6&gt;=$F260),IF($H260="Complétée","F",IF(OR($H260="En cours",$H260="En revue"),"E",IF($H260="Bloquée","B","P"))),""))</f>
        <v/>
      </c>
      <c r="AJ260" s="53">
        <f>IF(OR($F260="",$G260=""),"",IF(AND(AJ$5&lt;=$G260,AJ$5+6&gt;=$F260),IF($H260="Complétée","F",IF(OR($H260="En cours",$H260="En revue"),"E",IF($H260="Bloquée","B","P"))),""))</f>
        <v/>
      </c>
      <c r="AK260" s="53">
        <f>IF(OR($F260="",$G260=""),"",IF(AND(AK$5&lt;=$G260,AK$5+6&gt;=$F260),IF($H260="Complétée","F",IF(OR($H260="En cours",$H260="En revue"),"E",IF($H260="Bloquée","B","P"))),""))</f>
        <v/>
      </c>
      <c r="AL260" s="53">
        <f>IF(OR($F260="",$G260=""),"",IF(AND(AL$5&lt;=$G260,AL$5+6&gt;=$F260),IF($H260="Complétée","F",IF(OR($H260="En cours",$H260="En revue"),"E",IF($H260="Bloquée","B","P"))),""))</f>
        <v/>
      </c>
      <c r="AM260" s="53">
        <f>IF(OR($F260="",$G260=""),"",IF(AND(AM$5&lt;=$G260,AM$5+6&gt;=$F260),IF($H260="Complétée","F",IF(OR($H260="En cours",$H260="En revue"),"E",IF($H260="Bloquée","B","P"))),""))</f>
        <v/>
      </c>
      <c r="AN260" s="53">
        <f>IF(OR($F260="",$G260=""),"",IF(AND(AN$5&lt;=$G260,AN$5+6&gt;=$F260),IF($H260="Complétée","F",IF(OR($H260="En cours",$H260="En revue"),"E",IF($H260="Bloquée","B","P"))),""))</f>
        <v/>
      </c>
      <c r="AO260" s="53">
        <f>IF(OR($F260="",$G260=""),"",IF(AND(AO$5&lt;=$G260,AO$5+6&gt;=$F260),IF($H260="Complétée","F",IF(OR($H260="En cours",$H260="En revue"),"E",IF($H260="Bloquée","B","P"))),""))</f>
        <v/>
      </c>
      <c r="AP260" s="53">
        <f>IF(OR($F260="",$G260=""),"",IF(AND(AP$5&lt;=$G260,AP$5+6&gt;=$F260),IF($H260="Complétée","F",IF(OR($H260="En cours",$H260="En revue"),"E",IF($H260="Bloquée","B","P"))),""))</f>
        <v/>
      </c>
      <c r="AQ260" s="53">
        <f>IF(OR($F260="",$G260=""),"",IF(AND(AQ$5&lt;=$G260,AQ$5+6&gt;=$F260),IF($H260="Complétée","F",IF(OR($H260="En cours",$H260="En revue"),"E",IF($H260="Bloquée","B","P"))),""))</f>
        <v/>
      </c>
      <c r="AR260" s="53">
        <f>IF(OR($F260="",$G260=""),"",IF(AND(AR$5&lt;=$G260,AR$5+6&gt;=$F260),IF($H260="Complétée","F",IF(OR($H260="En cours",$H260="En revue"),"E",IF($H260="Bloquée","B","P"))),""))</f>
        <v/>
      </c>
      <c r="AS260" s="53">
        <f>IF(OR($F260="",$G260=""),"",IF(AND(AS$5&lt;=$G260,AS$5+6&gt;=$F260),IF($H260="Complétée","F",IF(OR($H260="En cours",$H260="En revue"),"E",IF($H260="Bloquée","B","P"))),""))</f>
        <v/>
      </c>
      <c r="AT260" s="53">
        <f>IF(OR($F260="",$G260=""),"",IF(AND(AT$5&lt;=$G260,AT$5+6&gt;=$F260),IF($H260="Complétée","F",IF(OR($H260="En cours",$H260="En revue"),"E",IF($H260="Bloquée","B","P"))),""))</f>
        <v/>
      </c>
      <c r="AU260" s="53">
        <f>IF(OR($F260="",$G260=""),"",IF(AND(AU$5&lt;=$G260,AU$5+6&gt;=$F260),IF($H260="Complétée","F",IF(OR($H260="En cours",$H260="En revue"),"E",IF($H260="Bloquée","B","P"))),""))</f>
        <v/>
      </c>
      <c r="AV260" s="53">
        <f>IF(OR($F260="",$G260=""),"",IF(AND(AV$5&lt;=$G260,AV$5+6&gt;=$F260),IF($H260="Complétée","F",IF(OR($H260="En cours",$H260="En revue"),"E",IF($H260="Bloquée","B","P"))),""))</f>
        <v/>
      </c>
      <c r="AW260" s="53">
        <f>IF(OR($F260="",$G260=""),"",IF(AND(AW$5&lt;=$G260,AW$5+6&gt;=$F260),IF($H260="Complétée","F",IF(OR($H260="En cours",$H260="En revue"),"E",IF($H260="Bloquée","B","P"))),""))</f>
        <v/>
      </c>
    </row>
    <row r="261">
      <c r="B261" s="50">
        <f>IF(Taches!B261="","",Taches!B261)</f>
        <v/>
      </c>
      <c r="C261" s="51">
        <f>IF(Taches!B261="","",Taches!F261)</f>
        <v/>
      </c>
      <c r="D261" s="50">
        <f>IF(Taches!B261="","",Taches!C261)</f>
        <v/>
      </c>
      <c r="E261" s="50">
        <f>IF(Taches!B261="","",Taches!D261)</f>
        <v/>
      </c>
      <c r="F261" s="52">
        <f>IF(Taches!P261="","",Taches!P261)</f>
        <v/>
      </c>
      <c r="G261" s="52">
        <f>IF(Taches!Q261="","",Taches!Q261)</f>
        <v/>
      </c>
      <c r="H261" s="50">
        <f>IF(Taches!B261="","",Taches!J261)</f>
        <v/>
      </c>
      <c r="I261" s="53">
        <f>IF(OR($F261="",$G261=""),"",IF(AND(I$5&lt;=$G261,I$5+6&gt;=$F261),IF($H261="Complétée","F",IF(OR($H261="En cours",$H261="En revue"),"E",IF($H261="Bloquée","B","P"))),""))</f>
        <v/>
      </c>
      <c r="J261" s="53">
        <f>IF(OR($F261="",$G261=""),"",IF(AND(J$5&lt;=$G261,J$5+6&gt;=$F261),IF($H261="Complétée","F",IF(OR($H261="En cours",$H261="En revue"),"E",IF($H261="Bloquée","B","P"))),""))</f>
        <v/>
      </c>
      <c r="K261" s="53">
        <f>IF(OR($F261="",$G261=""),"",IF(AND(K$5&lt;=$G261,K$5+6&gt;=$F261),IF($H261="Complétée","F",IF(OR($H261="En cours",$H261="En revue"),"E",IF($H261="Bloquée","B","P"))),""))</f>
        <v/>
      </c>
      <c r="L261" s="53">
        <f>IF(OR($F261="",$G261=""),"",IF(AND(L$5&lt;=$G261,L$5+6&gt;=$F261),IF($H261="Complétée","F",IF(OR($H261="En cours",$H261="En revue"),"E",IF($H261="Bloquée","B","P"))),""))</f>
        <v/>
      </c>
      <c r="M261" s="53">
        <f>IF(OR($F261="",$G261=""),"",IF(AND(M$5&lt;=$G261,M$5+6&gt;=$F261),IF($H261="Complétée","F",IF(OR($H261="En cours",$H261="En revue"),"E",IF($H261="Bloquée","B","P"))),""))</f>
        <v/>
      </c>
      <c r="N261" s="53">
        <f>IF(OR($F261="",$G261=""),"",IF(AND(N$5&lt;=$G261,N$5+6&gt;=$F261),IF($H261="Complétée","F",IF(OR($H261="En cours",$H261="En revue"),"E",IF($H261="Bloquée","B","P"))),""))</f>
        <v/>
      </c>
      <c r="O261" s="53">
        <f>IF(OR($F261="",$G261=""),"",IF(AND(O$5&lt;=$G261,O$5+6&gt;=$F261),IF($H261="Complétée","F",IF(OR($H261="En cours",$H261="En revue"),"E",IF($H261="Bloquée","B","P"))),""))</f>
        <v/>
      </c>
      <c r="P261" s="53">
        <f>IF(OR($F261="",$G261=""),"",IF(AND(P$5&lt;=$G261,P$5+6&gt;=$F261),IF($H261="Complétée","F",IF(OR($H261="En cours",$H261="En revue"),"E",IF($H261="Bloquée","B","P"))),""))</f>
        <v/>
      </c>
      <c r="Q261" s="53">
        <f>IF(OR($F261="",$G261=""),"",IF(AND(Q$5&lt;=$G261,Q$5+6&gt;=$F261),IF($H261="Complétée","F",IF(OR($H261="En cours",$H261="En revue"),"E",IF($H261="Bloquée","B","P"))),""))</f>
        <v/>
      </c>
      <c r="R261" s="53">
        <f>IF(OR($F261="",$G261=""),"",IF(AND(R$5&lt;=$G261,R$5+6&gt;=$F261),IF($H261="Complétée","F",IF(OR($H261="En cours",$H261="En revue"),"E",IF($H261="Bloquée","B","P"))),""))</f>
        <v/>
      </c>
      <c r="S261" s="53">
        <f>IF(OR($F261="",$G261=""),"",IF(AND(S$5&lt;=$G261,S$5+6&gt;=$F261),IF($H261="Complétée","F",IF(OR($H261="En cours",$H261="En revue"),"E",IF($H261="Bloquée","B","P"))),""))</f>
        <v/>
      </c>
      <c r="T261" s="53">
        <f>IF(OR($F261="",$G261=""),"",IF(AND(T$5&lt;=$G261,T$5+6&gt;=$F261),IF($H261="Complétée","F",IF(OR($H261="En cours",$H261="En revue"),"E",IF($H261="Bloquée","B","P"))),""))</f>
        <v/>
      </c>
      <c r="U261" s="53">
        <f>IF(OR($F261="",$G261=""),"",IF(AND(U$5&lt;=$G261,U$5+6&gt;=$F261),IF($H261="Complétée","F",IF(OR($H261="En cours",$H261="En revue"),"E",IF($H261="Bloquée","B","P"))),""))</f>
        <v/>
      </c>
      <c r="V261" s="53">
        <f>IF(OR($F261="",$G261=""),"",IF(AND(V$5&lt;=$G261,V$5+6&gt;=$F261),IF($H261="Complétée","F",IF(OR($H261="En cours",$H261="En revue"),"E",IF($H261="Bloquée","B","P"))),""))</f>
        <v/>
      </c>
      <c r="W261" s="53">
        <f>IF(OR($F261="",$G261=""),"",IF(AND(W$5&lt;=$G261,W$5+6&gt;=$F261),IF($H261="Complétée","F",IF(OR($H261="En cours",$H261="En revue"),"E",IF($H261="Bloquée","B","P"))),""))</f>
        <v/>
      </c>
      <c r="X261" s="53">
        <f>IF(OR($F261="",$G261=""),"",IF(AND(X$5&lt;=$G261,X$5+6&gt;=$F261),IF($H261="Complétée","F",IF(OR($H261="En cours",$H261="En revue"),"E",IF($H261="Bloquée","B","P"))),""))</f>
        <v/>
      </c>
      <c r="Y261" s="53">
        <f>IF(OR($F261="",$G261=""),"",IF(AND(Y$5&lt;=$G261,Y$5+6&gt;=$F261),IF($H261="Complétée","F",IF(OR($H261="En cours",$H261="En revue"),"E",IF($H261="Bloquée","B","P"))),""))</f>
        <v/>
      </c>
      <c r="Z261" s="53">
        <f>IF(OR($F261="",$G261=""),"",IF(AND(Z$5&lt;=$G261,Z$5+6&gt;=$F261),IF($H261="Complétée","F",IF(OR($H261="En cours",$H261="En revue"),"E",IF($H261="Bloquée","B","P"))),""))</f>
        <v/>
      </c>
      <c r="AA261" s="53">
        <f>IF(OR($F261="",$G261=""),"",IF(AND(AA$5&lt;=$G261,AA$5+6&gt;=$F261),IF($H261="Complétée","F",IF(OR($H261="En cours",$H261="En revue"),"E",IF($H261="Bloquée","B","P"))),""))</f>
        <v/>
      </c>
      <c r="AB261" s="53">
        <f>IF(OR($F261="",$G261=""),"",IF(AND(AB$5&lt;=$G261,AB$5+6&gt;=$F261),IF($H261="Complétée","F",IF(OR($H261="En cours",$H261="En revue"),"E",IF($H261="Bloquée","B","P"))),""))</f>
        <v/>
      </c>
      <c r="AC261" s="53">
        <f>IF(OR($F261="",$G261=""),"",IF(AND(AC$5&lt;=$G261,AC$5+6&gt;=$F261),IF($H261="Complétée","F",IF(OR($H261="En cours",$H261="En revue"),"E",IF($H261="Bloquée","B","P"))),""))</f>
        <v/>
      </c>
      <c r="AD261" s="53">
        <f>IF(OR($F261="",$G261=""),"",IF(AND(AD$5&lt;=$G261,AD$5+6&gt;=$F261),IF($H261="Complétée","F",IF(OR($H261="En cours",$H261="En revue"),"E",IF($H261="Bloquée","B","P"))),""))</f>
        <v/>
      </c>
      <c r="AE261" s="53">
        <f>IF(OR($F261="",$G261=""),"",IF(AND(AE$5&lt;=$G261,AE$5+6&gt;=$F261),IF($H261="Complétée","F",IF(OR($H261="En cours",$H261="En revue"),"E",IF($H261="Bloquée","B","P"))),""))</f>
        <v/>
      </c>
      <c r="AF261" s="53">
        <f>IF(OR($F261="",$G261=""),"",IF(AND(AF$5&lt;=$G261,AF$5+6&gt;=$F261),IF($H261="Complétée","F",IF(OR($H261="En cours",$H261="En revue"),"E",IF($H261="Bloquée","B","P"))),""))</f>
        <v/>
      </c>
      <c r="AG261" s="53">
        <f>IF(OR($F261="",$G261=""),"",IF(AND(AG$5&lt;=$G261,AG$5+6&gt;=$F261),IF($H261="Complétée","F",IF(OR($H261="En cours",$H261="En revue"),"E",IF($H261="Bloquée","B","P"))),""))</f>
        <v/>
      </c>
      <c r="AH261" s="53">
        <f>IF(OR($F261="",$G261=""),"",IF(AND(AH$5&lt;=$G261,AH$5+6&gt;=$F261),IF($H261="Complétée","F",IF(OR($H261="En cours",$H261="En revue"),"E",IF($H261="Bloquée","B","P"))),""))</f>
        <v/>
      </c>
      <c r="AI261" s="53">
        <f>IF(OR($F261="",$G261=""),"",IF(AND(AI$5&lt;=$G261,AI$5+6&gt;=$F261),IF($H261="Complétée","F",IF(OR($H261="En cours",$H261="En revue"),"E",IF($H261="Bloquée","B","P"))),""))</f>
        <v/>
      </c>
      <c r="AJ261" s="53">
        <f>IF(OR($F261="",$G261=""),"",IF(AND(AJ$5&lt;=$G261,AJ$5+6&gt;=$F261),IF($H261="Complétée","F",IF(OR($H261="En cours",$H261="En revue"),"E",IF($H261="Bloquée","B","P"))),""))</f>
        <v/>
      </c>
      <c r="AK261" s="53">
        <f>IF(OR($F261="",$G261=""),"",IF(AND(AK$5&lt;=$G261,AK$5+6&gt;=$F261),IF($H261="Complétée","F",IF(OR($H261="En cours",$H261="En revue"),"E",IF($H261="Bloquée","B","P"))),""))</f>
        <v/>
      </c>
      <c r="AL261" s="53">
        <f>IF(OR($F261="",$G261=""),"",IF(AND(AL$5&lt;=$G261,AL$5+6&gt;=$F261),IF($H261="Complétée","F",IF(OR($H261="En cours",$H261="En revue"),"E",IF($H261="Bloquée","B","P"))),""))</f>
        <v/>
      </c>
      <c r="AM261" s="53">
        <f>IF(OR($F261="",$G261=""),"",IF(AND(AM$5&lt;=$G261,AM$5+6&gt;=$F261),IF($H261="Complétée","F",IF(OR($H261="En cours",$H261="En revue"),"E",IF($H261="Bloquée","B","P"))),""))</f>
        <v/>
      </c>
      <c r="AN261" s="53">
        <f>IF(OR($F261="",$G261=""),"",IF(AND(AN$5&lt;=$G261,AN$5+6&gt;=$F261),IF($H261="Complétée","F",IF(OR($H261="En cours",$H261="En revue"),"E",IF($H261="Bloquée","B","P"))),""))</f>
        <v/>
      </c>
      <c r="AO261" s="53">
        <f>IF(OR($F261="",$G261=""),"",IF(AND(AO$5&lt;=$G261,AO$5+6&gt;=$F261),IF($H261="Complétée","F",IF(OR($H261="En cours",$H261="En revue"),"E",IF($H261="Bloquée","B","P"))),""))</f>
        <v/>
      </c>
      <c r="AP261" s="53">
        <f>IF(OR($F261="",$G261=""),"",IF(AND(AP$5&lt;=$G261,AP$5+6&gt;=$F261),IF($H261="Complétée","F",IF(OR($H261="En cours",$H261="En revue"),"E",IF($H261="Bloquée","B","P"))),""))</f>
        <v/>
      </c>
      <c r="AQ261" s="53">
        <f>IF(OR($F261="",$G261=""),"",IF(AND(AQ$5&lt;=$G261,AQ$5+6&gt;=$F261),IF($H261="Complétée","F",IF(OR($H261="En cours",$H261="En revue"),"E",IF($H261="Bloquée","B","P"))),""))</f>
        <v/>
      </c>
      <c r="AR261" s="53">
        <f>IF(OR($F261="",$G261=""),"",IF(AND(AR$5&lt;=$G261,AR$5+6&gt;=$F261),IF($H261="Complétée","F",IF(OR($H261="En cours",$H261="En revue"),"E",IF($H261="Bloquée","B","P"))),""))</f>
        <v/>
      </c>
      <c r="AS261" s="53">
        <f>IF(OR($F261="",$G261=""),"",IF(AND(AS$5&lt;=$G261,AS$5+6&gt;=$F261),IF($H261="Complétée","F",IF(OR($H261="En cours",$H261="En revue"),"E",IF($H261="Bloquée","B","P"))),""))</f>
        <v/>
      </c>
      <c r="AT261" s="53">
        <f>IF(OR($F261="",$G261=""),"",IF(AND(AT$5&lt;=$G261,AT$5+6&gt;=$F261),IF($H261="Complétée","F",IF(OR($H261="En cours",$H261="En revue"),"E",IF($H261="Bloquée","B","P"))),""))</f>
        <v/>
      </c>
      <c r="AU261" s="53">
        <f>IF(OR($F261="",$G261=""),"",IF(AND(AU$5&lt;=$G261,AU$5+6&gt;=$F261),IF($H261="Complétée","F",IF(OR($H261="En cours",$H261="En revue"),"E",IF($H261="Bloquée","B","P"))),""))</f>
        <v/>
      </c>
      <c r="AV261" s="53">
        <f>IF(OR($F261="",$G261=""),"",IF(AND(AV$5&lt;=$G261,AV$5+6&gt;=$F261),IF($H261="Complétée","F",IF(OR($H261="En cours",$H261="En revue"),"E",IF($H261="Bloquée","B","P"))),""))</f>
        <v/>
      </c>
      <c r="AW261" s="53">
        <f>IF(OR($F261="",$G261=""),"",IF(AND(AW$5&lt;=$G261,AW$5+6&gt;=$F261),IF($H261="Complétée","F",IF(OR($H261="En cours",$H261="En revue"),"E",IF($H261="Bloquée","B","P"))),""))</f>
        <v/>
      </c>
    </row>
    <row r="262">
      <c r="B262" s="50">
        <f>IF(Taches!B262="","",Taches!B262)</f>
        <v/>
      </c>
      <c r="C262" s="51">
        <f>IF(Taches!B262="","",Taches!F262)</f>
        <v/>
      </c>
      <c r="D262" s="50">
        <f>IF(Taches!B262="","",Taches!C262)</f>
        <v/>
      </c>
      <c r="E262" s="50">
        <f>IF(Taches!B262="","",Taches!D262)</f>
        <v/>
      </c>
      <c r="F262" s="52">
        <f>IF(Taches!P262="","",Taches!P262)</f>
        <v/>
      </c>
      <c r="G262" s="52">
        <f>IF(Taches!Q262="","",Taches!Q262)</f>
        <v/>
      </c>
      <c r="H262" s="50">
        <f>IF(Taches!B262="","",Taches!J262)</f>
        <v/>
      </c>
      <c r="I262" s="53">
        <f>IF(OR($F262="",$G262=""),"",IF(AND(I$5&lt;=$G262,I$5+6&gt;=$F262),IF($H262="Complétée","F",IF(OR($H262="En cours",$H262="En revue"),"E",IF($H262="Bloquée","B","P"))),""))</f>
        <v/>
      </c>
      <c r="J262" s="53">
        <f>IF(OR($F262="",$G262=""),"",IF(AND(J$5&lt;=$G262,J$5+6&gt;=$F262),IF($H262="Complétée","F",IF(OR($H262="En cours",$H262="En revue"),"E",IF($H262="Bloquée","B","P"))),""))</f>
        <v/>
      </c>
      <c r="K262" s="53">
        <f>IF(OR($F262="",$G262=""),"",IF(AND(K$5&lt;=$G262,K$5+6&gt;=$F262),IF($H262="Complétée","F",IF(OR($H262="En cours",$H262="En revue"),"E",IF($H262="Bloquée","B","P"))),""))</f>
        <v/>
      </c>
      <c r="L262" s="53">
        <f>IF(OR($F262="",$G262=""),"",IF(AND(L$5&lt;=$G262,L$5+6&gt;=$F262),IF($H262="Complétée","F",IF(OR($H262="En cours",$H262="En revue"),"E",IF($H262="Bloquée","B","P"))),""))</f>
        <v/>
      </c>
      <c r="M262" s="53">
        <f>IF(OR($F262="",$G262=""),"",IF(AND(M$5&lt;=$G262,M$5+6&gt;=$F262),IF($H262="Complétée","F",IF(OR($H262="En cours",$H262="En revue"),"E",IF($H262="Bloquée","B","P"))),""))</f>
        <v/>
      </c>
      <c r="N262" s="53">
        <f>IF(OR($F262="",$G262=""),"",IF(AND(N$5&lt;=$G262,N$5+6&gt;=$F262),IF($H262="Complétée","F",IF(OR($H262="En cours",$H262="En revue"),"E",IF($H262="Bloquée","B","P"))),""))</f>
        <v/>
      </c>
      <c r="O262" s="53">
        <f>IF(OR($F262="",$G262=""),"",IF(AND(O$5&lt;=$G262,O$5+6&gt;=$F262),IF($H262="Complétée","F",IF(OR($H262="En cours",$H262="En revue"),"E",IF($H262="Bloquée","B","P"))),""))</f>
        <v/>
      </c>
      <c r="P262" s="53">
        <f>IF(OR($F262="",$G262=""),"",IF(AND(P$5&lt;=$G262,P$5+6&gt;=$F262),IF($H262="Complétée","F",IF(OR($H262="En cours",$H262="En revue"),"E",IF($H262="Bloquée","B","P"))),""))</f>
        <v/>
      </c>
      <c r="Q262" s="53">
        <f>IF(OR($F262="",$G262=""),"",IF(AND(Q$5&lt;=$G262,Q$5+6&gt;=$F262),IF($H262="Complétée","F",IF(OR($H262="En cours",$H262="En revue"),"E",IF($H262="Bloquée","B","P"))),""))</f>
        <v/>
      </c>
      <c r="R262" s="53">
        <f>IF(OR($F262="",$G262=""),"",IF(AND(R$5&lt;=$G262,R$5+6&gt;=$F262),IF($H262="Complétée","F",IF(OR($H262="En cours",$H262="En revue"),"E",IF($H262="Bloquée","B","P"))),""))</f>
        <v/>
      </c>
      <c r="S262" s="53">
        <f>IF(OR($F262="",$G262=""),"",IF(AND(S$5&lt;=$G262,S$5+6&gt;=$F262),IF($H262="Complétée","F",IF(OR($H262="En cours",$H262="En revue"),"E",IF($H262="Bloquée","B","P"))),""))</f>
        <v/>
      </c>
      <c r="T262" s="53">
        <f>IF(OR($F262="",$G262=""),"",IF(AND(T$5&lt;=$G262,T$5+6&gt;=$F262),IF($H262="Complétée","F",IF(OR($H262="En cours",$H262="En revue"),"E",IF($H262="Bloquée","B","P"))),""))</f>
        <v/>
      </c>
      <c r="U262" s="53">
        <f>IF(OR($F262="",$G262=""),"",IF(AND(U$5&lt;=$G262,U$5+6&gt;=$F262),IF($H262="Complétée","F",IF(OR($H262="En cours",$H262="En revue"),"E",IF($H262="Bloquée","B","P"))),""))</f>
        <v/>
      </c>
      <c r="V262" s="53">
        <f>IF(OR($F262="",$G262=""),"",IF(AND(V$5&lt;=$G262,V$5+6&gt;=$F262),IF($H262="Complétée","F",IF(OR($H262="En cours",$H262="En revue"),"E",IF($H262="Bloquée","B","P"))),""))</f>
        <v/>
      </c>
      <c r="W262" s="53">
        <f>IF(OR($F262="",$G262=""),"",IF(AND(W$5&lt;=$G262,W$5+6&gt;=$F262),IF($H262="Complétée","F",IF(OR($H262="En cours",$H262="En revue"),"E",IF($H262="Bloquée","B","P"))),""))</f>
        <v/>
      </c>
      <c r="X262" s="53">
        <f>IF(OR($F262="",$G262=""),"",IF(AND(X$5&lt;=$G262,X$5+6&gt;=$F262),IF($H262="Complétée","F",IF(OR($H262="En cours",$H262="En revue"),"E",IF($H262="Bloquée","B","P"))),""))</f>
        <v/>
      </c>
      <c r="Y262" s="53">
        <f>IF(OR($F262="",$G262=""),"",IF(AND(Y$5&lt;=$G262,Y$5+6&gt;=$F262),IF($H262="Complétée","F",IF(OR($H262="En cours",$H262="En revue"),"E",IF($H262="Bloquée","B","P"))),""))</f>
        <v/>
      </c>
      <c r="Z262" s="53">
        <f>IF(OR($F262="",$G262=""),"",IF(AND(Z$5&lt;=$G262,Z$5+6&gt;=$F262),IF($H262="Complétée","F",IF(OR($H262="En cours",$H262="En revue"),"E",IF($H262="Bloquée","B","P"))),""))</f>
        <v/>
      </c>
      <c r="AA262" s="53">
        <f>IF(OR($F262="",$G262=""),"",IF(AND(AA$5&lt;=$G262,AA$5+6&gt;=$F262),IF($H262="Complétée","F",IF(OR($H262="En cours",$H262="En revue"),"E",IF($H262="Bloquée","B","P"))),""))</f>
        <v/>
      </c>
      <c r="AB262" s="53">
        <f>IF(OR($F262="",$G262=""),"",IF(AND(AB$5&lt;=$G262,AB$5+6&gt;=$F262),IF($H262="Complétée","F",IF(OR($H262="En cours",$H262="En revue"),"E",IF($H262="Bloquée","B","P"))),""))</f>
        <v/>
      </c>
      <c r="AC262" s="53">
        <f>IF(OR($F262="",$G262=""),"",IF(AND(AC$5&lt;=$G262,AC$5+6&gt;=$F262),IF($H262="Complétée","F",IF(OR($H262="En cours",$H262="En revue"),"E",IF($H262="Bloquée","B","P"))),""))</f>
        <v/>
      </c>
      <c r="AD262" s="53">
        <f>IF(OR($F262="",$G262=""),"",IF(AND(AD$5&lt;=$G262,AD$5+6&gt;=$F262),IF($H262="Complétée","F",IF(OR($H262="En cours",$H262="En revue"),"E",IF($H262="Bloquée","B","P"))),""))</f>
        <v/>
      </c>
      <c r="AE262" s="53">
        <f>IF(OR($F262="",$G262=""),"",IF(AND(AE$5&lt;=$G262,AE$5+6&gt;=$F262),IF($H262="Complétée","F",IF(OR($H262="En cours",$H262="En revue"),"E",IF($H262="Bloquée","B","P"))),""))</f>
        <v/>
      </c>
      <c r="AF262" s="53">
        <f>IF(OR($F262="",$G262=""),"",IF(AND(AF$5&lt;=$G262,AF$5+6&gt;=$F262),IF($H262="Complétée","F",IF(OR($H262="En cours",$H262="En revue"),"E",IF($H262="Bloquée","B","P"))),""))</f>
        <v/>
      </c>
      <c r="AG262" s="53">
        <f>IF(OR($F262="",$G262=""),"",IF(AND(AG$5&lt;=$G262,AG$5+6&gt;=$F262),IF($H262="Complétée","F",IF(OR($H262="En cours",$H262="En revue"),"E",IF($H262="Bloquée","B","P"))),""))</f>
        <v/>
      </c>
      <c r="AH262" s="53">
        <f>IF(OR($F262="",$G262=""),"",IF(AND(AH$5&lt;=$G262,AH$5+6&gt;=$F262),IF($H262="Complétée","F",IF(OR($H262="En cours",$H262="En revue"),"E",IF($H262="Bloquée","B","P"))),""))</f>
        <v/>
      </c>
      <c r="AI262" s="53">
        <f>IF(OR($F262="",$G262=""),"",IF(AND(AI$5&lt;=$G262,AI$5+6&gt;=$F262),IF($H262="Complétée","F",IF(OR($H262="En cours",$H262="En revue"),"E",IF($H262="Bloquée","B","P"))),""))</f>
        <v/>
      </c>
      <c r="AJ262" s="53">
        <f>IF(OR($F262="",$G262=""),"",IF(AND(AJ$5&lt;=$G262,AJ$5+6&gt;=$F262),IF($H262="Complétée","F",IF(OR($H262="En cours",$H262="En revue"),"E",IF($H262="Bloquée","B","P"))),""))</f>
        <v/>
      </c>
      <c r="AK262" s="53">
        <f>IF(OR($F262="",$G262=""),"",IF(AND(AK$5&lt;=$G262,AK$5+6&gt;=$F262),IF($H262="Complétée","F",IF(OR($H262="En cours",$H262="En revue"),"E",IF($H262="Bloquée","B","P"))),""))</f>
        <v/>
      </c>
      <c r="AL262" s="53">
        <f>IF(OR($F262="",$G262=""),"",IF(AND(AL$5&lt;=$G262,AL$5+6&gt;=$F262),IF($H262="Complétée","F",IF(OR($H262="En cours",$H262="En revue"),"E",IF($H262="Bloquée","B","P"))),""))</f>
        <v/>
      </c>
      <c r="AM262" s="53">
        <f>IF(OR($F262="",$G262=""),"",IF(AND(AM$5&lt;=$G262,AM$5+6&gt;=$F262),IF($H262="Complétée","F",IF(OR($H262="En cours",$H262="En revue"),"E",IF($H262="Bloquée","B","P"))),""))</f>
        <v/>
      </c>
      <c r="AN262" s="53">
        <f>IF(OR($F262="",$G262=""),"",IF(AND(AN$5&lt;=$G262,AN$5+6&gt;=$F262),IF($H262="Complétée","F",IF(OR($H262="En cours",$H262="En revue"),"E",IF($H262="Bloquée","B","P"))),""))</f>
        <v/>
      </c>
      <c r="AO262" s="53">
        <f>IF(OR($F262="",$G262=""),"",IF(AND(AO$5&lt;=$G262,AO$5+6&gt;=$F262),IF($H262="Complétée","F",IF(OR($H262="En cours",$H262="En revue"),"E",IF($H262="Bloquée","B","P"))),""))</f>
        <v/>
      </c>
      <c r="AP262" s="53">
        <f>IF(OR($F262="",$G262=""),"",IF(AND(AP$5&lt;=$G262,AP$5+6&gt;=$F262),IF($H262="Complétée","F",IF(OR($H262="En cours",$H262="En revue"),"E",IF($H262="Bloquée","B","P"))),""))</f>
        <v/>
      </c>
      <c r="AQ262" s="53">
        <f>IF(OR($F262="",$G262=""),"",IF(AND(AQ$5&lt;=$G262,AQ$5+6&gt;=$F262),IF($H262="Complétée","F",IF(OR($H262="En cours",$H262="En revue"),"E",IF($H262="Bloquée","B","P"))),""))</f>
        <v/>
      </c>
      <c r="AR262" s="53">
        <f>IF(OR($F262="",$G262=""),"",IF(AND(AR$5&lt;=$G262,AR$5+6&gt;=$F262),IF($H262="Complétée","F",IF(OR($H262="En cours",$H262="En revue"),"E",IF($H262="Bloquée","B","P"))),""))</f>
        <v/>
      </c>
      <c r="AS262" s="53">
        <f>IF(OR($F262="",$G262=""),"",IF(AND(AS$5&lt;=$G262,AS$5+6&gt;=$F262),IF($H262="Complétée","F",IF(OR($H262="En cours",$H262="En revue"),"E",IF($H262="Bloquée","B","P"))),""))</f>
        <v/>
      </c>
      <c r="AT262" s="53">
        <f>IF(OR($F262="",$G262=""),"",IF(AND(AT$5&lt;=$G262,AT$5+6&gt;=$F262),IF($H262="Complétée","F",IF(OR($H262="En cours",$H262="En revue"),"E",IF($H262="Bloquée","B","P"))),""))</f>
        <v/>
      </c>
      <c r="AU262" s="53">
        <f>IF(OR($F262="",$G262=""),"",IF(AND(AU$5&lt;=$G262,AU$5+6&gt;=$F262),IF($H262="Complétée","F",IF(OR($H262="En cours",$H262="En revue"),"E",IF($H262="Bloquée","B","P"))),""))</f>
        <v/>
      </c>
      <c r="AV262" s="53">
        <f>IF(OR($F262="",$G262=""),"",IF(AND(AV$5&lt;=$G262,AV$5+6&gt;=$F262),IF($H262="Complétée","F",IF(OR($H262="En cours",$H262="En revue"),"E",IF($H262="Bloquée","B","P"))),""))</f>
        <v/>
      </c>
      <c r="AW262" s="53">
        <f>IF(OR($F262="",$G262=""),"",IF(AND(AW$5&lt;=$G262,AW$5+6&gt;=$F262),IF($H262="Complétée","F",IF(OR($H262="En cours",$H262="En revue"),"E",IF($H262="Bloquée","B","P"))),""))</f>
        <v/>
      </c>
    </row>
    <row r="263">
      <c r="B263" s="50">
        <f>IF(Taches!B263="","",Taches!B263)</f>
        <v/>
      </c>
      <c r="C263" s="51">
        <f>IF(Taches!B263="","",Taches!F263)</f>
        <v/>
      </c>
      <c r="D263" s="50">
        <f>IF(Taches!B263="","",Taches!C263)</f>
        <v/>
      </c>
      <c r="E263" s="50">
        <f>IF(Taches!B263="","",Taches!D263)</f>
        <v/>
      </c>
      <c r="F263" s="52">
        <f>IF(Taches!P263="","",Taches!P263)</f>
        <v/>
      </c>
      <c r="G263" s="52">
        <f>IF(Taches!Q263="","",Taches!Q263)</f>
        <v/>
      </c>
      <c r="H263" s="50">
        <f>IF(Taches!B263="","",Taches!J263)</f>
        <v/>
      </c>
      <c r="I263" s="53">
        <f>IF(OR($F263="",$G263=""),"",IF(AND(I$5&lt;=$G263,I$5+6&gt;=$F263),IF($H263="Complétée","F",IF(OR($H263="En cours",$H263="En revue"),"E",IF($H263="Bloquée","B","P"))),""))</f>
        <v/>
      </c>
      <c r="J263" s="53">
        <f>IF(OR($F263="",$G263=""),"",IF(AND(J$5&lt;=$G263,J$5+6&gt;=$F263),IF($H263="Complétée","F",IF(OR($H263="En cours",$H263="En revue"),"E",IF($H263="Bloquée","B","P"))),""))</f>
        <v/>
      </c>
      <c r="K263" s="53">
        <f>IF(OR($F263="",$G263=""),"",IF(AND(K$5&lt;=$G263,K$5+6&gt;=$F263),IF($H263="Complétée","F",IF(OR($H263="En cours",$H263="En revue"),"E",IF($H263="Bloquée","B","P"))),""))</f>
        <v/>
      </c>
      <c r="L263" s="53">
        <f>IF(OR($F263="",$G263=""),"",IF(AND(L$5&lt;=$G263,L$5+6&gt;=$F263),IF($H263="Complétée","F",IF(OR($H263="En cours",$H263="En revue"),"E",IF($H263="Bloquée","B","P"))),""))</f>
        <v/>
      </c>
      <c r="M263" s="53">
        <f>IF(OR($F263="",$G263=""),"",IF(AND(M$5&lt;=$G263,M$5+6&gt;=$F263),IF($H263="Complétée","F",IF(OR($H263="En cours",$H263="En revue"),"E",IF($H263="Bloquée","B","P"))),""))</f>
        <v/>
      </c>
      <c r="N263" s="53">
        <f>IF(OR($F263="",$G263=""),"",IF(AND(N$5&lt;=$G263,N$5+6&gt;=$F263),IF($H263="Complétée","F",IF(OR($H263="En cours",$H263="En revue"),"E",IF($H263="Bloquée","B","P"))),""))</f>
        <v/>
      </c>
      <c r="O263" s="53">
        <f>IF(OR($F263="",$G263=""),"",IF(AND(O$5&lt;=$G263,O$5+6&gt;=$F263),IF($H263="Complétée","F",IF(OR($H263="En cours",$H263="En revue"),"E",IF($H263="Bloquée","B","P"))),""))</f>
        <v/>
      </c>
      <c r="P263" s="53">
        <f>IF(OR($F263="",$G263=""),"",IF(AND(P$5&lt;=$G263,P$5+6&gt;=$F263),IF($H263="Complétée","F",IF(OR($H263="En cours",$H263="En revue"),"E",IF($H263="Bloquée","B","P"))),""))</f>
        <v/>
      </c>
      <c r="Q263" s="53">
        <f>IF(OR($F263="",$G263=""),"",IF(AND(Q$5&lt;=$G263,Q$5+6&gt;=$F263),IF($H263="Complétée","F",IF(OR($H263="En cours",$H263="En revue"),"E",IF($H263="Bloquée","B","P"))),""))</f>
        <v/>
      </c>
      <c r="R263" s="53">
        <f>IF(OR($F263="",$G263=""),"",IF(AND(R$5&lt;=$G263,R$5+6&gt;=$F263),IF($H263="Complétée","F",IF(OR($H263="En cours",$H263="En revue"),"E",IF($H263="Bloquée","B","P"))),""))</f>
        <v/>
      </c>
      <c r="S263" s="53">
        <f>IF(OR($F263="",$G263=""),"",IF(AND(S$5&lt;=$G263,S$5+6&gt;=$F263),IF($H263="Complétée","F",IF(OR($H263="En cours",$H263="En revue"),"E",IF($H263="Bloquée","B","P"))),""))</f>
        <v/>
      </c>
      <c r="T263" s="53">
        <f>IF(OR($F263="",$G263=""),"",IF(AND(T$5&lt;=$G263,T$5+6&gt;=$F263),IF($H263="Complétée","F",IF(OR($H263="En cours",$H263="En revue"),"E",IF($H263="Bloquée","B","P"))),""))</f>
        <v/>
      </c>
      <c r="U263" s="53">
        <f>IF(OR($F263="",$G263=""),"",IF(AND(U$5&lt;=$G263,U$5+6&gt;=$F263),IF($H263="Complétée","F",IF(OR($H263="En cours",$H263="En revue"),"E",IF($H263="Bloquée","B","P"))),""))</f>
        <v/>
      </c>
      <c r="V263" s="53">
        <f>IF(OR($F263="",$G263=""),"",IF(AND(V$5&lt;=$G263,V$5+6&gt;=$F263),IF($H263="Complétée","F",IF(OR($H263="En cours",$H263="En revue"),"E",IF($H263="Bloquée","B","P"))),""))</f>
        <v/>
      </c>
      <c r="W263" s="53">
        <f>IF(OR($F263="",$G263=""),"",IF(AND(W$5&lt;=$G263,W$5+6&gt;=$F263),IF($H263="Complétée","F",IF(OR($H263="En cours",$H263="En revue"),"E",IF($H263="Bloquée","B","P"))),""))</f>
        <v/>
      </c>
      <c r="X263" s="53">
        <f>IF(OR($F263="",$G263=""),"",IF(AND(X$5&lt;=$G263,X$5+6&gt;=$F263),IF($H263="Complétée","F",IF(OR($H263="En cours",$H263="En revue"),"E",IF($H263="Bloquée","B","P"))),""))</f>
        <v/>
      </c>
      <c r="Y263" s="53">
        <f>IF(OR($F263="",$G263=""),"",IF(AND(Y$5&lt;=$G263,Y$5+6&gt;=$F263),IF($H263="Complétée","F",IF(OR($H263="En cours",$H263="En revue"),"E",IF($H263="Bloquée","B","P"))),""))</f>
        <v/>
      </c>
      <c r="Z263" s="53">
        <f>IF(OR($F263="",$G263=""),"",IF(AND(Z$5&lt;=$G263,Z$5+6&gt;=$F263),IF($H263="Complétée","F",IF(OR($H263="En cours",$H263="En revue"),"E",IF($H263="Bloquée","B","P"))),""))</f>
        <v/>
      </c>
      <c r="AA263" s="53">
        <f>IF(OR($F263="",$G263=""),"",IF(AND(AA$5&lt;=$G263,AA$5+6&gt;=$F263),IF($H263="Complétée","F",IF(OR($H263="En cours",$H263="En revue"),"E",IF($H263="Bloquée","B","P"))),""))</f>
        <v/>
      </c>
      <c r="AB263" s="53">
        <f>IF(OR($F263="",$G263=""),"",IF(AND(AB$5&lt;=$G263,AB$5+6&gt;=$F263),IF($H263="Complétée","F",IF(OR($H263="En cours",$H263="En revue"),"E",IF($H263="Bloquée","B","P"))),""))</f>
        <v/>
      </c>
      <c r="AC263" s="53">
        <f>IF(OR($F263="",$G263=""),"",IF(AND(AC$5&lt;=$G263,AC$5+6&gt;=$F263),IF($H263="Complétée","F",IF(OR($H263="En cours",$H263="En revue"),"E",IF($H263="Bloquée","B","P"))),""))</f>
        <v/>
      </c>
      <c r="AD263" s="53">
        <f>IF(OR($F263="",$G263=""),"",IF(AND(AD$5&lt;=$G263,AD$5+6&gt;=$F263),IF($H263="Complétée","F",IF(OR($H263="En cours",$H263="En revue"),"E",IF($H263="Bloquée","B","P"))),""))</f>
        <v/>
      </c>
      <c r="AE263" s="53">
        <f>IF(OR($F263="",$G263=""),"",IF(AND(AE$5&lt;=$G263,AE$5+6&gt;=$F263),IF($H263="Complétée","F",IF(OR($H263="En cours",$H263="En revue"),"E",IF($H263="Bloquée","B","P"))),""))</f>
        <v/>
      </c>
      <c r="AF263" s="53">
        <f>IF(OR($F263="",$G263=""),"",IF(AND(AF$5&lt;=$G263,AF$5+6&gt;=$F263),IF($H263="Complétée","F",IF(OR($H263="En cours",$H263="En revue"),"E",IF($H263="Bloquée","B","P"))),""))</f>
        <v/>
      </c>
      <c r="AG263" s="53">
        <f>IF(OR($F263="",$G263=""),"",IF(AND(AG$5&lt;=$G263,AG$5+6&gt;=$F263),IF($H263="Complétée","F",IF(OR($H263="En cours",$H263="En revue"),"E",IF($H263="Bloquée","B","P"))),""))</f>
        <v/>
      </c>
      <c r="AH263" s="53">
        <f>IF(OR($F263="",$G263=""),"",IF(AND(AH$5&lt;=$G263,AH$5+6&gt;=$F263),IF($H263="Complétée","F",IF(OR($H263="En cours",$H263="En revue"),"E",IF($H263="Bloquée","B","P"))),""))</f>
        <v/>
      </c>
      <c r="AI263" s="53">
        <f>IF(OR($F263="",$G263=""),"",IF(AND(AI$5&lt;=$G263,AI$5+6&gt;=$F263),IF($H263="Complétée","F",IF(OR($H263="En cours",$H263="En revue"),"E",IF($H263="Bloquée","B","P"))),""))</f>
        <v/>
      </c>
      <c r="AJ263" s="53">
        <f>IF(OR($F263="",$G263=""),"",IF(AND(AJ$5&lt;=$G263,AJ$5+6&gt;=$F263),IF($H263="Complétée","F",IF(OR($H263="En cours",$H263="En revue"),"E",IF($H263="Bloquée","B","P"))),""))</f>
        <v/>
      </c>
      <c r="AK263" s="53">
        <f>IF(OR($F263="",$G263=""),"",IF(AND(AK$5&lt;=$G263,AK$5+6&gt;=$F263),IF($H263="Complétée","F",IF(OR($H263="En cours",$H263="En revue"),"E",IF($H263="Bloquée","B","P"))),""))</f>
        <v/>
      </c>
      <c r="AL263" s="53">
        <f>IF(OR($F263="",$G263=""),"",IF(AND(AL$5&lt;=$G263,AL$5+6&gt;=$F263),IF($H263="Complétée","F",IF(OR($H263="En cours",$H263="En revue"),"E",IF($H263="Bloquée","B","P"))),""))</f>
        <v/>
      </c>
      <c r="AM263" s="53">
        <f>IF(OR($F263="",$G263=""),"",IF(AND(AM$5&lt;=$G263,AM$5+6&gt;=$F263),IF($H263="Complétée","F",IF(OR($H263="En cours",$H263="En revue"),"E",IF($H263="Bloquée","B","P"))),""))</f>
        <v/>
      </c>
      <c r="AN263" s="53">
        <f>IF(OR($F263="",$G263=""),"",IF(AND(AN$5&lt;=$G263,AN$5+6&gt;=$F263),IF($H263="Complétée","F",IF(OR($H263="En cours",$H263="En revue"),"E",IF($H263="Bloquée","B","P"))),""))</f>
        <v/>
      </c>
      <c r="AO263" s="53">
        <f>IF(OR($F263="",$G263=""),"",IF(AND(AO$5&lt;=$G263,AO$5+6&gt;=$F263),IF($H263="Complétée","F",IF(OR($H263="En cours",$H263="En revue"),"E",IF($H263="Bloquée","B","P"))),""))</f>
        <v/>
      </c>
      <c r="AP263" s="53">
        <f>IF(OR($F263="",$G263=""),"",IF(AND(AP$5&lt;=$G263,AP$5+6&gt;=$F263),IF($H263="Complétée","F",IF(OR($H263="En cours",$H263="En revue"),"E",IF($H263="Bloquée","B","P"))),""))</f>
        <v/>
      </c>
      <c r="AQ263" s="53">
        <f>IF(OR($F263="",$G263=""),"",IF(AND(AQ$5&lt;=$G263,AQ$5+6&gt;=$F263),IF($H263="Complétée","F",IF(OR($H263="En cours",$H263="En revue"),"E",IF($H263="Bloquée","B","P"))),""))</f>
        <v/>
      </c>
      <c r="AR263" s="53">
        <f>IF(OR($F263="",$G263=""),"",IF(AND(AR$5&lt;=$G263,AR$5+6&gt;=$F263),IF($H263="Complétée","F",IF(OR($H263="En cours",$H263="En revue"),"E",IF($H263="Bloquée","B","P"))),""))</f>
        <v/>
      </c>
      <c r="AS263" s="53">
        <f>IF(OR($F263="",$G263=""),"",IF(AND(AS$5&lt;=$G263,AS$5+6&gt;=$F263),IF($H263="Complétée","F",IF(OR($H263="En cours",$H263="En revue"),"E",IF($H263="Bloquée","B","P"))),""))</f>
        <v/>
      </c>
      <c r="AT263" s="53">
        <f>IF(OR($F263="",$G263=""),"",IF(AND(AT$5&lt;=$G263,AT$5+6&gt;=$F263),IF($H263="Complétée","F",IF(OR($H263="En cours",$H263="En revue"),"E",IF($H263="Bloquée","B","P"))),""))</f>
        <v/>
      </c>
      <c r="AU263" s="53">
        <f>IF(OR($F263="",$G263=""),"",IF(AND(AU$5&lt;=$G263,AU$5+6&gt;=$F263),IF($H263="Complétée","F",IF(OR($H263="En cours",$H263="En revue"),"E",IF($H263="Bloquée","B","P"))),""))</f>
        <v/>
      </c>
      <c r="AV263" s="53">
        <f>IF(OR($F263="",$G263=""),"",IF(AND(AV$5&lt;=$G263,AV$5+6&gt;=$F263),IF($H263="Complétée","F",IF(OR($H263="En cours",$H263="En revue"),"E",IF($H263="Bloquée","B","P"))),""))</f>
        <v/>
      </c>
      <c r="AW263" s="53">
        <f>IF(OR($F263="",$G263=""),"",IF(AND(AW$5&lt;=$G263,AW$5+6&gt;=$F263),IF($H263="Complétée","F",IF(OR($H263="En cours",$H263="En revue"),"E",IF($H263="Bloquée","B","P"))),""))</f>
        <v/>
      </c>
    </row>
    <row r="264">
      <c r="B264" s="50">
        <f>IF(Taches!B264="","",Taches!B264)</f>
        <v/>
      </c>
      <c r="C264" s="51">
        <f>IF(Taches!B264="","",Taches!F264)</f>
        <v/>
      </c>
      <c r="D264" s="50">
        <f>IF(Taches!B264="","",Taches!C264)</f>
        <v/>
      </c>
      <c r="E264" s="50">
        <f>IF(Taches!B264="","",Taches!D264)</f>
        <v/>
      </c>
      <c r="F264" s="52">
        <f>IF(Taches!P264="","",Taches!P264)</f>
        <v/>
      </c>
      <c r="G264" s="52">
        <f>IF(Taches!Q264="","",Taches!Q264)</f>
        <v/>
      </c>
      <c r="H264" s="50">
        <f>IF(Taches!B264="","",Taches!J264)</f>
        <v/>
      </c>
      <c r="I264" s="53">
        <f>IF(OR($F264="",$G264=""),"",IF(AND(I$5&lt;=$G264,I$5+6&gt;=$F264),IF($H264="Complétée","F",IF(OR($H264="En cours",$H264="En revue"),"E",IF($H264="Bloquée","B","P"))),""))</f>
        <v/>
      </c>
      <c r="J264" s="53">
        <f>IF(OR($F264="",$G264=""),"",IF(AND(J$5&lt;=$G264,J$5+6&gt;=$F264),IF($H264="Complétée","F",IF(OR($H264="En cours",$H264="En revue"),"E",IF($H264="Bloquée","B","P"))),""))</f>
        <v/>
      </c>
      <c r="K264" s="53">
        <f>IF(OR($F264="",$G264=""),"",IF(AND(K$5&lt;=$G264,K$5+6&gt;=$F264),IF($H264="Complétée","F",IF(OR($H264="En cours",$H264="En revue"),"E",IF($H264="Bloquée","B","P"))),""))</f>
        <v/>
      </c>
      <c r="L264" s="53">
        <f>IF(OR($F264="",$G264=""),"",IF(AND(L$5&lt;=$G264,L$5+6&gt;=$F264),IF($H264="Complétée","F",IF(OR($H264="En cours",$H264="En revue"),"E",IF($H264="Bloquée","B","P"))),""))</f>
        <v/>
      </c>
      <c r="M264" s="53">
        <f>IF(OR($F264="",$G264=""),"",IF(AND(M$5&lt;=$G264,M$5+6&gt;=$F264),IF($H264="Complétée","F",IF(OR($H264="En cours",$H264="En revue"),"E",IF($H264="Bloquée","B","P"))),""))</f>
        <v/>
      </c>
      <c r="N264" s="53">
        <f>IF(OR($F264="",$G264=""),"",IF(AND(N$5&lt;=$G264,N$5+6&gt;=$F264),IF($H264="Complétée","F",IF(OR($H264="En cours",$H264="En revue"),"E",IF($H264="Bloquée","B","P"))),""))</f>
        <v/>
      </c>
      <c r="O264" s="53">
        <f>IF(OR($F264="",$G264=""),"",IF(AND(O$5&lt;=$G264,O$5+6&gt;=$F264),IF($H264="Complétée","F",IF(OR($H264="En cours",$H264="En revue"),"E",IF($H264="Bloquée","B","P"))),""))</f>
        <v/>
      </c>
      <c r="P264" s="53">
        <f>IF(OR($F264="",$G264=""),"",IF(AND(P$5&lt;=$G264,P$5+6&gt;=$F264),IF($H264="Complétée","F",IF(OR($H264="En cours",$H264="En revue"),"E",IF($H264="Bloquée","B","P"))),""))</f>
        <v/>
      </c>
      <c r="Q264" s="53">
        <f>IF(OR($F264="",$G264=""),"",IF(AND(Q$5&lt;=$G264,Q$5+6&gt;=$F264),IF($H264="Complétée","F",IF(OR($H264="En cours",$H264="En revue"),"E",IF($H264="Bloquée","B","P"))),""))</f>
        <v/>
      </c>
      <c r="R264" s="53">
        <f>IF(OR($F264="",$G264=""),"",IF(AND(R$5&lt;=$G264,R$5+6&gt;=$F264),IF($H264="Complétée","F",IF(OR($H264="En cours",$H264="En revue"),"E",IF($H264="Bloquée","B","P"))),""))</f>
        <v/>
      </c>
      <c r="S264" s="53">
        <f>IF(OR($F264="",$G264=""),"",IF(AND(S$5&lt;=$G264,S$5+6&gt;=$F264),IF($H264="Complétée","F",IF(OR($H264="En cours",$H264="En revue"),"E",IF($H264="Bloquée","B","P"))),""))</f>
        <v/>
      </c>
      <c r="T264" s="53">
        <f>IF(OR($F264="",$G264=""),"",IF(AND(T$5&lt;=$G264,T$5+6&gt;=$F264),IF($H264="Complétée","F",IF(OR($H264="En cours",$H264="En revue"),"E",IF($H264="Bloquée","B","P"))),""))</f>
        <v/>
      </c>
      <c r="U264" s="53">
        <f>IF(OR($F264="",$G264=""),"",IF(AND(U$5&lt;=$G264,U$5+6&gt;=$F264),IF($H264="Complétée","F",IF(OR($H264="En cours",$H264="En revue"),"E",IF($H264="Bloquée","B","P"))),""))</f>
        <v/>
      </c>
      <c r="V264" s="53">
        <f>IF(OR($F264="",$G264=""),"",IF(AND(V$5&lt;=$G264,V$5+6&gt;=$F264),IF($H264="Complétée","F",IF(OR($H264="En cours",$H264="En revue"),"E",IF($H264="Bloquée","B","P"))),""))</f>
        <v/>
      </c>
      <c r="W264" s="53">
        <f>IF(OR($F264="",$G264=""),"",IF(AND(W$5&lt;=$G264,W$5+6&gt;=$F264),IF($H264="Complétée","F",IF(OR($H264="En cours",$H264="En revue"),"E",IF($H264="Bloquée","B","P"))),""))</f>
        <v/>
      </c>
      <c r="X264" s="53">
        <f>IF(OR($F264="",$G264=""),"",IF(AND(X$5&lt;=$G264,X$5+6&gt;=$F264),IF($H264="Complétée","F",IF(OR($H264="En cours",$H264="En revue"),"E",IF($H264="Bloquée","B","P"))),""))</f>
        <v/>
      </c>
      <c r="Y264" s="53">
        <f>IF(OR($F264="",$G264=""),"",IF(AND(Y$5&lt;=$G264,Y$5+6&gt;=$F264),IF($H264="Complétée","F",IF(OR($H264="En cours",$H264="En revue"),"E",IF($H264="Bloquée","B","P"))),""))</f>
        <v/>
      </c>
      <c r="Z264" s="53">
        <f>IF(OR($F264="",$G264=""),"",IF(AND(Z$5&lt;=$G264,Z$5+6&gt;=$F264),IF($H264="Complétée","F",IF(OR($H264="En cours",$H264="En revue"),"E",IF($H264="Bloquée","B","P"))),""))</f>
        <v/>
      </c>
      <c r="AA264" s="53">
        <f>IF(OR($F264="",$G264=""),"",IF(AND(AA$5&lt;=$G264,AA$5+6&gt;=$F264),IF($H264="Complétée","F",IF(OR($H264="En cours",$H264="En revue"),"E",IF($H264="Bloquée","B","P"))),""))</f>
        <v/>
      </c>
      <c r="AB264" s="53">
        <f>IF(OR($F264="",$G264=""),"",IF(AND(AB$5&lt;=$G264,AB$5+6&gt;=$F264),IF($H264="Complétée","F",IF(OR($H264="En cours",$H264="En revue"),"E",IF($H264="Bloquée","B","P"))),""))</f>
        <v/>
      </c>
      <c r="AC264" s="53">
        <f>IF(OR($F264="",$G264=""),"",IF(AND(AC$5&lt;=$G264,AC$5+6&gt;=$F264),IF($H264="Complétée","F",IF(OR($H264="En cours",$H264="En revue"),"E",IF($H264="Bloquée","B","P"))),""))</f>
        <v/>
      </c>
      <c r="AD264" s="53">
        <f>IF(OR($F264="",$G264=""),"",IF(AND(AD$5&lt;=$G264,AD$5+6&gt;=$F264),IF($H264="Complétée","F",IF(OR($H264="En cours",$H264="En revue"),"E",IF($H264="Bloquée","B","P"))),""))</f>
        <v/>
      </c>
      <c r="AE264" s="53">
        <f>IF(OR($F264="",$G264=""),"",IF(AND(AE$5&lt;=$G264,AE$5+6&gt;=$F264),IF($H264="Complétée","F",IF(OR($H264="En cours",$H264="En revue"),"E",IF($H264="Bloquée","B","P"))),""))</f>
        <v/>
      </c>
      <c r="AF264" s="53">
        <f>IF(OR($F264="",$G264=""),"",IF(AND(AF$5&lt;=$G264,AF$5+6&gt;=$F264),IF($H264="Complétée","F",IF(OR($H264="En cours",$H264="En revue"),"E",IF($H264="Bloquée","B","P"))),""))</f>
        <v/>
      </c>
      <c r="AG264" s="53">
        <f>IF(OR($F264="",$G264=""),"",IF(AND(AG$5&lt;=$G264,AG$5+6&gt;=$F264),IF($H264="Complétée","F",IF(OR($H264="En cours",$H264="En revue"),"E",IF($H264="Bloquée","B","P"))),""))</f>
        <v/>
      </c>
      <c r="AH264" s="53">
        <f>IF(OR($F264="",$G264=""),"",IF(AND(AH$5&lt;=$G264,AH$5+6&gt;=$F264),IF($H264="Complétée","F",IF(OR($H264="En cours",$H264="En revue"),"E",IF($H264="Bloquée","B","P"))),""))</f>
        <v/>
      </c>
      <c r="AI264" s="53">
        <f>IF(OR($F264="",$G264=""),"",IF(AND(AI$5&lt;=$G264,AI$5+6&gt;=$F264),IF($H264="Complétée","F",IF(OR($H264="En cours",$H264="En revue"),"E",IF($H264="Bloquée","B","P"))),""))</f>
        <v/>
      </c>
      <c r="AJ264" s="53">
        <f>IF(OR($F264="",$G264=""),"",IF(AND(AJ$5&lt;=$G264,AJ$5+6&gt;=$F264),IF($H264="Complétée","F",IF(OR($H264="En cours",$H264="En revue"),"E",IF($H264="Bloquée","B","P"))),""))</f>
        <v/>
      </c>
      <c r="AK264" s="53">
        <f>IF(OR($F264="",$G264=""),"",IF(AND(AK$5&lt;=$G264,AK$5+6&gt;=$F264),IF($H264="Complétée","F",IF(OR($H264="En cours",$H264="En revue"),"E",IF($H264="Bloquée","B","P"))),""))</f>
        <v/>
      </c>
      <c r="AL264" s="53">
        <f>IF(OR($F264="",$G264=""),"",IF(AND(AL$5&lt;=$G264,AL$5+6&gt;=$F264),IF($H264="Complétée","F",IF(OR($H264="En cours",$H264="En revue"),"E",IF($H264="Bloquée","B","P"))),""))</f>
        <v/>
      </c>
      <c r="AM264" s="53">
        <f>IF(OR($F264="",$G264=""),"",IF(AND(AM$5&lt;=$G264,AM$5+6&gt;=$F264),IF($H264="Complétée","F",IF(OR($H264="En cours",$H264="En revue"),"E",IF($H264="Bloquée","B","P"))),""))</f>
        <v/>
      </c>
      <c r="AN264" s="53">
        <f>IF(OR($F264="",$G264=""),"",IF(AND(AN$5&lt;=$G264,AN$5+6&gt;=$F264),IF($H264="Complétée","F",IF(OR($H264="En cours",$H264="En revue"),"E",IF($H264="Bloquée","B","P"))),""))</f>
        <v/>
      </c>
      <c r="AO264" s="53">
        <f>IF(OR($F264="",$G264=""),"",IF(AND(AO$5&lt;=$G264,AO$5+6&gt;=$F264),IF($H264="Complétée","F",IF(OR($H264="En cours",$H264="En revue"),"E",IF($H264="Bloquée","B","P"))),""))</f>
        <v/>
      </c>
      <c r="AP264" s="53">
        <f>IF(OR($F264="",$G264=""),"",IF(AND(AP$5&lt;=$G264,AP$5+6&gt;=$F264),IF($H264="Complétée","F",IF(OR($H264="En cours",$H264="En revue"),"E",IF($H264="Bloquée","B","P"))),""))</f>
        <v/>
      </c>
      <c r="AQ264" s="53">
        <f>IF(OR($F264="",$G264=""),"",IF(AND(AQ$5&lt;=$G264,AQ$5+6&gt;=$F264),IF($H264="Complétée","F",IF(OR($H264="En cours",$H264="En revue"),"E",IF($H264="Bloquée","B","P"))),""))</f>
        <v/>
      </c>
      <c r="AR264" s="53">
        <f>IF(OR($F264="",$G264=""),"",IF(AND(AR$5&lt;=$G264,AR$5+6&gt;=$F264),IF($H264="Complétée","F",IF(OR($H264="En cours",$H264="En revue"),"E",IF($H264="Bloquée","B","P"))),""))</f>
        <v/>
      </c>
      <c r="AS264" s="53">
        <f>IF(OR($F264="",$G264=""),"",IF(AND(AS$5&lt;=$G264,AS$5+6&gt;=$F264),IF($H264="Complétée","F",IF(OR($H264="En cours",$H264="En revue"),"E",IF($H264="Bloquée","B","P"))),""))</f>
        <v/>
      </c>
      <c r="AT264" s="53">
        <f>IF(OR($F264="",$G264=""),"",IF(AND(AT$5&lt;=$G264,AT$5+6&gt;=$F264),IF($H264="Complétée","F",IF(OR($H264="En cours",$H264="En revue"),"E",IF($H264="Bloquée","B","P"))),""))</f>
        <v/>
      </c>
      <c r="AU264" s="53">
        <f>IF(OR($F264="",$G264=""),"",IF(AND(AU$5&lt;=$G264,AU$5+6&gt;=$F264),IF($H264="Complétée","F",IF(OR($H264="En cours",$H264="En revue"),"E",IF($H264="Bloquée","B","P"))),""))</f>
        <v/>
      </c>
      <c r="AV264" s="53">
        <f>IF(OR($F264="",$G264=""),"",IF(AND(AV$5&lt;=$G264,AV$5+6&gt;=$F264),IF($H264="Complétée","F",IF(OR($H264="En cours",$H264="En revue"),"E",IF($H264="Bloquée","B","P"))),""))</f>
        <v/>
      </c>
      <c r="AW264" s="53">
        <f>IF(OR($F264="",$G264=""),"",IF(AND(AW$5&lt;=$G264,AW$5+6&gt;=$F264),IF($H264="Complétée","F",IF(OR($H264="En cours",$H264="En revue"),"E",IF($H264="Bloquée","B","P"))),""))</f>
        <v/>
      </c>
    </row>
    <row r="265">
      <c r="B265" s="50">
        <f>IF(Taches!B265="","",Taches!B265)</f>
        <v/>
      </c>
      <c r="C265" s="51">
        <f>IF(Taches!B265="","",Taches!F265)</f>
        <v/>
      </c>
      <c r="D265" s="50">
        <f>IF(Taches!B265="","",Taches!C265)</f>
        <v/>
      </c>
      <c r="E265" s="50">
        <f>IF(Taches!B265="","",Taches!D265)</f>
        <v/>
      </c>
      <c r="F265" s="52">
        <f>IF(Taches!P265="","",Taches!P265)</f>
        <v/>
      </c>
      <c r="G265" s="52">
        <f>IF(Taches!Q265="","",Taches!Q265)</f>
        <v/>
      </c>
      <c r="H265" s="50">
        <f>IF(Taches!B265="","",Taches!J265)</f>
        <v/>
      </c>
      <c r="I265" s="53">
        <f>IF(OR($F265="",$G265=""),"",IF(AND(I$5&lt;=$G265,I$5+6&gt;=$F265),IF($H265="Complétée","F",IF(OR($H265="En cours",$H265="En revue"),"E",IF($H265="Bloquée","B","P"))),""))</f>
        <v/>
      </c>
      <c r="J265" s="53">
        <f>IF(OR($F265="",$G265=""),"",IF(AND(J$5&lt;=$G265,J$5+6&gt;=$F265),IF($H265="Complétée","F",IF(OR($H265="En cours",$H265="En revue"),"E",IF($H265="Bloquée","B","P"))),""))</f>
        <v/>
      </c>
      <c r="K265" s="53">
        <f>IF(OR($F265="",$G265=""),"",IF(AND(K$5&lt;=$G265,K$5+6&gt;=$F265),IF($H265="Complétée","F",IF(OR($H265="En cours",$H265="En revue"),"E",IF($H265="Bloquée","B","P"))),""))</f>
        <v/>
      </c>
      <c r="L265" s="53">
        <f>IF(OR($F265="",$G265=""),"",IF(AND(L$5&lt;=$G265,L$5+6&gt;=$F265),IF($H265="Complétée","F",IF(OR($H265="En cours",$H265="En revue"),"E",IF($H265="Bloquée","B","P"))),""))</f>
        <v/>
      </c>
      <c r="M265" s="53">
        <f>IF(OR($F265="",$G265=""),"",IF(AND(M$5&lt;=$G265,M$5+6&gt;=$F265),IF($H265="Complétée","F",IF(OR($H265="En cours",$H265="En revue"),"E",IF($H265="Bloquée","B","P"))),""))</f>
        <v/>
      </c>
      <c r="N265" s="53">
        <f>IF(OR($F265="",$G265=""),"",IF(AND(N$5&lt;=$G265,N$5+6&gt;=$F265),IF($H265="Complétée","F",IF(OR($H265="En cours",$H265="En revue"),"E",IF($H265="Bloquée","B","P"))),""))</f>
        <v/>
      </c>
      <c r="O265" s="53">
        <f>IF(OR($F265="",$G265=""),"",IF(AND(O$5&lt;=$G265,O$5+6&gt;=$F265),IF($H265="Complétée","F",IF(OR($H265="En cours",$H265="En revue"),"E",IF($H265="Bloquée","B","P"))),""))</f>
        <v/>
      </c>
      <c r="P265" s="53">
        <f>IF(OR($F265="",$G265=""),"",IF(AND(P$5&lt;=$G265,P$5+6&gt;=$F265),IF($H265="Complétée","F",IF(OR($H265="En cours",$H265="En revue"),"E",IF($H265="Bloquée","B","P"))),""))</f>
        <v/>
      </c>
      <c r="Q265" s="53">
        <f>IF(OR($F265="",$G265=""),"",IF(AND(Q$5&lt;=$G265,Q$5+6&gt;=$F265),IF($H265="Complétée","F",IF(OR($H265="En cours",$H265="En revue"),"E",IF($H265="Bloquée","B","P"))),""))</f>
        <v/>
      </c>
      <c r="R265" s="53">
        <f>IF(OR($F265="",$G265=""),"",IF(AND(R$5&lt;=$G265,R$5+6&gt;=$F265),IF($H265="Complétée","F",IF(OR($H265="En cours",$H265="En revue"),"E",IF($H265="Bloquée","B","P"))),""))</f>
        <v/>
      </c>
      <c r="S265" s="53">
        <f>IF(OR($F265="",$G265=""),"",IF(AND(S$5&lt;=$G265,S$5+6&gt;=$F265),IF($H265="Complétée","F",IF(OR($H265="En cours",$H265="En revue"),"E",IF($H265="Bloquée","B","P"))),""))</f>
        <v/>
      </c>
      <c r="T265" s="53">
        <f>IF(OR($F265="",$G265=""),"",IF(AND(T$5&lt;=$G265,T$5+6&gt;=$F265),IF($H265="Complétée","F",IF(OR($H265="En cours",$H265="En revue"),"E",IF($H265="Bloquée","B","P"))),""))</f>
        <v/>
      </c>
      <c r="U265" s="53">
        <f>IF(OR($F265="",$G265=""),"",IF(AND(U$5&lt;=$G265,U$5+6&gt;=$F265),IF($H265="Complétée","F",IF(OR($H265="En cours",$H265="En revue"),"E",IF($H265="Bloquée","B","P"))),""))</f>
        <v/>
      </c>
      <c r="V265" s="53">
        <f>IF(OR($F265="",$G265=""),"",IF(AND(V$5&lt;=$G265,V$5+6&gt;=$F265),IF($H265="Complétée","F",IF(OR($H265="En cours",$H265="En revue"),"E",IF($H265="Bloquée","B","P"))),""))</f>
        <v/>
      </c>
      <c r="W265" s="53">
        <f>IF(OR($F265="",$G265=""),"",IF(AND(W$5&lt;=$G265,W$5+6&gt;=$F265),IF($H265="Complétée","F",IF(OR($H265="En cours",$H265="En revue"),"E",IF($H265="Bloquée","B","P"))),""))</f>
        <v/>
      </c>
      <c r="X265" s="53">
        <f>IF(OR($F265="",$G265=""),"",IF(AND(X$5&lt;=$G265,X$5+6&gt;=$F265),IF($H265="Complétée","F",IF(OR($H265="En cours",$H265="En revue"),"E",IF($H265="Bloquée","B","P"))),""))</f>
        <v/>
      </c>
      <c r="Y265" s="53">
        <f>IF(OR($F265="",$G265=""),"",IF(AND(Y$5&lt;=$G265,Y$5+6&gt;=$F265),IF($H265="Complétée","F",IF(OR($H265="En cours",$H265="En revue"),"E",IF($H265="Bloquée","B","P"))),""))</f>
        <v/>
      </c>
      <c r="Z265" s="53">
        <f>IF(OR($F265="",$G265=""),"",IF(AND(Z$5&lt;=$G265,Z$5+6&gt;=$F265),IF($H265="Complétée","F",IF(OR($H265="En cours",$H265="En revue"),"E",IF($H265="Bloquée","B","P"))),""))</f>
        <v/>
      </c>
      <c r="AA265" s="53">
        <f>IF(OR($F265="",$G265=""),"",IF(AND(AA$5&lt;=$G265,AA$5+6&gt;=$F265),IF($H265="Complétée","F",IF(OR($H265="En cours",$H265="En revue"),"E",IF($H265="Bloquée","B","P"))),""))</f>
        <v/>
      </c>
      <c r="AB265" s="53">
        <f>IF(OR($F265="",$G265=""),"",IF(AND(AB$5&lt;=$G265,AB$5+6&gt;=$F265),IF($H265="Complétée","F",IF(OR($H265="En cours",$H265="En revue"),"E",IF($H265="Bloquée","B","P"))),""))</f>
        <v/>
      </c>
      <c r="AC265" s="53">
        <f>IF(OR($F265="",$G265=""),"",IF(AND(AC$5&lt;=$G265,AC$5+6&gt;=$F265),IF($H265="Complétée","F",IF(OR($H265="En cours",$H265="En revue"),"E",IF($H265="Bloquée","B","P"))),""))</f>
        <v/>
      </c>
      <c r="AD265" s="53">
        <f>IF(OR($F265="",$G265=""),"",IF(AND(AD$5&lt;=$G265,AD$5+6&gt;=$F265),IF($H265="Complétée","F",IF(OR($H265="En cours",$H265="En revue"),"E",IF($H265="Bloquée","B","P"))),""))</f>
        <v/>
      </c>
      <c r="AE265" s="53">
        <f>IF(OR($F265="",$G265=""),"",IF(AND(AE$5&lt;=$G265,AE$5+6&gt;=$F265),IF($H265="Complétée","F",IF(OR($H265="En cours",$H265="En revue"),"E",IF($H265="Bloquée","B","P"))),""))</f>
        <v/>
      </c>
      <c r="AF265" s="53">
        <f>IF(OR($F265="",$G265=""),"",IF(AND(AF$5&lt;=$G265,AF$5+6&gt;=$F265),IF($H265="Complétée","F",IF(OR($H265="En cours",$H265="En revue"),"E",IF($H265="Bloquée","B","P"))),""))</f>
        <v/>
      </c>
      <c r="AG265" s="53">
        <f>IF(OR($F265="",$G265=""),"",IF(AND(AG$5&lt;=$G265,AG$5+6&gt;=$F265),IF($H265="Complétée","F",IF(OR($H265="En cours",$H265="En revue"),"E",IF($H265="Bloquée","B","P"))),""))</f>
        <v/>
      </c>
      <c r="AH265" s="53">
        <f>IF(OR($F265="",$G265=""),"",IF(AND(AH$5&lt;=$G265,AH$5+6&gt;=$F265),IF($H265="Complétée","F",IF(OR($H265="En cours",$H265="En revue"),"E",IF($H265="Bloquée","B","P"))),""))</f>
        <v/>
      </c>
      <c r="AI265" s="53">
        <f>IF(OR($F265="",$G265=""),"",IF(AND(AI$5&lt;=$G265,AI$5+6&gt;=$F265),IF($H265="Complétée","F",IF(OR($H265="En cours",$H265="En revue"),"E",IF($H265="Bloquée","B","P"))),""))</f>
        <v/>
      </c>
      <c r="AJ265" s="53">
        <f>IF(OR($F265="",$G265=""),"",IF(AND(AJ$5&lt;=$G265,AJ$5+6&gt;=$F265),IF($H265="Complétée","F",IF(OR($H265="En cours",$H265="En revue"),"E",IF($H265="Bloquée","B","P"))),""))</f>
        <v/>
      </c>
      <c r="AK265" s="53">
        <f>IF(OR($F265="",$G265=""),"",IF(AND(AK$5&lt;=$G265,AK$5+6&gt;=$F265),IF($H265="Complétée","F",IF(OR($H265="En cours",$H265="En revue"),"E",IF($H265="Bloquée","B","P"))),""))</f>
        <v/>
      </c>
      <c r="AL265" s="53">
        <f>IF(OR($F265="",$G265=""),"",IF(AND(AL$5&lt;=$G265,AL$5+6&gt;=$F265),IF($H265="Complétée","F",IF(OR($H265="En cours",$H265="En revue"),"E",IF($H265="Bloquée","B","P"))),""))</f>
        <v/>
      </c>
      <c r="AM265" s="53">
        <f>IF(OR($F265="",$G265=""),"",IF(AND(AM$5&lt;=$G265,AM$5+6&gt;=$F265),IF($H265="Complétée","F",IF(OR($H265="En cours",$H265="En revue"),"E",IF($H265="Bloquée","B","P"))),""))</f>
        <v/>
      </c>
      <c r="AN265" s="53">
        <f>IF(OR($F265="",$G265=""),"",IF(AND(AN$5&lt;=$G265,AN$5+6&gt;=$F265),IF($H265="Complétée","F",IF(OR($H265="En cours",$H265="En revue"),"E",IF($H265="Bloquée","B","P"))),""))</f>
        <v/>
      </c>
      <c r="AO265" s="53">
        <f>IF(OR($F265="",$G265=""),"",IF(AND(AO$5&lt;=$G265,AO$5+6&gt;=$F265),IF($H265="Complétée","F",IF(OR($H265="En cours",$H265="En revue"),"E",IF($H265="Bloquée","B","P"))),""))</f>
        <v/>
      </c>
      <c r="AP265" s="53">
        <f>IF(OR($F265="",$G265=""),"",IF(AND(AP$5&lt;=$G265,AP$5+6&gt;=$F265),IF($H265="Complétée","F",IF(OR($H265="En cours",$H265="En revue"),"E",IF($H265="Bloquée","B","P"))),""))</f>
        <v/>
      </c>
      <c r="AQ265" s="53">
        <f>IF(OR($F265="",$G265=""),"",IF(AND(AQ$5&lt;=$G265,AQ$5+6&gt;=$F265),IF($H265="Complétée","F",IF(OR($H265="En cours",$H265="En revue"),"E",IF($H265="Bloquée","B","P"))),""))</f>
        <v/>
      </c>
      <c r="AR265" s="53">
        <f>IF(OR($F265="",$G265=""),"",IF(AND(AR$5&lt;=$G265,AR$5+6&gt;=$F265),IF($H265="Complétée","F",IF(OR($H265="En cours",$H265="En revue"),"E",IF($H265="Bloquée","B","P"))),""))</f>
        <v/>
      </c>
      <c r="AS265" s="53">
        <f>IF(OR($F265="",$G265=""),"",IF(AND(AS$5&lt;=$G265,AS$5+6&gt;=$F265),IF($H265="Complétée","F",IF(OR($H265="En cours",$H265="En revue"),"E",IF($H265="Bloquée","B","P"))),""))</f>
        <v/>
      </c>
      <c r="AT265" s="53">
        <f>IF(OR($F265="",$G265=""),"",IF(AND(AT$5&lt;=$G265,AT$5+6&gt;=$F265),IF($H265="Complétée","F",IF(OR($H265="En cours",$H265="En revue"),"E",IF($H265="Bloquée","B","P"))),""))</f>
        <v/>
      </c>
      <c r="AU265" s="53">
        <f>IF(OR($F265="",$G265=""),"",IF(AND(AU$5&lt;=$G265,AU$5+6&gt;=$F265),IF($H265="Complétée","F",IF(OR($H265="En cours",$H265="En revue"),"E",IF($H265="Bloquée","B","P"))),""))</f>
        <v/>
      </c>
      <c r="AV265" s="53">
        <f>IF(OR($F265="",$G265=""),"",IF(AND(AV$5&lt;=$G265,AV$5+6&gt;=$F265),IF($H265="Complétée","F",IF(OR($H265="En cours",$H265="En revue"),"E",IF($H265="Bloquée","B","P"))),""))</f>
        <v/>
      </c>
      <c r="AW265" s="53">
        <f>IF(OR($F265="",$G265=""),"",IF(AND(AW$5&lt;=$G265,AW$5+6&gt;=$F265),IF($H265="Complétée","F",IF(OR($H265="En cours",$H265="En revue"),"E",IF($H265="Bloquée","B","P"))),""))</f>
        <v/>
      </c>
    </row>
    <row r="266">
      <c r="B266" s="50">
        <f>IF(Taches!B266="","",Taches!B266)</f>
        <v/>
      </c>
      <c r="C266" s="51">
        <f>IF(Taches!B266="","",Taches!F266)</f>
        <v/>
      </c>
      <c r="D266" s="50">
        <f>IF(Taches!B266="","",Taches!C266)</f>
        <v/>
      </c>
      <c r="E266" s="50">
        <f>IF(Taches!B266="","",Taches!D266)</f>
        <v/>
      </c>
      <c r="F266" s="52">
        <f>IF(Taches!P266="","",Taches!P266)</f>
        <v/>
      </c>
      <c r="G266" s="52">
        <f>IF(Taches!Q266="","",Taches!Q266)</f>
        <v/>
      </c>
      <c r="H266" s="50">
        <f>IF(Taches!B266="","",Taches!J266)</f>
        <v/>
      </c>
      <c r="I266" s="53">
        <f>IF(OR($F266="",$G266=""),"",IF(AND(I$5&lt;=$G266,I$5+6&gt;=$F266),IF($H266="Complétée","F",IF(OR($H266="En cours",$H266="En revue"),"E",IF($H266="Bloquée","B","P"))),""))</f>
        <v/>
      </c>
      <c r="J266" s="53">
        <f>IF(OR($F266="",$G266=""),"",IF(AND(J$5&lt;=$G266,J$5+6&gt;=$F266),IF($H266="Complétée","F",IF(OR($H266="En cours",$H266="En revue"),"E",IF($H266="Bloquée","B","P"))),""))</f>
        <v/>
      </c>
      <c r="K266" s="53">
        <f>IF(OR($F266="",$G266=""),"",IF(AND(K$5&lt;=$G266,K$5+6&gt;=$F266),IF($H266="Complétée","F",IF(OR($H266="En cours",$H266="En revue"),"E",IF($H266="Bloquée","B","P"))),""))</f>
        <v/>
      </c>
      <c r="L266" s="53">
        <f>IF(OR($F266="",$G266=""),"",IF(AND(L$5&lt;=$G266,L$5+6&gt;=$F266),IF($H266="Complétée","F",IF(OR($H266="En cours",$H266="En revue"),"E",IF($H266="Bloquée","B","P"))),""))</f>
        <v/>
      </c>
      <c r="M266" s="53">
        <f>IF(OR($F266="",$G266=""),"",IF(AND(M$5&lt;=$G266,M$5+6&gt;=$F266),IF($H266="Complétée","F",IF(OR($H266="En cours",$H266="En revue"),"E",IF($H266="Bloquée","B","P"))),""))</f>
        <v/>
      </c>
      <c r="N266" s="53">
        <f>IF(OR($F266="",$G266=""),"",IF(AND(N$5&lt;=$G266,N$5+6&gt;=$F266),IF($H266="Complétée","F",IF(OR($H266="En cours",$H266="En revue"),"E",IF($H266="Bloquée","B","P"))),""))</f>
        <v/>
      </c>
      <c r="O266" s="53">
        <f>IF(OR($F266="",$G266=""),"",IF(AND(O$5&lt;=$G266,O$5+6&gt;=$F266),IF($H266="Complétée","F",IF(OR($H266="En cours",$H266="En revue"),"E",IF($H266="Bloquée","B","P"))),""))</f>
        <v/>
      </c>
      <c r="P266" s="53">
        <f>IF(OR($F266="",$G266=""),"",IF(AND(P$5&lt;=$G266,P$5+6&gt;=$F266),IF($H266="Complétée","F",IF(OR($H266="En cours",$H266="En revue"),"E",IF($H266="Bloquée","B","P"))),""))</f>
        <v/>
      </c>
      <c r="Q266" s="53">
        <f>IF(OR($F266="",$G266=""),"",IF(AND(Q$5&lt;=$G266,Q$5+6&gt;=$F266),IF($H266="Complétée","F",IF(OR($H266="En cours",$H266="En revue"),"E",IF($H266="Bloquée","B","P"))),""))</f>
        <v/>
      </c>
      <c r="R266" s="53">
        <f>IF(OR($F266="",$G266=""),"",IF(AND(R$5&lt;=$G266,R$5+6&gt;=$F266),IF($H266="Complétée","F",IF(OR($H266="En cours",$H266="En revue"),"E",IF($H266="Bloquée","B","P"))),""))</f>
        <v/>
      </c>
      <c r="S266" s="53">
        <f>IF(OR($F266="",$G266=""),"",IF(AND(S$5&lt;=$G266,S$5+6&gt;=$F266),IF($H266="Complétée","F",IF(OR($H266="En cours",$H266="En revue"),"E",IF($H266="Bloquée","B","P"))),""))</f>
        <v/>
      </c>
      <c r="T266" s="53">
        <f>IF(OR($F266="",$G266=""),"",IF(AND(T$5&lt;=$G266,T$5+6&gt;=$F266),IF($H266="Complétée","F",IF(OR($H266="En cours",$H266="En revue"),"E",IF($H266="Bloquée","B","P"))),""))</f>
        <v/>
      </c>
      <c r="U266" s="53">
        <f>IF(OR($F266="",$G266=""),"",IF(AND(U$5&lt;=$G266,U$5+6&gt;=$F266),IF($H266="Complétée","F",IF(OR($H266="En cours",$H266="En revue"),"E",IF($H266="Bloquée","B","P"))),""))</f>
        <v/>
      </c>
      <c r="V266" s="53">
        <f>IF(OR($F266="",$G266=""),"",IF(AND(V$5&lt;=$G266,V$5+6&gt;=$F266),IF($H266="Complétée","F",IF(OR($H266="En cours",$H266="En revue"),"E",IF($H266="Bloquée","B","P"))),""))</f>
        <v/>
      </c>
      <c r="W266" s="53">
        <f>IF(OR($F266="",$G266=""),"",IF(AND(W$5&lt;=$G266,W$5+6&gt;=$F266),IF($H266="Complétée","F",IF(OR($H266="En cours",$H266="En revue"),"E",IF($H266="Bloquée","B","P"))),""))</f>
        <v/>
      </c>
      <c r="X266" s="53">
        <f>IF(OR($F266="",$G266=""),"",IF(AND(X$5&lt;=$G266,X$5+6&gt;=$F266),IF($H266="Complétée","F",IF(OR($H266="En cours",$H266="En revue"),"E",IF($H266="Bloquée","B","P"))),""))</f>
        <v/>
      </c>
      <c r="Y266" s="53">
        <f>IF(OR($F266="",$G266=""),"",IF(AND(Y$5&lt;=$G266,Y$5+6&gt;=$F266),IF($H266="Complétée","F",IF(OR($H266="En cours",$H266="En revue"),"E",IF($H266="Bloquée","B","P"))),""))</f>
        <v/>
      </c>
      <c r="Z266" s="53">
        <f>IF(OR($F266="",$G266=""),"",IF(AND(Z$5&lt;=$G266,Z$5+6&gt;=$F266),IF($H266="Complétée","F",IF(OR($H266="En cours",$H266="En revue"),"E",IF($H266="Bloquée","B","P"))),""))</f>
        <v/>
      </c>
      <c r="AA266" s="53">
        <f>IF(OR($F266="",$G266=""),"",IF(AND(AA$5&lt;=$G266,AA$5+6&gt;=$F266),IF($H266="Complétée","F",IF(OR($H266="En cours",$H266="En revue"),"E",IF($H266="Bloquée","B","P"))),""))</f>
        <v/>
      </c>
      <c r="AB266" s="53">
        <f>IF(OR($F266="",$G266=""),"",IF(AND(AB$5&lt;=$G266,AB$5+6&gt;=$F266),IF($H266="Complétée","F",IF(OR($H266="En cours",$H266="En revue"),"E",IF($H266="Bloquée","B","P"))),""))</f>
        <v/>
      </c>
      <c r="AC266" s="53">
        <f>IF(OR($F266="",$G266=""),"",IF(AND(AC$5&lt;=$G266,AC$5+6&gt;=$F266),IF($H266="Complétée","F",IF(OR($H266="En cours",$H266="En revue"),"E",IF($H266="Bloquée","B","P"))),""))</f>
        <v/>
      </c>
      <c r="AD266" s="53">
        <f>IF(OR($F266="",$G266=""),"",IF(AND(AD$5&lt;=$G266,AD$5+6&gt;=$F266),IF($H266="Complétée","F",IF(OR($H266="En cours",$H266="En revue"),"E",IF($H266="Bloquée","B","P"))),""))</f>
        <v/>
      </c>
      <c r="AE266" s="53">
        <f>IF(OR($F266="",$G266=""),"",IF(AND(AE$5&lt;=$G266,AE$5+6&gt;=$F266),IF($H266="Complétée","F",IF(OR($H266="En cours",$H266="En revue"),"E",IF($H266="Bloquée","B","P"))),""))</f>
        <v/>
      </c>
      <c r="AF266" s="53">
        <f>IF(OR($F266="",$G266=""),"",IF(AND(AF$5&lt;=$G266,AF$5+6&gt;=$F266),IF($H266="Complétée","F",IF(OR($H266="En cours",$H266="En revue"),"E",IF($H266="Bloquée","B","P"))),""))</f>
        <v/>
      </c>
      <c r="AG266" s="53">
        <f>IF(OR($F266="",$G266=""),"",IF(AND(AG$5&lt;=$G266,AG$5+6&gt;=$F266),IF($H266="Complétée","F",IF(OR($H266="En cours",$H266="En revue"),"E",IF($H266="Bloquée","B","P"))),""))</f>
        <v/>
      </c>
      <c r="AH266" s="53">
        <f>IF(OR($F266="",$G266=""),"",IF(AND(AH$5&lt;=$G266,AH$5+6&gt;=$F266),IF($H266="Complétée","F",IF(OR($H266="En cours",$H266="En revue"),"E",IF($H266="Bloquée","B","P"))),""))</f>
        <v/>
      </c>
      <c r="AI266" s="53">
        <f>IF(OR($F266="",$G266=""),"",IF(AND(AI$5&lt;=$G266,AI$5+6&gt;=$F266),IF($H266="Complétée","F",IF(OR($H266="En cours",$H266="En revue"),"E",IF($H266="Bloquée","B","P"))),""))</f>
        <v/>
      </c>
      <c r="AJ266" s="53">
        <f>IF(OR($F266="",$G266=""),"",IF(AND(AJ$5&lt;=$G266,AJ$5+6&gt;=$F266),IF($H266="Complétée","F",IF(OR($H266="En cours",$H266="En revue"),"E",IF($H266="Bloquée","B","P"))),""))</f>
        <v/>
      </c>
      <c r="AK266" s="53">
        <f>IF(OR($F266="",$G266=""),"",IF(AND(AK$5&lt;=$G266,AK$5+6&gt;=$F266),IF($H266="Complétée","F",IF(OR($H266="En cours",$H266="En revue"),"E",IF($H266="Bloquée","B","P"))),""))</f>
        <v/>
      </c>
      <c r="AL266" s="53">
        <f>IF(OR($F266="",$G266=""),"",IF(AND(AL$5&lt;=$G266,AL$5+6&gt;=$F266),IF($H266="Complétée","F",IF(OR($H266="En cours",$H266="En revue"),"E",IF($H266="Bloquée","B","P"))),""))</f>
        <v/>
      </c>
      <c r="AM266" s="53">
        <f>IF(OR($F266="",$G266=""),"",IF(AND(AM$5&lt;=$G266,AM$5+6&gt;=$F266),IF($H266="Complétée","F",IF(OR($H266="En cours",$H266="En revue"),"E",IF($H266="Bloquée","B","P"))),""))</f>
        <v/>
      </c>
      <c r="AN266" s="53">
        <f>IF(OR($F266="",$G266=""),"",IF(AND(AN$5&lt;=$G266,AN$5+6&gt;=$F266),IF($H266="Complétée","F",IF(OR($H266="En cours",$H266="En revue"),"E",IF($H266="Bloquée","B","P"))),""))</f>
        <v/>
      </c>
      <c r="AO266" s="53">
        <f>IF(OR($F266="",$G266=""),"",IF(AND(AO$5&lt;=$G266,AO$5+6&gt;=$F266),IF($H266="Complétée","F",IF(OR($H266="En cours",$H266="En revue"),"E",IF($H266="Bloquée","B","P"))),""))</f>
        <v/>
      </c>
      <c r="AP266" s="53">
        <f>IF(OR($F266="",$G266=""),"",IF(AND(AP$5&lt;=$G266,AP$5+6&gt;=$F266),IF($H266="Complétée","F",IF(OR($H266="En cours",$H266="En revue"),"E",IF($H266="Bloquée","B","P"))),""))</f>
        <v/>
      </c>
      <c r="AQ266" s="53">
        <f>IF(OR($F266="",$G266=""),"",IF(AND(AQ$5&lt;=$G266,AQ$5+6&gt;=$F266),IF($H266="Complétée","F",IF(OR($H266="En cours",$H266="En revue"),"E",IF($H266="Bloquée","B","P"))),""))</f>
        <v/>
      </c>
      <c r="AR266" s="53">
        <f>IF(OR($F266="",$G266=""),"",IF(AND(AR$5&lt;=$G266,AR$5+6&gt;=$F266),IF($H266="Complétée","F",IF(OR($H266="En cours",$H266="En revue"),"E",IF($H266="Bloquée","B","P"))),""))</f>
        <v/>
      </c>
      <c r="AS266" s="53">
        <f>IF(OR($F266="",$G266=""),"",IF(AND(AS$5&lt;=$G266,AS$5+6&gt;=$F266),IF($H266="Complétée","F",IF(OR($H266="En cours",$H266="En revue"),"E",IF($H266="Bloquée","B","P"))),""))</f>
        <v/>
      </c>
      <c r="AT266" s="53">
        <f>IF(OR($F266="",$G266=""),"",IF(AND(AT$5&lt;=$G266,AT$5+6&gt;=$F266),IF($H266="Complétée","F",IF(OR($H266="En cours",$H266="En revue"),"E",IF($H266="Bloquée","B","P"))),""))</f>
        <v/>
      </c>
      <c r="AU266" s="53">
        <f>IF(OR($F266="",$G266=""),"",IF(AND(AU$5&lt;=$G266,AU$5+6&gt;=$F266),IF($H266="Complétée","F",IF(OR($H266="En cours",$H266="En revue"),"E",IF($H266="Bloquée","B","P"))),""))</f>
        <v/>
      </c>
      <c r="AV266" s="53">
        <f>IF(OR($F266="",$G266=""),"",IF(AND(AV$5&lt;=$G266,AV$5+6&gt;=$F266),IF($H266="Complétée","F",IF(OR($H266="En cours",$H266="En revue"),"E",IF($H266="Bloquée","B","P"))),""))</f>
        <v/>
      </c>
      <c r="AW266" s="53">
        <f>IF(OR($F266="",$G266=""),"",IF(AND(AW$5&lt;=$G266,AW$5+6&gt;=$F266),IF($H266="Complétée","F",IF(OR($H266="En cours",$H266="En revue"),"E",IF($H266="Bloquée","B","P"))),""))</f>
        <v/>
      </c>
    </row>
    <row r="267">
      <c r="B267" s="50">
        <f>IF(Taches!B267="","",Taches!B267)</f>
        <v/>
      </c>
      <c r="C267" s="51">
        <f>IF(Taches!B267="","",Taches!F267)</f>
        <v/>
      </c>
      <c r="D267" s="50">
        <f>IF(Taches!B267="","",Taches!C267)</f>
        <v/>
      </c>
      <c r="E267" s="50">
        <f>IF(Taches!B267="","",Taches!D267)</f>
        <v/>
      </c>
      <c r="F267" s="52">
        <f>IF(Taches!P267="","",Taches!P267)</f>
        <v/>
      </c>
      <c r="G267" s="52">
        <f>IF(Taches!Q267="","",Taches!Q267)</f>
        <v/>
      </c>
      <c r="H267" s="50">
        <f>IF(Taches!B267="","",Taches!J267)</f>
        <v/>
      </c>
      <c r="I267" s="53">
        <f>IF(OR($F267="",$G267=""),"",IF(AND(I$5&lt;=$G267,I$5+6&gt;=$F267),IF($H267="Complétée","F",IF(OR($H267="En cours",$H267="En revue"),"E",IF($H267="Bloquée","B","P"))),""))</f>
        <v/>
      </c>
      <c r="J267" s="53">
        <f>IF(OR($F267="",$G267=""),"",IF(AND(J$5&lt;=$G267,J$5+6&gt;=$F267),IF($H267="Complétée","F",IF(OR($H267="En cours",$H267="En revue"),"E",IF($H267="Bloquée","B","P"))),""))</f>
        <v/>
      </c>
      <c r="K267" s="53">
        <f>IF(OR($F267="",$G267=""),"",IF(AND(K$5&lt;=$G267,K$5+6&gt;=$F267),IF($H267="Complétée","F",IF(OR($H267="En cours",$H267="En revue"),"E",IF($H267="Bloquée","B","P"))),""))</f>
        <v/>
      </c>
      <c r="L267" s="53">
        <f>IF(OR($F267="",$G267=""),"",IF(AND(L$5&lt;=$G267,L$5+6&gt;=$F267),IF($H267="Complétée","F",IF(OR($H267="En cours",$H267="En revue"),"E",IF($H267="Bloquée","B","P"))),""))</f>
        <v/>
      </c>
      <c r="M267" s="53">
        <f>IF(OR($F267="",$G267=""),"",IF(AND(M$5&lt;=$G267,M$5+6&gt;=$F267),IF($H267="Complétée","F",IF(OR($H267="En cours",$H267="En revue"),"E",IF($H267="Bloquée","B","P"))),""))</f>
        <v/>
      </c>
      <c r="N267" s="53">
        <f>IF(OR($F267="",$G267=""),"",IF(AND(N$5&lt;=$G267,N$5+6&gt;=$F267),IF($H267="Complétée","F",IF(OR($H267="En cours",$H267="En revue"),"E",IF($H267="Bloquée","B","P"))),""))</f>
        <v/>
      </c>
      <c r="O267" s="53">
        <f>IF(OR($F267="",$G267=""),"",IF(AND(O$5&lt;=$G267,O$5+6&gt;=$F267),IF($H267="Complétée","F",IF(OR($H267="En cours",$H267="En revue"),"E",IF($H267="Bloquée","B","P"))),""))</f>
        <v/>
      </c>
      <c r="P267" s="53">
        <f>IF(OR($F267="",$G267=""),"",IF(AND(P$5&lt;=$G267,P$5+6&gt;=$F267),IF($H267="Complétée","F",IF(OR($H267="En cours",$H267="En revue"),"E",IF($H267="Bloquée","B","P"))),""))</f>
        <v/>
      </c>
      <c r="Q267" s="53">
        <f>IF(OR($F267="",$G267=""),"",IF(AND(Q$5&lt;=$G267,Q$5+6&gt;=$F267),IF($H267="Complétée","F",IF(OR($H267="En cours",$H267="En revue"),"E",IF($H267="Bloquée","B","P"))),""))</f>
        <v/>
      </c>
      <c r="R267" s="53">
        <f>IF(OR($F267="",$G267=""),"",IF(AND(R$5&lt;=$G267,R$5+6&gt;=$F267),IF($H267="Complétée","F",IF(OR($H267="En cours",$H267="En revue"),"E",IF($H267="Bloquée","B","P"))),""))</f>
        <v/>
      </c>
      <c r="S267" s="53">
        <f>IF(OR($F267="",$G267=""),"",IF(AND(S$5&lt;=$G267,S$5+6&gt;=$F267),IF($H267="Complétée","F",IF(OR($H267="En cours",$H267="En revue"),"E",IF($H267="Bloquée","B","P"))),""))</f>
        <v/>
      </c>
      <c r="T267" s="53">
        <f>IF(OR($F267="",$G267=""),"",IF(AND(T$5&lt;=$G267,T$5+6&gt;=$F267),IF($H267="Complétée","F",IF(OR($H267="En cours",$H267="En revue"),"E",IF($H267="Bloquée","B","P"))),""))</f>
        <v/>
      </c>
      <c r="U267" s="53">
        <f>IF(OR($F267="",$G267=""),"",IF(AND(U$5&lt;=$G267,U$5+6&gt;=$F267),IF($H267="Complétée","F",IF(OR($H267="En cours",$H267="En revue"),"E",IF($H267="Bloquée","B","P"))),""))</f>
        <v/>
      </c>
      <c r="V267" s="53">
        <f>IF(OR($F267="",$G267=""),"",IF(AND(V$5&lt;=$G267,V$5+6&gt;=$F267),IF($H267="Complétée","F",IF(OR($H267="En cours",$H267="En revue"),"E",IF($H267="Bloquée","B","P"))),""))</f>
        <v/>
      </c>
      <c r="W267" s="53">
        <f>IF(OR($F267="",$G267=""),"",IF(AND(W$5&lt;=$G267,W$5+6&gt;=$F267),IF($H267="Complétée","F",IF(OR($H267="En cours",$H267="En revue"),"E",IF($H267="Bloquée","B","P"))),""))</f>
        <v/>
      </c>
      <c r="X267" s="53">
        <f>IF(OR($F267="",$G267=""),"",IF(AND(X$5&lt;=$G267,X$5+6&gt;=$F267),IF($H267="Complétée","F",IF(OR($H267="En cours",$H267="En revue"),"E",IF($H267="Bloquée","B","P"))),""))</f>
        <v/>
      </c>
      <c r="Y267" s="53">
        <f>IF(OR($F267="",$G267=""),"",IF(AND(Y$5&lt;=$G267,Y$5+6&gt;=$F267),IF($H267="Complétée","F",IF(OR($H267="En cours",$H267="En revue"),"E",IF($H267="Bloquée","B","P"))),""))</f>
        <v/>
      </c>
      <c r="Z267" s="53">
        <f>IF(OR($F267="",$G267=""),"",IF(AND(Z$5&lt;=$G267,Z$5+6&gt;=$F267),IF($H267="Complétée","F",IF(OR($H267="En cours",$H267="En revue"),"E",IF($H267="Bloquée","B","P"))),""))</f>
        <v/>
      </c>
      <c r="AA267" s="53">
        <f>IF(OR($F267="",$G267=""),"",IF(AND(AA$5&lt;=$G267,AA$5+6&gt;=$F267),IF($H267="Complétée","F",IF(OR($H267="En cours",$H267="En revue"),"E",IF($H267="Bloquée","B","P"))),""))</f>
        <v/>
      </c>
      <c r="AB267" s="53">
        <f>IF(OR($F267="",$G267=""),"",IF(AND(AB$5&lt;=$G267,AB$5+6&gt;=$F267),IF($H267="Complétée","F",IF(OR($H267="En cours",$H267="En revue"),"E",IF($H267="Bloquée","B","P"))),""))</f>
        <v/>
      </c>
      <c r="AC267" s="53">
        <f>IF(OR($F267="",$G267=""),"",IF(AND(AC$5&lt;=$G267,AC$5+6&gt;=$F267),IF($H267="Complétée","F",IF(OR($H267="En cours",$H267="En revue"),"E",IF($H267="Bloquée","B","P"))),""))</f>
        <v/>
      </c>
      <c r="AD267" s="53">
        <f>IF(OR($F267="",$G267=""),"",IF(AND(AD$5&lt;=$G267,AD$5+6&gt;=$F267),IF($H267="Complétée","F",IF(OR($H267="En cours",$H267="En revue"),"E",IF($H267="Bloquée","B","P"))),""))</f>
        <v/>
      </c>
      <c r="AE267" s="53">
        <f>IF(OR($F267="",$G267=""),"",IF(AND(AE$5&lt;=$G267,AE$5+6&gt;=$F267),IF($H267="Complétée","F",IF(OR($H267="En cours",$H267="En revue"),"E",IF($H267="Bloquée","B","P"))),""))</f>
        <v/>
      </c>
      <c r="AF267" s="53">
        <f>IF(OR($F267="",$G267=""),"",IF(AND(AF$5&lt;=$G267,AF$5+6&gt;=$F267),IF($H267="Complétée","F",IF(OR($H267="En cours",$H267="En revue"),"E",IF($H267="Bloquée","B","P"))),""))</f>
        <v/>
      </c>
      <c r="AG267" s="53">
        <f>IF(OR($F267="",$G267=""),"",IF(AND(AG$5&lt;=$G267,AG$5+6&gt;=$F267),IF($H267="Complétée","F",IF(OR($H267="En cours",$H267="En revue"),"E",IF($H267="Bloquée","B","P"))),""))</f>
        <v/>
      </c>
      <c r="AH267" s="53">
        <f>IF(OR($F267="",$G267=""),"",IF(AND(AH$5&lt;=$G267,AH$5+6&gt;=$F267),IF($H267="Complétée","F",IF(OR($H267="En cours",$H267="En revue"),"E",IF($H267="Bloquée","B","P"))),""))</f>
        <v/>
      </c>
      <c r="AI267" s="53">
        <f>IF(OR($F267="",$G267=""),"",IF(AND(AI$5&lt;=$G267,AI$5+6&gt;=$F267),IF($H267="Complétée","F",IF(OR($H267="En cours",$H267="En revue"),"E",IF($H267="Bloquée","B","P"))),""))</f>
        <v/>
      </c>
      <c r="AJ267" s="53">
        <f>IF(OR($F267="",$G267=""),"",IF(AND(AJ$5&lt;=$G267,AJ$5+6&gt;=$F267),IF($H267="Complétée","F",IF(OR($H267="En cours",$H267="En revue"),"E",IF($H267="Bloquée","B","P"))),""))</f>
        <v/>
      </c>
      <c r="AK267" s="53">
        <f>IF(OR($F267="",$G267=""),"",IF(AND(AK$5&lt;=$G267,AK$5+6&gt;=$F267),IF($H267="Complétée","F",IF(OR($H267="En cours",$H267="En revue"),"E",IF($H267="Bloquée","B","P"))),""))</f>
        <v/>
      </c>
      <c r="AL267" s="53">
        <f>IF(OR($F267="",$G267=""),"",IF(AND(AL$5&lt;=$G267,AL$5+6&gt;=$F267),IF($H267="Complétée","F",IF(OR($H267="En cours",$H267="En revue"),"E",IF($H267="Bloquée","B","P"))),""))</f>
        <v/>
      </c>
      <c r="AM267" s="53">
        <f>IF(OR($F267="",$G267=""),"",IF(AND(AM$5&lt;=$G267,AM$5+6&gt;=$F267),IF($H267="Complétée","F",IF(OR($H267="En cours",$H267="En revue"),"E",IF($H267="Bloquée","B","P"))),""))</f>
        <v/>
      </c>
      <c r="AN267" s="53">
        <f>IF(OR($F267="",$G267=""),"",IF(AND(AN$5&lt;=$G267,AN$5+6&gt;=$F267),IF($H267="Complétée","F",IF(OR($H267="En cours",$H267="En revue"),"E",IF($H267="Bloquée","B","P"))),""))</f>
        <v/>
      </c>
      <c r="AO267" s="53">
        <f>IF(OR($F267="",$G267=""),"",IF(AND(AO$5&lt;=$G267,AO$5+6&gt;=$F267),IF($H267="Complétée","F",IF(OR($H267="En cours",$H267="En revue"),"E",IF($H267="Bloquée","B","P"))),""))</f>
        <v/>
      </c>
      <c r="AP267" s="53">
        <f>IF(OR($F267="",$G267=""),"",IF(AND(AP$5&lt;=$G267,AP$5+6&gt;=$F267),IF($H267="Complétée","F",IF(OR($H267="En cours",$H267="En revue"),"E",IF($H267="Bloquée","B","P"))),""))</f>
        <v/>
      </c>
      <c r="AQ267" s="53">
        <f>IF(OR($F267="",$G267=""),"",IF(AND(AQ$5&lt;=$G267,AQ$5+6&gt;=$F267),IF($H267="Complétée","F",IF(OR($H267="En cours",$H267="En revue"),"E",IF($H267="Bloquée","B","P"))),""))</f>
        <v/>
      </c>
      <c r="AR267" s="53">
        <f>IF(OR($F267="",$G267=""),"",IF(AND(AR$5&lt;=$G267,AR$5+6&gt;=$F267),IF($H267="Complétée","F",IF(OR($H267="En cours",$H267="En revue"),"E",IF($H267="Bloquée","B","P"))),""))</f>
        <v/>
      </c>
      <c r="AS267" s="53">
        <f>IF(OR($F267="",$G267=""),"",IF(AND(AS$5&lt;=$G267,AS$5+6&gt;=$F267),IF($H267="Complétée","F",IF(OR($H267="En cours",$H267="En revue"),"E",IF($H267="Bloquée","B","P"))),""))</f>
        <v/>
      </c>
      <c r="AT267" s="53">
        <f>IF(OR($F267="",$G267=""),"",IF(AND(AT$5&lt;=$G267,AT$5+6&gt;=$F267),IF($H267="Complétée","F",IF(OR($H267="En cours",$H267="En revue"),"E",IF($H267="Bloquée","B","P"))),""))</f>
        <v/>
      </c>
      <c r="AU267" s="53">
        <f>IF(OR($F267="",$G267=""),"",IF(AND(AU$5&lt;=$G267,AU$5+6&gt;=$F267),IF($H267="Complétée","F",IF(OR($H267="En cours",$H267="En revue"),"E",IF($H267="Bloquée","B","P"))),""))</f>
        <v/>
      </c>
      <c r="AV267" s="53">
        <f>IF(OR($F267="",$G267=""),"",IF(AND(AV$5&lt;=$G267,AV$5+6&gt;=$F267),IF($H267="Complétée","F",IF(OR($H267="En cours",$H267="En revue"),"E",IF($H267="Bloquée","B","P"))),""))</f>
        <v/>
      </c>
      <c r="AW267" s="53">
        <f>IF(OR($F267="",$G267=""),"",IF(AND(AW$5&lt;=$G267,AW$5+6&gt;=$F267),IF($H267="Complétée","F",IF(OR($H267="En cours",$H267="En revue"),"E",IF($H267="Bloquée","B","P"))),""))</f>
        <v/>
      </c>
    </row>
    <row r="268">
      <c r="B268" s="50">
        <f>IF(Taches!B268="","",Taches!B268)</f>
        <v/>
      </c>
      <c r="C268" s="51">
        <f>IF(Taches!B268="","",Taches!F268)</f>
        <v/>
      </c>
      <c r="D268" s="50">
        <f>IF(Taches!B268="","",Taches!C268)</f>
        <v/>
      </c>
      <c r="E268" s="50">
        <f>IF(Taches!B268="","",Taches!D268)</f>
        <v/>
      </c>
      <c r="F268" s="52">
        <f>IF(Taches!P268="","",Taches!P268)</f>
        <v/>
      </c>
      <c r="G268" s="52">
        <f>IF(Taches!Q268="","",Taches!Q268)</f>
        <v/>
      </c>
      <c r="H268" s="50">
        <f>IF(Taches!B268="","",Taches!J268)</f>
        <v/>
      </c>
      <c r="I268" s="53">
        <f>IF(OR($F268="",$G268=""),"",IF(AND(I$5&lt;=$G268,I$5+6&gt;=$F268),IF($H268="Complétée","F",IF(OR($H268="En cours",$H268="En revue"),"E",IF($H268="Bloquée","B","P"))),""))</f>
        <v/>
      </c>
      <c r="J268" s="53">
        <f>IF(OR($F268="",$G268=""),"",IF(AND(J$5&lt;=$G268,J$5+6&gt;=$F268),IF($H268="Complétée","F",IF(OR($H268="En cours",$H268="En revue"),"E",IF($H268="Bloquée","B","P"))),""))</f>
        <v/>
      </c>
      <c r="K268" s="53">
        <f>IF(OR($F268="",$G268=""),"",IF(AND(K$5&lt;=$G268,K$5+6&gt;=$F268),IF($H268="Complétée","F",IF(OR($H268="En cours",$H268="En revue"),"E",IF($H268="Bloquée","B","P"))),""))</f>
        <v/>
      </c>
      <c r="L268" s="53">
        <f>IF(OR($F268="",$G268=""),"",IF(AND(L$5&lt;=$G268,L$5+6&gt;=$F268),IF($H268="Complétée","F",IF(OR($H268="En cours",$H268="En revue"),"E",IF($H268="Bloquée","B","P"))),""))</f>
        <v/>
      </c>
      <c r="M268" s="53">
        <f>IF(OR($F268="",$G268=""),"",IF(AND(M$5&lt;=$G268,M$5+6&gt;=$F268),IF($H268="Complétée","F",IF(OR($H268="En cours",$H268="En revue"),"E",IF($H268="Bloquée","B","P"))),""))</f>
        <v/>
      </c>
      <c r="N268" s="53">
        <f>IF(OR($F268="",$G268=""),"",IF(AND(N$5&lt;=$G268,N$5+6&gt;=$F268),IF($H268="Complétée","F",IF(OR($H268="En cours",$H268="En revue"),"E",IF($H268="Bloquée","B","P"))),""))</f>
        <v/>
      </c>
      <c r="O268" s="53">
        <f>IF(OR($F268="",$G268=""),"",IF(AND(O$5&lt;=$G268,O$5+6&gt;=$F268),IF($H268="Complétée","F",IF(OR($H268="En cours",$H268="En revue"),"E",IF($H268="Bloquée","B","P"))),""))</f>
        <v/>
      </c>
      <c r="P268" s="53">
        <f>IF(OR($F268="",$G268=""),"",IF(AND(P$5&lt;=$G268,P$5+6&gt;=$F268),IF($H268="Complétée","F",IF(OR($H268="En cours",$H268="En revue"),"E",IF($H268="Bloquée","B","P"))),""))</f>
        <v/>
      </c>
      <c r="Q268" s="53">
        <f>IF(OR($F268="",$G268=""),"",IF(AND(Q$5&lt;=$G268,Q$5+6&gt;=$F268),IF($H268="Complétée","F",IF(OR($H268="En cours",$H268="En revue"),"E",IF($H268="Bloquée","B","P"))),""))</f>
        <v/>
      </c>
      <c r="R268" s="53">
        <f>IF(OR($F268="",$G268=""),"",IF(AND(R$5&lt;=$G268,R$5+6&gt;=$F268),IF($H268="Complétée","F",IF(OR($H268="En cours",$H268="En revue"),"E",IF($H268="Bloquée","B","P"))),""))</f>
        <v/>
      </c>
      <c r="S268" s="53">
        <f>IF(OR($F268="",$G268=""),"",IF(AND(S$5&lt;=$G268,S$5+6&gt;=$F268),IF($H268="Complétée","F",IF(OR($H268="En cours",$H268="En revue"),"E",IF($H268="Bloquée","B","P"))),""))</f>
        <v/>
      </c>
      <c r="T268" s="53">
        <f>IF(OR($F268="",$G268=""),"",IF(AND(T$5&lt;=$G268,T$5+6&gt;=$F268),IF($H268="Complétée","F",IF(OR($H268="En cours",$H268="En revue"),"E",IF($H268="Bloquée","B","P"))),""))</f>
        <v/>
      </c>
      <c r="U268" s="53">
        <f>IF(OR($F268="",$G268=""),"",IF(AND(U$5&lt;=$G268,U$5+6&gt;=$F268),IF($H268="Complétée","F",IF(OR($H268="En cours",$H268="En revue"),"E",IF($H268="Bloquée","B","P"))),""))</f>
        <v/>
      </c>
      <c r="V268" s="53">
        <f>IF(OR($F268="",$G268=""),"",IF(AND(V$5&lt;=$G268,V$5+6&gt;=$F268),IF($H268="Complétée","F",IF(OR($H268="En cours",$H268="En revue"),"E",IF($H268="Bloquée","B","P"))),""))</f>
        <v/>
      </c>
      <c r="W268" s="53">
        <f>IF(OR($F268="",$G268=""),"",IF(AND(W$5&lt;=$G268,W$5+6&gt;=$F268),IF($H268="Complétée","F",IF(OR($H268="En cours",$H268="En revue"),"E",IF($H268="Bloquée","B","P"))),""))</f>
        <v/>
      </c>
      <c r="X268" s="53">
        <f>IF(OR($F268="",$G268=""),"",IF(AND(X$5&lt;=$G268,X$5+6&gt;=$F268),IF($H268="Complétée","F",IF(OR($H268="En cours",$H268="En revue"),"E",IF($H268="Bloquée","B","P"))),""))</f>
        <v/>
      </c>
      <c r="Y268" s="53">
        <f>IF(OR($F268="",$G268=""),"",IF(AND(Y$5&lt;=$G268,Y$5+6&gt;=$F268),IF($H268="Complétée","F",IF(OR($H268="En cours",$H268="En revue"),"E",IF($H268="Bloquée","B","P"))),""))</f>
        <v/>
      </c>
      <c r="Z268" s="53">
        <f>IF(OR($F268="",$G268=""),"",IF(AND(Z$5&lt;=$G268,Z$5+6&gt;=$F268),IF($H268="Complétée","F",IF(OR($H268="En cours",$H268="En revue"),"E",IF($H268="Bloquée","B","P"))),""))</f>
        <v/>
      </c>
      <c r="AA268" s="53">
        <f>IF(OR($F268="",$G268=""),"",IF(AND(AA$5&lt;=$G268,AA$5+6&gt;=$F268),IF($H268="Complétée","F",IF(OR($H268="En cours",$H268="En revue"),"E",IF($H268="Bloquée","B","P"))),""))</f>
        <v/>
      </c>
      <c r="AB268" s="53">
        <f>IF(OR($F268="",$G268=""),"",IF(AND(AB$5&lt;=$G268,AB$5+6&gt;=$F268),IF($H268="Complétée","F",IF(OR($H268="En cours",$H268="En revue"),"E",IF($H268="Bloquée","B","P"))),""))</f>
        <v/>
      </c>
      <c r="AC268" s="53">
        <f>IF(OR($F268="",$G268=""),"",IF(AND(AC$5&lt;=$G268,AC$5+6&gt;=$F268),IF($H268="Complétée","F",IF(OR($H268="En cours",$H268="En revue"),"E",IF($H268="Bloquée","B","P"))),""))</f>
        <v/>
      </c>
      <c r="AD268" s="53">
        <f>IF(OR($F268="",$G268=""),"",IF(AND(AD$5&lt;=$G268,AD$5+6&gt;=$F268),IF($H268="Complétée","F",IF(OR($H268="En cours",$H268="En revue"),"E",IF($H268="Bloquée","B","P"))),""))</f>
        <v/>
      </c>
      <c r="AE268" s="53">
        <f>IF(OR($F268="",$G268=""),"",IF(AND(AE$5&lt;=$G268,AE$5+6&gt;=$F268),IF($H268="Complétée","F",IF(OR($H268="En cours",$H268="En revue"),"E",IF($H268="Bloquée","B","P"))),""))</f>
        <v/>
      </c>
      <c r="AF268" s="53">
        <f>IF(OR($F268="",$G268=""),"",IF(AND(AF$5&lt;=$G268,AF$5+6&gt;=$F268),IF($H268="Complétée","F",IF(OR($H268="En cours",$H268="En revue"),"E",IF($H268="Bloquée","B","P"))),""))</f>
        <v/>
      </c>
      <c r="AG268" s="53">
        <f>IF(OR($F268="",$G268=""),"",IF(AND(AG$5&lt;=$G268,AG$5+6&gt;=$F268),IF($H268="Complétée","F",IF(OR($H268="En cours",$H268="En revue"),"E",IF($H268="Bloquée","B","P"))),""))</f>
        <v/>
      </c>
      <c r="AH268" s="53">
        <f>IF(OR($F268="",$G268=""),"",IF(AND(AH$5&lt;=$G268,AH$5+6&gt;=$F268),IF($H268="Complétée","F",IF(OR($H268="En cours",$H268="En revue"),"E",IF($H268="Bloquée","B","P"))),""))</f>
        <v/>
      </c>
      <c r="AI268" s="53">
        <f>IF(OR($F268="",$G268=""),"",IF(AND(AI$5&lt;=$G268,AI$5+6&gt;=$F268),IF($H268="Complétée","F",IF(OR($H268="En cours",$H268="En revue"),"E",IF($H268="Bloquée","B","P"))),""))</f>
        <v/>
      </c>
      <c r="AJ268" s="53">
        <f>IF(OR($F268="",$G268=""),"",IF(AND(AJ$5&lt;=$G268,AJ$5+6&gt;=$F268),IF($H268="Complétée","F",IF(OR($H268="En cours",$H268="En revue"),"E",IF($H268="Bloquée","B","P"))),""))</f>
        <v/>
      </c>
      <c r="AK268" s="53">
        <f>IF(OR($F268="",$G268=""),"",IF(AND(AK$5&lt;=$G268,AK$5+6&gt;=$F268),IF($H268="Complétée","F",IF(OR($H268="En cours",$H268="En revue"),"E",IF($H268="Bloquée","B","P"))),""))</f>
        <v/>
      </c>
      <c r="AL268" s="53">
        <f>IF(OR($F268="",$G268=""),"",IF(AND(AL$5&lt;=$G268,AL$5+6&gt;=$F268),IF($H268="Complétée","F",IF(OR($H268="En cours",$H268="En revue"),"E",IF($H268="Bloquée","B","P"))),""))</f>
        <v/>
      </c>
      <c r="AM268" s="53">
        <f>IF(OR($F268="",$G268=""),"",IF(AND(AM$5&lt;=$G268,AM$5+6&gt;=$F268),IF($H268="Complétée","F",IF(OR($H268="En cours",$H268="En revue"),"E",IF($H268="Bloquée","B","P"))),""))</f>
        <v/>
      </c>
      <c r="AN268" s="53">
        <f>IF(OR($F268="",$G268=""),"",IF(AND(AN$5&lt;=$G268,AN$5+6&gt;=$F268),IF($H268="Complétée","F",IF(OR($H268="En cours",$H268="En revue"),"E",IF($H268="Bloquée","B","P"))),""))</f>
        <v/>
      </c>
      <c r="AO268" s="53">
        <f>IF(OR($F268="",$G268=""),"",IF(AND(AO$5&lt;=$G268,AO$5+6&gt;=$F268),IF($H268="Complétée","F",IF(OR($H268="En cours",$H268="En revue"),"E",IF($H268="Bloquée","B","P"))),""))</f>
        <v/>
      </c>
      <c r="AP268" s="53">
        <f>IF(OR($F268="",$G268=""),"",IF(AND(AP$5&lt;=$G268,AP$5+6&gt;=$F268),IF($H268="Complétée","F",IF(OR($H268="En cours",$H268="En revue"),"E",IF($H268="Bloquée","B","P"))),""))</f>
        <v/>
      </c>
      <c r="AQ268" s="53">
        <f>IF(OR($F268="",$G268=""),"",IF(AND(AQ$5&lt;=$G268,AQ$5+6&gt;=$F268),IF($H268="Complétée","F",IF(OR($H268="En cours",$H268="En revue"),"E",IF($H268="Bloquée","B","P"))),""))</f>
        <v/>
      </c>
      <c r="AR268" s="53">
        <f>IF(OR($F268="",$G268=""),"",IF(AND(AR$5&lt;=$G268,AR$5+6&gt;=$F268),IF($H268="Complétée","F",IF(OR($H268="En cours",$H268="En revue"),"E",IF($H268="Bloquée","B","P"))),""))</f>
        <v/>
      </c>
      <c r="AS268" s="53">
        <f>IF(OR($F268="",$G268=""),"",IF(AND(AS$5&lt;=$G268,AS$5+6&gt;=$F268),IF($H268="Complétée","F",IF(OR($H268="En cours",$H268="En revue"),"E",IF($H268="Bloquée","B","P"))),""))</f>
        <v/>
      </c>
      <c r="AT268" s="53">
        <f>IF(OR($F268="",$G268=""),"",IF(AND(AT$5&lt;=$G268,AT$5+6&gt;=$F268),IF($H268="Complétée","F",IF(OR($H268="En cours",$H268="En revue"),"E",IF($H268="Bloquée","B","P"))),""))</f>
        <v/>
      </c>
      <c r="AU268" s="53">
        <f>IF(OR($F268="",$G268=""),"",IF(AND(AU$5&lt;=$G268,AU$5+6&gt;=$F268),IF($H268="Complétée","F",IF(OR($H268="En cours",$H268="En revue"),"E",IF($H268="Bloquée","B","P"))),""))</f>
        <v/>
      </c>
      <c r="AV268" s="53">
        <f>IF(OR($F268="",$G268=""),"",IF(AND(AV$5&lt;=$G268,AV$5+6&gt;=$F268),IF($H268="Complétée","F",IF(OR($H268="En cours",$H268="En revue"),"E",IF($H268="Bloquée","B","P"))),""))</f>
        <v/>
      </c>
      <c r="AW268" s="53">
        <f>IF(OR($F268="",$G268=""),"",IF(AND(AW$5&lt;=$G268,AW$5+6&gt;=$F268),IF($H268="Complétée","F",IF(OR($H268="En cours",$H268="En revue"),"E",IF($H268="Bloquée","B","P"))),""))</f>
        <v/>
      </c>
    </row>
    <row r="269">
      <c r="B269" s="50">
        <f>IF(Taches!B269="","",Taches!B269)</f>
        <v/>
      </c>
      <c r="C269" s="51">
        <f>IF(Taches!B269="","",Taches!F269)</f>
        <v/>
      </c>
      <c r="D269" s="50">
        <f>IF(Taches!B269="","",Taches!C269)</f>
        <v/>
      </c>
      <c r="E269" s="50">
        <f>IF(Taches!B269="","",Taches!D269)</f>
        <v/>
      </c>
      <c r="F269" s="52">
        <f>IF(Taches!P269="","",Taches!P269)</f>
        <v/>
      </c>
      <c r="G269" s="52">
        <f>IF(Taches!Q269="","",Taches!Q269)</f>
        <v/>
      </c>
      <c r="H269" s="50">
        <f>IF(Taches!B269="","",Taches!J269)</f>
        <v/>
      </c>
      <c r="I269" s="53">
        <f>IF(OR($F269="",$G269=""),"",IF(AND(I$5&lt;=$G269,I$5+6&gt;=$F269),IF($H269="Complétée","F",IF(OR($H269="En cours",$H269="En revue"),"E",IF($H269="Bloquée","B","P"))),""))</f>
        <v/>
      </c>
      <c r="J269" s="53">
        <f>IF(OR($F269="",$G269=""),"",IF(AND(J$5&lt;=$G269,J$5+6&gt;=$F269),IF($H269="Complétée","F",IF(OR($H269="En cours",$H269="En revue"),"E",IF($H269="Bloquée","B","P"))),""))</f>
        <v/>
      </c>
      <c r="K269" s="53">
        <f>IF(OR($F269="",$G269=""),"",IF(AND(K$5&lt;=$G269,K$5+6&gt;=$F269),IF($H269="Complétée","F",IF(OR($H269="En cours",$H269="En revue"),"E",IF($H269="Bloquée","B","P"))),""))</f>
        <v/>
      </c>
      <c r="L269" s="53">
        <f>IF(OR($F269="",$G269=""),"",IF(AND(L$5&lt;=$G269,L$5+6&gt;=$F269),IF($H269="Complétée","F",IF(OR($H269="En cours",$H269="En revue"),"E",IF($H269="Bloquée","B","P"))),""))</f>
        <v/>
      </c>
      <c r="M269" s="53">
        <f>IF(OR($F269="",$G269=""),"",IF(AND(M$5&lt;=$G269,M$5+6&gt;=$F269),IF($H269="Complétée","F",IF(OR($H269="En cours",$H269="En revue"),"E",IF($H269="Bloquée","B","P"))),""))</f>
        <v/>
      </c>
      <c r="N269" s="53">
        <f>IF(OR($F269="",$G269=""),"",IF(AND(N$5&lt;=$G269,N$5+6&gt;=$F269),IF($H269="Complétée","F",IF(OR($H269="En cours",$H269="En revue"),"E",IF($H269="Bloquée","B","P"))),""))</f>
        <v/>
      </c>
      <c r="O269" s="53">
        <f>IF(OR($F269="",$G269=""),"",IF(AND(O$5&lt;=$G269,O$5+6&gt;=$F269),IF($H269="Complétée","F",IF(OR($H269="En cours",$H269="En revue"),"E",IF($H269="Bloquée","B","P"))),""))</f>
        <v/>
      </c>
      <c r="P269" s="53">
        <f>IF(OR($F269="",$G269=""),"",IF(AND(P$5&lt;=$G269,P$5+6&gt;=$F269),IF($H269="Complétée","F",IF(OR($H269="En cours",$H269="En revue"),"E",IF($H269="Bloquée","B","P"))),""))</f>
        <v/>
      </c>
      <c r="Q269" s="53">
        <f>IF(OR($F269="",$G269=""),"",IF(AND(Q$5&lt;=$G269,Q$5+6&gt;=$F269),IF($H269="Complétée","F",IF(OR($H269="En cours",$H269="En revue"),"E",IF($H269="Bloquée","B","P"))),""))</f>
        <v/>
      </c>
      <c r="R269" s="53">
        <f>IF(OR($F269="",$G269=""),"",IF(AND(R$5&lt;=$G269,R$5+6&gt;=$F269),IF($H269="Complétée","F",IF(OR($H269="En cours",$H269="En revue"),"E",IF($H269="Bloquée","B","P"))),""))</f>
        <v/>
      </c>
      <c r="S269" s="53">
        <f>IF(OR($F269="",$G269=""),"",IF(AND(S$5&lt;=$G269,S$5+6&gt;=$F269),IF($H269="Complétée","F",IF(OR($H269="En cours",$H269="En revue"),"E",IF($H269="Bloquée","B","P"))),""))</f>
        <v/>
      </c>
      <c r="T269" s="53">
        <f>IF(OR($F269="",$G269=""),"",IF(AND(T$5&lt;=$G269,T$5+6&gt;=$F269),IF($H269="Complétée","F",IF(OR($H269="En cours",$H269="En revue"),"E",IF($H269="Bloquée","B","P"))),""))</f>
        <v/>
      </c>
      <c r="U269" s="53">
        <f>IF(OR($F269="",$G269=""),"",IF(AND(U$5&lt;=$G269,U$5+6&gt;=$F269),IF($H269="Complétée","F",IF(OR($H269="En cours",$H269="En revue"),"E",IF($H269="Bloquée","B","P"))),""))</f>
        <v/>
      </c>
      <c r="V269" s="53">
        <f>IF(OR($F269="",$G269=""),"",IF(AND(V$5&lt;=$G269,V$5+6&gt;=$F269),IF($H269="Complétée","F",IF(OR($H269="En cours",$H269="En revue"),"E",IF($H269="Bloquée","B","P"))),""))</f>
        <v/>
      </c>
      <c r="W269" s="53">
        <f>IF(OR($F269="",$G269=""),"",IF(AND(W$5&lt;=$G269,W$5+6&gt;=$F269),IF($H269="Complétée","F",IF(OR($H269="En cours",$H269="En revue"),"E",IF($H269="Bloquée","B","P"))),""))</f>
        <v/>
      </c>
      <c r="X269" s="53">
        <f>IF(OR($F269="",$G269=""),"",IF(AND(X$5&lt;=$G269,X$5+6&gt;=$F269),IF($H269="Complétée","F",IF(OR($H269="En cours",$H269="En revue"),"E",IF($H269="Bloquée","B","P"))),""))</f>
        <v/>
      </c>
      <c r="Y269" s="53">
        <f>IF(OR($F269="",$G269=""),"",IF(AND(Y$5&lt;=$G269,Y$5+6&gt;=$F269),IF($H269="Complétée","F",IF(OR($H269="En cours",$H269="En revue"),"E",IF($H269="Bloquée","B","P"))),""))</f>
        <v/>
      </c>
      <c r="Z269" s="53">
        <f>IF(OR($F269="",$G269=""),"",IF(AND(Z$5&lt;=$G269,Z$5+6&gt;=$F269),IF($H269="Complétée","F",IF(OR($H269="En cours",$H269="En revue"),"E",IF($H269="Bloquée","B","P"))),""))</f>
        <v/>
      </c>
      <c r="AA269" s="53">
        <f>IF(OR($F269="",$G269=""),"",IF(AND(AA$5&lt;=$G269,AA$5+6&gt;=$F269),IF($H269="Complétée","F",IF(OR($H269="En cours",$H269="En revue"),"E",IF($H269="Bloquée","B","P"))),""))</f>
        <v/>
      </c>
      <c r="AB269" s="53">
        <f>IF(OR($F269="",$G269=""),"",IF(AND(AB$5&lt;=$G269,AB$5+6&gt;=$F269),IF($H269="Complétée","F",IF(OR($H269="En cours",$H269="En revue"),"E",IF($H269="Bloquée","B","P"))),""))</f>
        <v/>
      </c>
      <c r="AC269" s="53">
        <f>IF(OR($F269="",$G269=""),"",IF(AND(AC$5&lt;=$G269,AC$5+6&gt;=$F269),IF($H269="Complétée","F",IF(OR($H269="En cours",$H269="En revue"),"E",IF($H269="Bloquée","B","P"))),""))</f>
        <v/>
      </c>
      <c r="AD269" s="53">
        <f>IF(OR($F269="",$G269=""),"",IF(AND(AD$5&lt;=$G269,AD$5+6&gt;=$F269),IF($H269="Complétée","F",IF(OR($H269="En cours",$H269="En revue"),"E",IF($H269="Bloquée","B","P"))),""))</f>
        <v/>
      </c>
      <c r="AE269" s="53">
        <f>IF(OR($F269="",$G269=""),"",IF(AND(AE$5&lt;=$G269,AE$5+6&gt;=$F269),IF($H269="Complétée","F",IF(OR($H269="En cours",$H269="En revue"),"E",IF($H269="Bloquée","B","P"))),""))</f>
        <v/>
      </c>
      <c r="AF269" s="53">
        <f>IF(OR($F269="",$G269=""),"",IF(AND(AF$5&lt;=$G269,AF$5+6&gt;=$F269),IF($H269="Complétée","F",IF(OR($H269="En cours",$H269="En revue"),"E",IF($H269="Bloquée","B","P"))),""))</f>
        <v/>
      </c>
      <c r="AG269" s="53">
        <f>IF(OR($F269="",$G269=""),"",IF(AND(AG$5&lt;=$G269,AG$5+6&gt;=$F269),IF($H269="Complétée","F",IF(OR($H269="En cours",$H269="En revue"),"E",IF($H269="Bloquée","B","P"))),""))</f>
        <v/>
      </c>
      <c r="AH269" s="53">
        <f>IF(OR($F269="",$G269=""),"",IF(AND(AH$5&lt;=$G269,AH$5+6&gt;=$F269),IF($H269="Complétée","F",IF(OR($H269="En cours",$H269="En revue"),"E",IF($H269="Bloquée","B","P"))),""))</f>
        <v/>
      </c>
      <c r="AI269" s="53">
        <f>IF(OR($F269="",$G269=""),"",IF(AND(AI$5&lt;=$G269,AI$5+6&gt;=$F269),IF($H269="Complétée","F",IF(OR($H269="En cours",$H269="En revue"),"E",IF($H269="Bloquée","B","P"))),""))</f>
        <v/>
      </c>
      <c r="AJ269" s="53">
        <f>IF(OR($F269="",$G269=""),"",IF(AND(AJ$5&lt;=$G269,AJ$5+6&gt;=$F269),IF($H269="Complétée","F",IF(OR($H269="En cours",$H269="En revue"),"E",IF($H269="Bloquée","B","P"))),""))</f>
        <v/>
      </c>
      <c r="AK269" s="53">
        <f>IF(OR($F269="",$G269=""),"",IF(AND(AK$5&lt;=$G269,AK$5+6&gt;=$F269),IF($H269="Complétée","F",IF(OR($H269="En cours",$H269="En revue"),"E",IF($H269="Bloquée","B","P"))),""))</f>
        <v/>
      </c>
      <c r="AL269" s="53">
        <f>IF(OR($F269="",$G269=""),"",IF(AND(AL$5&lt;=$G269,AL$5+6&gt;=$F269),IF($H269="Complétée","F",IF(OR($H269="En cours",$H269="En revue"),"E",IF($H269="Bloquée","B","P"))),""))</f>
        <v/>
      </c>
      <c r="AM269" s="53">
        <f>IF(OR($F269="",$G269=""),"",IF(AND(AM$5&lt;=$G269,AM$5+6&gt;=$F269),IF($H269="Complétée","F",IF(OR($H269="En cours",$H269="En revue"),"E",IF($H269="Bloquée","B","P"))),""))</f>
        <v/>
      </c>
      <c r="AN269" s="53">
        <f>IF(OR($F269="",$G269=""),"",IF(AND(AN$5&lt;=$G269,AN$5+6&gt;=$F269),IF($H269="Complétée","F",IF(OR($H269="En cours",$H269="En revue"),"E",IF($H269="Bloquée","B","P"))),""))</f>
        <v/>
      </c>
      <c r="AO269" s="53">
        <f>IF(OR($F269="",$G269=""),"",IF(AND(AO$5&lt;=$G269,AO$5+6&gt;=$F269),IF($H269="Complétée","F",IF(OR($H269="En cours",$H269="En revue"),"E",IF($H269="Bloquée","B","P"))),""))</f>
        <v/>
      </c>
      <c r="AP269" s="53">
        <f>IF(OR($F269="",$G269=""),"",IF(AND(AP$5&lt;=$G269,AP$5+6&gt;=$F269),IF($H269="Complétée","F",IF(OR($H269="En cours",$H269="En revue"),"E",IF($H269="Bloquée","B","P"))),""))</f>
        <v/>
      </c>
      <c r="AQ269" s="53">
        <f>IF(OR($F269="",$G269=""),"",IF(AND(AQ$5&lt;=$G269,AQ$5+6&gt;=$F269),IF($H269="Complétée","F",IF(OR($H269="En cours",$H269="En revue"),"E",IF($H269="Bloquée","B","P"))),""))</f>
        <v/>
      </c>
      <c r="AR269" s="53">
        <f>IF(OR($F269="",$G269=""),"",IF(AND(AR$5&lt;=$G269,AR$5+6&gt;=$F269),IF($H269="Complétée","F",IF(OR($H269="En cours",$H269="En revue"),"E",IF($H269="Bloquée","B","P"))),""))</f>
        <v/>
      </c>
      <c r="AS269" s="53">
        <f>IF(OR($F269="",$G269=""),"",IF(AND(AS$5&lt;=$G269,AS$5+6&gt;=$F269),IF($H269="Complétée","F",IF(OR($H269="En cours",$H269="En revue"),"E",IF($H269="Bloquée","B","P"))),""))</f>
        <v/>
      </c>
      <c r="AT269" s="53">
        <f>IF(OR($F269="",$G269=""),"",IF(AND(AT$5&lt;=$G269,AT$5+6&gt;=$F269),IF($H269="Complétée","F",IF(OR($H269="En cours",$H269="En revue"),"E",IF($H269="Bloquée","B","P"))),""))</f>
        <v/>
      </c>
      <c r="AU269" s="53">
        <f>IF(OR($F269="",$G269=""),"",IF(AND(AU$5&lt;=$G269,AU$5+6&gt;=$F269),IF($H269="Complétée","F",IF(OR($H269="En cours",$H269="En revue"),"E",IF($H269="Bloquée","B","P"))),""))</f>
        <v/>
      </c>
      <c r="AV269" s="53">
        <f>IF(OR($F269="",$G269=""),"",IF(AND(AV$5&lt;=$G269,AV$5+6&gt;=$F269),IF($H269="Complétée","F",IF(OR($H269="En cours",$H269="En revue"),"E",IF($H269="Bloquée","B","P"))),""))</f>
        <v/>
      </c>
      <c r="AW269" s="53">
        <f>IF(OR($F269="",$G269=""),"",IF(AND(AW$5&lt;=$G269,AW$5+6&gt;=$F269),IF($H269="Complétée","F",IF(OR($H269="En cours",$H269="En revue"),"E",IF($H269="Bloquée","B","P"))),""))</f>
        <v/>
      </c>
    </row>
    <row r="270">
      <c r="B270" s="50">
        <f>IF(Taches!B270="","",Taches!B270)</f>
        <v/>
      </c>
      <c r="C270" s="51">
        <f>IF(Taches!B270="","",Taches!F270)</f>
        <v/>
      </c>
      <c r="D270" s="50">
        <f>IF(Taches!B270="","",Taches!C270)</f>
        <v/>
      </c>
      <c r="E270" s="50">
        <f>IF(Taches!B270="","",Taches!D270)</f>
        <v/>
      </c>
      <c r="F270" s="52">
        <f>IF(Taches!P270="","",Taches!P270)</f>
        <v/>
      </c>
      <c r="G270" s="52">
        <f>IF(Taches!Q270="","",Taches!Q270)</f>
        <v/>
      </c>
      <c r="H270" s="50">
        <f>IF(Taches!B270="","",Taches!J270)</f>
        <v/>
      </c>
      <c r="I270" s="53">
        <f>IF(OR($F270="",$G270=""),"",IF(AND(I$5&lt;=$G270,I$5+6&gt;=$F270),IF($H270="Complétée","F",IF(OR($H270="En cours",$H270="En revue"),"E",IF($H270="Bloquée","B","P"))),""))</f>
        <v/>
      </c>
      <c r="J270" s="53">
        <f>IF(OR($F270="",$G270=""),"",IF(AND(J$5&lt;=$G270,J$5+6&gt;=$F270),IF($H270="Complétée","F",IF(OR($H270="En cours",$H270="En revue"),"E",IF($H270="Bloquée","B","P"))),""))</f>
        <v/>
      </c>
      <c r="K270" s="53">
        <f>IF(OR($F270="",$G270=""),"",IF(AND(K$5&lt;=$G270,K$5+6&gt;=$F270),IF($H270="Complétée","F",IF(OR($H270="En cours",$H270="En revue"),"E",IF($H270="Bloquée","B","P"))),""))</f>
        <v/>
      </c>
      <c r="L270" s="53">
        <f>IF(OR($F270="",$G270=""),"",IF(AND(L$5&lt;=$G270,L$5+6&gt;=$F270),IF($H270="Complétée","F",IF(OR($H270="En cours",$H270="En revue"),"E",IF($H270="Bloquée","B","P"))),""))</f>
        <v/>
      </c>
      <c r="M270" s="53">
        <f>IF(OR($F270="",$G270=""),"",IF(AND(M$5&lt;=$G270,M$5+6&gt;=$F270),IF($H270="Complétée","F",IF(OR($H270="En cours",$H270="En revue"),"E",IF($H270="Bloquée","B","P"))),""))</f>
        <v/>
      </c>
      <c r="N270" s="53">
        <f>IF(OR($F270="",$G270=""),"",IF(AND(N$5&lt;=$G270,N$5+6&gt;=$F270),IF($H270="Complétée","F",IF(OR($H270="En cours",$H270="En revue"),"E",IF($H270="Bloquée","B","P"))),""))</f>
        <v/>
      </c>
      <c r="O270" s="53">
        <f>IF(OR($F270="",$G270=""),"",IF(AND(O$5&lt;=$G270,O$5+6&gt;=$F270),IF($H270="Complétée","F",IF(OR($H270="En cours",$H270="En revue"),"E",IF($H270="Bloquée","B","P"))),""))</f>
        <v/>
      </c>
      <c r="P270" s="53">
        <f>IF(OR($F270="",$G270=""),"",IF(AND(P$5&lt;=$G270,P$5+6&gt;=$F270),IF($H270="Complétée","F",IF(OR($H270="En cours",$H270="En revue"),"E",IF($H270="Bloquée","B","P"))),""))</f>
        <v/>
      </c>
      <c r="Q270" s="53">
        <f>IF(OR($F270="",$G270=""),"",IF(AND(Q$5&lt;=$G270,Q$5+6&gt;=$F270),IF($H270="Complétée","F",IF(OR($H270="En cours",$H270="En revue"),"E",IF($H270="Bloquée","B","P"))),""))</f>
        <v/>
      </c>
      <c r="R270" s="53">
        <f>IF(OR($F270="",$G270=""),"",IF(AND(R$5&lt;=$G270,R$5+6&gt;=$F270),IF($H270="Complétée","F",IF(OR($H270="En cours",$H270="En revue"),"E",IF($H270="Bloquée","B","P"))),""))</f>
        <v/>
      </c>
      <c r="S270" s="53">
        <f>IF(OR($F270="",$G270=""),"",IF(AND(S$5&lt;=$G270,S$5+6&gt;=$F270),IF($H270="Complétée","F",IF(OR($H270="En cours",$H270="En revue"),"E",IF($H270="Bloquée","B","P"))),""))</f>
        <v/>
      </c>
      <c r="T270" s="53">
        <f>IF(OR($F270="",$G270=""),"",IF(AND(T$5&lt;=$G270,T$5+6&gt;=$F270),IF($H270="Complétée","F",IF(OR($H270="En cours",$H270="En revue"),"E",IF($H270="Bloquée","B","P"))),""))</f>
        <v/>
      </c>
      <c r="U270" s="53">
        <f>IF(OR($F270="",$G270=""),"",IF(AND(U$5&lt;=$G270,U$5+6&gt;=$F270),IF($H270="Complétée","F",IF(OR($H270="En cours",$H270="En revue"),"E",IF($H270="Bloquée","B","P"))),""))</f>
        <v/>
      </c>
      <c r="V270" s="53">
        <f>IF(OR($F270="",$G270=""),"",IF(AND(V$5&lt;=$G270,V$5+6&gt;=$F270),IF($H270="Complétée","F",IF(OR($H270="En cours",$H270="En revue"),"E",IF($H270="Bloquée","B","P"))),""))</f>
        <v/>
      </c>
      <c r="W270" s="53">
        <f>IF(OR($F270="",$G270=""),"",IF(AND(W$5&lt;=$G270,W$5+6&gt;=$F270),IF($H270="Complétée","F",IF(OR($H270="En cours",$H270="En revue"),"E",IF($H270="Bloquée","B","P"))),""))</f>
        <v/>
      </c>
      <c r="X270" s="53">
        <f>IF(OR($F270="",$G270=""),"",IF(AND(X$5&lt;=$G270,X$5+6&gt;=$F270),IF($H270="Complétée","F",IF(OR($H270="En cours",$H270="En revue"),"E",IF($H270="Bloquée","B","P"))),""))</f>
        <v/>
      </c>
      <c r="Y270" s="53">
        <f>IF(OR($F270="",$G270=""),"",IF(AND(Y$5&lt;=$G270,Y$5+6&gt;=$F270),IF($H270="Complétée","F",IF(OR($H270="En cours",$H270="En revue"),"E",IF($H270="Bloquée","B","P"))),""))</f>
        <v/>
      </c>
      <c r="Z270" s="53">
        <f>IF(OR($F270="",$G270=""),"",IF(AND(Z$5&lt;=$G270,Z$5+6&gt;=$F270),IF($H270="Complétée","F",IF(OR($H270="En cours",$H270="En revue"),"E",IF($H270="Bloquée","B","P"))),""))</f>
        <v/>
      </c>
      <c r="AA270" s="53">
        <f>IF(OR($F270="",$G270=""),"",IF(AND(AA$5&lt;=$G270,AA$5+6&gt;=$F270),IF($H270="Complétée","F",IF(OR($H270="En cours",$H270="En revue"),"E",IF($H270="Bloquée","B","P"))),""))</f>
        <v/>
      </c>
      <c r="AB270" s="53">
        <f>IF(OR($F270="",$G270=""),"",IF(AND(AB$5&lt;=$G270,AB$5+6&gt;=$F270),IF($H270="Complétée","F",IF(OR($H270="En cours",$H270="En revue"),"E",IF($H270="Bloquée","B","P"))),""))</f>
        <v/>
      </c>
      <c r="AC270" s="53">
        <f>IF(OR($F270="",$G270=""),"",IF(AND(AC$5&lt;=$G270,AC$5+6&gt;=$F270),IF($H270="Complétée","F",IF(OR($H270="En cours",$H270="En revue"),"E",IF($H270="Bloquée","B","P"))),""))</f>
        <v/>
      </c>
      <c r="AD270" s="53">
        <f>IF(OR($F270="",$G270=""),"",IF(AND(AD$5&lt;=$G270,AD$5+6&gt;=$F270),IF($H270="Complétée","F",IF(OR($H270="En cours",$H270="En revue"),"E",IF($H270="Bloquée","B","P"))),""))</f>
        <v/>
      </c>
      <c r="AE270" s="53">
        <f>IF(OR($F270="",$G270=""),"",IF(AND(AE$5&lt;=$G270,AE$5+6&gt;=$F270),IF($H270="Complétée","F",IF(OR($H270="En cours",$H270="En revue"),"E",IF($H270="Bloquée","B","P"))),""))</f>
        <v/>
      </c>
      <c r="AF270" s="53">
        <f>IF(OR($F270="",$G270=""),"",IF(AND(AF$5&lt;=$G270,AF$5+6&gt;=$F270),IF($H270="Complétée","F",IF(OR($H270="En cours",$H270="En revue"),"E",IF($H270="Bloquée","B","P"))),""))</f>
        <v/>
      </c>
      <c r="AG270" s="53">
        <f>IF(OR($F270="",$G270=""),"",IF(AND(AG$5&lt;=$G270,AG$5+6&gt;=$F270),IF($H270="Complétée","F",IF(OR($H270="En cours",$H270="En revue"),"E",IF($H270="Bloquée","B","P"))),""))</f>
        <v/>
      </c>
      <c r="AH270" s="53">
        <f>IF(OR($F270="",$G270=""),"",IF(AND(AH$5&lt;=$G270,AH$5+6&gt;=$F270),IF($H270="Complétée","F",IF(OR($H270="En cours",$H270="En revue"),"E",IF($H270="Bloquée","B","P"))),""))</f>
        <v/>
      </c>
      <c r="AI270" s="53">
        <f>IF(OR($F270="",$G270=""),"",IF(AND(AI$5&lt;=$G270,AI$5+6&gt;=$F270),IF($H270="Complétée","F",IF(OR($H270="En cours",$H270="En revue"),"E",IF($H270="Bloquée","B","P"))),""))</f>
        <v/>
      </c>
      <c r="AJ270" s="53">
        <f>IF(OR($F270="",$G270=""),"",IF(AND(AJ$5&lt;=$G270,AJ$5+6&gt;=$F270),IF($H270="Complétée","F",IF(OR($H270="En cours",$H270="En revue"),"E",IF($H270="Bloquée","B","P"))),""))</f>
        <v/>
      </c>
      <c r="AK270" s="53">
        <f>IF(OR($F270="",$G270=""),"",IF(AND(AK$5&lt;=$G270,AK$5+6&gt;=$F270),IF($H270="Complétée","F",IF(OR($H270="En cours",$H270="En revue"),"E",IF($H270="Bloquée","B","P"))),""))</f>
        <v/>
      </c>
      <c r="AL270" s="53">
        <f>IF(OR($F270="",$G270=""),"",IF(AND(AL$5&lt;=$G270,AL$5+6&gt;=$F270),IF($H270="Complétée","F",IF(OR($H270="En cours",$H270="En revue"),"E",IF($H270="Bloquée","B","P"))),""))</f>
        <v/>
      </c>
      <c r="AM270" s="53">
        <f>IF(OR($F270="",$G270=""),"",IF(AND(AM$5&lt;=$G270,AM$5+6&gt;=$F270),IF($H270="Complétée","F",IF(OR($H270="En cours",$H270="En revue"),"E",IF($H270="Bloquée","B","P"))),""))</f>
        <v/>
      </c>
      <c r="AN270" s="53">
        <f>IF(OR($F270="",$G270=""),"",IF(AND(AN$5&lt;=$G270,AN$5+6&gt;=$F270),IF($H270="Complétée","F",IF(OR($H270="En cours",$H270="En revue"),"E",IF($H270="Bloquée","B","P"))),""))</f>
        <v/>
      </c>
      <c r="AO270" s="53">
        <f>IF(OR($F270="",$G270=""),"",IF(AND(AO$5&lt;=$G270,AO$5+6&gt;=$F270),IF($H270="Complétée","F",IF(OR($H270="En cours",$H270="En revue"),"E",IF($H270="Bloquée","B","P"))),""))</f>
        <v/>
      </c>
      <c r="AP270" s="53">
        <f>IF(OR($F270="",$G270=""),"",IF(AND(AP$5&lt;=$G270,AP$5+6&gt;=$F270),IF($H270="Complétée","F",IF(OR($H270="En cours",$H270="En revue"),"E",IF($H270="Bloquée","B","P"))),""))</f>
        <v/>
      </c>
      <c r="AQ270" s="53">
        <f>IF(OR($F270="",$G270=""),"",IF(AND(AQ$5&lt;=$G270,AQ$5+6&gt;=$F270),IF($H270="Complétée","F",IF(OR($H270="En cours",$H270="En revue"),"E",IF($H270="Bloquée","B","P"))),""))</f>
        <v/>
      </c>
      <c r="AR270" s="53">
        <f>IF(OR($F270="",$G270=""),"",IF(AND(AR$5&lt;=$G270,AR$5+6&gt;=$F270),IF($H270="Complétée","F",IF(OR($H270="En cours",$H270="En revue"),"E",IF($H270="Bloquée","B","P"))),""))</f>
        <v/>
      </c>
      <c r="AS270" s="53">
        <f>IF(OR($F270="",$G270=""),"",IF(AND(AS$5&lt;=$G270,AS$5+6&gt;=$F270),IF($H270="Complétée","F",IF(OR($H270="En cours",$H270="En revue"),"E",IF($H270="Bloquée","B","P"))),""))</f>
        <v/>
      </c>
      <c r="AT270" s="53">
        <f>IF(OR($F270="",$G270=""),"",IF(AND(AT$5&lt;=$G270,AT$5+6&gt;=$F270),IF($H270="Complétée","F",IF(OR($H270="En cours",$H270="En revue"),"E",IF($H270="Bloquée","B","P"))),""))</f>
        <v/>
      </c>
      <c r="AU270" s="53">
        <f>IF(OR($F270="",$G270=""),"",IF(AND(AU$5&lt;=$G270,AU$5+6&gt;=$F270),IF($H270="Complétée","F",IF(OR($H270="En cours",$H270="En revue"),"E",IF($H270="Bloquée","B","P"))),""))</f>
        <v/>
      </c>
      <c r="AV270" s="53">
        <f>IF(OR($F270="",$G270=""),"",IF(AND(AV$5&lt;=$G270,AV$5+6&gt;=$F270),IF($H270="Complétée","F",IF(OR($H270="En cours",$H270="En revue"),"E",IF($H270="Bloquée","B","P"))),""))</f>
        <v/>
      </c>
      <c r="AW270" s="53">
        <f>IF(OR($F270="",$G270=""),"",IF(AND(AW$5&lt;=$G270,AW$5+6&gt;=$F270),IF($H270="Complétée","F",IF(OR($H270="En cours",$H270="En revue"),"E",IF($H270="Bloquée","B","P"))),""))</f>
        <v/>
      </c>
    </row>
    <row r="271">
      <c r="B271" s="50">
        <f>IF(Taches!B271="","",Taches!B271)</f>
        <v/>
      </c>
      <c r="C271" s="51">
        <f>IF(Taches!B271="","",Taches!F271)</f>
        <v/>
      </c>
      <c r="D271" s="50">
        <f>IF(Taches!B271="","",Taches!C271)</f>
        <v/>
      </c>
      <c r="E271" s="50">
        <f>IF(Taches!B271="","",Taches!D271)</f>
        <v/>
      </c>
      <c r="F271" s="52">
        <f>IF(Taches!P271="","",Taches!P271)</f>
        <v/>
      </c>
      <c r="G271" s="52">
        <f>IF(Taches!Q271="","",Taches!Q271)</f>
        <v/>
      </c>
      <c r="H271" s="50">
        <f>IF(Taches!B271="","",Taches!J271)</f>
        <v/>
      </c>
      <c r="I271" s="53">
        <f>IF(OR($F271="",$G271=""),"",IF(AND(I$5&lt;=$G271,I$5+6&gt;=$F271),IF($H271="Complétée","F",IF(OR($H271="En cours",$H271="En revue"),"E",IF($H271="Bloquée","B","P"))),""))</f>
        <v/>
      </c>
      <c r="J271" s="53">
        <f>IF(OR($F271="",$G271=""),"",IF(AND(J$5&lt;=$G271,J$5+6&gt;=$F271),IF($H271="Complétée","F",IF(OR($H271="En cours",$H271="En revue"),"E",IF($H271="Bloquée","B","P"))),""))</f>
        <v/>
      </c>
      <c r="K271" s="53">
        <f>IF(OR($F271="",$G271=""),"",IF(AND(K$5&lt;=$G271,K$5+6&gt;=$F271),IF($H271="Complétée","F",IF(OR($H271="En cours",$H271="En revue"),"E",IF($H271="Bloquée","B","P"))),""))</f>
        <v/>
      </c>
      <c r="L271" s="53">
        <f>IF(OR($F271="",$G271=""),"",IF(AND(L$5&lt;=$G271,L$5+6&gt;=$F271),IF($H271="Complétée","F",IF(OR($H271="En cours",$H271="En revue"),"E",IF($H271="Bloquée","B","P"))),""))</f>
        <v/>
      </c>
      <c r="M271" s="53">
        <f>IF(OR($F271="",$G271=""),"",IF(AND(M$5&lt;=$G271,M$5+6&gt;=$F271),IF($H271="Complétée","F",IF(OR($H271="En cours",$H271="En revue"),"E",IF($H271="Bloquée","B","P"))),""))</f>
        <v/>
      </c>
      <c r="N271" s="53">
        <f>IF(OR($F271="",$G271=""),"",IF(AND(N$5&lt;=$G271,N$5+6&gt;=$F271),IF($H271="Complétée","F",IF(OR($H271="En cours",$H271="En revue"),"E",IF($H271="Bloquée","B","P"))),""))</f>
        <v/>
      </c>
      <c r="O271" s="53">
        <f>IF(OR($F271="",$G271=""),"",IF(AND(O$5&lt;=$G271,O$5+6&gt;=$F271),IF($H271="Complétée","F",IF(OR($H271="En cours",$H271="En revue"),"E",IF($H271="Bloquée","B","P"))),""))</f>
        <v/>
      </c>
      <c r="P271" s="53">
        <f>IF(OR($F271="",$G271=""),"",IF(AND(P$5&lt;=$G271,P$5+6&gt;=$F271),IF($H271="Complétée","F",IF(OR($H271="En cours",$H271="En revue"),"E",IF($H271="Bloquée","B","P"))),""))</f>
        <v/>
      </c>
      <c r="Q271" s="53">
        <f>IF(OR($F271="",$G271=""),"",IF(AND(Q$5&lt;=$G271,Q$5+6&gt;=$F271),IF($H271="Complétée","F",IF(OR($H271="En cours",$H271="En revue"),"E",IF($H271="Bloquée","B","P"))),""))</f>
        <v/>
      </c>
      <c r="R271" s="53">
        <f>IF(OR($F271="",$G271=""),"",IF(AND(R$5&lt;=$G271,R$5+6&gt;=$F271),IF($H271="Complétée","F",IF(OR($H271="En cours",$H271="En revue"),"E",IF($H271="Bloquée","B","P"))),""))</f>
        <v/>
      </c>
      <c r="S271" s="53">
        <f>IF(OR($F271="",$G271=""),"",IF(AND(S$5&lt;=$G271,S$5+6&gt;=$F271),IF($H271="Complétée","F",IF(OR($H271="En cours",$H271="En revue"),"E",IF($H271="Bloquée","B","P"))),""))</f>
        <v/>
      </c>
      <c r="T271" s="53">
        <f>IF(OR($F271="",$G271=""),"",IF(AND(T$5&lt;=$G271,T$5+6&gt;=$F271),IF($H271="Complétée","F",IF(OR($H271="En cours",$H271="En revue"),"E",IF($H271="Bloquée","B","P"))),""))</f>
        <v/>
      </c>
      <c r="U271" s="53">
        <f>IF(OR($F271="",$G271=""),"",IF(AND(U$5&lt;=$G271,U$5+6&gt;=$F271),IF($H271="Complétée","F",IF(OR($H271="En cours",$H271="En revue"),"E",IF($H271="Bloquée","B","P"))),""))</f>
        <v/>
      </c>
      <c r="V271" s="53">
        <f>IF(OR($F271="",$G271=""),"",IF(AND(V$5&lt;=$G271,V$5+6&gt;=$F271),IF($H271="Complétée","F",IF(OR($H271="En cours",$H271="En revue"),"E",IF($H271="Bloquée","B","P"))),""))</f>
        <v/>
      </c>
      <c r="W271" s="53">
        <f>IF(OR($F271="",$G271=""),"",IF(AND(W$5&lt;=$G271,W$5+6&gt;=$F271),IF($H271="Complétée","F",IF(OR($H271="En cours",$H271="En revue"),"E",IF($H271="Bloquée","B","P"))),""))</f>
        <v/>
      </c>
      <c r="X271" s="53">
        <f>IF(OR($F271="",$G271=""),"",IF(AND(X$5&lt;=$G271,X$5+6&gt;=$F271),IF($H271="Complétée","F",IF(OR($H271="En cours",$H271="En revue"),"E",IF($H271="Bloquée","B","P"))),""))</f>
        <v/>
      </c>
      <c r="Y271" s="53">
        <f>IF(OR($F271="",$G271=""),"",IF(AND(Y$5&lt;=$G271,Y$5+6&gt;=$F271),IF($H271="Complétée","F",IF(OR($H271="En cours",$H271="En revue"),"E",IF($H271="Bloquée","B","P"))),""))</f>
        <v/>
      </c>
      <c r="Z271" s="53">
        <f>IF(OR($F271="",$G271=""),"",IF(AND(Z$5&lt;=$G271,Z$5+6&gt;=$F271),IF($H271="Complétée","F",IF(OR($H271="En cours",$H271="En revue"),"E",IF($H271="Bloquée","B","P"))),""))</f>
        <v/>
      </c>
      <c r="AA271" s="53">
        <f>IF(OR($F271="",$G271=""),"",IF(AND(AA$5&lt;=$G271,AA$5+6&gt;=$F271),IF($H271="Complétée","F",IF(OR($H271="En cours",$H271="En revue"),"E",IF($H271="Bloquée","B","P"))),""))</f>
        <v/>
      </c>
      <c r="AB271" s="53">
        <f>IF(OR($F271="",$G271=""),"",IF(AND(AB$5&lt;=$G271,AB$5+6&gt;=$F271),IF($H271="Complétée","F",IF(OR($H271="En cours",$H271="En revue"),"E",IF($H271="Bloquée","B","P"))),""))</f>
        <v/>
      </c>
      <c r="AC271" s="53">
        <f>IF(OR($F271="",$G271=""),"",IF(AND(AC$5&lt;=$G271,AC$5+6&gt;=$F271),IF($H271="Complétée","F",IF(OR($H271="En cours",$H271="En revue"),"E",IF($H271="Bloquée","B","P"))),""))</f>
        <v/>
      </c>
      <c r="AD271" s="53">
        <f>IF(OR($F271="",$G271=""),"",IF(AND(AD$5&lt;=$G271,AD$5+6&gt;=$F271),IF($H271="Complétée","F",IF(OR($H271="En cours",$H271="En revue"),"E",IF($H271="Bloquée","B","P"))),""))</f>
        <v/>
      </c>
      <c r="AE271" s="53">
        <f>IF(OR($F271="",$G271=""),"",IF(AND(AE$5&lt;=$G271,AE$5+6&gt;=$F271),IF($H271="Complétée","F",IF(OR($H271="En cours",$H271="En revue"),"E",IF($H271="Bloquée","B","P"))),""))</f>
        <v/>
      </c>
      <c r="AF271" s="53">
        <f>IF(OR($F271="",$G271=""),"",IF(AND(AF$5&lt;=$G271,AF$5+6&gt;=$F271),IF($H271="Complétée","F",IF(OR($H271="En cours",$H271="En revue"),"E",IF($H271="Bloquée","B","P"))),""))</f>
        <v/>
      </c>
      <c r="AG271" s="53">
        <f>IF(OR($F271="",$G271=""),"",IF(AND(AG$5&lt;=$G271,AG$5+6&gt;=$F271),IF($H271="Complétée","F",IF(OR($H271="En cours",$H271="En revue"),"E",IF($H271="Bloquée","B","P"))),""))</f>
        <v/>
      </c>
      <c r="AH271" s="53">
        <f>IF(OR($F271="",$G271=""),"",IF(AND(AH$5&lt;=$G271,AH$5+6&gt;=$F271),IF($H271="Complétée","F",IF(OR($H271="En cours",$H271="En revue"),"E",IF($H271="Bloquée","B","P"))),""))</f>
        <v/>
      </c>
      <c r="AI271" s="53">
        <f>IF(OR($F271="",$G271=""),"",IF(AND(AI$5&lt;=$G271,AI$5+6&gt;=$F271),IF($H271="Complétée","F",IF(OR($H271="En cours",$H271="En revue"),"E",IF($H271="Bloquée","B","P"))),""))</f>
        <v/>
      </c>
      <c r="AJ271" s="53">
        <f>IF(OR($F271="",$G271=""),"",IF(AND(AJ$5&lt;=$G271,AJ$5+6&gt;=$F271),IF($H271="Complétée","F",IF(OR($H271="En cours",$H271="En revue"),"E",IF($H271="Bloquée","B","P"))),""))</f>
        <v/>
      </c>
      <c r="AK271" s="53">
        <f>IF(OR($F271="",$G271=""),"",IF(AND(AK$5&lt;=$G271,AK$5+6&gt;=$F271),IF($H271="Complétée","F",IF(OR($H271="En cours",$H271="En revue"),"E",IF($H271="Bloquée","B","P"))),""))</f>
        <v/>
      </c>
      <c r="AL271" s="53">
        <f>IF(OR($F271="",$G271=""),"",IF(AND(AL$5&lt;=$G271,AL$5+6&gt;=$F271),IF($H271="Complétée","F",IF(OR($H271="En cours",$H271="En revue"),"E",IF($H271="Bloquée","B","P"))),""))</f>
        <v/>
      </c>
      <c r="AM271" s="53">
        <f>IF(OR($F271="",$G271=""),"",IF(AND(AM$5&lt;=$G271,AM$5+6&gt;=$F271),IF($H271="Complétée","F",IF(OR($H271="En cours",$H271="En revue"),"E",IF($H271="Bloquée","B","P"))),""))</f>
        <v/>
      </c>
      <c r="AN271" s="53">
        <f>IF(OR($F271="",$G271=""),"",IF(AND(AN$5&lt;=$G271,AN$5+6&gt;=$F271),IF($H271="Complétée","F",IF(OR($H271="En cours",$H271="En revue"),"E",IF($H271="Bloquée","B","P"))),""))</f>
        <v/>
      </c>
      <c r="AO271" s="53">
        <f>IF(OR($F271="",$G271=""),"",IF(AND(AO$5&lt;=$G271,AO$5+6&gt;=$F271),IF($H271="Complétée","F",IF(OR($H271="En cours",$H271="En revue"),"E",IF($H271="Bloquée","B","P"))),""))</f>
        <v/>
      </c>
      <c r="AP271" s="53">
        <f>IF(OR($F271="",$G271=""),"",IF(AND(AP$5&lt;=$G271,AP$5+6&gt;=$F271),IF($H271="Complétée","F",IF(OR($H271="En cours",$H271="En revue"),"E",IF($H271="Bloquée","B","P"))),""))</f>
        <v/>
      </c>
      <c r="AQ271" s="53">
        <f>IF(OR($F271="",$G271=""),"",IF(AND(AQ$5&lt;=$G271,AQ$5+6&gt;=$F271),IF($H271="Complétée","F",IF(OR($H271="En cours",$H271="En revue"),"E",IF($H271="Bloquée","B","P"))),""))</f>
        <v/>
      </c>
      <c r="AR271" s="53">
        <f>IF(OR($F271="",$G271=""),"",IF(AND(AR$5&lt;=$G271,AR$5+6&gt;=$F271),IF($H271="Complétée","F",IF(OR($H271="En cours",$H271="En revue"),"E",IF($H271="Bloquée","B","P"))),""))</f>
        <v/>
      </c>
      <c r="AS271" s="53">
        <f>IF(OR($F271="",$G271=""),"",IF(AND(AS$5&lt;=$G271,AS$5+6&gt;=$F271),IF($H271="Complétée","F",IF(OR($H271="En cours",$H271="En revue"),"E",IF($H271="Bloquée","B","P"))),""))</f>
        <v/>
      </c>
      <c r="AT271" s="53">
        <f>IF(OR($F271="",$G271=""),"",IF(AND(AT$5&lt;=$G271,AT$5+6&gt;=$F271),IF($H271="Complétée","F",IF(OR($H271="En cours",$H271="En revue"),"E",IF($H271="Bloquée","B","P"))),""))</f>
        <v/>
      </c>
      <c r="AU271" s="53">
        <f>IF(OR($F271="",$G271=""),"",IF(AND(AU$5&lt;=$G271,AU$5+6&gt;=$F271),IF($H271="Complétée","F",IF(OR($H271="En cours",$H271="En revue"),"E",IF($H271="Bloquée","B","P"))),""))</f>
        <v/>
      </c>
      <c r="AV271" s="53">
        <f>IF(OR($F271="",$G271=""),"",IF(AND(AV$5&lt;=$G271,AV$5+6&gt;=$F271),IF($H271="Complétée","F",IF(OR($H271="En cours",$H271="En revue"),"E",IF($H271="Bloquée","B","P"))),""))</f>
        <v/>
      </c>
      <c r="AW271" s="53">
        <f>IF(OR($F271="",$G271=""),"",IF(AND(AW$5&lt;=$G271,AW$5+6&gt;=$F271),IF($H271="Complétée","F",IF(OR($H271="En cours",$H271="En revue"),"E",IF($H271="Bloquée","B","P"))),""))</f>
        <v/>
      </c>
    </row>
    <row r="272">
      <c r="B272" s="50">
        <f>IF(Taches!B272="","",Taches!B272)</f>
        <v/>
      </c>
      <c r="C272" s="51">
        <f>IF(Taches!B272="","",Taches!F272)</f>
        <v/>
      </c>
      <c r="D272" s="50">
        <f>IF(Taches!B272="","",Taches!C272)</f>
        <v/>
      </c>
      <c r="E272" s="50">
        <f>IF(Taches!B272="","",Taches!D272)</f>
        <v/>
      </c>
      <c r="F272" s="52">
        <f>IF(Taches!P272="","",Taches!P272)</f>
        <v/>
      </c>
      <c r="G272" s="52">
        <f>IF(Taches!Q272="","",Taches!Q272)</f>
        <v/>
      </c>
      <c r="H272" s="50">
        <f>IF(Taches!B272="","",Taches!J272)</f>
        <v/>
      </c>
      <c r="I272" s="53">
        <f>IF(OR($F272="",$G272=""),"",IF(AND(I$5&lt;=$G272,I$5+6&gt;=$F272),IF($H272="Complétée","F",IF(OR($H272="En cours",$H272="En revue"),"E",IF($H272="Bloquée","B","P"))),""))</f>
        <v/>
      </c>
      <c r="J272" s="53">
        <f>IF(OR($F272="",$G272=""),"",IF(AND(J$5&lt;=$G272,J$5+6&gt;=$F272),IF($H272="Complétée","F",IF(OR($H272="En cours",$H272="En revue"),"E",IF($H272="Bloquée","B","P"))),""))</f>
        <v/>
      </c>
      <c r="K272" s="53">
        <f>IF(OR($F272="",$G272=""),"",IF(AND(K$5&lt;=$G272,K$5+6&gt;=$F272),IF($H272="Complétée","F",IF(OR($H272="En cours",$H272="En revue"),"E",IF($H272="Bloquée","B","P"))),""))</f>
        <v/>
      </c>
      <c r="L272" s="53">
        <f>IF(OR($F272="",$G272=""),"",IF(AND(L$5&lt;=$G272,L$5+6&gt;=$F272),IF($H272="Complétée","F",IF(OR($H272="En cours",$H272="En revue"),"E",IF($H272="Bloquée","B","P"))),""))</f>
        <v/>
      </c>
      <c r="M272" s="53">
        <f>IF(OR($F272="",$G272=""),"",IF(AND(M$5&lt;=$G272,M$5+6&gt;=$F272),IF($H272="Complétée","F",IF(OR($H272="En cours",$H272="En revue"),"E",IF($H272="Bloquée","B","P"))),""))</f>
        <v/>
      </c>
      <c r="N272" s="53">
        <f>IF(OR($F272="",$G272=""),"",IF(AND(N$5&lt;=$G272,N$5+6&gt;=$F272),IF($H272="Complétée","F",IF(OR($H272="En cours",$H272="En revue"),"E",IF($H272="Bloquée","B","P"))),""))</f>
        <v/>
      </c>
      <c r="O272" s="53">
        <f>IF(OR($F272="",$G272=""),"",IF(AND(O$5&lt;=$G272,O$5+6&gt;=$F272),IF($H272="Complétée","F",IF(OR($H272="En cours",$H272="En revue"),"E",IF($H272="Bloquée","B","P"))),""))</f>
        <v/>
      </c>
      <c r="P272" s="53">
        <f>IF(OR($F272="",$G272=""),"",IF(AND(P$5&lt;=$G272,P$5+6&gt;=$F272),IF($H272="Complétée","F",IF(OR($H272="En cours",$H272="En revue"),"E",IF($H272="Bloquée","B","P"))),""))</f>
        <v/>
      </c>
      <c r="Q272" s="53">
        <f>IF(OR($F272="",$G272=""),"",IF(AND(Q$5&lt;=$G272,Q$5+6&gt;=$F272),IF($H272="Complétée","F",IF(OR($H272="En cours",$H272="En revue"),"E",IF($H272="Bloquée","B","P"))),""))</f>
        <v/>
      </c>
      <c r="R272" s="53">
        <f>IF(OR($F272="",$G272=""),"",IF(AND(R$5&lt;=$G272,R$5+6&gt;=$F272),IF($H272="Complétée","F",IF(OR($H272="En cours",$H272="En revue"),"E",IF($H272="Bloquée","B","P"))),""))</f>
        <v/>
      </c>
      <c r="S272" s="53">
        <f>IF(OR($F272="",$G272=""),"",IF(AND(S$5&lt;=$G272,S$5+6&gt;=$F272),IF($H272="Complétée","F",IF(OR($H272="En cours",$H272="En revue"),"E",IF($H272="Bloquée","B","P"))),""))</f>
        <v/>
      </c>
      <c r="T272" s="53">
        <f>IF(OR($F272="",$G272=""),"",IF(AND(T$5&lt;=$G272,T$5+6&gt;=$F272),IF($H272="Complétée","F",IF(OR($H272="En cours",$H272="En revue"),"E",IF($H272="Bloquée","B","P"))),""))</f>
        <v/>
      </c>
      <c r="U272" s="53">
        <f>IF(OR($F272="",$G272=""),"",IF(AND(U$5&lt;=$G272,U$5+6&gt;=$F272),IF($H272="Complétée","F",IF(OR($H272="En cours",$H272="En revue"),"E",IF($H272="Bloquée","B","P"))),""))</f>
        <v/>
      </c>
      <c r="V272" s="53">
        <f>IF(OR($F272="",$G272=""),"",IF(AND(V$5&lt;=$G272,V$5+6&gt;=$F272),IF($H272="Complétée","F",IF(OR($H272="En cours",$H272="En revue"),"E",IF($H272="Bloquée","B","P"))),""))</f>
        <v/>
      </c>
      <c r="W272" s="53">
        <f>IF(OR($F272="",$G272=""),"",IF(AND(W$5&lt;=$G272,W$5+6&gt;=$F272),IF($H272="Complétée","F",IF(OR($H272="En cours",$H272="En revue"),"E",IF($H272="Bloquée","B","P"))),""))</f>
        <v/>
      </c>
      <c r="X272" s="53">
        <f>IF(OR($F272="",$G272=""),"",IF(AND(X$5&lt;=$G272,X$5+6&gt;=$F272),IF($H272="Complétée","F",IF(OR($H272="En cours",$H272="En revue"),"E",IF($H272="Bloquée","B","P"))),""))</f>
        <v/>
      </c>
      <c r="Y272" s="53">
        <f>IF(OR($F272="",$G272=""),"",IF(AND(Y$5&lt;=$G272,Y$5+6&gt;=$F272),IF($H272="Complétée","F",IF(OR($H272="En cours",$H272="En revue"),"E",IF($H272="Bloquée","B","P"))),""))</f>
        <v/>
      </c>
      <c r="Z272" s="53">
        <f>IF(OR($F272="",$G272=""),"",IF(AND(Z$5&lt;=$G272,Z$5+6&gt;=$F272),IF($H272="Complétée","F",IF(OR($H272="En cours",$H272="En revue"),"E",IF($H272="Bloquée","B","P"))),""))</f>
        <v/>
      </c>
      <c r="AA272" s="53">
        <f>IF(OR($F272="",$G272=""),"",IF(AND(AA$5&lt;=$G272,AA$5+6&gt;=$F272),IF($H272="Complétée","F",IF(OR($H272="En cours",$H272="En revue"),"E",IF($H272="Bloquée","B","P"))),""))</f>
        <v/>
      </c>
      <c r="AB272" s="53">
        <f>IF(OR($F272="",$G272=""),"",IF(AND(AB$5&lt;=$G272,AB$5+6&gt;=$F272),IF($H272="Complétée","F",IF(OR($H272="En cours",$H272="En revue"),"E",IF($H272="Bloquée","B","P"))),""))</f>
        <v/>
      </c>
      <c r="AC272" s="53">
        <f>IF(OR($F272="",$G272=""),"",IF(AND(AC$5&lt;=$G272,AC$5+6&gt;=$F272),IF($H272="Complétée","F",IF(OR($H272="En cours",$H272="En revue"),"E",IF($H272="Bloquée","B","P"))),""))</f>
        <v/>
      </c>
      <c r="AD272" s="53">
        <f>IF(OR($F272="",$G272=""),"",IF(AND(AD$5&lt;=$G272,AD$5+6&gt;=$F272),IF($H272="Complétée","F",IF(OR($H272="En cours",$H272="En revue"),"E",IF($H272="Bloquée","B","P"))),""))</f>
        <v/>
      </c>
      <c r="AE272" s="53">
        <f>IF(OR($F272="",$G272=""),"",IF(AND(AE$5&lt;=$G272,AE$5+6&gt;=$F272),IF($H272="Complétée","F",IF(OR($H272="En cours",$H272="En revue"),"E",IF($H272="Bloquée","B","P"))),""))</f>
        <v/>
      </c>
      <c r="AF272" s="53">
        <f>IF(OR($F272="",$G272=""),"",IF(AND(AF$5&lt;=$G272,AF$5+6&gt;=$F272),IF($H272="Complétée","F",IF(OR($H272="En cours",$H272="En revue"),"E",IF($H272="Bloquée","B","P"))),""))</f>
        <v/>
      </c>
      <c r="AG272" s="53">
        <f>IF(OR($F272="",$G272=""),"",IF(AND(AG$5&lt;=$G272,AG$5+6&gt;=$F272),IF($H272="Complétée","F",IF(OR($H272="En cours",$H272="En revue"),"E",IF($H272="Bloquée","B","P"))),""))</f>
        <v/>
      </c>
      <c r="AH272" s="53">
        <f>IF(OR($F272="",$G272=""),"",IF(AND(AH$5&lt;=$G272,AH$5+6&gt;=$F272),IF($H272="Complétée","F",IF(OR($H272="En cours",$H272="En revue"),"E",IF($H272="Bloquée","B","P"))),""))</f>
        <v/>
      </c>
      <c r="AI272" s="53">
        <f>IF(OR($F272="",$G272=""),"",IF(AND(AI$5&lt;=$G272,AI$5+6&gt;=$F272),IF($H272="Complétée","F",IF(OR($H272="En cours",$H272="En revue"),"E",IF($H272="Bloquée","B","P"))),""))</f>
        <v/>
      </c>
      <c r="AJ272" s="53">
        <f>IF(OR($F272="",$G272=""),"",IF(AND(AJ$5&lt;=$G272,AJ$5+6&gt;=$F272),IF($H272="Complétée","F",IF(OR($H272="En cours",$H272="En revue"),"E",IF($H272="Bloquée","B","P"))),""))</f>
        <v/>
      </c>
      <c r="AK272" s="53">
        <f>IF(OR($F272="",$G272=""),"",IF(AND(AK$5&lt;=$G272,AK$5+6&gt;=$F272),IF($H272="Complétée","F",IF(OR($H272="En cours",$H272="En revue"),"E",IF($H272="Bloquée","B","P"))),""))</f>
        <v/>
      </c>
      <c r="AL272" s="53">
        <f>IF(OR($F272="",$G272=""),"",IF(AND(AL$5&lt;=$G272,AL$5+6&gt;=$F272),IF($H272="Complétée","F",IF(OR($H272="En cours",$H272="En revue"),"E",IF($H272="Bloquée","B","P"))),""))</f>
        <v/>
      </c>
      <c r="AM272" s="53">
        <f>IF(OR($F272="",$G272=""),"",IF(AND(AM$5&lt;=$G272,AM$5+6&gt;=$F272),IF($H272="Complétée","F",IF(OR($H272="En cours",$H272="En revue"),"E",IF($H272="Bloquée","B","P"))),""))</f>
        <v/>
      </c>
      <c r="AN272" s="53">
        <f>IF(OR($F272="",$G272=""),"",IF(AND(AN$5&lt;=$G272,AN$5+6&gt;=$F272),IF($H272="Complétée","F",IF(OR($H272="En cours",$H272="En revue"),"E",IF($H272="Bloquée","B","P"))),""))</f>
        <v/>
      </c>
      <c r="AO272" s="53">
        <f>IF(OR($F272="",$G272=""),"",IF(AND(AO$5&lt;=$G272,AO$5+6&gt;=$F272),IF($H272="Complétée","F",IF(OR($H272="En cours",$H272="En revue"),"E",IF($H272="Bloquée","B","P"))),""))</f>
        <v/>
      </c>
      <c r="AP272" s="53">
        <f>IF(OR($F272="",$G272=""),"",IF(AND(AP$5&lt;=$G272,AP$5+6&gt;=$F272),IF($H272="Complétée","F",IF(OR($H272="En cours",$H272="En revue"),"E",IF($H272="Bloquée","B","P"))),""))</f>
        <v/>
      </c>
      <c r="AQ272" s="53">
        <f>IF(OR($F272="",$G272=""),"",IF(AND(AQ$5&lt;=$G272,AQ$5+6&gt;=$F272),IF($H272="Complétée","F",IF(OR($H272="En cours",$H272="En revue"),"E",IF($H272="Bloquée","B","P"))),""))</f>
        <v/>
      </c>
      <c r="AR272" s="53">
        <f>IF(OR($F272="",$G272=""),"",IF(AND(AR$5&lt;=$G272,AR$5+6&gt;=$F272),IF($H272="Complétée","F",IF(OR($H272="En cours",$H272="En revue"),"E",IF($H272="Bloquée","B","P"))),""))</f>
        <v/>
      </c>
      <c r="AS272" s="53">
        <f>IF(OR($F272="",$G272=""),"",IF(AND(AS$5&lt;=$G272,AS$5+6&gt;=$F272),IF($H272="Complétée","F",IF(OR($H272="En cours",$H272="En revue"),"E",IF($H272="Bloquée","B","P"))),""))</f>
        <v/>
      </c>
      <c r="AT272" s="53">
        <f>IF(OR($F272="",$G272=""),"",IF(AND(AT$5&lt;=$G272,AT$5+6&gt;=$F272),IF($H272="Complétée","F",IF(OR($H272="En cours",$H272="En revue"),"E",IF($H272="Bloquée","B","P"))),""))</f>
        <v/>
      </c>
      <c r="AU272" s="53">
        <f>IF(OR($F272="",$G272=""),"",IF(AND(AU$5&lt;=$G272,AU$5+6&gt;=$F272),IF($H272="Complétée","F",IF(OR($H272="En cours",$H272="En revue"),"E",IF($H272="Bloquée","B","P"))),""))</f>
        <v/>
      </c>
      <c r="AV272" s="53">
        <f>IF(OR($F272="",$G272=""),"",IF(AND(AV$5&lt;=$G272,AV$5+6&gt;=$F272),IF($H272="Complétée","F",IF(OR($H272="En cours",$H272="En revue"),"E",IF($H272="Bloquée","B","P"))),""))</f>
        <v/>
      </c>
      <c r="AW272" s="53">
        <f>IF(OR($F272="",$G272=""),"",IF(AND(AW$5&lt;=$G272,AW$5+6&gt;=$F272),IF($H272="Complétée","F",IF(OR($H272="En cours",$H272="En revue"),"E",IF($H272="Bloquée","B","P"))),""))</f>
        <v/>
      </c>
    </row>
    <row r="273">
      <c r="B273" s="50">
        <f>IF(Taches!B273="","",Taches!B273)</f>
        <v/>
      </c>
      <c r="C273" s="51">
        <f>IF(Taches!B273="","",Taches!F273)</f>
        <v/>
      </c>
      <c r="D273" s="50">
        <f>IF(Taches!B273="","",Taches!C273)</f>
        <v/>
      </c>
      <c r="E273" s="50">
        <f>IF(Taches!B273="","",Taches!D273)</f>
        <v/>
      </c>
      <c r="F273" s="52">
        <f>IF(Taches!P273="","",Taches!P273)</f>
        <v/>
      </c>
      <c r="G273" s="52">
        <f>IF(Taches!Q273="","",Taches!Q273)</f>
        <v/>
      </c>
      <c r="H273" s="50">
        <f>IF(Taches!B273="","",Taches!J273)</f>
        <v/>
      </c>
      <c r="I273" s="53">
        <f>IF(OR($F273="",$G273=""),"",IF(AND(I$5&lt;=$G273,I$5+6&gt;=$F273),IF($H273="Complétée","F",IF(OR($H273="En cours",$H273="En revue"),"E",IF($H273="Bloquée","B","P"))),""))</f>
        <v/>
      </c>
      <c r="J273" s="53">
        <f>IF(OR($F273="",$G273=""),"",IF(AND(J$5&lt;=$G273,J$5+6&gt;=$F273),IF($H273="Complétée","F",IF(OR($H273="En cours",$H273="En revue"),"E",IF($H273="Bloquée","B","P"))),""))</f>
        <v/>
      </c>
      <c r="K273" s="53">
        <f>IF(OR($F273="",$G273=""),"",IF(AND(K$5&lt;=$G273,K$5+6&gt;=$F273),IF($H273="Complétée","F",IF(OR($H273="En cours",$H273="En revue"),"E",IF($H273="Bloquée","B","P"))),""))</f>
        <v/>
      </c>
      <c r="L273" s="53">
        <f>IF(OR($F273="",$G273=""),"",IF(AND(L$5&lt;=$G273,L$5+6&gt;=$F273),IF($H273="Complétée","F",IF(OR($H273="En cours",$H273="En revue"),"E",IF($H273="Bloquée","B","P"))),""))</f>
        <v/>
      </c>
      <c r="M273" s="53">
        <f>IF(OR($F273="",$G273=""),"",IF(AND(M$5&lt;=$G273,M$5+6&gt;=$F273),IF($H273="Complétée","F",IF(OR($H273="En cours",$H273="En revue"),"E",IF($H273="Bloquée","B","P"))),""))</f>
        <v/>
      </c>
      <c r="N273" s="53">
        <f>IF(OR($F273="",$G273=""),"",IF(AND(N$5&lt;=$G273,N$5+6&gt;=$F273),IF($H273="Complétée","F",IF(OR($H273="En cours",$H273="En revue"),"E",IF($H273="Bloquée","B","P"))),""))</f>
        <v/>
      </c>
      <c r="O273" s="53">
        <f>IF(OR($F273="",$G273=""),"",IF(AND(O$5&lt;=$G273,O$5+6&gt;=$F273),IF($H273="Complétée","F",IF(OR($H273="En cours",$H273="En revue"),"E",IF($H273="Bloquée","B","P"))),""))</f>
        <v/>
      </c>
      <c r="P273" s="53">
        <f>IF(OR($F273="",$G273=""),"",IF(AND(P$5&lt;=$G273,P$5+6&gt;=$F273),IF($H273="Complétée","F",IF(OR($H273="En cours",$H273="En revue"),"E",IF($H273="Bloquée","B","P"))),""))</f>
        <v/>
      </c>
      <c r="Q273" s="53">
        <f>IF(OR($F273="",$G273=""),"",IF(AND(Q$5&lt;=$G273,Q$5+6&gt;=$F273),IF($H273="Complétée","F",IF(OR($H273="En cours",$H273="En revue"),"E",IF($H273="Bloquée","B","P"))),""))</f>
        <v/>
      </c>
      <c r="R273" s="53">
        <f>IF(OR($F273="",$G273=""),"",IF(AND(R$5&lt;=$G273,R$5+6&gt;=$F273),IF($H273="Complétée","F",IF(OR($H273="En cours",$H273="En revue"),"E",IF($H273="Bloquée","B","P"))),""))</f>
        <v/>
      </c>
      <c r="S273" s="53">
        <f>IF(OR($F273="",$G273=""),"",IF(AND(S$5&lt;=$G273,S$5+6&gt;=$F273),IF($H273="Complétée","F",IF(OR($H273="En cours",$H273="En revue"),"E",IF($H273="Bloquée","B","P"))),""))</f>
        <v/>
      </c>
      <c r="T273" s="53">
        <f>IF(OR($F273="",$G273=""),"",IF(AND(T$5&lt;=$G273,T$5+6&gt;=$F273),IF($H273="Complétée","F",IF(OR($H273="En cours",$H273="En revue"),"E",IF($H273="Bloquée","B","P"))),""))</f>
        <v/>
      </c>
      <c r="U273" s="53">
        <f>IF(OR($F273="",$G273=""),"",IF(AND(U$5&lt;=$G273,U$5+6&gt;=$F273),IF($H273="Complétée","F",IF(OR($H273="En cours",$H273="En revue"),"E",IF($H273="Bloquée","B","P"))),""))</f>
        <v/>
      </c>
      <c r="V273" s="53">
        <f>IF(OR($F273="",$G273=""),"",IF(AND(V$5&lt;=$G273,V$5+6&gt;=$F273),IF($H273="Complétée","F",IF(OR($H273="En cours",$H273="En revue"),"E",IF($H273="Bloquée","B","P"))),""))</f>
        <v/>
      </c>
      <c r="W273" s="53">
        <f>IF(OR($F273="",$G273=""),"",IF(AND(W$5&lt;=$G273,W$5+6&gt;=$F273),IF($H273="Complétée","F",IF(OR($H273="En cours",$H273="En revue"),"E",IF($H273="Bloquée","B","P"))),""))</f>
        <v/>
      </c>
      <c r="X273" s="53">
        <f>IF(OR($F273="",$G273=""),"",IF(AND(X$5&lt;=$G273,X$5+6&gt;=$F273),IF($H273="Complétée","F",IF(OR($H273="En cours",$H273="En revue"),"E",IF($H273="Bloquée","B","P"))),""))</f>
        <v/>
      </c>
      <c r="Y273" s="53">
        <f>IF(OR($F273="",$G273=""),"",IF(AND(Y$5&lt;=$G273,Y$5+6&gt;=$F273),IF($H273="Complétée","F",IF(OR($H273="En cours",$H273="En revue"),"E",IF($H273="Bloquée","B","P"))),""))</f>
        <v/>
      </c>
      <c r="Z273" s="53">
        <f>IF(OR($F273="",$G273=""),"",IF(AND(Z$5&lt;=$G273,Z$5+6&gt;=$F273),IF($H273="Complétée","F",IF(OR($H273="En cours",$H273="En revue"),"E",IF($H273="Bloquée","B","P"))),""))</f>
        <v/>
      </c>
      <c r="AA273" s="53">
        <f>IF(OR($F273="",$G273=""),"",IF(AND(AA$5&lt;=$G273,AA$5+6&gt;=$F273),IF($H273="Complétée","F",IF(OR($H273="En cours",$H273="En revue"),"E",IF($H273="Bloquée","B","P"))),""))</f>
        <v/>
      </c>
      <c r="AB273" s="53">
        <f>IF(OR($F273="",$G273=""),"",IF(AND(AB$5&lt;=$G273,AB$5+6&gt;=$F273),IF($H273="Complétée","F",IF(OR($H273="En cours",$H273="En revue"),"E",IF($H273="Bloquée","B","P"))),""))</f>
        <v/>
      </c>
      <c r="AC273" s="53">
        <f>IF(OR($F273="",$G273=""),"",IF(AND(AC$5&lt;=$G273,AC$5+6&gt;=$F273),IF($H273="Complétée","F",IF(OR($H273="En cours",$H273="En revue"),"E",IF($H273="Bloquée","B","P"))),""))</f>
        <v/>
      </c>
      <c r="AD273" s="53">
        <f>IF(OR($F273="",$G273=""),"",IF(AND(AD$5&lt;=$G273,AD$5+6&gt;=$F273),IF($H273="Complétée","F",IF(OR($H273="En cours",$H273="En revue"),"E",IF($H273="Bloquée","B","P"))),""))</f>
        <v/>
      </c>
      <c r="AE273" s="53">
        <f>IF(OR($F273="",$G273=""),"",IF(AND(AE$5&lt;=$G273,AE$5+6&gt;=$F273),IF($H273="Complétée","F",IF(OR($H273="En cours",$H273="En revue"),"E",IF($H273="Bloquée","B","P"))),""))</f>
        <v/>
      </c>
      <c r="AF273" s="53">
        <f>IF(OR($F273="",$G273=""),"",IF(AND(AF$5&lt;=$G273,AF$5+6&gt;=$F273),IF($H273="Complétée","F",IF(OR($H273="En cours",$H273="En revue"),"E",IF($H273="Bloquée","B","P"))),""))</f>
        <v/>
      </c>
      <c r="AG273" s="53">
        <f>IF(OR($F273="",$G273=""),"",IF(AND(AG$5&lt;=$G273,AG$5+6&gt;=$F273),IF($H273="Complétée","F",IF(OR($H273="En cours",$H273="En revue"),"E",IF($H273="Bloquée","B","P"))),""))</f>
        <v/>
      </c>
      <c r="AH273" s="53">
        <f>IF(OR($F273="",$G273=""),"",IF(AND(AH$5&lt;=$G273,AH$5+6&gt;=$F273),IF($H273="Complétée","F",IF(OR($H273="En cours",$H273="En revue"),"E",IF($H273="Bloquée","B","P"))),""))</f>
        <v/>
      </c>
      <c r="AI273" s="53">
        <f>IF(OR($F273="",$G273=""),"",IF(AND(AI$5&lt;=$G273,AI$5+6&gt;=$F273),IF($H273="Complétée","F",IF(OR($H273="En cours",$H273="En revue"),"E",IF($H273="Bloquée","B","P"))),""))</f>
        <v/>
      </c>
      <c r="AJ273" s="53">
        <f>IF(OR($F273="",$G273=""),"",IF(AND(AJ$5&lt;=$G273,AJ$5+6&gt;=$F273),IF($H273="Complétée","F",IF(OR($H273="En cours",$H273="En revue"),"E",IF($H273="Bloquée","B","P"))),""))</f>
        <v/>
      </c>
      <c r="AK273" s="53">
        <f>IF(OR($F273="",$G273=""),"",IF(AND(AK$5&lt;=$G273,AK$5+6&gt;=$F273),IF($H273="Complétée","F",IF(OR($H273="En cours",$H273="En revue"),"E",IF($H273="Bloquée","B","P"))),""))</f>
        <v/>
      </c>
      <c r="AL273" s="53">
        <f>IF(OR($F273="",$G273=""),"",IF(AND(AL$5&lt;=$G273,AL$5+6&gt;=$F273),IF($H273="Complétée","F",IF(OR($H273="En cours",$H273="En revue"),"E",IF($H273="Bloquée","B","P"))),""))</f>
        <v/>
      </c>
      <c r="AM273" s="53">
        <f>IF(OR($F273="",$G273=""),"",IF(AND(AM$5&lt;=$G273,AM$5+6&gt;=$F273),IF($H273="Complétée","F",IF(OR($H273="En cours",$H273="En revue"),"E",IF($H273="Bloquée","B","P"))),""))</f>
        <v/>
      </c>
      <c r="AN273" s="53">
        <f>IF(OR($F273="",$G273=""),"",IF(AND(AN$5&lt;=$G273,AN$5+6&gt;=$F273),IF($H273="Complétée","F",IF(OR($H273="En cours",$H273="En revue"),"E",IF($H273="Bloquée","B","P"))),""))</f>
        <v/>
      </c>
      <c r="AO273" s="53">
        <f>IF(OR($F273="",$G273=""),"",IF(AND(AO$5&lt;=$G273,AO$5+6&gt;=$F273),IF($H273="Complétée","F",IF(OR($H273="En cours",$H273="En revue"),"E",IF($H273="Bloquée","B","P"))),""))</f>
        <v/>
      </c>
      <c r="AP273" s="53">
        <f>IF(OR($F273="",$G273=""),"",IF(AND(AP$5&lt;=$G273,AP$5+6&gt;=$F273),IF($H273="Complétée","F",IF(OR($H273="En cours",$H273="En revue"),"E",IF($H273="Bloquée","B","P"))),""))</f>
        <v/>
      </c>
      <c r="AQ273" s="53">
        <f>IF(OR($F273="",$G273=""),"",IF(AND(AQ$5&lt;=$G273,AQ$5+6&gt;=$F273),IF($H273="Complétée","F",IF(OR($H273="En cours",$H273="En revue"),"E",IF($H273="Bloquée","B","P"))),""))</f>
        <v/>
      </c>
      <c r="AR273" s="53">
        <f>IF(OR($F273="",$G273=""),"",IF(AND(AR$5&lt;=$G273,AR$5+6&gt;=$F273),IF($H273="Complétée","F",IF(OR($H273="En cours",$H273="En revue"),"E",IF($H273="Bloquée","B","P"))),""))</f>
        <v/>
      </c>
      <c r="AS273" s="53">
        <f>IF(OR($F273="",$G273=""),"",IF(AND(AS$5&lt;=$G273,AS$5+6&gt;=$F273),IF($H273="Complétée","F",IF(OR($H273="En cours",$H273="En revue"),"E",IF($H273="Bloquée","B","P"))),""))</f>
        <v/>
      </c>
      <c r="AT273" s="53">
        <f>IF(OR($F273="",$G273=""),"",IF(AND(AT$5&lt;=$G273,AT$5+6&gt;=$F273),IF($H273="Complétée","F",IF(OR($H273="En cours",$H273="En revue"),"E",IF($H273="Bloquée","B","P"))),""))</f>
        <v/>
      </c>
      <c r="AU273" s="53">
        <f>IF(OR($F273="",$G273=""),"",IF(AND(AU$5&lt;=$G273,AU$5+6&gt;=$F273),IF($H273="Complétée","F",IF(OR($H273="En cours",$H273="En revue"),"E",IF($H273="Bloquée","B","P"))),""))</f>
        <v/>
      </c>
      <c r="AV273" s="53">
        <f>IF(OR($F273="",$G273=""),"",IF(AND(AV$5&lt;=$G273,AV$5+6&gt;=$F273),IF($H273="Complétée","F",IF(OR($H273="En cours",$H273="En revue"),"E",IF($H273="Bloquée","B","P"))),""))</f>
        <v/>
      </c>
      <c r="AW273" s="53">
        <f>IF(OR($F273="",$G273=""),"",IF(AND(AW$5&lt;=$G273,AW$5+6&gt;=$F273),IF($H273="Complétée","F",IF(OR($H273="En cours",$H273="En revue"),"E",IF($H273="Bloquée","B","P"))),""))</f>
        <v/>
      </c>
    </row>
    <row r="274">
      <c r="B274" s="50">
        <f>IF(Taches!B274="","",Taches!B274)</f>
        <v/>
      </c>
      <c r="C274" s="51">
        <f>IF(Taches!B274="","",Taches!F274)</f>
        <v/>
      </c>
      <c r="D274" s="50">
        <f>IF(Taches!B274="","",Taches!C274)</f>
        <v/>
      </c>
      <c r="E274" s="50">
        <f>IF(Taches!B274="","",Taches!D274)</f>
        <v/>
      </c>
      <c r="F274" s="52">
        <f>IF(Taches!P274="","",Taches!P274)</f>
        <v/>
      </c>
      <c r="G274" s="52">
        <f>IF(Taches!Q274="","",Taches!Q274)</f>
        <v/>
      </c>
      <c r="H274" s="50">
        <f>IF(Taches!B274="","",Taches!J274)</f>
        <v/>
      </c>
      <c r="I274" s="53">
        <f>IF(OR($F274="",$G274=""),"",IF(AND(I$5&lt;=$G274,I$5+6&gt;=$F274),IF($H274="Complétée","F",IF(OR($H274="En cours",$H274="En revue"),"E",IF($H274="Bloquée","B","P"))),""))</f>
        <v/>
      </c>
      <c r="J274" s="53">
        <f>IF(OR($F274="",$G274=""),"",IF(AND(J$5&lt;=$G274,J$5+6&gt;=$F274),IF($H274="Complétée","F",IF(OR($H274="En cours",$H274="En revue"),"E",IF($H274="Bloquée","B","P"))),""))</f>
        <v/>
      </c>
      <c r="K274" s="53">
        <f>IF(OR($F274="",$G274=""),"",IF(AND(K$5&lt;=$G274,K$5+6&gt;=$F274),IF($H274="Complétée","F",IF(OR($H274="En cours",$H274="En revue"),"E",IF($H274="Bloquée","B","P"))),""))</f>
        <v/>
      </c>
      <c r="L274" s="53">
        <f>IF(OR($F274="",$G274=""),"",IF(AND(L$5&lt;=$G274,L$5+6&gt;=$F274),IF($H274="Complétée","F",IF(OR($H274="En cours",$H274="En revue"),"E",IF($H274="Bloquée","B","P"))),""))</f>
        <v/>
      </c>
      <c r="M274" s="53">
        <f>IF(OR($F274="",$G274=""),"",IF(AND(M$5&lt;=$G274,M$5+6&gt;=$F274),IF($H274="Complétée","F",IF(OR($H274="En cours",$H274="En revue"),"E",IF($H274="Bloquée","B","P"))),""))</f>
        <v/>
      </c>
      <c r="N274" s="53">
        <f>IF(OR($F274="",$G274=""),"",IF(AND(N$5&lt;=$G274,N$5+6&gt;=$F274),IF($H274="Complétée","F",IF(OR($H274="En cours",$H274="En revue"),"E",IF($H274="Bloquée","B","P"))),""))</f>
        <v/>
      </c>
      <c r="O274" s="53">
        <f>IF(OR($F274="",$G274=""),"",IF(AND(O$5&lt;=$G274,O$5+6&gt;=$F274),IF($H274="Complétée","F",IF(OR($H274="En cours",$H274="En revue"),"E",IF($H274="Bloquée","B","P"))),""))</f>
        <v/>
      </c>
      <c r="P274" s="53">
        <f>IF(OR($F274="",$G274=""),"",IF(AND(P$5&lt;=$G274,P$5+6&gt;=$F274),IF($H274="Complétée","F",IF(OR($H274="En cours",$H274="En revue"),"E",IF($H274="Bloquée","B","P"))),""))</f>
        <v/>
      </c>
      <c r="Q274" s="53">
        <f>IF(OR($F274="",$G274=""),"",IF(AND(Q$5&lt;=$G274,Q$5+6&gt;=$F274),IF($H274="Complétée","F",IF(OR($H274="En cours",$H274="En revue"),"E",IF($H274="Bloquée","B","P"))),""))</f>
        <v/>
      </c>
      <c r="R274" s="53">
        <f>IF(OR($F274="",$G274=""),"",IF(AND(R$5&lt;=$G274,R$5+6&gt;=$F274),IF($H274="Complétée","F",IF(OR($H274="En cours",$H274="En revue"),"E",IF($H274="Bloquée","B","P"))),""))</f>
        <v/>
      </c>
      <c r="S274" s="53">
        <f>IF(OR($F274="",$G274=""),"",IF(AND(S$5&lt;=$G274,S$5+6&gt;=$F274),IF($H274="Complétée","F",IF(OR($H274="En cours",$H274="En revue"),"E",IF($H274="Bloquée","B","P"))),""))</f>
        <v/>
      </c>
      <c r="T274" s="53">
        <f>IF(OR($F274="",$G274=""),"",IF(AND(T$5&lt;=$G274,T$5+6&gt;=$F274),IF($H274="Complétée","F",IF(OR($H274="En cours",$H274="En revue"),"E",IF($H274="Bloquée","B","P"))),""))</f>
        <v/>
      </c>
      <c r="U274" s="53">
        <f>IF(OR($F274="",$G274=""),"",IF(AND(U$5&lt;=$G274,U$5+6&gt;=$F274),IF($H274="Complétée","F",IF(OR($H274="En cours",$H274="En revue"),"E",IF($H274="Bloquée","B","P"))),""))</f>
        <v/>
      </c>
      <c r="V274" s="53">
        <f>IF(OR($F274="",$G274=""),"",IF(AND(V$5&lt;=$G274,V$5+6&gt;=$F274),IF($H274="Complétée","F",IF(OR($H274="En cours",$H274="En revue"),"E",IF($H274="Bloquée","B","P"))),""))</f>
        <v/>
      </c>
      <c r="W274" s="53">
        <f>IF(OR($F274="",$G274=""),"",IF(AND(W$5&lt;=$G274,W$5+6&gt;=$F274),IF($H274="Complétée","F",IF(OR($H274="En cours",$H274="En revue"),"E",IF($H274="Bloquée","B","P"))),""))</f>
        <v/>
      </c>
      <c r="X274" s="53">
        <f>IF(OR($F274="",$G274=""),"",IF(AND(X$5&lt;=$G274,X$5+6&gt;=$F274),IF($H274="Complétée","F",IF(OR($H274="En cours",$H274="En revue"),"E",IF($H274="Bloquée","B","P"))),""))</f>
        <v/>
      </c>
      <c r="Y274" s="53">
        <f>IF(OR($F274="",$G274=""),"",IF(AND(Y$5&lt;=$G274,Y$5+6&gt;=$F274),IF($H274="Complétée","F",IF(OR($H274="En cours",$H274="En revue"),"E",IF($H274="Bloquée","B","P"))),""))</f>
        <v/>
      </c>
      <c r="Z274" s="53">
        <f>IF(OR($F274="",$G274=""),"",IF(AND(Z$5&lt;=$G274,Z$5+6&gt;=$F274),IF($H274="Complétée","F",IF(OR($H274="En cours",$H274="En revue"),"E",IF($H274="Bloquée","B","P"))),""))</f>
        <v/>
      </c>
      <c r="AA274" s="53">
        <f>IF(OR($F274="",$G274=""),"",IF(AND(AA$5&lt;=$G274,AA$5+6&gt;=$F274),IF($H274="Complétée","F",IF(OR($H274="En cours",$H274="En revue"),"E",IF($H274="Bloquée","B","P"))),""))</f>
        <v/>
      </c>
      <c r="AB274" s="53">
        <f>IF(OR($F274="",$G274=""),"",IF(AND(AB$5&lt;=$G274,AB$5+6&gt;=$F274),IF($H274="Complétée","F",IF(OR($H274="En cours",$H274="En revue"),"E",IF($H274="Bloquée","B","P"))),""))</f>
        <v/>
      </c>
      <c r="AC274" s="53">
        <f>IF(OR($F274="",$G274=""),"",IF(AND(AC$5&lt;=$G274,AC$5+6&gt;=$F274),IF($H274="Complétée","F",IF(OR($H274="En cours",$H274="En revue"),"E",IF($H274="Bloquée","B","P"))),""))</f>
        <v/>
      </c>
      <c r="AD274" s="53">
        <f>IF(OR($F274="",$G274=""),"",IF(AND(AD$5&lt;=$G274,AD$5+6&gt;=$F274),IF($H274="Complétée","F",IF(OR($H274="En cours",$H274="En revue"),"E",IF($H274="Bloquée","B","P"))),""))</f>
        <v/>
      </c>
      <c r="AE274" s="53">
        <f>IF(OR($F274="",$G274=""),"",IF(AND(AE$5&lt;=$G274,AE$5+6&gt;=$F274),IF($H274="Complétée","F",IF(OR($H274="En cours",$H274="En revue"),"E",IF($H274="Bloquée","B","P"))),""))</f>
        <v/>
      </c>
      <c r="AF274" s="53">
        <f>IF(OR($F274="",$G274=""),"",IF(AND(AF$5&lt;=$G274,AF$5+6&gt;=$F274),IF($H274="Complétée","F",IF(OR($H274="En cours",$H274="En revue"),"E",IF($H274="Bloquée","B","P"))),""))</f>
        <v/>
      </c>
      <c r="AG274" s="53">
        <f>IF(OR($F274="",$G274=""),"",IF(AND(AG$5&lt;=$G274,AG$5+6&gt;=$F274),IF($H274="Complétée","F",IF(OR($H274="En cours",$H274="En revue"),"E",IF($H274="Bloquée","B","P"))),""))</f>
        <v/>
      </c>
      <c r="AH274" s="53">
        <f>IF(OR($F274="",$G274=""),"",IF(AND(AH$5&lt;=$G274,AH$5+6&gt;=$F274),IF($H274="Complétée","F",IF(OR($H274="En cours",$H274="En revue"),"E",IF($H274="Bloquée","B","P"))),""))</f>
        <v/>
      </c>
      <c r="AI274" s="53">
        <f>IF(OR($F274="",$G274=""),"",IF(AND(AI$5&lt;=$G274,AI$5+6&gt;=$F274),IF($H274="Complétée","F",IF(OR($H274="En cours",$H274="En revue"),"E",IF($H274="Bloquée","B","P"))),""))</f>
        <v/>
      </c>
      <c r="AJ274" s="53">
        <f>IF(OR($F274="",$G274=""),"",IF(AND(AJ$5&lt;=$G274,AJ$5+6&gt;=$F274),IF($H274="Complétée","F",IF(OR($H274="En cours",$H274="En revue"),"E",IF($H274="Bloquée","B","P"))),""))</f>
        <v/>
      </c>
      <c r="AK274" s="53">
        <f>IF(OR($F274="",$G274=""),"",IF(AND(AK$5&lt;=$G274,AK$5+6&gt;=$F274),IF($H274="Complétée","F",IF(OR($H274="En cours",$H274="En revue"),"E",IF($H274="Bloquée","B","P"))),""))</f>
        <v/>
      </c>
      <c r="AL274" s="53">
        <f>IF(OR($F274="",$G274=""),"",IF(AND(AL$5&lt;=$G274,AL$5+6&gt;=$F274),IF($H274="Complétée","F",IF(OR($H274="En cours",$H274="En revue"),"E",IF($H274="Bloquée","B","P"))),""))</f>
        <v/>
      </c>
      <c r="AM274" s="53">
        <f>IF(OR($F274="",$G274=""),"",IF(AND(AM$5&lt;=$G274,AM$5+6&gt;=$F274),IF($H274="Complétée","F",IF(OR($H274="En cours",$H274="En revue"),"E",IF($H274="Bloquée","B","P"))),""))</f>
        <v/>
      </c>
      <c r="AN274" s="53">
        <f>IF(OR($F274="",$G274=""),"",IF(AND(AN$5&lt;=$G274,AN$5+6&gt;=$F274),IF($H274="Complétée","F",IF(OR($H274="En cours",$H274="En revue"),"E",IF($H274="Bloquée","B","P"))),""))</f>
        <v/>
      </c>
      <c r="AO274" s="53">
        <f>IF(OR($F274="",$G274=""),"",IF(AND(AO$5&lt;=$G274,AO$5+6&gt;=$F274),IF($H274="Complétée","F",IF(OR($H274="En cours",$H274="En revue"),"E",IF($H274="Bloquée","B","P"))),""))</f>
        <v/>
      </c>
      <c r="AP274" s="53">
        <f>IF(OR($F274="",$G274=""),"",IF(AND(AP$5&lt;=$G274,AP$5+6&gt;=$F274),IF($H274="Complétée","F",IF(OR($H274="En cours",$H274="En revue"),"E",IF($H274="Bloquée","B","P"))),""))</f>
        <v/>
      </c>
      <c r="AQ274" s="53">
        <f>IF(OR($F274="",$G274=""),"",IF(AND(AQ$5&lt;=$G274,AQ$5+6&gt;=$F274),IF($H274="Complétée","F",IF(OR($H274="En cours",$H274="En revue"),"E",IF($H274="Bloquée","B","P"))),""))</f>
        <v/>
      </c>
      <c r="AR274" s="53">
        <f>IF(OR($F274="",$G274=""),"",IF(AND(AR$5&lt;=$G274,AR$5+6&gt;=$F274),IF($H274="Complétée","F",IF(OR($H274="En cours",$H274="En revue"),"E",IF($H274="Bloquée","B","P"))),""))</f>
        <v/>
      </c>
      <c r="AS274" s="53">
        <f>IF(OR($F274="",$G274=""),"",IF(AND(AS$5&lt;=$G274,AS$5+6&gt;=$F274),IF($H274="Complétée","F",IF(OR($H274="En cours",$H274="En revue"),"E",IF($H274="Bloquée","B","P"))),""))</f>
        <v/>
      </c>
      <c r="AT274" s="53">
        <f>IF(OR($F274="",$G274=""),"",IF(AND(AT$5&lt;=$G274,AT$5+6&gt;=$F274),IF($H274="Complétée","F",IF(OR($H274="En cours",$H274="En revue"),"E",IF($H274="Bloquée","B","P"))),""))</f>
        <v/>
      </c>
      <c r="AU274" s="53">
        <f>IF(OR($F274="",$G274=""),"",IF(AND(AU$5&lt;=$G274,AU$5+6&gt;=$F274),IF($H274="Complétée","F",IF(OR($H274="En cours",$H274="En revue"),"E",IF($H274="Bloquée","B","P"))),""))</f>
        <v/>
      </c>
      <c r="AV274" s="53">
        <f>IF(OR($F274="",$G274=""),"",IF(AND(AV$5&lt;=$G274,AV$5+6&gt;=$F274),IF($H274="Complétée","F",IF(OR($H274="En cours",$H274="En revue"),"E",IF($H274="Bloquée","B","P"))),""))</f>
        <v/>
      </c>
      <c r="AW274" s="53">
        <f>IF(OR($F274="",$G274=""),"",IF(AND(AW$5&lt;=$G274,AW$5+6&gt;=$F274),IF($H274="Complétée","F",IF(OR($H274="En cours",$H274="En revue"),"E",IF($H274="Bloquée","B","P"))),""))</f>
        <v/>
      </c>
    </row>
    <row r="275">
      <c r="B275" s="50">
        <f>IF(Taches!B275="","",Taches!B275)</f>
        <v/>
      </c>
      <c r="C275" s="51">
        <f>IF(Taches!B275="","",Taches!F275)</f>
        <v/>
      </c>
      <c r="D275" s="50">
        <f>IF(Taches!B275="","",Taches!C275)</f>
        <v/>
      </c>
      <c r="E275" s="50">
        <f>IF(Taches!B275="","",Taches!D275)</f>
        <v/>
      </c>
      <c r="F275" s="52">
        <f>IF(Taches!P275="","",Taches!P275)</f>
        <v/>
      </c>
      <c r="G275" s="52">
        <f>IF(Taches!Q275="","",Taches!Q275)</f>
        <v/>
      </c>
      <c r="H275" s="50">
        <f>IF(Taches!B275="","",Taches!J275)</f>
        <v/>
      </c>
      <c r="I275" s="53">
        <f>IF(OR($F275="",$G275=""),"",IF(AND(I$5&lt;=$G275,I$5+6&gt;=$F275),IF($H275="Complétée","F",IF(OR($H275="En cours",$H275="En revue"),"E",IF($H275="Bloquée","B","P"))),""))</f>
        <v/>
      </c>
      <c r="J275" s="53">
        <f>IF(OR($F275="",$G275=""),"",IF(AND(J$5&lt;=$G275,J$5+6&gt;=$F275),IF($H275="Complétée","F",IF(OR($H275="En cours",$H275="En revue"),"E",IF($H275="Bloquée","B","P"))),""))</f>
        <v/>
      </c>
      <c r="K275" s="53">
        <f>IF(OR($F275="",$G275=""),"",IF(AND(K$5&lt;=$G275,K$5+6&gt;=$F275),IF($H275="Complétée","F",IF(OR($H275="En cours",$H275="En revue"),"E",IF($H275="Bloquée","B","P"))),""))</f>
        <v/>
      </c>
      <c r="L275" s="53">
        <f>IF(OR($F275="",$G275=""),"",IF(AND(L$5&lt;=$G275,L$5+6&gt;=$F275),IF($H275="Complétée","F",IF(OR($H275="En cours",$H275="En revue"),"E",IF($H275="Bloquée","B","P"))),""))</f>
        <v/>
      </c>
      <c r="M275" s="53">
        <f>IF(OR($F275="",$G275=""),"",IF(AND(M$5&lt;=$G275,M$5+6&gt;=$F275),IF($H275="Complétée","F",IF(OR($H275="En cours",$H275="En revue"),"E",IF($H275="Bloquée","B","P"))),""))</f>
        <v/>
      </c>
      <c r="N275" s="53">
        <f>IF(OR($F275="",$G275=""),"",IF(AND(N$5&lt;=$G275,N$5+6&gt;=$F275),IF($H275="Complétée","F",IF(OR($H275="En cours",$H275="En revue"),"E",IF($H275="Bloquée","B","P"))),""))</f>
        <v/>
      </c>
      <c r="O275" s="53">
        <f>IF(OR($F275="",$G275=""),"",IF(AND(O$5&lt;=$G275,O$5+6&gt;=$F275),IF($H275="Complétée","F",IF(OR($H275="En cours",$H275="En revue"),"E",IF($H275="Bloquée","B","P"))),""))</f>
        <v/>
      </c>
      <c r="P275" s="53">
        <f>IF(OR($F275="",$G275=""),"",IF(AND(P$5&lt;=$G275,P$5+6&gt;=$F275),IF($H275="Complétée","F",IF(OR($H275="En cours",$H275="En revue"),"E",IF($H275="Bloquée","B","P"))),""))</f>
        <v/>
      </c>
      <c r="Q275" s="53">
        <f>IF(OR($F275="",$G275=""),"",IF(AND(Q$5&lt;=$G275,Q$5+6&gt;=$F275),IF($H275="Complétée","F",IF(OR($H275="En cours",$H275="En revue"),"E",IF($H275="Bloquée","B","P"))),""))</f>
        <v/>
      </c>
      <c r="R275" s="53">
        <f>IF(OR($F275="",$G275=""),"",IF(AND(R$5&lt;=$G275,R$5+6&gt;=$F275),IF($H275="Complétée","F",IF(OR($H275="En cours",$H275="En revue"),"E",IF($H275="Bloquée","B","P"))),""))</f>
        <v/>
      </c>
      <c r="S275" s="53">
        <f>IF(OR($F275="",$G275=""),"",IF(AND(S$5&lt;=$G275,S$5+6&gt;=$F275),IF($H275="Complétée","F",IF(OR($H275="En cours",$H275="En revue"),"E",IF($H275="Bloquée","B","P"))),""))</f>
        <v/>
      </c>
      <c r="T275" s="53">
        <f>IF(OR($F275="",$G275=""),"",IF(AND(T$5&lt;=$G275,T$5+6&gt;=$F275),IF($H275="Complétée","F",IF(OR($H275="En cours",$H275="En revue"),"E",IF($H275="Bloquée","B","P"))),""))</f>
        <v/>
      </c>
      <c r="U275" s="53">
        <f>IF(OR($F275="",$G275=""),"",IF(AND(U$5&lt;=$G275,U$5+6&gt;=$F275),IF($H275="Complétée","F",IF(OR($H275="En cours",$H275="En revue"),"E",IF($H275="Bloquée","B","P"))),""))</f>
        <v/>
      </c>
      <c r="V275" s="53">
        <f>IF(OR($F275="",$G275=""),"",IF(AND(V$5&lt;=$G275,V$5+6&gt;=$F275),IF($H275="Complétée","F",IF(OR($H275="En cours",$H275="En revue"),"E",IF($H275="Bloquée","B","P"))),""))</f>
        <v/>
      </c>
      <c r="W275" s="53">
        <f>IF(OR($F275="",$G275=""),"",IF(AND(W$5&lt;=$G275,W$5+6&gt;=$F275),IF($H275="Complétée","F",IF(OR($H275="En cours",$H275="En revue"),"E",IF($H275="Bloquée","B","P"))),""))</f>
        <v/>
      </c>
      <c r="X275" s="53">
        <f>IF(OR($F275="",$G275=""),"",IF(AND(X$5&lt;=$G275,X$5+6&gt;=$F275),IF($H275="Complétée","F",IF(OR($H275="En cours",$H275="En revue"),"E",IF($H275="Bloquée","B","P"))),""))</f>
        <v/>
      </c>
      <c r="Y275" s="53">
        <f>IF(OR($F275="",$G275=""),"",IF(AND(Y$5&lt;=$G275,Y$5+6&gt;=$F275),IF($H275="Complétée","F",IF(OR($H275="En cours",$H275="En revue"),"E",IF($H275="Bloquée","B","P"))),""))</f>
        <v/>
      </c>
      <c r="Z275" s="53">
        <f>IF(OR($F275="",$G275=""),"",IF(AND(Z$5&lt;=$G275,Z$5+6&gt;=$F275),IF($H275="Complétée","F",IF(OR($H275="En cours",$H275="En revue"),"E",IF($H275="Bloquée","B","P"))),""))</f>
        <v/>
      </c>
      <c r="AA275" s="53">
        <f>IF(OR($F275="",$G275=""),"",IF(AND(AA$5&lt;=$G275,AA$5+6&gt;=$F275),IF($H275="Complétée","F",IF(OR($H275="En cours",$H275="En revue"),"E",IF($H275="Bloquée","B","P"))),""))</f>
        <v/>
      </c>
      <c r="AB275" s="53">
        <f>IF(OR($F275="",$G275=""),"",IF(AND(AB$5&lt;=$G275,AB$5+6&gt;=$F275),IF($H275="Complétée","F",IF(OR($H275="En cours",$H275="En revue"),"E",IF($H275="Bloquée","B","P"))),""))</f>
        <v/>
      </c>
      <c r="AC275" s="53">
        <f>IF(OR($F275="",$G275=""),"",IF(AND(AC$5&lt;=$G275,AC$5+6&gt;=$F275),IF($H275="Complétée","F",IF(OR($H275="En cours",$H275="En revue"),"E",IF($H275="Bloquée","B","P"))),""))</f>
        <v/>
      </c>
      <c r="AD275" s="53">
        <f>IF(OR($F275="",$G275=""),"",IF(AND(AD$5&lt;=$G275,AD$5+6&gt;=$F275),IF($H275="Complétée","F",IF(OR($H275="En cours",$H275="En revue"),"E",IF($H275="Bloquée","B","P"))),""))</f>
        <v/>
      </c>
      <c r="AE275" s="53">
        <f>IF(OR($F275="",$G275=""),"",IF(AND(AE$5&lt;=$G275,AE$5+6&gt;=$F275),IF($H275="Complétée","F",IF(OR($H275="En cours",$H275="En revue"),"E",IF($H275="Bloquée","B","P"))),""))</f>
        <v/>
      </c>
      <c r="AF275" s="53">
        <f>IF(OR($F275="",$G275=""),"",IF(AND(AF$5&lt;=$G275,AF$5+6&gt;=$F275),IF($H275="Complétée","F",IF(OR($H275="En cours",$H275="En revue"),"E",IF($H275="Bloquée","B","P"))),""))</f>
        <v/>
      </c>
      <c r="AG275" s="53">
        <f>IF(OR($F275="",$G275=""),"",IF(AND(AG$5&lt;=$G275,AG$5+6&gt;=$F275),IF($H275="Complétée","F",IF(OR($H275="En cours",$H275="En revue"),"E",IF($H275="Bloquée","B","P"))),""))</f>
        <v/>
      </c>
      <c r="AH275" s="53">
        <f>IF(OR($F275="",$G275=""),"",IF(AND(AH$5&lt;=$G275,AH$5+6&gt;=$F275),IF($H275="Complétée","F",IF(OR($H275="En cours",$H275="En revue"),"E",IF($H275="Bloquée","B","P"))),""))</f>
        <v/>
      </c>
      <c r="AI275" s="53">
        <f>IF(OR($F275="",$G275=""),"",IF(AND(AI$5&lt;=$G275,AI$5+6&gt;=$F275),IF($H275="Complétée","F",IF(OR($H275="En cours",$H275="En revue"),"E",IF($H275="Bloquée","B","P"))),""))</f>
        <v/>
      </c>
      <c r="AJ275" s="53">
        <f>IF(OR($F275="",$G275=""),"",IF(AND(AJ$5&lt;=$G275,AJ$5+6&gt;=$F275),IF($H275="Complétée","F",IF(OR($H275="En cours",$H275="En revue"),"E",IF($H275="Bloquée","B","P"))),""))</f>
        <v/>
      </c>
      <c r="AK275" s="53">
        <f>IF(OR($F275="",$G275=""),"",IF(AND(AK$5&lt;=$G275,AK$5+6&gt;=$F275),IF($H275="Complétée","F",IF(OR($H275="En cours",$H275="En revue"),"E",IF($H275="Bloquée","B","P"))),""))</f>
        <v/>
      </c>
      <c r="AL275" s="53">
        <f>IF(OR($F275="",$G275=""),"",IF(AND(AL$5&lt;=$G275,AL$5+6&gt;=$F275),IF($H275="Complétée","F",IF(OR($H275="En cours",$H275="En revue"),"E",IF($H275="Bloquée","B","P"))),""))</f>
        <v/>
      </c>
      <c r="AM275" s="53">
        <f>IF(OR($F275="",$G275=""),"",IF(AND(AM$5&lt;=$G275,AM$5+6&gt;=$F275),IF($H275="Complétée","F",IF(OR($H275="En cours",$H275="En revue"),"E",IF($H275="Bloquée","B","P"))),""))</f>
        <v/>
      </c>
      <c r="AN275" s="53">
        <f>IF(OR($F275="",$G275=""),"",IF(AND(AN$5&lt;=$G275,AN$5+6&gt;=$F275),IF($H275="Complétée","F",IF(OR($H275="En cours",$H275="En revue"),"E",IF($H275="Bloquée","B","P"))),""))</f>
        <v/>
      </c>
      <c r="AO275" s="53">
        <f>IF(OR($F275="",$G275=""),"",IF(AND(AO$5&lt;=$G275,AO$5+6&gt;=$F275),IF($H275="Complétée","F",IF(OR($H275="En cours",$H275="En revue"),"E",IF($H275="Bloquée","B","P"))),""))</f>
        <v/>
      </c>
      <c r="AP275" s="53">
        <f>IF(OR($F275="",$G275=""),"",IF(AND(AP$5&lt;=$G275,AP$5+6&gt;=$F275),IF($H275="Complétée","F",IF(OR($H275="En cours",$H275="En revue"),"E",IF($H275="Bloquée","B","P"))),""))</f>
        <v/>
      </c>
      <c r="AQ275" s="53">
        <f>IF(OR($F275="",$G275=""),"",IF(AND(AQ$5&lt;=$G275,AQ$5+6&gt;=$F275),IF($H275="Complétée","F",IF(OR($H275="En cours",$H275="En revue"),"E",IF($H275="Bloquée","B","P"))),""))</f>
        <v/>
      </c>
      <c r="AR275" s="53">
        <f>IF(OR($F275="",$G275=""),"",IF(AND(AR$5&lt;=$G275,AR$5+6&gt;=$F275),IF($H275="Complétée","F",IF(OR($H275="En cours",$H275="En revue"),"E",IF($H275="Bloquée","B","P"))),""))</f>
        <v/>
      </c>
      <c r="AS275" s="53">
        <f>IF(OR($F275="",$G275=""),"",IF(AND(AS$5&lt;=$G275,AS$5+6&gt;=$F275),IF($H275="Complétée","F",IF(OR($H275="En cours",$H275="En revue"),"E",IF($H275="Bloquée","B","P"))),""))</f>
        <v/>
      </c>
      <c r="AT275" s="53">
        <f>IF(OR($F275="",$G275=""),"",IF(AND(AT$5&lt;=$G275,AT$5+6&gt;=$F275),IF($H275="Complétée","F",IF(OR($H275="En cours",$H275="En revue"),"E",IF($H275="Bloquée","B","P"))),""))</f>
        <v/>
      </c>
      <c r="AU275" s="53">
        <f>IF(OR($F275="",$G275=""),"",IF(AND(AU$5&lt;=$G275,AU$5+6&gt;=$F275),IF($H275="Complétée","F",IF(OR($H275="En cours",$H275="En revue"),"E",IF($H275="Bloquée","B","P"))),""))</f>
        <v/>
      </c>
      <c r="AV275" s="53">
        <f>IF(OR($F275="",$G275=""),"",IF(AND(AV$5&lt;=$G275,AV$5+6&gt;=$F275),IF($H275="Complétée","F",IF(OR($H275="En cours",$H275="En revue"),"E",IF($H275="Bloquée","B","P"))),""))</f>
        <v/>
      </c>
      <c r="AW275" s="53">
        <f>IF(OR($F275="",$G275=""),"",IF(AND(AW$5&lt;=$G275,AW$5+6&gt;=$F275),IF($H275="Complétée","F",IF(OR($H275="En cours",$H275="En revue"),"E",IF($H275="Bloquée","B","P"))),""))</f>
        <v/>
      </c>
    </row>
    <row r="276">
      <c r="B276" s="50">
        <f>IF(Taches!B276="","",Taches!B276)</f>
        <v/>
      </c>
      <c r="C276" s="51">
        <f>IF(Taches!B276="","",Taches!F276)</f>
        <v/>
      </c>
      <c r="D276" s="50">
        <f>IF(Taches!B276="","",Taches!C276)</f>
        <v/>
      </c>
      <c r="E276" s="50">
        <f>IF(Taches!B276="","",Taches!D276)</f>
        <v/>
      </c>
      <c r="F276" s="52">
        <f>IF(Taches!P276="","",Taches!P276)</f>
        <v/>
      </c>
      <c r="G276" s="52">
        <f>IF(Taches!Q276="","",Taches!Q276)</f>
        <v/>
      </c>
      <c r="H276" s="50">
        <f>IF(Taches!B276="","",Taches!J276)</f>
        <v/>
      </c>
      <c r="I276" s="53">
        <f>IF(OR($F276="",$G276=""),"",IF(AND(I$5&lt;=$G276,I$5+6&gt;=$F276),IF($H276="Complétée","F",IF(OR($H276="En cours",$H276="En revue"),"E",IF($H276="Bloquée","B","P"))),""))</f>
        <v/>
      </c>
      <c r="J276" s="53">
        <f>IF(OR($F276="",$G276=""),"",IF(AND(J$5&lt;=$G276,J$5+6&gt;=$F276),IF($H276="Complétée","F",IF(OR($H276="En cours",$H276="En revue"),"E",IF($H276="Bloquée","B","P"))),""))</f>
        <v/>
      </c>
      <c r="K276" s="53">
        <f>IF(OR($F276="",$G276=""),"",IF(AND(K$5&lt;=$G276,K$5+6&gt;=$F276),IF($H276="Complétée","F",IF(OR($H276="En cours",$H276="En revue"),"E",IF($H276="Bloquée","B","P"))),""))</f>
        <v/>
      </c>
      <c r="L276" s="53">
        <f>IF(OR($F276="",$G276=""),"",IF(AND(L$5&lt;=$G276,L$5+6&gt;=$F276),IF($H276="Complétée","F",IF(OR($H276="En cours",$H276="En revue"),"E",IF($H276="Bloquée","B","P"))),""))</f>
        <v/>
      </c>
      <c r="M276" s="53">
        <f>IF(OR($F276="",$G276=""),"",IF(AND(M$5&lt;=$G276,M$5+6&gt;=$F276),IF($H276="Complétée","F",IF(OR($H276="En cours",$H276="En revue"),"E",IF($H276="Bloquée","B","P"))),""))</f>
        <v/>
      </c>
      <c r="N276" s="53">
        <f>IF(OR($F276="",$G276=""),"",IF(AND(N$5&lt;=$G276,N$5+6&gt;=$F276),IF($H276="Complétée","F",IF(OR($H276="En cours",$H276="En revue"),"E",IF($H276="Bloquée","B","P"))),""))</f>
        <v/>
      </c>
      <c r="O276" s="53">
        <f>IF(OR($F276="",$G276=""),"",IF(AND(O$5&lt;=$G276,O$5+6&gt;=$F276),IF($H276="Complétée","F",IF(OR($H276="En cours",$H276="En revue"),"E",IF($H276="Bloquée","B","P"))),""))</f>
        <v/>
      </c>
      <c r="P276" s="53">
        <f>IF(OR($F276="",$G276=""),"",IF(AND(P$5&lt;=$G276,P$5+6&gt;=$F276),IF($H276="Complétée","F",IF(OR($H276="En cours",$H276="En revue"),"E",IF($H276="Bloquée","B","P"))),""))</f>
        <v/>
      </c>
      <c r="Q276" s="53">
        <f>IF(OR($F276="",$G276=""),"",IF(AND(Q$5&lt;=$G276,Q$5+6&gt;=$F276),IF($H276="Complétée","F",IF(OR($H276="En cours",$H276="En revue"),"E",IF($H276="Bloquée","B","P"))),""))</f>
        <v/>
      </c>
      <c r="R276" s="53">
        <f>IF(OR($F276="",$G276=""),"",IF(AND(R$5&lt;=$G276,R$5+6&gt;=$F276),IF($H276="Complétée","F",IF(OR($H276="En cours",$H276="En revue"),"E",IF($H276="Bloquée","B","P"))),""))</f>
        <v/>
      </c>
      <c r="S276" s="53">
        <f>IF(OR($F276="",$G276=""),"",IF(AND(S$5&lt;=$G276,S$5+6&gt;=$F276),IF($H276="Complétée","F",IF(OR($H276="En cours",$H276="En revue"),"E",IF($H276="Bloquée","B","P"))),""))</f>
        <v/>
      </c>
      <c r="T276" s="53">
        <f>IF(OR($F276="",$G276=""),"",IF(AND(T$5&lt;=$G276,T$5+6&gt;=$F276),IF($H276="Complétée","F",IF(OR($H276="En cours",$H276="En revue"),"E",IF($H276="Bloquée","B","P"))),""))</f>
        <v/>
      </c>
      <c r="U276" s="53">
        <f>IF(OR($F276="",$G276=""),"",IF(AND(U$5&lt;=$G276,U$5+6&gt;=$F276),IF($H276="Complétée","F",IF(OR($H276="En cours",$H276="En revue"),"E",IF($H276="Bloquée","B","P"))),""))</f>
        <v/>
      </c>
      <c r="V276" s="53">
        <f>IF(OR($F276="",$G276=""),"",IF(AND(V$5&lt;=$G276,V$5+6&gt;=$F276),IF($H276="Complétée","F",IF(OR($H276="En cours",$H276="En revue"),"E",IF($H276="Bloquée","B","P"))),""))</f>
        <v/>
      </c>
      <c r="W276" s="53">
        <f>IF(OR($F276="",$G276=""),"",IF(AND(W$5&lt;=$G276,W$5+6&gt;=$F276),IF($H276="Complétée","F",IF(OR($H276="En cours",$H276="En revue"),"E",IF($H276="Bloquée","B","P"))),""))</f>
        <v/>
      </c>
      <c r="X276" s="53">
        <f>IF(OR($F276="",$G276=""),"",IF(AND(X$5&lt;=$G276,X$5+6&gt;=$F276),IF($H276="Complétée","F",IF(OR($H276="En cours",$H276="En revue"),"E",IF($H276="Bloquée","B","P"))),""))</f>
        <v/>
      </c>
      <c r="Y276" s="53">
        <f>IF(OR($F276="",$G276=""),"",IF(AND(Y$5&lt;=$G276,Y$5+6&gt;=$F276),IF($H276="Complétée","F",IF(OR($H276="En cours",$H276="En revue"),"E",IF($H276="Bloquée","B","P"))),""))</f>
        <v/>
      </c>
      <c r="Z276" s="53">
        <f>IF(OR($F276="",$G276=""),"",IF(AND(Z$5&lt;=$G276,Z$5+6&gt;=$F276),IF($H276="Complétée","F",IF(OR($H276="En cours",$H276="En revue"),"E",IF($H276="Bloquée","B","P"))),""))</f>
        <v/>
      </c>
      <c r="AA276" s="53">
        <f>IF(OR($F276="",$G276=""),"",IF(AND(AA$5&lt;=$G276,AA$5+6&gt;=$F276),IF($H276="Complétée","F",IF(OR($H276="En cours",$H276="En revue"),"E",IF($H276="Bloquée","B","P"))),""))</f>
        <v/>
      </c>
      <c r="AB276" s="53">
        <f>IF(OR($F276="",$G276=""),"",IF(AND(AB$5&lt;=$G276,AB$5+6&gt;=$F276),IF($H276="Complétée","F",IF(OR($H276="En cours",$H276="En revue"),"E",IF($H276="Bloquée","B","P"))),""))</f>
        <v/>
      </c>
      <c r="AC276" s="53">
        <f>IF(OR($F276="",$G276=""),"",IF(AND(AC$5&lt;=$G276,AC$5+6&gt;=$F276),IF($H276="Complétée","F",IF(OR($H276="En cours",$H276="En revue"),"E",IF($H276="Bloquée","B","P"))),""))</f>
        <v/>
      </c>
      <c r="AD276" s="53">
        <f>IF(OR($F276="",$G276=""),"",IF(AND(AD$5&lt;=$G276,AD$5+6&gt;=$F276),IF($H276="Complétée","F",IF(OR($H276="En cours",$H276="En revue"),"E",IF($H276="Bloquée","B","P"))),""))</f>
        <v/>
      </c>
      <c r="AE276" s="53">
        <f>IF(OR($F276="",$G276=""),"",IF(AND(AE$5&lt;=$G276,AE$5+6&gt;=$F276),IF($H276="Complétée","F",IF(OR($H276="En cours",$H276="En revue"),"E",IF($H276="Bloquée","B","P"))),""))</f>
        <v/>
      </c>
      <c r="AF276" s="53">
        <f>IF(OR($F276="",$G276=""),"",IF(AND(AF$5&lt;=$G276,AF$5+6&gt;=$F276),IF($H276="Complétée","F",IF(OR($H276="En cours",$H276="En revue"),"E",IF($H276="Bloquée","B","P"))),""))</f>
        <v/>
      </c>
      <c r="AG276" s="53">
        <f>IF(OR($F276="",$G276=""),"",IF(AND(AG$5&lt;=$G276,AG$5+6&gt;=$F276),IF($H276="Complétée","F",IF(OR($H276="En cours",$H276="En revue"),"E",IF($H276="Bloquée","B","P"))),""))</f>
        <v/>
      </c>
      <c r="AH276" s="53">
        <f>IF(OR($F276="",$G276=""),"",IF(AND(AH$5&lt;=$G276,AH$5+6&gt;=$F276),IF($H276="Complétée","F",IF(OR($H276="En cours",$H276="En revue"),"E",IF($H276="Bloquée","B","P"))),""))</f>
        <v/>
      </c>
      <c r="AI276" s="53">
        <f>IF(OR($F276="",$G276=""),"",IF(AND(AI$5&lt;=$G276,AI$5+6&gt;=$F276),IF($H276="Complétée","F",IF(OR($H276="En cours",$H276="En revue"),"E",IF($H276="Bloquée","B","P"))),""))</f>
        <v/>
      </c>
      <c r="AJ276" s="53">
        <f>IF(OR($F276="",$G276=""),"",IF(AND(AJ$5&lt;=$G276,AJ$5+6&gt;=$F276),IF($H276="Complétée","F",IF(OR($H276="En cours",$H276="En revue"),"E",IF($H276="Bloquée","B","P"))),""))</f>
        <v/>
      </c>
      <c r="AK276" s="53">
        <f>IF(OR($F276="",$G276=""),"",IF(AND(AK$5&lt;=$G276,AK$5+6&gt;=$F276),IF($H276="Complétée","F",IF(OR($H276="En cours",$H276="En revue"),"E",IF($H276="Bloquée","B","P"))),""))</f>
        <v/>
      </c>
      <c r="AL276" s="53">
        <f>IF(OR($F276="",$G276=""),"",IF(AND(AL$5&lt;=$G276,AL$5+6&gt;=$F276),IF($H276="Complétée","F",IF(OR($H276="En cours",$H276="En revue"),"E",IF($H276="Bloquée","B","P"))),""))</f>
        <v/>
      </c>
      <c r="AM276" s="53">
        <f>IF(OR($F276="",$G276=""),"",IF(AND(AM$5&lt;=$G276,AM$5+6&gt;=$F276),IF($H276="Complétée","F",IF(OR($H276="En cours",$H276="En revue"),"E",IF($H276="Bloquée","B","P"))),""))</f>
        <v/>
      </c>
      <c r="AN276" s="53">
        <f>IF(OR($F276="",$G276=""),"",IF(AND(AN$5&lt;=$G276,AN$5+6&gt;=$F276),IF($H276="Complétée","F",IF(OR($H276="En cours",$H276="En revue"),"E",IF($H276="Bloquée","B","P"))),""))</f>
        <v/>
      </c>
      <c r="AO276" s="53">
        <f>IF(OR($F276="",$G276=""),"",IF(AND(AO$5&lt;=$G276,AO$5+6&gt;=$F276),IF($H276="Complétée","F",IF(OR($H276="En cours",$H276="En revue"),"E",IF($H276="Bloquée","B","P"))),""))</f>
        <v/>
      </c>
      <c r="AP276" s="53">
        <f>IF(OR($F276="",$G276=""),"",IF(AND(AP$5&lt;=$G276,AP$5+6&gt;=$F276),IF($H276="Complétée","F",IF(OR($H276="En cours",$H276="En revue"),"E",IF($H276="Bloquée","B","P"))),""))</f>
        <v/>
      </c>
      <c r="AQ276" s="53">
        <f>IF(OR($F276="",$G276=""),"",IF(AND(AQ$5&lt;=$G276,AQ$5+6&gt;=$F276),IF($H276="Complétée","F",IF(OR($H276="En cours",$H276="En revue"),"E",IF($H276="Bloquée","B","P"))),""))</f>
        <v/>
      </c>
      <c r="AR276" s="53">
        <f>IF(OR($F276="",$G276=""),"",IF(AND(AR$5&lt;=$G276,AR$5+6&gt;=$F276),IF($H276="Complétée","F",IF(OR($H276="En cours",$H276="En revue"),"E",IF($H276="Bloquée","B","P"))),""))</f>
        <v/>
      </c>
      <c r="AS276" s="53">
        <f>IF(OR($F276="",$G276=""),"",IF(AND(AS$5&lt;=$G276,AS$5+6&gt;=$F276),IF($H276="Complétée","F",IF(OR($H276="En cours",$H276="En revue"),"E",IF($H276="Bloquée","B","P"))),""))</f>
        <v/>
      </c>
      <c r="AT276" s="53">
        <f>IF(OR($F276="",$G276=""),"",IF(AND(AT$5&lt;=$G276,AT$5+6&gt;=$F276),IF($H276="Complétée","F",IF(OR($H276="En cours",$H276="En revue"),"E",IF($H276="Bloquée","B","P"))),""))</f>
        <v/>
      </c>
      <c r="AU276" s="53">
        <f>IF(OR($F276="",$G276=""),"",IF(AND(AU$5&lt;=$G276,AU$5+6&gt;=$F276),IF($H276="Complétée","F",IF(OR($H276="En cours",$H276="En revue"),"E",IF($H276="Bloquée","B","P"))),""))</f>
        <v/>
      </c>
      <c r="AV276" s="53">
        <f>IF(OR($F276="",$G276=""),"",IF(AND(AV$5&lt;=$G276,AV$5+6&gt;=$F276),IF($H276="Complétée","F",IF(OR($H276="En cours",$H276="En revue"),"E",IF($H276="Bloquée","B","P"))),""))</f>
        <v/>
      </c>
      <c r="AW276" s="53">
        <f>IF(OR($F276="",$G276=""),"",IF(AND(AW$5&lt;=$G276,AW$5+6&gt;=$F276),IF($H276="Complétée","F",IF(OR($H276="En cours",$H276="En revue"),"E",IF($H276="Bloquée","B","P"))),""))</f>
        <v/>
      </c>
    </row>
    <row r="277">
      <c r="B277" s="50">
        <f>IF(Taches!B277="","",Taches!B277)</f>
        <v/>
      </c>
      <c r="C277" s="51">
        <f>IF(Taches!B277="","",Taches!F277)</f>
        <v/>
      </c>
      <c r="D277" s="50">
        <f>IF(Taches!B277="","",Taches!C277)</f>
        <v/>
      </c>
      <c r="E277" s="50">
        <f>IF(Taches!B277="","",Taches!D277)</f>
        <v/>
      </c>
      <c r="F277" s="52">
        <f>IF(Taches!P277="","",Taches!P277)</f>
        <v/>
      </c>
      <c r="G277" s="52">
        <f>IF(Taches!Q277="","",Taches!Q277)</f>
        <v/>
      </c>
      <c r="H277" s="50">
        <f>IF(Taches!B277="","",Taches!J277)</f>
        <v/>
      </c>
      <c r="I277" s="53">
        <f>IF(OR($F277="",$G277=""),"",IF(AND(I$5&lt;=$G277,I$5+6&gt;=$F277),IF($H277="Complétée","F",IF(OR($H277="En cours",$H277="En revue"),"E",IF($H277="Bloquée","B","P"))),""))</f>
        <v/>
      </c>
      <c r="J277" s="53">
        <f>IF(OR($F277="",$G277=""),"",IF(AND(J$5&lt;=$G277,J$5+6&gt;=$F277),IF($H277="Complétée","F",IF(OR($H277="En cours",$H277="En revue"),"E",IF($H277="Bloquée","B","P"))),""))</f>
        <v/>
      </c>
      <c r="K277" s="53">
        <f>IF(OR($F277="",$G277=""),"",IF(AND(K$5&lt;=$G277,K$5+6&gt;=$F277),IF($H277="Complétée","F",IF(OR($H277="En cours",$H277="En revue"),"E",IF($H277="Bloquée","B","P"))),""))</f>
        <v/>
      </c>
      <c r="L277" s="53">
        <f>IF(OR($F277="",$G277=""),"",IF(AND(L$5&lt;=$G277,L$5+6&gt;=$F277),IF($H277="Complétée","F",IF(OR($H277="En cours",$H277="En revue"),"E",IF($H277="Bloquée","B","P"))),""))</f>
        <v/>
      </c>
      <c r="M277" s="53">
        <f>IF(OR($F277="",$G277=""),"",IF(AND(M$5&lt;=$G277,M$5+6&gt;=$F277),IF($H277="Complétée","F",IF(OR($H277="En cours",$H277="En revue"),"E",IF($H277="Bloquée","B","P"))),""))</f>
        <v/>
      </c>
      <c r="N277" s="53">
        <f>IF(OR($F277="",$G277=""),"",IF(AND(N$5&lt;=$G277,N$5+6&gt;=$F277),IF($H277="Complétée","F",IF(OR($H277="En cours",$H277="En revue"),"E",IF($H277="Bloquée","B","P"))),""))</f>
        <v/>
      </c>
      <c r="O277" s="53">
        <f>IF(OR($F277="",$G277=""),"",IF(AND(O$5&lt;=$G277,O$5+6&gt;=$F277),IF($H277="Complétée","F",IF(OR($H277="En cours",$H277="En revue"),"E",IF($H277="Bloquée","B","P"))),""))</f>
        <v/>
      </c>
      <c r="P277" s="53">
        <f>IF(OR($F277="",$G277=""),"",IF(AND(P$5&lt;=$G277,P$5+6&gt;=$F277),IF($H277="Complétée","F",IF(OR($H277="En cours",$H277="En revue"),"E",IF($H277="Bloquée","B","P"))),""))</f>
        <v/>
      </c>
      <c r="Q277" s="53">
        <f>IF(OR($F277="",$G277=""),"",IF(AND(Q$5&lt;=$G277,Q$5+6&gt;=$F277),IF($H277="Complétée","F",IF(OR($H277="En cours",$H277="En revue"),"E",IF($H277="Bloquée","B","P"))),""))</f>
        <v/>
      </c>
      <c r="R277" s="53">
        <f>IF(OR($F277="",$G277=""),"",IF(AND(R$5&lt;=$G277,R$5+6&gt;=$F277),IF($H277="Complétée","F",IF(OR($H277="En cours",$H277="En revue"),"E",IF($H277="Bloquée","B","P"))),""))</f>
        <v/>
      </c>
      <c r="S277" s="53">
        <f>IF(OR($F277="",$G277=""),"",IF(AND(S$5&lt;=$G277,S$5+6&gt;=$F277),IF($H277="Complétée","F",IF(OR($H277="En cours",$H277="En revue"),"E",IF($H277="Bloquée","B","P"))),""))</f>
        <v/>
      </c>
      <c r="T277" s="53">
        <f>IF(OR($F277="",$G277=""),"",IF(AND(T$5&lt;=$G277,T$5+6&gt;=$F277),IF($H277="Complétée","F",IF(OR($H277="En cours",$H277="En revue"),"E",IF($H277="Bloquée","B","P"))),""))</f>
        <v/>
      </c>
      <c r="U277" s="53">
        <f>IF(OR($F277="",$G277=""),"",IF(AND(U$5&lt;=$G277,U$5+6&gt;=$F277),IF($H277="Complétée","F",IF(OR($H277="En cours",$H277="En revue"),"E",IF($H277="Bloquée","B","P"))),""))</f>
        <v/>
      </c>
      <c r="V277" s="53">
        <f>IF(OR($F277="",$G277=""),"",IF(AND(V$5&lt;=$G277,V$5+6&gt;=$F277),IF($H277="Complétée","F",IF(OR($H277="En cours",$H277="En revue"),"E",IF($H277="Bloquée","B","P"))),""))</f>
        <v/>
      </c>
      <c r="W277" s="53">
        <f>IF(OR($F277="",$G277=""),"",IF(AND(W$5&lt;=$G277,W$5+6&gt;=$F277),IF($H277="Complétée","F",IF(OR($H277="En cours",$H277="En revue"),"E",IF($H277="Bloquée","B","P"))),""))</f>
        <v/>
      </c>
      <c r="X277" s="53">
        <f>IF(OR($F277="",$G277=""),"",IF(AND(X$5&lt;=$G277,X$5+6&gt;=$F277),IF($H277="Complétée","F",IF(OR($H277="En cours",$H277="En revue"),"E",IF($H277="Bloquée","B","P"))),""))</f>
        <v/>
      </c>
      <c r="Y277" s="53">
        <f>IF(OR($F277="",$G277=""),"",IF(AND(Y$5&lt;=$G277,Y$5+6&gt;=$F277),IF($H277="Complétée","F",IF(OR($H277="En cours",$H277="En revue"),"E",IF($H277="Bloquée","B","P"))),""))</f>
        <v/>
      </c>
      <c r="Z277" s="53">
        <f>IF(OR($F277="",$G277=""),"",IF(AND(Z$5&lt;=$G277,Z$5+6&gt;=$F277),IF($H277="Complétée","F",IF(OR($H277="En cours",$H277="En revue"),"E",IF($H277="Bloquée","B","P"))),""))</f>
        <v/>
      </c>
      <c r="AA277" s="53">
        <f>IF(OR($F277="",$G277=""),"",IF(AND(AA$5&lt;=$G277,AA$5+6&gt;=$F277),IF($H277="Complétée","F",IF(OR($H277="En cours",$H277="En revue"),"E",IF($H277="Bloquée","B","P"))),""))</f>
        <v/>
      </c>
      <c r="AB277" s="53">
        <f>IF(OR($F277="",$G277=""),"",IF(AND(AB$5&lt;=$G277,AB$5+6&gt;=$F277),IF($H277="Complétée","F",IF(OR($H277="En cours",$H277="En revue"),"E",IF($H277="Bloquée","B","P"))),""))</f>
        <v/>
      </c>
      <c r="AC277" s="53">
        <f>IF(OR($F277="",$G277=""),"",IF(AND(AC$5&lt;=$G277,AC$5+6&gt;=$F277),IF($H277="Complétée","F",IF(OR($H277="En cours",$H277="En revue"),"E",IF($H277="Bloquée","B","P"))),""))</f>
        <v/>
      </c>
      <c r="AD277" s="53">
        <f>IF(OR($F277="",$G277=""),"",IF(AND(AD$5&lt;=$G277,AD$5+6&gt;=$F277),IF($H277="Complétée","F",IF(OR($H277="En cours",$H277="En revue"),"E",IF($H277="Bloquée","B","P"))),""))</f>
        <v/>
      </c>
      <c r="AE277" s="53">
        <f>IF(OR($F277="",$G277=""),"",IF(AND(AE$5&lt;=$G277,AE$5+6&gt;=$F277),IF($H277="Complétée","F",IF(OR($H277="En cours",$H277="En revue"),"E",IF($H277="Bloquée","B","P"))),""))</f>
        <v/>
      </c>
      <c r="AF277" s="53">
        <f>IF(OR($F277="",$G277=""),"",IF(AND(AF$5&lt;=$G277,AF$5+6&gt;=$F277),IF($H277="Complétée","F",IF(OR($H277="En cours",$H277="En revue"),"E",IF($H277="Bloquée","B","P"))),""))</f>
        <v/>
      </c>
      <c r="AG277" s="53">
        <f>IF(OR($F277="",$G277=""),"",IF(AND(AG$5&lt;=$G277,AG$5+6&gt;=$F277),IF($H277="Complétée","F",IF(OR($H277="En cours",$H277="En revue"),"E",IF($H277="Bloquée","B","P"))),""))</f>
        <v/>
      </c>
      <c r="AH277" s="53">
        <f>IF(OR($F277="",$G277=""),"",IF(AND(AH$5&lt;=$G277,AH$5+6&gt;=$F277),IF($H277="Complétée","F",IF(OR($H277="En cours",$H277="En revue"),"E",IF($H277="Bloquée","B","P"))),""))</f>
        <v/>
      </c>
      <c r="AI277" s="53">
        <f>IF(OR($F277="",$G277=""),"",IF(AND(AI$5&lt;=$G277,AI$5+6&gt;=$F277),IF($H277="Complétée","F",IF(OR($H277="En cours",$H277="En revue"),"E",IF($H277="Bloquée","B","P"))),""))</f>
        <v/>
      </c>
      <c r="AJ277" s="53">
        <f>IF(OR($F277="",$G277=""),"",IF(AND(AJ$5&lt;=$G277,AJ$5+6&gt;=$F277),IF($H277="Complétée","F",IF(OR($H277="En cours",$H277="En revue"),"E",IF($H277="Bloquée","B","P"))),""))</f>
        <v/>
      </c>
      <c r="AK277" s="53">
        <f>IF(OR($F277="",$G277=""),"",IF(AND(AK$5&lt;=$G277,AK$5+6&gt;=$F277),IF($H277="Complétée","F",IF(OR($H277="En cours",$H277="En revue"),"E",IF($H277="Bloquée","B","P"))),""))</f>
        <v/>
      </c>
      <c r="AL277" s="53">
        <f>IF(OR($F277="",$G277=""),"",IF(AND(AL$5&lt;=$G277,AL$5+6&gt;=$F277),IF($H277="Complétée","F",IF(OR($H277="En cours",$H277="En revue"),"E",IF($H277="Bloquée","B","P"))),""))</f>
        <v/>
      </c>
      <c r="AM277" s="53">
        <f>IF(OR($F277="",$G277=""),"",IF(AND(AM$5&lt;=$G277,AM$5+6&gt;=$F277),IF($H277="Complétée","F",IF(OR($H277="En cours",$H277="En revue"),"E",IF($H277="Bloquée","B","P"))),""))</f>
        <v/>
      </c>
      <c r="AN277" s="53">
        <f>IF(OR($F277="",$G277=""),"",IF(AND(AN$5&lt;=$G277,AN$5+6&gt;=$F277),IF($H277="Complétée","F",IF(OR($H277="En cours",$H277="En revue"),"E",IF($H277="Bloquée","B","P"))),""))</f>
        <v/>
      </c>
      <c r="AO277" s="53">
        <f>IF(OR($F277="",$G277=""),"",IF(AND(AO$5&lt;=$G277,AO$5+6&gt;=$F277),IF($H277="Complétée","F",IF(OR($H277="En cours",$H277="En revue"),"E",IF($H277="Bloquée","B","P"))),""))</f>
        <v/>
      </c>
      <c r="AP277" s="53">
        <f>IF(OR($F277="",$G277=""),"",IF(AND(AP$5&lt;=$G277,AP$5+6&gt;=$F277),IF($H277="Complétée","F",IF(OR($H277="En cours",$H277="En revue"),"E",IF($H277="Bloquée","B","P"))),""))</f>
        <v/>
      </c>
      <c r="AQ277" s="53">
        <f>IF(OR($F277="",$G277=""),"",IF(AND(AQ$5&lt;=$G277,AQ$5+6&gt;=$F277),IF($H277="Complétée","F",IF(OR($H277="En cours",$H277="En revue"),"E",IF($H277="Bloquée","B","P"))),""))</f>
        <v/>
      </c>
      <c r="AR277" s="53">
        <f>IF(OR($F277="",$G277=""),"",IF(AND(AR$5&lt;=$G277,AR$5+6&gt;=$F277),IF($H277="Complétée","F",IF(OR($H277="En cours",$H277="En revue"),"E",IF($H277="Bloquée","B","P"))),""))</f>
        <v/>
      </c>
      <c r="AS277" s="53">
        <f>IF(OR($F277="",$G277=""),"",IF(AND(AS$5&lt;=$G277,AS$5+6&gt;=$F277),IF($H277="Complétée","F",IF(OR($H277="En cours",$H277="En revue"),"E",IF($H277="Bloquée","B","P"))),""))</f>
        <v/>
      </c>
      <c r="AT277" s="53">
        <f>IF(OR($F277="",$G277=""),"",IF(AND(AT$5&lt;=$G277,AT$5+6&gt;=$F277),IF($H277="Complétée","F",IF(OR($H277="En cours",$H277="En revue"),"E",IF($H277="Bloquée","B","P"))),""))</f>
        <v/>
      </c>
      <c r="AU277" s="53">
        <f>IF(OR($F277="",$G277=""),"",IF(AND(AU$5&lt;=$G277,AU$5+6&gt;=$F277),IF($H277="Complétée","F",IF(OR($H277="En cours",$H277="En revue"),"E",IF($H277="Bloquée","B","P"))),""))</f>
        <v/>
      </c>
      <c r="AV277" s="53">
        <f>IF(OR($F277="",$G277=""),"",IF(AND(AV$5&lt;=$G277,AV$5+6&gt;=$F277),IF($H277="Complétée","F",IF(OR($H277="En cours",$H277="En revue"),"E",IF($H277="Bloquée","B","P"))),""))</f>
        <v/>
      </c>
      <c r="AW277" s="53">
        <f>IF(OR($F277="",$G277=""),"",IF(AND(AW$5&lt;=$G277,AW$5+6&gt;=$F277),IF($H277="Complétée","F",IF(OR($H277="En cours",$H277="En revue"),"E",IF($H277="Bloquée","B","P"))),""))</f>
        <v/>
      </c>
    </row>
    <row r="278">
      <c r="B278" s="50">
        <f>IF(Taches!B278="","",Taches!B278)</f>
        <v/>
      </c>
      <c r="C278" s="51">
        <f>IF(Taches!B278="","",Taches!F278)</f>
        <v/>
      </c>
      <c r="D278" s="50">
        <f>IF(Taches!B278="","",Taches!C278)</f>
        <v/>
      </c>
      <c r="E278" s="50">
        <f>IF(Taches!B278="","",Taches!D278)</f>
        <v/>
      </c>
      <c r="F278" s="52">
        <f>IF(Taches!P278="","",Taches!P278)</f>
        <v/>
      </c>
      <c r="G278" s="52">
        <f>IF(Taches!Q278="","",Taches!Q278)</f>
        <v/>
      </c>
      <c r="H278" s="50">
        <f>IF(Taches!B278="","",Taches!J278)</f>
        <v/>
      </c>
      <c r="I278" s="53">
        <f>IF(OR($F278="",$G278=""),"",IF(AND(I$5&lt;=$G278,I$5+6&gt;=$F278),IF($H278="Complétée","F",IF(OR($H278="En cours",$H278="En revue"),"E",IF($H278="Bloquée","B","P"))),""))</f>
        <v/>
      </c>
      <c r="J278" s="53">
        <f>IF(OR($F278="",$G278=""),"",IF(AND(J$5&lt;=$G278,J$5+6&gt;=$F278),IF($H278="Complétée","F",IF(OR($H278="En cours",$H278="En revue"),"E",IF($H278="Bloquée","B","P"))),""))</f>
        <v/>
      </c>
      <c r="K278" s="53">
        <f>IF(OR($F278="",$G278=""),"",IF(AND(K$5&lt;=$G278,K$5+6&gt;=$F278),IF($H278="Complétée","F",IF(OR($H278="En cours",$H278="En revue"),"E",IF($H278="Bloquée","B","P"))),""))</f>
        <v/>
      </c>
      <c r="L278" s="53">
        <f>IF(OR($F278="",$G278=""),"",IF(AND(L$5&lt;=$G278,L$5+6&gt;=$F278),IF($H278="Complétée","F",IF(OR($H278="En cours",$H278="En revue"),"E",IF($H278="Bloquée","B","P"))),""))</f>
        <v/>
      </c>
      <c r="M278" s="53">
        <f>IF(OR($F278="",$G278=""),"",IF(AND(M$5&lt;=$G278,M$5+6&gt;=$F278),IF($H278="Complétée","F",IF(OR($H278="En cours",$H278="En revue"),"E",IF($H278="Bloquée","B","P"))),""))</f>
        <v/>
      </c>
      <c r="N278" s="53">
        <f>IF(OR($F278="",$G278=""),"",IF(AND(N$5&lt;=$G278,N$5+6&gt;=$F278),IF($H278="Complétée","F",IF(OR($H278="En cours",$H278="En revue"),"E",IF($H278="Bloquée","B","P"))),""))</f>
        <v/>
      </c>
      <c r="O278" s="53">
        <f>IF(OR($F278="",$G278=""),"",IF(AND(O$5&lt;=$G278,O$5+6&gt;=$F278),IF($H278="Complétée","F",IF(OR($H278="En cours",$H278="En revue"),"E",IF($H278="Bloquée","B","P"))),""))</f>
        <v/>
      </c>
      <c r="P278" s="53">
        <f>IF(OR($F278="",$G278=""),"",IF(AND(P$5&lt;=$G278,P$5+6&gt;=$F278),IF($H278="Complétée","F",IF(OR($H278="En cours",$H278="En revue"),"E",IF($H278="Bloquée","B","P"))),""))</f>
        <v/>
      </c>
      <c r="Q278" s="53">
        <f>IF(OR($F278="",$G278=""),"",IF(AND(Q$5&lt;=$G278,Q$5+6&gt;=$F278),IF($H278="Complétée","F",IF(OR($H278="En cours",$H278="En revue"),"E",IF($H278="Bloquée","B","P"))),""))</f>
        <v/>
      </c>
      <c r="R278" s="53">
        <f>IF(OR($F278="",$G278=""),"",IF(AND(R$5&lt;=$G278,R$5+6&gt;=$F278),IF($H278="Complétée","F",IF(OR($H278="En cours",$H278="En revue"),"E",IF($H278="Bloquée","B","P"))),""))</f>
        <v/>
      </c>
      <c r="S278" s="53">
        <f>IF(OR($F278="",$G278=""),"",IF(AND(S$5&lt;=$G278,S$5+6&gt;=$F278),IF($H278="Complétée","F",IF(OR($H278="En cours",$H278="En revue"),"E",IF($H278="Bloquée","B","P"))),""))</f>
        <v/>
      </c>
      <c r="T278" s="53">
        <f>IF(OR($F278="",$G278=""),"",IF(AND(T$5&lt;=$G278,T$5+6&gt;=$F278),IF($H278="Complétée","F",IF(OR($H278="En cours",$H278="En revue"),"E",IF($H278="Bloquée","B","P"))),""))</f>
        <v/>
      </c>
      <c r="U278" s="53">
        <f>IF(OR($F278="",$G278=""),"",IF(AND(U$5&lt;=$G278,U$5+6&gt;=$F278),IF($H278="Complétée","F",IF(OR($H278="En cours",$H278="En revue"),"E",IF($H278="Bloquée","B","P"))),""))</f>
        <v/>
      </c>
      <c r="V278" s="53">
        <f>IF(OR($F278="",$G278=""),"",IF(AND(V$5&lt;=$G278,V$5+6&gt;=$F278),IF($H278="Complétée","F",IF(OR($H278="En cours",$H278="En revue"),"E",IF($H278="Bloquée","B","P"))),""))</f>
        <v/>
      </c>
      <c r="W278" s="53">
        <f>IF(OR($F278="",$G278=""),"",IF(AND(W$5&lt;=$G278,W$5+6&gt;=$F278),IF($H278="Complétée","F",IF(OR($H278="En cours",$H278="En revue"),"E",IF($H278="Bloquée","B","P"))),""))</f>
        <v/>
      </c>
      <c r="X278" s="53">
        <f>IF(OR($F278="",$G278=""),"",IF(AND(X$5&lt;=$G278,X$5+6&gt;=$F278),IF($H278="Complétée","F",IF(OR($H278="En cours",$H278="En revue"),"E",IF($H278="Bloquée","B","P"))),""))</f>
        <v/>
      </c>
      <c r="Y278" s="53">
        <f>IF(OR($F278="",$G278=""),"",IF(AND(Y$5&lt;=$G278,Y$5+6&gt;=$F278),IF($H278="Complétée","F",IF(OR($H278="En cours",$H278="En revue"),"E",IF($H278="Bloquée","B","P"))),""))</f>
        <v/>
      </c>
      <c r="Z278" s="53">
        <f>IF(OR($F278="",$G278=""),"",IF(AND(Z$5&lt;=$G278,Z$5+6&gt;=$F278),IF($H278="Complétée","F",IF(OR($H278="En cours",$H278="En revue"),"E",IF($H278="Bloquée","B","P"))),""))</f>
        <v/>
      </c>
      <c r="AA278" s="53">
        <f>IF(OR($F278="",$G278=""),"",IF(AND(AA$5&lt;=$G278,AA$5+6&gt;=$F278),IF($H278="Complétée","F",IF(OR($H278="En cours",$H278="En revue"),"E",IF($H278="Bloquée","B","P"))),""))</f>
        <v/>
      </c>
      <c r="AB278" s="53">
        <f>IF(OR($F278="",$G278=""),"",IF(AND(AB$5&lt;=$G278,AB$5+6&gt;=$F278),IF($H278="Complétée","F",IF(OR($H278="En cours",$H278="En revue"),"E",IF($H278="Bloquée","B","P"))),""))</f>
        <v/>
      </c>
      <c r="AC278" s="53">
        <f>IF(OR($F278="",$G278=""),"",IF(AND(AC$5&lt;=$G278,AC$5+6&gt;=$F278),IF($H278="Complétée","F",IF(OR($H278="En cours",$H278="En revue"),"E",IF($H278="Bloquée","B","P"))),""))</f>
        <v/>
      </c>
      <c r="AD278" s="53">
        <f>IF(OR($F278="",$G278=""),"",IF(AND(AD$5&lt;=$G278,AD$5+6&gt;=$F278),IF($H278="Complétée","F",IF(OR($H278="En cours",$H278="En revue"),"E",IF($H278="Bloquée","B","P"))),""))</f>
        <v/>
      </c>
      <c r="AE278" s="53">
        <f>IF(OR($F278="",$G278=""),"",IF(AND(AE$5&lt;=$G278,AE$5+6&gt;=$F278),IF($H278="Complétée","F",IF(OR($H278="En cours",$H278="En revue"),"E",IF($H278="Bloquée","B","P"))),""))</f>
        <v/>
      </c>
      <c r="AF278" s="53">
        <f>IF(OR($F278="",$G278=""),"",IF(AND(AF$5&lt;=$G278,AF$5+6&gt;=$F278),IF($H278="Complétée","F",IF(OR($H278="En cours",$H278="En revue"),"E",IF($H278="Bloquée","B","P"))),""))</f>
        <v/>
      </c>
      <c r="AG278" s="53">
        <f>IF(OR($F278="",$G278=""),"",IF(AND(AG$5&lt;=$G278,AG$5+6&gt;=$F278),IF($H278="Complétée","F",IF(OR($H278="En cours",$H278="En revue"),"E",IF($H278="Bloquée","B","P"))),""))</f>
        <v/>
      </c>
      <c r="AH278" s="53">
        <f>IF(OR($F278="",$G278=""),"",IF(AND(AH$5&lt;=$G278,AH$5+6&gt;=$F278),IF($H278="Complétée","F",IF(OR($H278="En cours",$H278="En revue"),"E",IF($H278="Bloquée","B","P"))),""))</f>
        <v/>
      </c>
      <c r="AI278" s="53">
        <f>IF(OR($F278="",$G278=""),"",IF(AND(AI$5&lt;=$G278,AI$5+6&gt;=$F278),IF($H278="Complétée","F",IF(OR($H278="En cours",$H278="En revue"),"E",IF($H278="Bloquée","B","P"))),""))</f>
        <v/>
      </c>
      <c r="AJ278" s="53">
        <f>IF(OR($F278="",$G278=""),"",IF(AND(AJ$5&lt;=$G278,AJ$5+6&gt;=$F278),IF($H278="Complétée","F",IF(OR($H278="En cours",$H278="En revue"),"E",IF($H278="Bloquée","B","P"))),""))</f>
        <v/>
      </c>
      <c r="AK278" s="53">
        <f>IF(OR($F278="",$G278=""),"",IF(AND(AK$5&lt;=$G278,AK$5+6&gt;=$F278),IF($H278="Complétée","F",IF(OR($H278="En cours",$H278="En revue"),"E",IF($H278="Bloquée","B","P"))),""))</f>
        <v/>
      </c>
      <c r="AL278" s="53">
        <f>IF(OR($F278="",$G278=""),"",IF(AND(AL$5&lt;=$G278,AL$5+6&gt;=$F278),IF($H278="Complétée","F",IF(OR($H278="En cours",$H278="En revue"),"E",IF($H278="Bloquée","B","P"))),""))</f>
        <v/>
      </c>
      <c r="AM278" s="53">
        <f>IF(OR($F278="",$G278=""),"",IF(AND(AM$5&lt;=$G278,AM$5+6&gt;=$F278),IF($H278="Complétée","F",IF(OR($H278="En cours",$H278="En revue"),"E",IF($H278="Bloquée","B","P"))),""))</f>
        <v/>
      </c>
      <c r="AN278" s="53">
        <f>IF(OR($F278="",$G278=""),"",IF(AND(AN$5&lt;=$G278,AN$5+6&gt;=$F278),IF($H278="Complétée","F",IF(OR($H278="En cours",$H278="En revue"),"E",IF($H278="Bloquée","B","P"))),""))</f>
        <v/>
      </c>
      <c r="AO278" s="53">
        <f>IF(OR($F278="",$G278=""),"",IF(AND(AO$5&lt;=$G278,AO$5+6&gt;=$F278),IF($H278="Complétée","F",IF(OR($H278="En cours",$H278="En revue"),"E",IF($H278="Bloquée","B","P"))),""))</f>
        <v/>
      </c>
      <c r="AP278" s="53">
        <f>IF(OR($F278="",$G278=""),"",IF(AND(AP$5&lt;=$G278,AP$5+6&gt;=$F278),IF($H278="Complétée","F",IF(OR($H278="En cours",$H278="En revue"),"E",IF($H278="Bloquée","B","P"))),""))</f>
        <v/>
      </c>
      <c r="AQ278" s="53">
        <f>IF(OR($F278="",$G278=""),"",IF(AND(AQ$5&lt;=$G278,AQ$5+6&gt;=$F278),IF($H278="Complétée","F",IF(OR($H278="En cours",$H278="En revue"),"E",IF($H278="Bloquée","B","P"))),""))</f>
        <v/>
      </c>
      <c r="AR278" s="53">
        <f>IF(OR($F278="",$G278=""),"",IF(AND(AR$5&lt;=$G278,AR$5+6&gt;=$F278),IF($H278="Complétée","F",IF(OR($H278="En cours",$H278="En revue"),"E",IF($H278="Bloquée","B","P"))),""))</f>
        <v/>
      </c>
      <c r="AS278" s="53">
        <f>IF(OR($F278="",$G278=""),"",IF(AND(AS$5&lt;=$G278,AS$5+6&gt;=$F278),IF($H278="Complétée","F",IF(OR($H278="En cours",$H278="En revue"),"E",IF($H278="Bloquée","B","P"))),""))</f>
        <v/>
      </c>
      <c r="AT278" s="53">
        <f>IF(OR($F278="",$G278=""),"",IF(AND(AT$5&lt;=$G278,AT$5+6&gt;=$F278),IF($H278="Complétée","F",IF(OR($H278="En cours",$H278="En revue"),"E",IF($H278="Bloquée","B","P"))),""))</f>
        <v/>
      </c>
      <c r="AU278" s="53">
        <f>IF(OR($F278="",$G278=""),"",IF(AND(AU$5&lt;=$G278,AU$5+6&gt;=$F278),IF($H278="Complétée","F",IF(OR($H278="En cours",$H278="En revue"),"E",IF($H278="Bloquée","B","P"))),""))</f>
        <v/>
      </c>
      <c r="AV278" s="53">
        <f>IF(OR($F278="",$G278=""),"",IF(AND(AV$5&lt;=$G278,AV$5+6&gt;=$F278),IF($H278="Complétée","F",IF(OR($H278="En cours",$H278="En revue"),"E",IF($H278="Bloquée","B","P"))),""))</f>
        <v/>
      </c>
      <c r="AW278" s="53">
        <f>IF(OR($F278="",$G278=""),"",IF(AND(AW$5&lt;=$G278,AW$5+6&gt;=$F278),IF($H278="Complétée","F",IF(OR($H278="En cours",$H278="En revue"),"E",IF($H278="Bloquée","B","P"))),""))</f>
        <v/>
      </c>
    </row>
    <row r="279">
      <c r="B279" s="50">
        <f>IF(Taches!B279="","",Taches!B279)</f>
        <v/>
      </c>
      <c r="C279" s="51">
        <f>IF(Taches!B279="","",Taches!F279)</f>
        <v/>
      </c>
      <c r="D279" s="50">
        <f>IF(Taches!B279="","",Taches!C279)</f>
        <v/>
      </c>
      <c r="E279" s="50">
        <f>IF(Taches!B279="","",Taches!D279)</f>
        <v/>
      </c>
      <c r="F279" s="52">
        <f>IF(Taches!P279="","",Taches!P279)</f>
        <v/>
      </c>
      <c r="G279" s="52">
        <f>IF(Taches!Q279="","",Taches!Q279)</f>
        <v/>
      </c>
      <c r="H279" s="50">
        <f>IF(Taches!B279="","",Taches!J279)</f>
        <v/>
      </c>
      <c r="I279" s="53">
        <f>IF(OR($F279="",$G279=""),"",IF(AND(I$5&lt;=$G279,I$5+6&gt;=$F279),IF($H279="Complétée","F",IF(OR($H279="En cours",$H279="En revue"),"E",IF($H279="Bloquée","B","P"))),""))</f>
        <v/>
      </c>
      <c r="J279" s="53">
        <f>IF(OR($F279="",$G279=""),"",IF(AND(J$5&lt;=$G279,J$5+6&gt;=$F279),IF($H279="Complétée","F",IF(OR($H279="En cours",$H279="En revue"),"E",IF($H279="Bloquée","B","P"))),""))</f>
        <v/>
      </c>
      <c r="K279" s="53">
        <f>IF(OR($F279="",$G279=""),"",IF(AND(K$5&lt;=$G279,K$5+6&gt;=$F279),IF($H279="Complétée","F",IF(OR($H279="En cours",$H279="En revue"),"E",IF($H279="Bloquée","B","P"))),""))</f>
        <v/>
      </c>
      <c r="L279" s="53">
        <f>IF(OR($F279="",$G279=""),"",IF(AND(L$5&lt;=$G279,L$5+6&gt;=$F279),IF($H279="Complétée","F",IF(OR($H279="En cours",$H279="En revue"),"E",IF($H279="Bloquée","B","P"))),""))</f>
        <v/>
      </c>
      <c r="M279" s="53">
        <f>IF(OR($F279="",$G279=""),"",IF(AND(M$5&lt;=$G279,M$5+6&gt;=$F279),IF($H279="Complétée","F",IF(OR($H279="En cours",$H279="En revue"),"E",IF($H279="Bloquée","B","P"))),""))</f>
        <v/>
      </c>
      <c r="N279" s="53">
        <f>IF(OR($F279="",$G279=""),"",IF(AND(N$5&lt;=$G279,N$5+6&gt;=$F279),IF($H279="Complétée","F",IF(OR($H279="En cours",$H279="En revue"),"E",IF($H279="Bloquée","B","P"))),""))</f>
        <v/>
      </c>
      <c r="O279" s="53">
        <f>IF(OR($F279="",$G279=""),"",IF(AND(O$5&lt;=$G279,O$5+6&gt;=$F279),IF($H279="Complétée","F",IF(OR($H279="En cours",$H279="En revue"),"E",IF($H279="Bloquée","B","P"))),""))</f>
        <v/>
      </c>
      <c r="P279" s="53">
        <f>IF(OR($F279="",$G279=""),"",IF(AND(P$5&lt;=$G279,P$5+6&gt;=$F279),IF($H279="Complétée","F",IF(OR($H279="En cours",$H279="En revue"),"E",IF($H279="Bloquée","B","P"))),""))</f>
        <v/>
      </c>
      <c r="Q279" s="53">
        <f>IF(OR($F279="",$G279=""),"",IF(AND(Q$5&lt;=$G279,Q$5+6&gt;=$F279),IF($H279="Complétée","F",IF(OR($H279="En cours",$H279="En revue"),"E",IF($H279="Bloquée","B","P"))),""))</f>
        <v/>
      </c>
      <c r="R279" s="53">
        <f>IF(OR($F279="",$G279=""),"",IF(AND(R$5&lt;=$G279,R$5+6&gt;=$F279),IF($H279="Complétée","F",IF(OR($H279="En cours",$H279="En revue"),"E",IF($H279="Bloquée","B","P"))),""))</f>
        <v/>
      </c>
      <c r="S279" s="53">
        <f>IF(OR($F279="",$G279=""),"",IF(AND(S$5&lt;=$G279,S$5+6&gt;=$F279),IF($H279="Complétée","F",IF(OR($H279="En cours",$H279="En revue"),"E",IF($H279="Bloquée","B","P"))),""))</f>
        <v/>
      </c>
      <c r="T279" s="53">
        <f>IF(OR($F279="",$G279=""),"",IF(AND(T$5&lt;=$G279,T$5+6&gt;=$F279),IF($H279="Complétée","F",IF(OR($H279="En cours",$H279="En revue"),"E",IF($H279="Bloquée","B","P"))),""))</f>
        <v/>
      </c>
      <c r="U279" s="53">
        <f>IF(OR($F279="",$G279=""),"",IF(AND(U$5&lt;=$G279,U$5+6&gt;=$F279),IF($H279="Complétée","F",IF(OR($H279="En cours",$H279="En revue"),"E",IF($H279="Bloquée","B","P"))),""))</f>
        <v/>
      </c>
      <c r="V279" s="53">
        <f>IF(OR($F279="",$G279=""),"",IF(AND(V$5&lt;=$G279,V$5+6&gt;=$F279),IF($H279="Complétée","F",IF(OR($H279="En cours",$H279="En revue"),"E",IF($H279="Bloquée","B","P"))),""))</f>
        <v/>
      </c>
      <c r="W279" s="53">
        <f>IF(OR($F279="",$G279=""),"",IF(AND(W$5&lt;=$G279,W$5+6&gt;=$F279),IF($H279="Complétée","F",IF(OR($H279="En cours",$H279="En revue"),"E",IF($H279="Bloquée","B","P"))),""))</f>
        <v/>
      </c>
      <c r="X279" s="53">
        <f>IF(OR($F279="",$G279=""),"",IF(AND(X$5&lt;=$G279,X$5+6&gt;=$F279),IF($H279="Complétée","F",IF(OR($H279="En cours",$H279="En revue"),"E",IF($H279="Bloquée","B","P"))),""))</f>
        <v/>
      </c>
      <c r="Y279" s="53">
        <f>IF(OR($F279="",$G279=""),"",IF(AND(Y$5&lt;=$G279,Y$5+6&gt;=$F279),IF($H279="Complétée","F",IF(OR($H279="En cours",$H279="En revue"),"E",IF($H279="Bloquée","B","P"))),""))</f>
        <v/>
      </c>
      <c r="Z279" s="53">
        <f>IF(OR($F279="",$G279=""),"",IF(AND(Z$5&lt;=$G279,Z$5+6&gt;=$F279),IF($H279="Complétée","F",IF(OR($H279="En cours",$H279="En revue"),"E",IF($H279="Bloquée","B","P"))),""))</f>
        <v/>
      </c>
      <c r="AA279" s="53">
        <f>IF(OR($F279="",$G279=""),"",IF(AND(AA$5&lt;=$G279,AA$5+6&gt;=$F279),IF($H279="Complétée","F",IF(OR($H279="En cours",$H279="En revue"),"E",IF($H279="Bloquée","B","P"))),""))</f>
        <v/>
      </c>
      <c r="AB279" s="53">
        <f>IF(OR($F279="",$G279=""),"",IF(AND(AB$5&lt;=$G279,AB$5+6&gt;=$F279),IF($H279="Complétée","F",IF(OR($H279="En cours",$H279="En revue"),"E",IF($H279="Bloquée","B","P"))),""))</f>
        <v/>
      </c>
      <c r="AC279" s="53">
        <f>IF(OR($F279="",$G279=""),"",IF(AND(AC$5&lt;=$G279,AC$5+6&gt;=$F279),IF($H279="Complétée","F",IF(OR($H279="En cours",$H279="En revue"),"E",IF($H279="Bloquée","B","P"))),""))</f>
        <v/>
      </c>
      <c r="AD279" s="53">
        <f>IF(OR($F279="",$G279=""),"",IF(AND(AD$5&lt;=$G279,AD$5+6&gt;=$F279),IF($H279="Complétée","F",IF(OR($H279="En cours",$H279="En revue"),"E",IF($H279="Bloquée","B","P"))),""))</f>
        <v/>
      </c>
      <c r="AE279" s="53">
        <f>IF(OR($F279="",$G279=""),"",IF(AND(AE$5&lt;=$G279,AE$5+6&gt;=$F279),IF($H279="Complétée","F",IF(OR($H279="En cours",$H279="En revue"),"E",IF($H279="Bloquée","B","P"))),""))</f>
        <v/>
      </c>
      <c r="AF279" s="53">
        <f>IF(OR($F279="",$G279=""),"",IF(AND(AF$5&lt;=$G279,AF$5+6&gt;=$F279),IF($H279="Complétée","F",IF(OR($H279="En cours",$H279="En revue"),"E",IF($H279="Bloquée","B","P"))),""))</f>
        <v/>
      </c>
      <c r="AG279" s="53">
        <f>IF(OR($F279="",$G279=""),"",IF(AND(AG$5&lt;=$G279,AG$5+6&gt;=$F279),IF($H279="Complétée","F",IF(OR($H279="En cours",$H279="En revue"),"E",IF($H279="Bloquée","B","P"))),""))</f>
        <v/>
      </c>
      <c r="AH279" s="53">
        <f>IF(OR($F279="",$G279=""),"",IF(AND(AH$5&lt;=$G279,AH$5+6&gt;=$F279),IF($H279="Complétée","F",IF(OR($H279="En cours",$H279="En revue"),"E",IF($H279="Bloquée","B","P"))),""))</f>
        <v/>
      </c>
      <c r="AI279" s="53">
        <f>IF(OR($F279="",$G279=""),"",IF(AND(AI$5&lt;=$G279,AI$5+6&gt;=$F279),IF($H279="Complétée","F",IF(OR($H279="En cours",$H279="En revue"),"E",IF($H279="Bloquée","B","P"))),""))</f>
        <v/>
      </c>
      <c r="AJ279" s="53">
        <f>IF(OR($F279="",$G279=""),"",IF(AND(AJ$5&lt;=$G279,AJ$5+6&gt;=$F279),IF($H279="Complétée","F",IF(OR($H279="En cours",$H279="En revue"),"E",IF($H279="Bloquée","B","P"))),""))</f>
        <v/>
      </c>
      <c r="AK279" s="53">
        <f>IF(OR($F279="",$G279=""),"",IF(AND(AK$5&lt;=$G279,AK$5+6&gt;=$F279),IF($H279="Complétée","F",IF(OR($H279="En cours",$H279="En revue"),"E",IF($H279="Bloquée","B","P"))),""))</f>
        <v/>
      </c>
      <c r="AL279" s="53">
        <f>IF(OR($F279="",$G279=""),"",IF(AND(AL$5&lt;=$G279,AL$5+6&gt;=$F279),IF($H279="Complétée","F",IF(OR($H279="En cours",$H279="En revue"),"E",IF($H279="Bloquée","B","P"))),""))</f>
        <v/>
      </c>
      <c r="AM279" s="53">
        <f>IF(OR($F279="",$G279=""),"",IF(AND(AM$5&lt;=$G279,AM$5+6&gt;=$F279),IF($H279="Complétée","F",IF(OR($H279="En cours",$H279="En revue"),"E",IF($H279="Bloquée","B","P"))),""))</f>
        <v/>
      </c>
      <c r="AN279" s="53">
        <f>IF(OR($F279="",$G279=""),"",IF(AND(AN$5&lt;=$G279,AN$5+6&gt;=$F279),IF($H279="Complétée","F",IF(OR($H279="En cours",$H279="En revue"),"E",IF($H279="Bloquée","B","P"))),""))</f>
        <v/>
      </c>
      <c r="AO279" s="53">
        <f>IF(OR($F279="",$G279=""),"",IF(AND(AO$5&lt;=$G279,AO$5+6&gt;=$F279),IF($H279="Complétée","F",IF(OR($H279="En cours",$H279="En revue"),"E",IF($H279="Bloquée","B","P"))),""))</f>
        <v/>
      </c>
      <c r="AP279" s="53">
        <f>IF(OR($F279="",$G279=""),"",IF(AND(AP$5&lt;=$G279,AP$5+6&gt;=$F279),IF($H279="Complétée","F",IF(OR($H279="En cours",$H279="En revue"),"E",IF($H279="Bloquée","B","P"))),""))</f>
        <v/>
      </c>
      <c r="AQ279" s="53">
        <f>IF(OR($F279="",$G279=""),"",IF(AND(AQ$5&lt;=$G279,AQ$5+6&gt;=$F279),IF($H279="Complétée","F",IF(OR($H279="En cours",$H279="En revue"),"E",IF($H279="Bloquée","B","P"))),""))</f>
        <v/>
      </c>
      <c r="AR279" s="53">
        <f>IF(OR($F279="",$G279=""),"",IF(AND(AR$5&lt;=$G279,AR$5+6&gt;=$F279),IF($H279="Complétée","F",IF(OR($H279="En cours",$H279="En revue"),"E",IF($H279="Bloquée","B","P"))),""))</f>
        <v/>
      </c>
      <c r="AS279" s="53">
        <f>IF(OR($F279="",$G279=""),"",IF(AND(AS$5&lt;=$G279,AS$5+6&gt;=$F279),IF($H279="Complétée","F",IF(OR($H279="En cours",$H279="En revue"),"E",IF($H279="Bloquée","B","P"))),""))</f>
        <v/>
      </c>
      <c r="AT279" s="53">
        <f>IF(OR($F279="",$G279=""),"",IF(AND(AT$5&lt;=$G279,AT$5+6&gt;=$F279),IF($H279="Complétée","F",IF(OR($H279="En cours",$H279="En revue"),"E",IF($H279="Bloquée","B","P"))),""))</f>
        <v/>
      </c>
      <c r="AU279" s="53">
        <f>IF(OR($F279="",$G279=""),"",IF(AND(AU$5&lt;=$G279,AU$5+6&gt;=$F279),IF($H279="Complétée","F",IF(OR($H279="En cours",$H279="En revue"),"E",IF($H279="Bloquée","B","P"))),""))</f>
        <v/>
      </c>
      <c r="AV279" s="53">
        <f>IF(OR($F279="",$G279=""),"",IF(AND(AV$5&lt;=$G279,AV$5+6&gt;=$F279),IF($H279="Complétée","F",IF(OR($H279="En cours",$H279="En revue"),"E",IF($H279="Bloquée","B","P"))),""))</f>
        <v/>
      </c>
      <c r="AW279" s="53">
        <f>IF(OR($F279="",$G279=""),"",IF(AND(AW$5&lt;=$G279,AW$5+6&gt;=$F279),IF($H279="Complétée","F",IF(OR($H279="En cours",$H279="En revue"),"E",IF($H279="Bloquée","B","P"))),""))</f>
        <v/>
      </c>
    </row>
    <row r="280">
      <c r="B280" s="50">
        <f>IF(Taches!B280="","",Taches!B280)</f>
        <v/>
      </c>
      <c r="C280" s="51">
        <f>IF(Taches!B280="","",Taches!F280)</f>
        <v/>
      </c>
      <c r="D280" s="50">
        <f>IF(Taches!B280="","",Taches!C280)</f>
        <v/>
      </c>
      <c r="E280" s="50">
        <f>IF(Taches!B280="","",Taches!D280)</f>
        <v/>
      </c>
      <c r="F280" s="52">
        <f>IF(Taches!P280="","",Taches!P280)</f>
        <v/>
      </c>
      <c r="G280" s="52">
        <f>IF(Taches!Q280="","",Taches!Q280)</f>
        <v/>
      </c>
      <c r="H280" s="50">
        <f>IF(Taches!B280="","",Taches!J280)</f>
        <v/>
      </c>
      <c r="I280" s="53">
        <f>IF(OR($F280="",$G280=""),"",IF(AND(I$5&lt;=$G280,I$5+6&gt;=$F280),IF($H280="Complétée","F",IF(OR($H280="En cours",$H280="En revue"),"E",IF($H280="Bloquée","B","P"))),""))</f>
        <v/>
      </c>
      <c r="J280" s="53">
        <f>IF(OR($F280="",$G280=""),"",IF(AND(J$5&lt;=$G280,J$5+6&gt;=$F280),IF($H280="Complétée","F",IF(OR($H280="En cours",$H280="En revue"),"E",IF($H280="Bloquée","B","P"))),""))</f>
        <v/>
      </c>
      <c r="K280" s="53">
        <f>IF(OR($F280="",$G280=""),"",IF(AND(K$5&lt;=$G280,K$5+6&gt;=$F280),IF($H280="Complétée","F",IF(OR($H280="En cours",$H280="En revue"),"E",IF($H280="Bloquée","B","P"))),""))</f>
        <v/>
      </c>
      <c r="L280" s="53">
        <f>IF(OR($F280="",$G280=""),"",IF(AND(L$5&lt;=$G280,L$5+6&gt;=$F280),IF($H280="Complétée","F",IF(OR($H280="En cours",$H280="En revue"),"E",IF($H280="Bloquée","B","P"))),""))</f>
        <v/>
      </c>
      <c r="M280" s="53">
        <f>IF(OR($F280="",$G280=""),"",IF(AND(M$5&lt;=$G280,M$5+6&gt;=$F280),IF($H280="Complétée","F",IF(OR($H280="En cours",$H280="En revue"),"E",IF($H280="Bloquée","B","P"))),""))</f>
        <v/>
      </c>
      <c r="N280" s="53">
        <f>IF(OR($F280="",$G280=""),"",IF(AND(N$5&lt;=$G280,N$5+6&gt;=$F280),IF($H280="Complétée","F",IF(OR($H280="En cours",$H280="En revue"),"E",IF($H280="Bloquée","B","P"))),""))</f>
        <v/>
      </c>
      <c r="O280" s="53">
        <f>IF(OR($F280="",$G280=""),"",IF(AND(O$5&lt;=$G280,O$5+6&gt;=$F280),IF($H280="Complétée","F",IF(OR($H280="En cours",$H280="En revue"),"E",IF($H280="Bloquée","B","P"))),""))</f>
        <v/>
      </c>
      <c r="P280" s="53">
        <f>IF(OR($F280="",$G280=""),"",IF(AND(P$5&lt;=$G280,P$5+6&gt;=$F280),IF($H280="Complétée","F",IF(OR($H280="En cours",$H280="En revue"),"E",IF($H280="Bloquée","B","P"))),""))</f>
        <v/>
      </c>
      <c r="Q280" s="53">
        <f>IF(OR($F280="",$G280=""),"",IF(AND(Q$5&lt;=$G280,Q$5+6&gt;=$F280),IF($H280="Complétée","F",IF(OR($H280="En cours",$H280="En revue"),"E",IF($H280="Bloquée","B","P"))),""))</f>
        <v/>
      </c>
      <c r="R280" s="53">
        <f>IF(OR($F280="",$G280=""),"",IF(AND(R$5&lt;=$G280,R$5+6&gt;=$F280),IF($H280="Complétée","F",IF(OR($H280="En cours",$H280="En revue"),"E",IF($H280="Bloquée","B","P"))),""))</f>
        <v/>
      </c>
      <c r="S280" s="53">
        <f>IF(OR($F280="",$G280=""),"",IF(AND(S$5&lt;=$G280,S$5+6&gt;=$F280),IF($H280="Complétée","F",IF(OR($H280="En cours",$H280="En revue"),"E",IF($H280="Bloquée","B","P"))),""))</f>
        <v/>
      </c>
      <c r="T280" s="53">
        <f>IF(OR($F280="",$G280=""),"",IF(AND(T$5&lt;=$G280,T$5+6&gt;=$F280),IF($H280="Complétée","F",IF(OR($H280="En cours",$H280="En revue"),"E",IF($H280="Bloquée","B","P"))),""))</f>
        <v/>
      </c>
      <c r="U280" s="53">
        <f>IF(OR($F280="",$G280=""),"",IF(AND(U$5&lt;=$G280,U$5+6&gt;=$F280),IF($H280="Complétée","F",IF(OR($H280="En cours",$H280="En revue"),"E",IF($H280="Bloquée","B","P"))),""))</f>
        <v/>
      </c>
      <c r="V280" s="53">
        <f>IF(OR($F280="",$G280=""),"",IF(AND(V$5&lt;=$G280,V$5+6&gt;=$F280),IF($H280="Complétée","F",IF(OR($H280="En cours",$H280="En revue"),"E",IF($H280="Bloquée","B","P"))),""))</f>
        <v/>
      </c>
      <c r="W280" s="53">
        <f>IF(OR($F280="",$G280=""),"",IF(AND(W$5&lt;=$G280,W$5+6&gt;=$F280),IF($H280="Complétée","F",IF(OR($H280="En cours",$H280="En revue"),"E",IF($H280="Bloquée","B","P"))),""))</f>
        <v/>
      </c>
      <c r="X280" s="53">
        <f>IF(OR($F280="",$G280=""),"",IF(AND(X$5&lt;=$G280,X$5+6&gt;=$F280),IF($H280="Complétée","F",IF(OR($H280="En cours",$H280="En revue"),"E",IF($H280="Bloquée","B","P"))),""))</f>
        <v/>
      </c>
      <c r="Y280" s="53">
        <f>IF(OR($F280="",$G280=""),"",IF(AND(Y$5&lt;=$G280,Y$5+6&gt;=$F280),IF($H280="Complétée","F",IF(OR($H280="En cours",$H280="En revue"),"E",IF($H280="Bloquée","B","P"))),""))</f>
        <v/>
      </c>
      <c r="Z280" s="53">
        <f>IF(OR($F280="",$G280=""),"",IF(AND(Z$5&lt;=$G280,Z$5+6&gt;=$F280),IF($H280="Complétée","F",IF(OR($H280="En cours",$H280="En revue"),"E",IF($H280="Bloquée","B","P"))),""))</f>
        <v/>
      </c>
      <c r="AA280" s="53">
        <f>IF(OR($F280="",$G280=""),"",IF(AND(AA$5&lt;=$G280,AA$5+6&gt;=$F280),IF($H280="Complétée","F",IF(OR($H280="En cours",$H280="En revue"),"E",IF($H280="Bloquée","B","P"))),""))</f>
        <v/>
      </c>
      <c r="AB280" s="53">
        <f>IF(OR($F280="",$G280=""),"",IF(AND(AB$5&lt;=$G280,AB$5+6&gt;=$F280),IF($H280="Complétée","F",IF(OR($H280="En cours",$H280="En revue"),"E",IF($H280="Bloquée","B","P"))),""))</f>
        <v/>
      </c>
      <c r="AC280" s="53">
        <f>IF(OR($F280="",$G280=""),"",IF(AND(AC$5&lt;=$G280,AC$5+6&gt;=$F280),IF($H280="Complétée","F",IF(OR($H280="En cours",$H280="En revue"),"E",IF($H280="Bloquée","B","P"))),""))</f>
        <v/>
      </c>
      <c r="AD280" s="53">
        <f>IF(OR($F280="",$G280=""),"",IF(AND(AD$5&lt;=$G280,AD$5+6&gt;=$F280),IF($H280="Complétée","F",IF(OR($H280="En cours",$H280="En revue"),"E",IF($H280="Bloquée","B","P"))),""))</f>
        <v/>
      </c>
      <c r="AE280" s="53">
        <f>IF(OR($F280="",$G280=""),"",IF(AND(AE$5&lt;=$G280,AE$5+6&gt;=$F280),IF($H280="Complétée","F",IF(OR($H280="En cours",$H280="En revue"),"E",IF($H280="Bloquée","B","P"))),""))</f>
        <v/>
      </c>
      <c r="AF280" s="53">
        <f>IF(OR($F280="",$G280=""),"",IF(AND(AF$5&lt;=$G280,AF$5+6&gt;=$F280),IF($H280="Complétée","F",IF(OR($H280="En cours",$H280="En revue"),"E",IF($H280="Bloquée","B","P"))),""))</f>
        <v/>
      </c>
      <c r="AG280" s="53">
        <f>IF(OR($F280="",$G280=""),"",IF(AND(AG$5&lt;=$G280,AG$5+6&gt;=$F280),IF($H280="Complétée","F",IF(OR($H280="En cours",$H280="En revue"),"E",IF($H280="Bloquée","B","P"))),""))</f>
        <v/>
      </c>
      <c r="AH280" s="53">
        <f>IF(OR($F280="",$G280=""),"",IF(AND(AH$5&lt;=$G280,AH$5+6&gt;=$F280),IF($H280="Complétée","F",IF(OR($H280="En cours",$H280="En revue"),"E",IF($H280="Bloquée","B","P"))),""))</f>
        <v/>
      </c>
      <c r="AI280" s="53">
        <f>IF(OR($F280="",$G280=""),"",IF(AND(AI$5&lt;=$G280,AI$5+6&gt;=$F280),IF($H280="Complétée","F",IF(OR($H280="En cours",$H280="En revue"),"E",IF($H280="Bloquée","B","P"))),""))</f>
        <v/>
      </c>
      <c r="AJ280" s="53">
        <f>IF(OR($F280="",$G280=""),"",IF(AND(AJ$5&lt;=$G280,AJ$5+6&gt;=$F280),IF($H280="Complétée","F",IF(OR($H280="En cours",$H280="En revue"),"E",IF($H280="Bloquée","B","P"))),""))</f>
        <v/>
      </c>
      <c r="AK280" s="53">
        <f>IF(OR($F280="",$G280=""),"",IF(AND(AK$5&lt;=$G280,AK$5+6&gt;=$F280),IF($H280="Complétée","F",IF(OR($H280="En cours",$H280="En revue"),"E",IF($H280="Bloquée","B","P"))),""))</f>
        <v/>
      </c>
      <c r="AL280" s="53">
        <f>IF(OR($F280="",$G280=""),"",IF(AND(AL$5&lt;=$G280,AL$5+6&gt;=$F280),IF($H280="Complétée","F",IF(OR($H280="En cours",$H280="En revue"),"E",IF($H280="Bloquée","B","P"))),""))</f>
        <v/>
      </c>
      <c r="AM280" s="53">
        <f>IF(OR($F280="",$G280=""),"",IF(AND(AM$5&lt;=$G280,AM$5+6&gt;=$F280),IF($H280="Complétée","F",IF(OR($H280="En cours",$H280="En revue"),"E",IF($H280="Bloquée","B","P"))),""))</f>
        <v/>
      </c>
      <c r="AN280" s="53">
        <f>IF(OR($F280="",$G280=""),"",IF(AND(AN$5&lt;=$G280,AN$5+6&gt;=$F280),IF($H280="Complétée","F",IF(OR($H280="En cours",$H280="En revue"),"E",IF($H280="Bloquée","B","P"))),""))</f>
        <v/>
      </c>
      <c r="AO280" s="53">
        <f>IF(OR($F280="",$G280=""),"",IF(AND(AO$5&lt;=$G280,AO$5+6&gt;=$F280),IF($H280="Complétée","F",IF(OR($H280="En cours",$H280="En revue"),"E",IF($H280="Bloquée","B","P"))),""))</f>
        <v/>
      </c>
      <c r="AP280" s="53">
        <f>IF(OR($F280="",$G280=""),"",IF(AND(AP$5&lt;=$G280,AP$5+6&gt;=$F280),IF($H280="Complétée","F",IF(OR($H280="En cours",$H280="En revue"),"E",IF($H280="Bloquée","B","P"))),""))</f>
        <v/>
      </c>
      <c r="AQ280" s="53">
        <f>IF(OR($F280="",$G280=""),"",IF(AND(AQ$5&lt;=$G280,AQ$5+6&gt;=$F280),IF($H280="Complétée","F",IF(OR($H280="En cours",$H280="En revue"),"E",IF($H280="Bloquée","B","P"))),""))</f>
        <v/>
      </c>
      <c r="AR280" s="53">
        <f>IF(OR($F280="",$G280=""),"",IF(AND(AR$5&lt;=$G280,AR$5+6&gt;=$F280),IF($H280="Complétée","F",IF(OR($H280="En cours",$H280="En revue"),"E",IF($H280="Bloquée","B","P"))),""))</f>
        <v/>
      </c>
      <c r="AS280" s="53">
        <f>IF(OR($F280="",$G280=""),"",IF(AND(AS$5&lt;=$G280,AS$5+6&gt;=$F280),IF($H280="Complétée","F",IF(OR($H280="En cours",$H280="En revue"),"E",IF($H280="Bloquée","B","P"))),""))</f>
        <v/>
      </c>
      <c r="AT280" s="53">
        <f>IF(OR($F280="",$G280=""),"",IF(AND(AT$5&lt;=$G280,AT$5+6&gt;=$F280),IF($H280="Complétée","F",IF(OR($H280="En cours",$H280="En revue"),"E",IF($H280="Bloquée","B","P"))),""))</f>
        <v/>
      </c>
      <c r="AU280" s="53">
        <f>IF(OR($F280="",$G280=""),"",IF(AND(AU$5&lt;=$G280,AU$5+6&gt;=$F280),IF($H280="Complétée","F",IF(OR($H280="En cours",$H280="En revue"),"E",IF($H280="Bloquée","B","P"))),""))</f>
        <v/>
      </c>
      <c r="AV280" s="53">
        <f>IF(OR($F280="",$G280=""),"",IF(AND(AV$5&lt;=$G280,AV$5+6&gt;=$F280),IF($H280="Complétée","F",IF(OR($H280="En cours",$H280="En revue"),"E",IF($H280="Bloquée","B","P"))),""))</f>
        <v/>
      </c>
      <c r="AW280" s="53">
        <f>IF(OR($F280="",$G280=""),"",IF(AND(AW$5&lt;=$G280,AW$5+6&gt;=$F280),IF($H280="Complétée","F",IF(OR($H280="En cours",$H280="En revue"),"E",IF($H280="Bloquée","B","P"))),""))</f>
        <v/>
      </c>
    </row>
    <row r="281">
      <c r="B281" s="50">
        <f>IF(Taches!B281="","",Taches!B281)</f>
        <v/>
      </c>
      <c r="C281" s="51">
        <f>IF(Taches!B281="","",Taches!F281)</f>
        <v/>
      </c>
      <c r="D281" s="50">
        <f>IF(Taches!B281="","",Taches!C281)</f>
        <v/>
      </c>
      <c r="E281" s="50">
        <f>IF(Taches!B281="","",Taches!D281)</f>
        <v/>
      </c>
      <c r="F281" s="52">
        <f>IF(Taches!P281="","",Taches!P281)</f>
        <v/>
      </c>
      <c r="G281" s="52">
        <f>IF(Taches!Q281="","",Taches!Q281)</f>
        <v/>
      </c>
      <c r="H281" s="50">
        <f>IF(Taches!B281="","",Taches!J281)</f>
        <v/>
      </c>
      <c r="I281" s="53">
        <f>IF(OR($F281="",$G281=""),"",IF(AND(I$5&lt;=$G281,I$5+6&gt;=$F281),IF($H281="Complétée","F",IF(OR($H281="En cours",$H281="En revue"),"E",IF($H281="Bloquée","B","P"))),""))</f>
        <v/>
      </c>
      <c r="J281" s="53">
        <f>IF(OR($F281="",$G281=""),"",IF(AND(J$5&lt;=$G281,J$5+6&gt;=$F281),IF($H281="Complétée","F",IF(OR($H281="En cours",$H281="En revue"),"E",IF($H281="Bloquée","B","P"))),""))</f>
        <v/>
      </c>
      <c r="K281" s="53">
        <f>IF(OR($F281="",$G281=""),"",IF(AND(K$5&lt;=$G281,K$5+6&gt;=$F281),IF($H281="Complétée","F",IF(OR($H281="En cours",$H281="En revue"),"E",IF($H281="Bloquée","B","P"))),""))</f>
        <v/>
      </c>
      <c r="L281" s="53">
        <f>IF(OR($F281="",$G281=""),"",IF(AND(L$5&lt;=$G281,L$5+6&gt;=$F281),IF($H281="Complétée","F",IF(OR($H281="En cours",$H281="En revue"),"E",IF($H281="Bloquée","B","P"))),""))</f>
        <v/>
      </c>
      <c r="M281" s="53">
        <f>IF(OR($F281="",$G281=""),"",IF(AND(M$5&lt;=$G281,M$5+6&gt;=$F281),IF($H281="Complétée","F",IF(OR($H281="En cours",$H281="En revue"),"E",IF($H281="Bloquée","B","P"))),""))</f>
        <v/>
      </c>
      <c r="N281" s="53">
        <f>IF(OR($F281="",$G281=""),"",IF(AND(N$5&lt;=$G281,N$5+6&gt;=$F281),IF($H281="Complétée","F",IF(OR($H281="En cours",$H281="En revue"),"E",IF($H281="Bloquée","B","P"))),""))</f>
        <v/>
      </c>
      <c r="O281" s="53">
        <f>IF(OR($F281="",$G281=""),"",IF(AND(O$5&lt;=$G281,O$5+6&gt;=$F281),IF($H281="Complétée","F",IF(OR($H281="En cours",$H281="En revue"),"E",IF($H281="Bloquée","B","P"))),""))</f>
        <v/>
      </c>
      <c r="P281" s="53">
        <f>IF(OR($F281="",$G281=""),"",IF(AND(P$5&lt;=$G281,P$5+6&gt;=$F281),IF($H281="Complétée","F",IF(OR($H281="En cours",$H281="En revue"),"E",IF($H281="Bloquée","B","P"))),""))</f>
        <v/>
      </c>
      <c r="Q281" s="53">
        <f>IF(OR($F281="",$G281=""),"",IF(AND(Q$5&lt;=$G281,Q$5+6&gt;=$F281),IF($H281="Complétée","F",IF(OR($H281="En cours",$H281="En revue"),"E",IF($H281="Bloquée","B","P"))),""))</f>
        <v/>
      </c>
      <c r="R281" s="53">
        <f>IF(OR($F281="",$G281=""),"",IF(AND(R$5&lt;=$G281,R$5+6&gt;=$F281),IF($H281="Complétée","F",IF(OR($H281="En cours",$H281="En revue"),"E",IF($H281="Bloquée","B","P"))),""))</f>
        <v/>
      </c>
      <c r="S281" s="53">
        <f>IF(OR($F281="",$G281=""),"",IF(AND(S$5&lt;=$G281,S$5+6&gt;=$F281),IF($H281="Complétée","F",IF(OR($H281="En cours",$H281="En revue"),"E",IF($H281="Bloquée","B","P"))),""))</f>
        <v/>
      </c>
      <c r="T281" s="53">
        <f>IF(OR($F281="",$G281=""),"",IF(AND(T$5&lt;=$G281,T$5+6&gt;=$F281),IF($H281="Complétée","F",IF(OR($H281="En cours",$H281="En revue"),"E",IF($H281="Bloquée","B","P"))),""))</f>
        <v/>
      </c>
      <c r="U281" s="53">
        <f>IF(OR($F281="",$G281=""),"",IF(AND(U$5&lt;=$G281,U$5+6&gt;=$F281),IF($H281="Complétée","F",IF(OR($H281="En cours",$H281="En revue"),"E",IF($H281="Bloquée","B","P"))),""))</f>
        <v/>
      </c>
      <c r="V281" s="53">
        <f>IF(OR($F281="",$G281=""),"",IF(AND(V$5&lt;=$G281,V$5+6&gt;=$F281),IF($H281="Complétée","F",IF(OR($H281="En cours",$H281="En revue"),"E",IF($H281="Bloquée","B","P"))),""))</f>
        <v/>
      </c>
      <c r="W281" s="53">
        <f>IF(OR($F281="",$G281=""),"",IF(AND(W$5&lt;=$G281,W$5+6&gt;=$F281),IF($H281="Complétée","F",IF(OR($H281="En cours",$H281="En revue"),"E",IF($H281="Bloquée","B","P"))),""))</f>
        <v/>
      </c>
      <c r="X281" s="53">
        <f>IF(OR($F281="",$G281=""),"",IF(AND(X$5&lt;=$G281,X$5+6&gt;=$F281),IF($H281="Complétée","F",IF(OR($H281="En cours",$H281="En revue"),"E",IF($H281="Bloquée","B","P"))),""))</f>
        <v/>
      </c>
      <c r="Y281" s="53">
        <f>IF(OR($F281="",$G281=""),"",IF(AND(Y$5&lt;=$G281,Y$5+6&gt;=$F281),IF($H281="Complétée","F",IF(OR($H281="En cours",$H281="En revue"),"E",IF($H281="Bloquée","B","P"))),""))</f>
        <v/>
      </c>
      <c r="Z281" s="53">
        <f>IF(OR($F281="",$G281=""),"",IF(AND(Z$5&lt;=$G281,Z$5+6&gt;=$F281),IF($H281="Complétée","F",IF(OR($H281="En cours",$H281="En revue"),"E",IF($H281="Bloquée","B","P"))),""))</f>
        <v/>
      </c>
      <c r="AA281" s="53">
        <f>IF(OR($F281="",$G281=""),"",IF(AND(AA$5&lt;=$G281,AA$5+6&gt;=$F281),IF($H281="Complétée","F",IF(OR($H281="En cours",$H281="En revue"),"E",IF($H281="Bloquée","B","P"))),""))</f>
        <v/>
      </c>
      <c r="AB281" s="53">
        <f>IF(OR($F281="",$G281=""),"",IF(AND(AB$5&lt;=$G281,AB$5+6&gt;=$F281),IF($H281="Complétée","F",IF(OR($H281="En cours",$H281="En revue"),"E",IF($H281="Bloquée","B","P"))),""))</f>
        <v/>
      </c>
      <c r="AC281" s="53">
        <f>IF(OR($F281="",$G281=""),"",IF(AND(AC$5&lt;=$G281,AC$5+6&gt;=$F281),IF($H281="Complétée","F",IF(OR($H281="En cours",$H281="En revue"),"E",IF($H281="Bloquée","B","P"))),""))</f>
        <v/>
      </c>
      <c r="AD281" s="53">
        <f>IF(OR($F281="",$G281=""),"",IF(AND(AD$5&lt;=$G281,AD$5+6&gt;=$F281),IF($H281="Complétée","F",IF(OR($H281="En cours",$H281="En revue"),"E",IF($H281="Bloquée","B","P"))),""))</f>
        <v/>
      </c>
      <c r="AE281" s="53">
        <f>IF(OR($F281="",$G281=""),"",IF(AND(AE$5&lt;=$G281,AE$5+6&gt;=$F281),IF($H281="Complétée","F",IF(OR($H281="En cours",$H281="En revue"),"E",IF($H281="Bloquée","B","P"))),""))</f>
        <v/>
      </c>
      <c r="AF281" s="53">
        <f>IF(OR($F281="",$G281=""),"",IF(AND(AF$5&lt;=$G281,AF$5+6&gt;=$F281),IF($H281="Complétée","F",IF(OR($H281="En cours",$H281="En revue"),"E",IF($H281="Bloquée","B","P"))),""))</f>
        <v/>
      </c>
      <c r="AG281" s="53">
        <f>IF(OR($F281="",$G281=""),"",IF(AND(AG$5&lt;=$G281,AG$5+6&gt;=$F281),IF($H281="Complétée","F",IF(OR($H281="En cours",$H281="En revue"),"E",IF($H281="Bloquée","B","P"))),""))</f>
        <v/>
      </c>
      <c r="AH281" s="53">
        <f>IF(OR($F281="",$G281=""),"",IF(AND(AH$5&lt;=$G281,AH$5+6&gt;=$F281),IF($H281="Complétée","F",IF(OR($H281="En cours",$H281="En revue"),"E",IF($H281="Bloquée","B","P"))),""))</f>
        <v/>
      </c>
      <c r="AI281" s="53">
        <f>IF(OR($F281="",$G281=""),"",IF(AND(AI$5&lt;=$G281,AI$5+6&gt;=$F281),IF($H281="Complétée","F",IF(OR($H281="En cours",$H281="En revue"),"E",IF($H281="Bloquée","B","P"))),""))</f>
        <v/>
      </c>
      <c r="AJ281" s="53">
        <f>IF(OR($F281="",$G281=""),"",IF(AND(AJ$5&lt;=$G281,AJ$5+6&gt;=$F281),IF($H281="Complétée","F",IF(OR($H281="En cours",$H281="En revue"),"E",IF($H281="Bloquée","B","P"))),""))</f>
        <v/>
      </c>
      <c r="AK281" s="53">
        <f>IF(OR($F281="",$G281=""),"",IF(AND(AK$5&lt;=$G281,AK$5+6&gt;=$F281),IF($H281="Complétée","F",IF(OR($H281="En cours",$H281="En revue"),"E",IF($H281="Bloquée","B","P"))),""))</f>
        <v/>
      </c>
      <c r="AL281" s="53">
        <f>IF(OR($F281="",$G281=""),"",IF(AND(AL$5&lt;=$G281,AL$5+6&gt;=$F281),IF($H281="Complétée","F",IF(OR($H281="En cours",$H281="En revue"),"E",IF($H281="Bloquée","B","P"))),""))</f>
        <v/>
      </c>
      <c r="AM281" s="53">
        <f>IF(OR($F281="",$G281=""),"",IF(AND(AM$5&lt;=$G281,AM$5+6&gt;=$F281),IF($H281="Complétée","F",IF(OR($H281="En cours",$H281="En revue"),"E",IF($H281="Bloquée","B","P"))),""))</f>
        <v/>
      </c>
      <c r="AN281" s="53">
        <f>IF(OR($F281="",$G281=""),"",IF(AND(AN$5&lt;=$G281,AN$5+6&gt;=$F281),IF($H281="Complétée","F",IF(OR($H281="En cours",$H281="En revue"),"E",IF($H281="Bloquée","B","P"))),""))</f>
        <v/>
      </c>
      <c r="AO281" s="53">
        <f>IF(OR($F281="",$G281=""),"",IF(AND(AO$5&lt;=$G281,AO$5+6&gt;=$F281),IF($H281="Complétée","F",IF(OR($H281="En cours",$H281="En revue"),"E",IF($H281="Bloquée","B","P"))),""))</f>
        <v/>
      </c>
      <c r="AP281" s="53">
        <f>IF(OR($F281="",$G281=""),"",IF(AND(AP$5&lt;=$G281,AP$5+6&gt;=$F281),IF($H281="Complétée","F",IF(OR($H281="En cours",$H281="En revue"),"E",IF($H281="Bloquée","B","P"))),""))</f>
        <v/>
      </c>
      <c r="AQ281" s="53">
        <f>IF(OR($F281="",$G281=""),"",IF(AND(AQ$5&lt;=$G281,AQ$5+6&gt;=$F281),IF($H281="Complétée","F",IF(OR($H281="En cours",$H281="En revue"),"E",IF($H281="Bloquée","B","P"))),""))</f>
        <v/>
      </c>
      <c r="AR281" s="53">
        <f>IF(OR($F281="",$G281=""),"",IF(AND(AR$5&lt;=$G281,AR$5+6&gt;=$F281),IF($H281="Complétée","F",IF(OR($H281="En cours",$H281="En revue"),"E",IF($H281="Bloquée","B","P"))),""))</f>
        <v/>
      </c>
      <c r="AS281" s="53">
        <f>IF(OR($F281="",$G281=""),"",IF(AND(AS$5&lt;=$G281,AS$5+6&gt;=$F281),IF($H281="Complétée","F",IF(OR($H281="En cours",$H281="En revue"),"E",IF($H281="Bloquée","B","P"))),""))</f>
        <v/>
      </c>
      <c r="AT281" s="53">
        <f>IF(OR($F281="",$G281=""),"",IF(AND(AT$5&lt;=$G281,AT$5+6&gt;=$F281),IF($H281="Complétée","F",IF(OR($H281="En cours",$H281="En revue"),"E",IF($H281="Bloquée","B","P"))),""))</f>
        <v/>
      </c>
      <c r="AU281" s="53">
        <f>IF(OR($F281="",$G281=""),"",IF(AND(AU$5&lt;=$G281,AU$5+6&gt;=$F281),IF($H281="Complétée","F",IF(OR($H281="En cours",$H281="En revue"),"E",IF($H281="Bloquée","B","P"))),""))</f>
        <v/>
      </c>
      <c r="AV281" s="53">
        <f>IF(OR($F281="",$G281=""),"",IF(AND(AV$5&lt;=$G281,AV$5+6&gt;=$F281),IF($H281="Complétée","F",IF(OR($H281="En cours",$H281="En revue"),"E",IF($H281="Bloquée","B","P"))),""))</f>
        <v/>
      </c>
      <c r="AW281" s="53">
        <f>IF(OR($F281="",$G281=""),"",IF(AND(AW$5&lt;=$G281,AW$5+6&gt;=$F281),IF($H281="Complétée","F",IF(OR($H281="En cours",$H281="En revue"),"E",IF($H281="Bloquée","B","P"))),""))</f>
        <v/>
      </c>
    </row>
    <row r="282">
      <c r="B282" s="50">
        <f>IF(Taches!B282="","",Taches!B282)</f>
        <v/>
      </c>
      <c r="C282" s="51">
        <f>IF(Taches!B282="","",Taches!F282)</f>
        <v/>
      </c>
      <c r="D282" s="50">
        <f>IF(Taches!B282="","",Taches!C282)</f>
        <v/>
      </c>
      <c r="E282" s="50">
        <f>IF(Taches!B282="","",Taches!D282)</f>
        <v/>
      </c>
      <c r="F282" s="52">
        <f>IF(Taches!P282="","",Taches!P282)</f>
        <v/>
      </c>
      <c r="G282" s="52">
        <f>IF(Taches!Q282="","",Taches!Q282)</f>
        <v/>
      </c>
      <c r="H282" s="50">
        <f>IF(Taches!B282="","",Taches!J282)</f>
        <v/>
      </c>
      <c r="I282" s="53">
        <f>IF(OR($F282="",$G282=""),"",IF(AND(I$5&lt;=$G282,I$5+6&gt;=$F282),IF($H282="Complétée","F",IF(OR($H282="En cours",$H282="En revue"),"E",IF($H282="Bloquée","B","P"))),""))</f>
        <v/>
      </c>
      <c r="J282" s="53">
        <f>IF(OR($F282="",$G282=""),"",IF(AND(J$5&lt;=$G282,J$5+6&gt;=$F282),IF($H282="Complétée","F",IF(OR($H282="En cours",$H282="En revue"),"E",IF($H282="Bloquée","B","P"))),""))</f>
        <v/>
      </c>
      <c r="K282" s="53">
        <f>IF(OR($F282="",$G282=""),"",IF(AND(K$5&lt;=$G282,K$5+6&gt;=$F282),IF($H282="Complétée","F",IF(OR($H282="En cours",$H282="En revue"),"E",IF($H282="Bloquée","B","P"))),""))</f>
        <v/>
      </c>
      <c r="L282" s="53">
        <f>IF(OR($F282="",$G282=""),"",IF(AND(L$5&lt;=$G282,L$5+6&gt;=$F282),IF($H282="Complétée","F",IF(OR($H282="En cours",$H282="En revue"),"E",IF($H282="Bloquée","B","P"))),""))</f>
        <v/>
      </c>
      <c r="M282" s="53">
        <f>IF(OR($F282="",$G282=""),"",IF(AND(M$5&lt;=$G282,M$5+6&gt;=$F282),IF($H282="Complétée","F",IF(OR($H282="En cours",$H282="En revue"),"E",IF($H282="Bloquée","B","P"))),""))</f>
        <v/>
      </c>
      <c r="N282" s="53">
        <f>IF(OR($F282="",$G282=""),"",IF(AND(N$5&lt;=$G282,N$5+6&gt;=$F282),IF($H282="Complétée","F",IF(OR($H282="En cours",$H282="En revue"),"E",IF($H282="Bloquée","B","P"))),""))</f>
        <v/>
      </c>
      <c r="O282" s="53">
        <f>IF(OR($F282="",$G282=""),"",IF(AND(O$5&lt;=$G282,O$5+6&gt;=$F282),IF($H282="Complétée","F",IF(OR($H282="En cours",$H282="En revue"),"E",IF($H282="Bloquée","B","P"))),""))</f>
        <v/>
      </c>
      <c r="P282" s="53">
        <f>IF(OR($F282="",$G282=""),"",IF(AND(P$5&lt;=$G282,P$5+6&gt;=$F282),IF($H282="Complétée","F",IF(OR($H282="En cours",$H282="En revue"),"E",IF($H282="Bloquée","B","P"))),""))</f>
        <v/>
      </c>
      <c r="Q282" s="53">
        <f>IF(OR($F282="",$G282=""),"",IF(AND(Q$5&lt;=$G282,Q$5+6&gt;=$F282),IF($H282="Complétée","F",IF(OR($H282="En cours",$H282="En revue"),"E",IF($H282="Bloquée","B","P"))),""))</f>
        <v/>
      </c>
      <c r="R282" s="53">
        <f>IF(OR($F282="",$G282=""),"",IF(AND(R$5&lt;=$G282,R$5+6&gt;=$F282),IF($H282="Complétée","F",IF(OR($H282="En cours",$H282="En revue"),"E",IF($H282="Bloquée","B","P"))),""))</f>
        <v/>
      </c>
      <c r="S282" s="53">
        <f>IF(OR($F282="",$G282=""),"",IF(AND(S$5&lt;=$G282,S$5+6&gt;=$F282),IF($H282="Complétée","F",IF(OR($H282="En cours",$H282="En revue"),"E",IF($H282="Bloquée","B","P"))),""))</f>
        <v/>
      </c>
      <c r="T282" s="53">
        <f>IF(OR($F282="",$G282=""),"",IF(AND(T$5&lt;=$G282,T$5+6&gt;=$F282),IF($H282="Complétée","F",IF(OR($H282="En cours",$H282="En revue"),"E",IF($H282="Bloquée","B","P"))),""))</f>
        <v/>
      </c>
      <c r="U282" s="53">
        <f>IF(OR($F282="",$G282=""),"",IF(AND(U$5&lt;=$G282,U$5+6&gt;=$F282),IF($H282="Complétée","F",IF(OR($H282="En cours",$H282="En revue"),"E",IF($H282="Bloquée","B","P"))),""))</f>
        <v/>
      </c>
      <c r="V282" s="53">
        <f>IF(OR($F282="",$G282=""),"",IF(AND(V$5&lt;=$G282,V$5+6&gt;=$F282),IF($H282="Complétée","F",IF(OR($H282="En cours",$H282="En revue"),"E",IF($H282="Bloquée","B","P"))),""))</f>
        <v/>
      </c>
      <c r="W282" s="53">
        <f>IF(OR($F282="",$G282=""),"",IF(AND(W$5&lt;=$G282,W$5+6&gt;=$F282),IF($H282="Complétée","F",IF(OR($H282="En cours",$H282="En revue"),"E",IF($H282="Bloquée","B","P"))),""))</f>
        <v/>
      </c>
      <c r="X282" s="53">
        <f>IF(OR($F282="",$G282=""),"",IF(AND(X$5&lt;=$G282,X$5+6&gt;=$F282),IF($H282="Complétée","F",IF(OR($H282="En cours",$H282="En revue"),"E",IF($H282="Bloquée","B","P"))),""))</f>
        <v/>
      </c>
      <c r="Y282" s="53">
        <f>IF(OR($F282="",$G282=""),"",IF(AND(Y$5&lt;=$G282,Y$5+6&gt;=$F282),IF($H282="Complétée","F",IF(OR($H282="En cours",$H282="En revue"),"E",IF($H282="Bloquée","B","P"))),""))</f>
        <v/>
      </c>
      <c r="Z282" s="53">
        <f>IF(OR($F282="",$G282=""),"",IF(AND(Z$5&lt;=$G282,Z$5+6&gt;=$F282),IF($H282="Complétée","F",IF(OR($H282="En cours",$H282="En revue"),"E",IF($H282="Bloquée","B","P"))),""))</f>
        <v/>
      </c>
      <c r="AA282" s="53">
        <f>IF(OR($F282="",$G282=""),"",IF(AND(AA$5&lt;=$G282,AA$5+6&gt;=$F282),IF($H282="Complétée","F",IF(OR($H282="En cours",$H282="En revue"),"E",IF($H282="Bloquée","B","P"))),""))</f>
        <v/>
      </c>
      <c r="AB282" s="53">
        <f>IF(OR($F282="",$G282=""),"",IF(AND(AB$5&lt;=$G282,AB$5+6&gt;=$F282),IF($H282="Complétée","F",IF(OR($H282="En cours",$H282="En revue"),"E",IF($H282="Bloquée","B","P"))),""))</f>
        <v/>
      </c>
      <c r="AC282" s="53">
        <f>IF(OR($F282="",$G282=""),"",IF(AND(AC$5&lt;=$G282,AC$5+6&gt;=$F282),IF($H282="Complétée","F",IF(OR($H282="En cours",$H282="En revue"),"E",IF($H282="Bloquée","B","P"))),""))</f>
        <v/>
      </c>
      <c r="AD282" s="53">
        <f>IF(OR($F282="",$G282=""),"",IF(AND(AD$5&lt;=$G282,AD$5+6&gt;=$F282),IF($H282="Complétée","F",IF(OR($H282="En cours",$H282="En revue"),"E",IF($H282="Bloquée","B","P"))),""))</f>
        <v/>
      </c>
      <c r="AE282" s="53">
        <f>IF(OR($F282="",$G282=""),"",IF(AND(AE$5&lt;=$G282,AE$5+6&gt;=$F282),IF($H282="Complétée","F",IF(OR($H282="En cours",$H282="En revue"),"E",IF($H282="Bloquée","B","P"))),""))</f>
        <v/>
      </c>
      <c r="AF282" s="53">
        <f>IF(OR($F282="",$G282=""),"",IF(AND(AF$5&lt;=$G282,AF$5+6&gt;=$F282),IF($H282="Complétée","F",IF(OR($H282="En cours",$H282="En revue"),"E",IF($H282="Bloquée","B","P"))),""))</f>
        <v/>
      </c>
      <c r="AG282" s="53">
        <f>IF(OR($F282="",$G282=""),"",IF(AND(AG$5&lt;=$G282,AG$5+6&gt;=$F282),IF($H282="Complétée","F",IF(OR($H282="En cours",$H282="En revue"),"E",IF($H282="Bloquée","B","P"))),""))</f>
        <v/>
      </c>
      <c r="AH282" s="53">
        <f>IF(OR($F282="",$G282=""),"",IF(AND(AH$5&lt;=$G282,AH$5+6&gt;=$F282),IF($H282="Complétée","F",IF(OR($H282="En cours",$H282="En revue"),"E",IF($H282="Bloquée","B","P"))),""))</f>
        <v/>
      </c>
      <c r="AI282" s="53">
        <f>IF(OR($F282="",$G282=""),"",IF(AND(AI$5&lt;=$G282,AI$5+6&gt;=$F282),IF($H282="Complétée","F",IF(OR($H282="En cours",$H282="En revue"),"E",IF($H282="Bloquée","B","P"))),""))</f>
        <v/>
      </c>
      <c r="AJ282" s="53">
        <f>IF(OR($F282="",$G282=""),"",IF(AND(AJ$5&lt;=$G282,AJ$5+6&gt;=$F282),IF($H282="Complétée","F",IF(OR($H282="En cours",$H282="En revue"),"E",IF($H282="Bloquée","B","P"))),""))</f>
        <v/>
      </c>
      <c r="AK282" s="53">
        <f>IF(OR($F282="",$G282=""),"",IF(AND(AK$5&lt;=$G282,AK$5+6&gt;=$F282),IF($H282="Complétée","F",IF(OR($H282="En cours",$H282="En revue"),"E",IF($H282="Bloquée","B","P"))),""))</f>
        <v/>
      </c>
      <c r="AL282" s="53">
        <f>IF(OR($F282="",$G282=""),"",IF(AND(AL$5&lt;=$G282,AL$5+6&gt;=$F282),IF($H282="Complétée","F",IF(OR($H282="En cours",$H282="En revue"),"E",IF($H282="Bloquée","B","P"))),""))</f>
        <v/>
      </c>
      <c r="AM282" s="53">
        <f>IF(OR($F282="",$G282=""),"",IF(AND(AM$5&lt;=$G282,AM$5+6&gt;=$F282),IF($H282="Complétée","F",IF(OR($H282="En cours",$H282="En revue"),"E",IF($H282="Bloquée","B","P"))),""))</f>
        <v/>
      </c>
      <c r="AN282" s="53">
        <f>IF(OR($F282="",$G282=""),"",IF(AND(AN$5&lt;=$G282,AN$5+6&gt;=$F282),IF($H282="Complétée","F",IF(OR($H282="En cours",$H282="En revue"),"E",IF($H282="Bloquée","B","P"))),""))</f>
        <v/>
      </c>
      <c r="AO282" s="53">
        <f>IF(OR($F282="",$G282=""),"",IF(AND(AO$5&lt;=$G282,AO$5+6&gt;=$F282),IF($H282="Complétée","F",IF(OR($H282="En cours",$H282="En revue"),"E",IF($H282="Bloquée","B","P"))),""))</f>
        <v/>
      </c>
      <c r="AP282" s="53">
        <f>IF(OR($F282="",$G282=""),"",IF(AND(AP$5&lt;=$G282,AP$5+6&gt;=$F282),IF($H282="Complétée","F",IF(OR($H282="En cours",$H282="En revue"),"E",IF($H282="Bloquée","B","P"))),""))</f>
        <v/>
      </c>
      <c r="AQ282" s="53">
        <f>IF(OR($F282="",$G282=""),"",IF(AND(AQ$5&lt;=$G282,AQ$5+6&gt;=$F282),IF($H282="Complétée","F",IF(OR($H282="En cours",$H282="En revue"),"E",IF($H282="Bloquée","B","P"))),""))</f>
        <v/>
      </c>
      <c r="AR282" s="53">
        <f>IF(OR($F282="",$G282=""),"",IF(AND(AR$5&lt;=$G282,AR$5+6&gt;=$F282),IF($H282="Complétée","F",IF(OR($H282="En cours",$H282="En revue"),"E",IF($H282="Bloquée","B","P"))),""))</f>
        <v/>
      </c>
      <c r="AS282" s="53">
        <f>IF(OR($F282="",$G282=""),"",IF(AND(AS$5&lt;=$G282,AS$5+6&gt;=$F282),IF($H282="Complétée","F",IF(OR($H282="En cours",$H282="En revue"),"E",IF($H282="Bloquée","B","P"))),""))</f>
        <v/>
      </c>
      <c r="AT282" s="53">
        <f>IF(OR($F282="",$G282=""),"",IF(AND(AT$5&lt;=$G282,AT$5+6&gt;=$F282),IF($H282="Complétée","F",IF(OR($H282="En cours",$H282="En revue"),"E",IF($H282="Bloquée","B","P"))),""))</f>
        <v/>
      </c>
      <c r="AU282" s="53">
        <f>IF(OR($F282="",$G282=""),"",IF(AND(AU$5&lt;=$G282,AU$5+6&gt;=$F282),IF($H282="Complétée","F",IF(OR($H282="En cours",$H282="En revue"),"E",IF($H282="Bloquée","B","P"))),""))</f>
        <v/>
      </c>
      <c r="AV282" s="53">
        <f>IF(OR($F282="",$G282=""),"",IF(AND(AV$5&lt;=$G282,AV$5+6&gt;=$F282),IF($H282="Complétée","F",IF(OR($H282="En cours",$H282="En revue"),"E",IF($H282="Bloquée","B","P"))),""))</f>
        <v/>
      </c>
      <c r="AW282" s="53">
        <f>IF(OR($F282="",$G282=""),"",IF(AND(AW$5&lt;=$G282,AW$5+6&gt;=$F282),IF($H282="Complétée","F",IF(OR($H282="En cours",$H282="En revue"),"E",IF($H282="Bloquée","B","P"))),""))</f>
        <v/>
      </c>
    </row>
    <row r="283">
      <c r="B283" s="50">
        <f>IF(Taches!B283="","",Taches!B283)</f>
        <v/>
      </c>
      <c r="C283" s="51">
        <f>IF(Taches!B283="","",Taches!F283)</f>
        <v/>
      </c>
      <c r="D283" s="50">
        <f>IF(Taches!B283="","",Taches!C283)</f>
        <v/>
      </c>
      <c r="E283" s="50">
        <f>IF(Taches!B283="","",Taches!D283)</f>
        <v/>
      </c>
      <c r="F283" s="52">
        <f>IF(Taches!P283="","",Taches!P283)</f>
        <v/>
      </c>
      <c r="G283" s="52">
        <f>IF(Taches!Q283="","",Taches!Q283)</f>
        <v/>
      </c>
      <c r="H283" s="50">
        <f>IF(Taches!B283="","",Taches!J283)</f>
        <v/>
      </c>
      <c r="I283" s="53">
        <f>IF(OR($F283="",$G283=""),"",IF(AND(I$5&lt;=$G283,I$5+6&gt;=$F283),IF($H283="Complétée","F",IF(OR($H283="En cours",$H283="En revue"),"E",IF($H283="Bloquée","B","P"))),""))</f>
        <v/>
      </c>
      <c r="J283" s="53">
        <f>IF(OR($F283="",$G283=""),"",IF(AND(J$5&lt;=$G283,J$5+6&gt;=$F283),IF($H283="Complétée","F",IF(OR($H283="En cours",$H283="En revue"),"E",IF($H283="Bloquée","B","P"))),""))</f>
        <v/>
      </c>
      <c r="K283" s="53">
        <f>IF(OR($F283="",$G283=""),"",IF(AND(K$5&lt;=$G283,K$5+6&gt;=$F283),IF($H283="Complétée","F",IF(OR($H283="En cours",$H283="En revue"),"E",IF($H283="Bloquée","B","P"))),""))</f>
        <v/>
      </c>
      <c r="L283" s="53">
        <f>IF(OR($F283="",$G283=""),"",IF(AND(L$5&lt;=$G283,L$5+6&gt;=$F283),IF($H283="Complétée","F",IF(OR($H283="En cours",$H283="En revue"),"E",IF($H283="Bloquée","B","P"))),""))</f>
        <v/>
      </c>
      <c r="M283" s="53">
        <f>IF(OR($F283="",$G283=""),"",IF(AND(M$5&lt;=$G283,M$5+6&gt;=$F283),IF($H283="Complétée","F",IF(OR($H283="En cours",$H283="En revue"),"E",IF($H283="Bloquée","B","P"))),""))</f>
        <v/>
      </c>
      <c r="N283" s="53">
        <f>IF(OR($F283="",$G283=""),"",IF(AND(N$5&lt;=$G283,N$5+6&gt;=$F283),IF($H283="Complétée","F",IF(OR($H283="En cours",$H283="En revue"),"E",IF($H283="Bloquée","B","P"))),""))</f>
        <v/>
      </c>
      <c r="O283" s="53">
        <f>IF(OR($F283="",$G283=""),"",IF(AND(O$5&lt;=$G283,O$5+6&gt;=$F283),IF($H283="Complétée","F",IF(OR($H283="En cours",$H283="En revue"),"E",IF($H283="Bloquée","B","P"))),""))</f>
        <v/>
      </c>
      <c r="P283" s="53">
        <f>IF(OR($F283="",$G283=""),"",IF(AND(P$5&lt;=$G283,P$5+6&gt;=$F283),IF($H283="Complétée","F",IF(OR($H283="En cours",$H283="En revue"),"E",IF($H283="Bloquée","B","P"))),""))</f>
        <v/>
      </c>
      <c r="Q283" s="53">
        <f>IF(OR($F283="",$G283=""),"",IF(AND(Q$5&lt;=$G283,Q$5+6&gt;=$F283),IF($H283="Complétée","F",IF(OR($H283="En cours",$H283="En revue"),"E",IF($H283="Bloquée","B","P"))),""))</f>
        <v/>
      </c>
      <c r="R283" s="53">
        <f>IF(OR($F283="",$G283=""),"",IF(AND(R$5&lt;=$G283,R$5+6&gt;=$F283),IF($H283="Complétée","F",IF(OR($H283="En cours",$H283="En revue"),"E",IF($H283="Bloquée","B","P"))),""))</f>
        <v/>
      </c>
      <c r="S283" s="53">
        <f>IF(OR($F283="",$G283=""),"",IF(AND(S$5&lt;=$G283,S$5+6&gt;=$F283),IF($H283="Complétée","F",IF(OR($H283="En cours",$H283="En revue"),"E",IF($H283="Bloquée","B","P"))),""))</f>
        <v/>
      </c>
      <c r="T283" s="53">
        <f>IF(OR($F283="",$G283=""),"",IF(AND(T$5&lt;=$G283,T$5+6&gt;=$F283),IF($H283="Complétée","F",IF(OR($H283="En cours",$H283="En revue"),"E",IF($H283="Bloquée","B","P"))),""))</f>
        <v/>
      </c>
      <c r="U283" s="53">
        <f>IF(OR($F283="",$G283=""),"",IF(AND(U$5&lt;=$G283,U$5+6&gt;=$F283),IF($H283="Complétée","F",IF(OR($H283="En cours",$H283="En revue"),"E",IF($H283="Bloquée","B","P"))),""))</f>
        <v/>
      </c>
      <c r="V283" s="53">
        <f>IF(OR($F283="",$G283=""),"",IF(AND(V$5&lt;=$G283,V$5+6&gt;=$F283),IF($H283="Complétée","F",IF(OR($H283="En cours",$H283="En revue"),"E",IF($H283="Bloquée","B","P"))),""))</f>
        <v/>
      </c>
      <c r="W283" s="53">
        <f>IF(OR($F283="",$G283=""),"",IF(AND(W$5&lt;=$G283,W$5+6&gt;=$F283),IF($H283="Complétée","F",IF(OR($H283="En cours",$H283="En revue"),"E",IF($H283="Bloquée","B","P"))),""))</f>
        <v/>
      </c>
      <c r="X283" s="53">
        <f>IF(OR($F283="",$G283=""),"",IF(AND(X$5&lt;=$G283,X$5+6&gt;=$F283),IF($H283="Complétée","F",IF(OR($H283="En cours",$H283="En revue"),"E",IF($H283="Bloquée","B","P"))),""))</f>
        <v/>
      </c>
      <c r="Y283" s="53">
        <f>IF(OR($F283="",$G283=""),"",IF(AND(Y$5&lt;=$G283,Y$5+6&gt;=$F283),IF($H283="Complétée","F",IF(OR($H283="En cours",$H283="En revue"),"E",IF($H283="Bloquée","B","P"))),""))</f>
        <v/>
      </c>
      <c r="Z283" s="53">
        <f>IF(OR($F283="",$G283=""),"",IF(AND(Z$5&lt;=$G283,Z$5+6&gt;=$F283),IF($H283="Complétée","F",IF(OR($H283="En cours",$H283="En revue"),"E",IF($H283="Bloquée","B","P"))),""))</f>
        <v/>
      </c>
      <c r="AA283" s="53">
        <f>IF(OR($F283="",$G283=""),"",IF(AND(AA$5&lt;=$G283,AA$5+6&gt;=$F283),IF($H283="Complétée","F",IF(OR($H283="En cours",$H283="En revue"),"E",IF($H283="Bloquée","B","P"))),""))</f>
        <v/>
      </c>
      <c r="AB283" s="53">
        <f>IF(OR($F283="",$G283=""),"",IF(AND(AB$5&lt;=$G283,AB$5+6&gt;=$F283),IF($H283="Complétée","F",IF(OR($H283="En cours",$H283="En revue"),"E",IF($H283="Bloquée","B","P"))),""))</f>
        <v/>
      </c>
      <c r="AC283" s="53">
        <f>IF(OR($F283="",$G283=""),"",IF(AND(AC$5&lt;=$G283,AC$5+6&gt;=$F283),IF($H283="Complétée","F",IF(OR($H283="En cours",$H283="En revue"),"E",IF($H283="Bloquée","B","P"))),""))</f>
        <v/>
      </c>
      <c r="AD283" s="53">
        <f>IF(OR($F283="",$G283=""),"",IF(AND(AD$5&lt;=$G283,AD$5+6&gt;=$F283),IF($H283="Complétée","F",IF(OR($H283="En cours",$H283="En revue"),"E",IF($H283="Bloquée","B","P"))),""))</f>
        <v/>
      </c>
      <c r="AE283" s="53">
        <f>IF(OR($F283="",$G283=""),"",IF(AND(AE$5&lt;=$G283,AE$5+6&gt;=$F283),IF($H283="Complétée","F",IF(OR($H283="En cours",$H283="En revue"),"E",IF($H283="Bloquée","B","P"))),""))</f>
        <v/>
      </c>
      <c r="AF283" s="53">
        <f>IF(OR($F283="",$G283=""),"",IF(AND(AF$5&lt;=$G283,AF$5+6&gt;=$F283),IF($H283="Complétée","F",IF(OR($H283="En cours",$H283="En revue"),"E",IF($H283="Bloquée","B","P"))),""))</f>
        <v/>
      </c>
      <c r="AG283" s="53">
        <f>IF(OR($F283="",$G283=""),"",IF(AND(AG$5&lt;=$G283,AG$5+6&gt;=$F283),IF($H283="Complétée","F",IF(OR($H283="En cours",$H283="En revue"),"E",IF($H283="Bloquée","B","P"))),""))</f>
        <v/>
      </c>
      <c r="AH283" s="53">
        <f>IF(OR($F283="",$G283=""),"",IF(AND(AH$5&lt;=$G283,AH$5+6&gt;=$F283),IF($H283="Complétée","F",IF(OR($H283="En cours",$H283="En revue"),"E",IF($H283="Bloquée","B","P"))),""))</f>
        <v/>
      </c>
      <c r="AI283" s="53">
        <f>IF(OR($F283="",$G283=""),"",IF(AND(AI$5&lt;=$G283,AI$5+6&gt;=$F283),IF($H283="Complétée","F",IF(OR($H283="En cours",$H283="En revue"),"E",IF($H283="Bloquée","B","P"))),""))</f>
        <v/>
      </c>
      <c r="AJ283" s="53">
        <f>IF(OR($F283="",$G283=""),"",IF(AND(AJ$5&lt;=$G283,AJ$5+6&gt;=$F283),IF($H283="Complétée","F",IF(OR($H283="En cours",$H283="En revue"),"E",IF($H283="Bloquée","B","P"))),""))</f>
        <v/>
      </c>
      <c r="AK283" s="53">
        <f>IF(OR($F283="",$G283=""),"",IF(AND(AK$5&lt;=$G283,AK$5+6&gt;=$F283),IF($H283="Complétée","F",IF(OR($H283="En cours",$H283="En revue"),"E",IF($H283="Bloquée","B","P"))),""))</f>
        <v/>
      </c>
      <c r="AL283" s="53">
        <f>IF(OR($F283="",$G283=""),"",IF(AND(AL$5&lt;=$G283,AL$5+6&gt;=$F283),IF($H283="Complétée","F",IF(OR($H283="En cours",$H283="En revue"),"E",IF($H283="Bloquée","B","P"))),""))</f>
        <v/>
      </c>
      <c r="AM283" s="53">
        <f>IF(OR($F283="",$G283=""),"",IF(AND(AM$5&lt;=$G283,AM$5+6&gt;=$F283),IF($H283="Complétée","F",IF(OR($H283="En cours",$H283="En revue"),"E",IF($H283="Bloquée","B","P"))),""))</f>
        <v/>
      </c>
      <c r="AN283" s="53">
        <f>IF(OR($F283="",$G283=""),"",IF(AND(AN$5&lt;=$G283,AN$5+6&gt;=$F283),IF($H283="Complétée","F",IF(OR($H283="En cours",$H283="En revue"),"E",IF($H283="Bloquée","B","P"))),""))</f>
        <v/>
      </c>
      <c r="AO283" s="53">
        <f>IF(OR($F283="",$G283=""),"",IF(AND(AO$5&lt;=$G283,AO$5+6&gt;=$F283),IF($H283="Complétée","F",IF(OR($H283="En cours",$H283="En revue"),"E",IF($H283="Bloquée","B","P"))),""))</f>
        <v/>
      </c>
      <c r="AP283" s="53">
        <f>IF(OR($F283="",$G283=""),"",IF(AND(AP$5&lt;=$G283,AP$5+6&gt;=$F283),IF($H283="Complétée","F",IF(OR($H283="En cours",$H283="En revue"),"E",IF($H283="Bloquée","B","P"))),""))</f>
        <v/>
      </c>
      <c r="AQ283" s="53">
        <f>IF(OR($F283="",$G283=""),"",IF(AND(AQ$5&lt;=$G283,AQ$5+6&gt;=$F283),IF($H283="Complétée","F",IF(OR($H283="En cours",$H283="En revue"),"E",IF($H283="Bloquée","B","P"))),""))</f>
        <v/>
      </c>
      <c r="AR283" s="53">
        <f>IF(OR($F283="",$G283=""),"",IF(AND(AR$5&lt;=$G283,AR$5+6&gt;=$F283),IF($H283="Complétée","F",IF(OR($H283="En cours",$H283="En revue"),"E",IF($H283="Bloquée","B","P"))),""))</f>
        <v/>
      </c>
      <c r="AS283" s="53">
        <f>IF(OR($F283="",$G283=""),"",IF(AND(AS$5&lt;=$G283,AS$5+6&gt;=$F283),IF($H283="Complétée","F",IF(OR($H283="En cours",$H283="En revue"),"E",IF($H283="Bloquée","B","P"))),""))</f>
        <v/>
      </c>
      <c r="AT283" s="53">
        <f>IF(OR($F283="",$G283=""),"",IF(AND(AT$5&lt;=$G283,AT$5+6&gt;=$F283),IF($H283="Complétée","F",IF(OR($H283="En cours",$H283="En revue"),"E",IF($H283="Bloquée","B","P"))),""))</f>
        <v/>
      </c>
      <c r="AU283" s="53">
        <f>IF(OR($F283="",$G283=""),"",IF(AND(AU$5&lt;=$G283,AU$5+6&gt;=$F283),IF($H283="Complétée","F",IF(OR($H283="En cours",$H283="En revue"),"E",IF($H283="Bloquée","B","P"))),""))</f>
        <v/>
      </c>
      <c r="AV283" s="53">
        <f>IF(OR($F283="",$G283=""),"",IF(AND(AV$5&lt;=$G283,AV$5+6&gt;=$F283),IF($H283="Complétée","F",IF(OR($H283="En cours",$H283="En revue"),"E",IF($H283="Bloquée","B","P"))),""))</f>
        <v/>
      </c>
      <c r="AW283" s="53">
        <f>IF(OR($F283="",$G283=""),"",IF(AND(AW$5&lt;=$G283,AW$5+6&gt;=$F283),IF($H283="Complétée","F",IF(OR($H283="En cours",$H283="En revue"),"E",IF($H283="Bloquée","B","P"))),""))</f>
        <v/>
      </c>
    </row>
    <row r="284">
      <c r="B284" s="50">
        <f>IF(Taches!B284="","",Taches!B284)</f>
        <v/>
      </c>
      <c r="C284" s="51">
        <f>IF(Taches!B284="","",Taches!F284)</f>
        <v/>
      </c>
      <c r="D284" s="50">
        <f>IF(Taches!B284="","",Taches!C284)</f>
        <v/>
      </c>
      <c r="E284" s="50">
        <f>IF(Taches!B284="","",Taches!D284)</f>
        <v/>
      </c>
      <c r="F284" s="52">
        <f>IF(Taches!P284="","",Taches!P284)</f>
        <v/>
      </c>
      <c r="G284" s="52">
        <f>IF(Taches!Q284="","",Taches!Q284)</f>
        <v/>
      </c>
      <c r="H284" s="50">
        <f>IF(Taches!B284="","",Taches!J284)</f>
        <v/>
      </c>
      <c r="I284" s="53">
        <f>IF(OR($F284="",$G284=""),"",IF(AND(I$5&lt;=$G284,I$5+6&gt;=$F284),IF($H284="Complétée","F",IF(OR($H284="En cours",$H284="En revue"),"E",IF($H284="Bloquée","B","P"))),""))</f>
        <v/>
      </c>
      <c r="J284" s="53">
        <f>IF(OR($F284="",$G284=""),"",IF(AND(J$5&lt;=$G284,J$5+6&gt;=$F284),IF($H284="Complétée","F",IF(OR($H284="En cours",$H284="En revue"),"E",IF($H284="Bloquée","B","P"))),""))</f>
        <v/>
      </c>
      <c r="K284" s="53">
        <f>IF(OR($F284="",$G284=""),"",IF(AND(K$5&lt;=$G284,K$5+6&gt;=$F284),IF($H284="Complétée","F",IF(OR($H284="En cours",$H284="En revue"),"E",IF($H284="Bloquée","B","P"))),""))</f>
        <v/>
      </c>
      <c r="L284" s="53">
        <f>IF(OR($F284="",$G284=""),"",IF(AND(L$5&lt;=$G284,L$5+6&gt;=$F284),IF($H284="Complétée","F",IF(OR($H284="En cours",$H284="En revue"),"E",IF($H284="Bloquée","B","P"))),""))</f>
        <v/>
      </c>
      <c r="M284" s="53">
        <f>IF(OR($F284="",$G284=""),"",IF(AND(M$5&lt;=$G284,M$5+6&gt;=$F284),IF($H284="Complétée","F",IF(OR($H284="En cours",$H284="En revue"),"E",IF($H284="Bloquée","B","P"))),""))</f>
        <v/>
      </c>
      <c r="N284" s="53">
        <f>IF(OR($F284="",$G284=""),"",IF(AND(N$5&lt;=$G284,N$5+6&gt;=$F284),IF($H284="Complétée","F",IF(OR($H284="En cours",$H284="En revue"),"E",IF($H284="Bloquée","B","P"))),""))</f>
        <v/>
      </c>
      <c r="O284" s="53">
        <f>IF(OR($F284="",$G284=""),"",IF(AND(O$5&lt;=$G284,O$5+6&gt;=$F284),IF($H284="Complétée","F",IF(OR($H284="En cours",$H284="En revue"),"E",IF($H284="Bloquée","B","P"))),""))</f>
        <v/>
      </c>
      <c r="P284" s="53">
        <f>IF(OR($F284="",$G284=""),"",IF(AND(P$5&lt;=$G284,P$5+6&gt;=$F284),IF($H284="Complétée","F",IF(OR($H284="En cours",$H284="En revue"),"E",IF($H284="Bloquée","B","P"))),""))</f>
        <v/>
      </c>
      <c r="Q284" s="53">
        <f>IF(OR($F284="",$G284=""),"",IF(AND(Q$5&lt;=$G284,Q$5+6&gt;=$F284),IF($H284="Complétée","F",IF(OR($H284="En cours",$H284="En revue"),"E",IF($H284="Bloquée","B","P"))),""))</f>
        <v/>
      </c>
      <c r="R284" s="53">
        <f>IF(OR($F284="",$G284=""),"",IF(AND(R$5&lt;=$G284,R$5+6&gt;=$F284),IF($H284="Complétée","F",IF(OR($H284="En cours",$H284="En revue"),"E",IF($H284="Bloquée","B","P"))),""))</f>
        <v/>
      </c>
      <c r="S284" s="53">
        <f>IF(OR($F284="",$G284=""),"",IF(AND(S$5&lt;=$G284,S$5+6&gt;=$F284),IF($H284="Complétée","F",IF(OR($H284="En cours",$H284="En revue"),"E",IF($H284="Bloquée","B","P"))),""))</f>
        <v/>
      </c>
      <c r="T284" s="53">
        <f>IF(OR($F284="",$G284=""),"",IF(AND(T$5&lt;=$G284,T$5+6&gt;=$F284),IF($H284="Complétée","F",IF(OR($H284="En cours",$H284="En revue"),"E",IF($H284="Bloquée","B","P"))),""))</f>
        <v/>
      </c>
      <c r="U284" s="53">
        <f>IF(OR($F284="",$G284=""),"",IF(AND(U$5&lt;=$G284,U$5+6&gt;=$F284),IF($H284="Complétée","F",IF(OR($H284="En cours",$H284="En revue"),"E",IF($H284="Bloquée","B","P"))),""))</f>
        <v/>
      </c>
      <c r="V284" s="53">
        <f>IF(OR($F284="",$G284=""),"",IF(AND(V$5&lt;=$G284,V$5+6&gt;=$F284),IF($H284="Complétée","F",IF(OR($H284="En cours",$H284="En revue"),"E",IF($H284="Bloquée","B","P"))),""))</f>
        <v/>
      </c>
      <c r="W284" s="53">
        <f>IF(OR($F284="",$G284=""),"",IF(AND(W$5&lt;=$G284,W$5+6&gt;=$F284),IF($H284="Complétée","F",IF(OR($H284="En cours",$H284="En revue"),"E",IF($H284="Bloquée","B","P"))),""))</f>
        <v/>
      </c>
      <c r="X284" s="53">
        <f>IF(OR($F284="",$G284=""),"",IF(AND(X$5&lt;=$G284,X$5+6&gt;=$F284),IF($H284="Complétée","F",IF(OR($H284="En cours",$H284="En revue"),"E",IF($H284="Bloquée","B","P"))),""))</f>
        <v/>
      </c>
      <c r="Y284" s="53">
        <f>IF(OR($F284="",$G284=""),"",IF(AND(Y$5&lt;=$G284,Y$5+6&gt;=$F284),IF($H284="Complétée","F",IF(OR($H284="En cours",$H284="En revue"),"E",IF($H284="Bloquée","B","P"))),""))</f>
        <v/>
      </c>
      <c r="Z284" s="53">
        <f>IF(OR($F284="",$G284=""),"",IF(AND(Z$5&lt;=$G284,Z$5+6&gt;=$F284),IF($H284="Complétée","F",IF(OR($H284="En cours",$H284="En revue"),"E",IF($H284="Bloquée","B","P"))),""))</f>
        <v/>
      </c>
      <c r="AA284" s="53">
        <f>IF(OR($F284="",$G284=""),"",IF(AND(AA$5&lt;=$G284,AA$5+6&gt;=$F284),IF($H284="Complétée","F",IF(OR($H284="En cours",$H284="En revue"),"E",IF($H284="Bloquée","B","P"))),""))</f>
        <v/>
      </c>
      <c r="AB284" s="53">
        <f>IF(OR($F284="",$G284=""),"",IF(AND(AB$5&lt;=$G284,AB$5+6&gt;=$F284),IF($H284="Complétée","F",IF(OR($H284="En cours",$H284="En revue"),"E",IF($H284="Bloquée","B","P"))),""))</f>
        <v/>
      </c>
      <c r="AC284" s="53">
        <f>IF(OR($F284="",$G284=""),"",IF(AND(AC$5&lt;=$G284,AC$5+6&gt;=$F284),IF($H284="Complétée","F",IF(OR($H284="En cours",$H284="En revue"),"E",IF($H284="Bloquée","B","P"))),""))</f>
        <v/>
      </c>
      <c r="AD284" s="53">
        <f>IF(OR($F284="",$G284=""),"",IF(AND(AD$5&lt;=$G284,AD$5+6&gt;=$F284),IF($H284="Complétée","F",IF(OR($H284="En cours",$H284="En revue"),"E",IF($H284="Bloquée","B","P"))),""))</f>
        <v/>
      </c>
      <c r="AE284" s="53">
        <f>IF(OR($F284="",$G284=""),"",IF(AND(AE$5&lt;=$G284,AE$5+6&gt;=$F284),IF($H284="Complétée","F",IF(OR($H284="En cours",$H284="En revue"),"E",IF($H284="Bloquée","B","P"))),""))</f>
        <v/>
      </c>
      <c r="AF284" s="53">
        <f>IF(OR($F284="",$G284=""),"",IF(AND(AF$5&lt;=$G284,AF$5+6&gt;=$F284),IF($H284="Complétée","F",IF(OR($H284="En cours",$H284="En revue"),"E",IF($H284="Bloquée","B","P"))),""))</f>
        <v/>
      </c>
      <c r="AG284" s="53">
        <f>IF(OR($F284="",$G284=""),"",IF(AND(AG$5&lt;=$G284,AG$5+6&gt;=$F284),IF($H284="Complétée","F",IF(OR($H284="En cours",$H284="En revue"),"E",IF($H284="Bloquée","B","P"))),""))</f>
        <v/>
      </c>
      <c r="AH284" s="53">
        <f>IF(OR($F284="",$G284=""),"",IF(AND(AH$5&lt;=$G284,AH$5+6&gt;=$F284),IF($H284="Complétée","F",IF(OR($H284="En cours",$H284="En revue"),"E",IF($H284="Bloquée","B","P"))),""))</f>
        <v/>
      </c>
      <c r="AI284" s="53">
        <f>IF(OR($F284="",$G284=""),"",IF(AND(AI$5&lt;=$G284,AI$5+6&gt;=$F284),IF($H284="Complétée","F",IF(OR($H284="En cours",$H284="En revue"),"E",IF($H284="Bloquée","B","P"))),""))</f>
        <v/>
      </c>
      <c r="AJ284" s="53">
        <f>IF(OR($F284="",$G284=""),"",IF(AND(AJ$5&lt;=$G284,AJ$5+6&gt;=$F284),IF($H284="Complétée","F",IF(OR($H284="En cours",$H284="En revue"),"E",IF($H284="Bloquée","B","P"))),""))</f>
        <v/>
      </c>
      <c r="AK284" s="53">
        <f>IF(OR($F284="",$G284=""),"",IF(AND(AK$5&lt;=$G284,AK$5+6&gt;=$F284),IF($H284="Complétée","F",IF(OR($H284="En cours",$H284="En revue"),"E",IF($H284="Bloquée","B","P"))),""))</f>
        <v/>
      </c>
      <c r="AL284" s="53">
        <f>IF(OR($F284="",$G284=""),"",IF(AND(AL$5&lt;=$G284,AL$5+6&gt;=$F284),IF($H284="Complétée","F",IF(OR($H284="En cours",$H284="En revue"),"E",IF($H284="Bloquée","B","P"))),""))</f>
        <v/>
      </c>
      <c r="AM284" s="53">
        <f>IF(OR($F284="",$G284=""),"",IF(AND(AM$5&lt;=$G284,AM$5+6&gt;=$F284),IF($H284="Complétée","F",IF(OR($H284="En cours",$H284="En revue"),"E",IF($H284="Bloquée","B","P"))),""))</f>
        <v/>
      </c>
      <c r="AN284" s="53">
        <f>IF(OR($F284="",$G284=""),"",IF(AND(AN$5&lt;=$G284,AN$5+6&gt;=$F284),IF($H284="Complétée","F",IF(OR($H284="En cours",$H284="En revue"),"E",IF($H284="Bloquée","B","P"))),""))</f>
        <v/>
      </c>
      <c r="AO284" s="53">
        <f>IF(OR($F284="",$G284=""),"",IF(AND(AO$5&lt;=$G284,AO$5+6&gt;=$F284),IF($H284="Complétée","F",IF(OR($H284="En cours",$H284="En revue"),"E",IF($H284="Bloquée","B","P"))),""))</f>
        <v/>
      </c>
      <c r="AP284" s="53">
        <f>IF(OR($F284="",$G284=""),"",IF(AND(AP$5&lt;=$G284,AP$5+6&gt;=$F284),IF($H284="Complétée","F",IF(OR($H284="En cours",$H284="En revue"),"E",IF($H284="Bloquée","B","P"))),""))</f>
        <v/>
      </c>
      <c r="AQ284" s="53">
        <f>IF(OR($F284="",$G284=""),"",IF(AND(AQ$5&lt;=$G284,AQ$5+6&gt;=$F284),IF($H284="Complétée","F",IF(OR($H284="En cours",$H284="En revue"),"E",IF($H284="Bloquée","B","P"))),""))</f>
        <v/>
      </c>
      <c r="AR284" s="53">
        <f>IF(OR($F284="",$G284=""),"",IF(AND(AR$5&lt;=$G284,AR$5+6&gt;=$F284),IF($H284="Complétée","F",IF(OR($H284="En cours",$H284="En revue"),"E",IF($H284="Bloquée","B","P"))),""))</f>
        <v/>
      </c>
      <c r="AS284" s="53">
        <f>IF(OR($F284="",$G284=""),"",IF(AND(AS$5&lt;=$G284,AS$5+6&gt;=$F284),IF($H284="Complétée","F",IF(OR($H284="En cours",$H284="En revue"),"E",IF($H284="Bloquée","B","P"))),""))</f>
        <v/>
      </c>
      <c r="AT284" s="53">
        <f>IF(OR($F284="",$G284=""),"",IF(AND(AT$5&lt;=$G284,AT$5+6&gt;=$F284),IF($H284="Complétée","F",IF(OR($H284="En cours",$H284="En revue"),"E",IF($H284="Bloquée","B","P"))),""))</f>
        <v/>
      </c>
      <c r="AU284" s="53">
        <f>IF(OR($F284="",$G284=""),"",IF(AND(AU$5&lt;=$G284,AU$5+6&gt;=$F284),IF($H284="Complétée","F",IF(OR($H284="En cours",$H284="En revue"),"E",IF($H284="Bloquée","B","P"))),""))</f>
        <v/>
      </c>
      <c r="AV284" s="53">
        <f>IF(OR($F284="",$G284=""),"",IF(AND(AV$5&lt;=$G284,AV$5+6&gt;=$F284),IF($H284="Complétée","F",IF(OR($H284="En cours",$H284="En revue"),"E",IF($H284="Bloquée","B","P"))),""))</f>
        <v/>
      </c>
      <c r="AW284" s="53">
        <f>IF(OR($F284="",$G284=""),"",IF(AND(AW$5&lt;=$G284,AW$5+6&gt;=$F284),IF($H284="Complétée","F",IF(OR($H284="En cours",$H284="En revue"),"E",IF($H284="Bloquée","B","P"))),""))</f>
        <v/>
      </c>
    </row>
    <row r="285">
      <c r="B285" s="50">
        <f>IF(Taches!B285="","",Taches!B285)</f>
        <v/>
      </c>
      <c r="C285" s="51">
        <f>IF(Taches!B285="","",Taches!F285)</f>
        <v/>
      </c>
      <c r="D285" s="50">
        <f>IF(Taches!B285="","",Taches!C285)</f>
        <v/>
      </c>
      <c r="E285" s="50">
        <f>IF(Taches!B285="","",Taches!D285)</f>
        <v/>
      </c>
      <c r="F285" s="52">
        <f>IF(Taches!P285="","",Taches!P285)</f>
        <v/>
      </c>
      <c r="G285" s="52">
        <f>IF(Taches!Q285="","",Taches!Q285)</f>
        <v/>
      </c>
      <c r="H285" s="50">
        <f>IF(Taches!B285="","",Taches!J285)</f>
        <v/>
      </c>
      <c r="I285" s="53">
        <f>IF(OR($F285="",$G285=""),"",IF(AND(I$5&lt;=$G285,I$5+6&gt;=$F285),IF($H285="Complétée","F",IF(OR($H285="En cours",$H285="En revue"),"E",IF($H285="Bloquée","B","P"))),""))</f>
        <v/>
      </c>
      <c r="J285" s="53">
        <f>IF(OR($F285="",$G285=""),"",IF(AND(J$5&lt;=$G285,J$5+6&gt;=$F285),IF($H285="Complétée","F",IF(OR($H285="En cours",$H285="En revue"),"E",IF($H285="Bloquée","B","P"))),""))</f>
        <v/>
      </c>
      <c r="K285" s="53">
        <f>IF(OR($F285="",$G285=""),"",IF(AND(K$5&lt;=$G285,K$5+6&gt;=$F285),IF($H285="Complétée","F",IF(OR($H285="En cours",$H285="En revue"),"E",IF($H285="Bloquée","B","P"))),""))</f>
        <v/>
      </c>
      <c r="L285" s="53">
        <f>IF(OR($F285="",$G285=""),"",IF(AND(L$5&lt;=$G285,L$5+6&gt;=$F285),IF($H285="Complétée","F",IF(OR($H285="En cours",$H285="En revue"),"E",IF($H285="Bloquée","B","P"))),""))</f>
        <v/>
      </c>
      <c r="M285" s="53">
        <f>IF(OR($F285="",$G285=""),"",IF(AND(M$5&lt;=$G285,M$5+6&gt;=$F285),IF($H285="Complétée","F",IF(OR($H285="En cours",$H285="En revue"),"E",IF($H285="Bloquée","B","P"))),""))</f>
        <v/>
      </c>
      <c r="N285" s="53">
        <f>IF(OR($F285="",$G285=""),"",IF(AND(N$5&lt;=$G285,N$5+6&gt;=$F285),IF($H285="Complétée","F",IF(OR($H285="En cours",$H285="En revue"),"E",IF($H285="Bloquée","B","P"))),""))</f>
        <v/>
      </c>
      <c r="O285" s="53">
        <f>IF(OR($F285="",$G285=""),"",IF(AND(O$5&lt;=$G285,O$5+6&gt;=$F285),IF($H285="Complétée","F",IF(OR($H285="En cours",$H285="En revue"),"E",IF($H285="Bloquée","B","P"))),""))</f>
        <v/>
      </c>
      <c r="P285" s="53">
        <f>IF(OR($F285="",$G285=""),"",IF(AND(P$5&lt;=$G285,P$5+6&gt;=$F285),IF($H285="Complétée","F",IF(OR($H285="En cours",$H285="En revue"),"E",IF($H285="Bloquée","B","P"))),""))</f>
        <v/>
      </c>
      <c r="Q285" s="53">
        <f>IF(OR($F285="",$G285=""),"",IF(AND(Q$5&lt;=$G285,Q$5+6&gt;=$F285),IF($H285="Complétée","F",IF(OR($H285="En cours",$H285="En revue"),"E",IF($H285="Bloquée","B","P"))),""))</f>
        <v/>
      </c>
      <c r="R285" s="53">
        <f>IF(OR($F285="",$G285=""),"",IF(AND(R$5&lt;=$G285,R$5+6&gt;=$F285),IF($H285="Complétée","F",IF(OR($H285="En cours",$H285="En revue"),"E",IF($H285="Bloquée","B","P"))),""))</f>
        <v/>
      </c>
      <c r="S285" s="53">
        <f>IF(OR($F285="",$G285=""),"",IF(AND(S$5&lt;=$G285,S$5+6&gt;=$F285),IF($H285="Complétée","F",IF(OR($H285="En cours",$H285="En revue"),"E",IF($H285="Bloquée","B","P"))),""))</f>
        <v/>
      </c>
      <c r="T285" s="53">
        <f>IF(OR($F285="",$G285=""),"",IF(AND(T$5&lt;=$G285,T$5+6&gt;=$F285),IF($H285="Complétée","F",IF(OR($H285="En cours",$H285="En revue"),"E",IF($H285="Bloquée","B","P"))),""))</f>
        <v/>
      </c>
      <c r="U285" s="53">
        <f>IF(OR($F285="",$G285=""),"",IF(AND(U$5&lt;=$G285,U$5+6&gt;=$F285),IF($H285="Complétée","F",IF(OR($H285="En cours",$H285="En revue"),"E",IF($H285="Bloquée","B","P"))),""))</f>
        <v/>
      </c>
      <c r="V285" s="53">
        <f>IF(OR($F285="",$G285=""),"",IF(AND(V$5&lt;=$G285,V$5+6&gt;=$F285),IF($H285="Complétée","F",IF(OR($H285="En cours",$H285="En revue"),"E",IF($H285="Bloquée","B","P"))),""))</f>
        <v/>
      </c>
      <c r="W285" s="53">
        <f>IF(OR($F285="",$G285=""),"",IF(AND(W$5&lt;=$G285,W$5+6&gt;=$F285),IF($H285="Complétée","F",IF(OR($H285="En cours",$H285="En revue"),"E",IF($H285="Bloquée","B","P"))),""))</f>
        <v/>
      </c>
      <c r="X285" s="53">
        <f>IF(OR($F285="",$G285=""),"",IF(AND(X$5&lt;=$G285,X$5+6&gt;=$F285),IF($H285="Complétée","F",IF(OR($H285="En cours",$H285="En revue"),"E",IF($H285="Bloquée","B","P"))),""))</f>
        <v/>
      </c>
      <c r="Y285" s="53">
        <f>IF(OR($F285="",$G285=""),"",IF(AND(Y$5&lt;=$G285,Y$5+6&gt;=$F285),IF($H285="Complétée","F",IF(OR($H285="En cours",$H285="En revue"),"E",IF($H285="Bloquée","B","P"))),""))</f>
        <v/>
      </c>
      <c r="Z285" s="53">
        <f>IF(OR($F285="",$G285=""),"",IF(AND(Z$5&lt;=$G285,Z$5+6&gt;=$F285),IF($H285="Complétée","F",IF(OR($H285="En cours",$H285="En revue"),"E",IF($H285="Bloquée","B","P"))),""))</f>
        <v/>
      </c>
      <c r="AA285" s="53">
        <f>IF(OR($F285="",$G285=""),"",IF(AND(AA$5&lt;=$G285,AA$5+6&gt;=$F285),IF($H285="Complétée","F",IF(OR($H285="En cours",$H285="En revue"),"E",IF($H285="Bloquée","B","P"))),""))</f>
        <v/>
      </c>
      <c r="AB285" s="53">
        <f>IF(OR($F285="",$G285=""),"",IF(AND(AB$5&lt;=$G285,AB$5+6&gt;=$F285),IF($H285="Complétée","F",IF(OR($H285="En cours",$H285="En revue"),"E",IF($H285="Bloquée","B","P"))),""))</f>
        <v/>
      </c>
      <c r="AC285" s="53">
        <f>IF(OR($F285="",$G285=""),"",IF(AND(AC$5&lt;=$G285,AC$5+6&gt;=$F285),IF($H285="Complétée","F",IF(OR($H285="En cours",$H285="En revue"),"E",IF($H285="Bloquée","B","P"))),""))</f>
        <v/>
      </c>
      <c r="AD285" s="53">
        <f>IF(OR($F285="",$G285=""),"",IF(AND(AD$5&lt;=$G285,AD$5+6&gt;=$F285),IF($H285="Complétée","F",IF(OR($H285="En cours",$H285="En revue"),"E",IF($H285="Bloquée","B","P"))),""))</f>
        <v/>
      </c>
      <c r="AE285" s="53">
        <f>IF(OR($F285="",$G285=""),"",IF(AND(AE$5&lt;=$G285,AE$5+6&gt;=$F285),IF($H285="Complétée","F",IF(OR($H285="En cours",$H285="En revue"),"E",IF($H285="Bloquée","B","P"))),""))</f>
        <v/>
      </c>
      <c r="AF285" s="53">
        <f>IF(OR($F285="",$G285=""),"",IF(AND(AF$5&lt;=$G285,AF$5+6&gt;=$F285),IF($H285="Complétée","F",IF(OR($H285="En cours",$H285="En revue"),"E",IF($H285="Bloquée","B","P"))),""))</f>
        <v/>
      </c>
      <c r="AG285" s="53">
        <f>IF(OR($F285="",$G285=""),"",IF(AND(AG$5&lt;=$G285,AG$5+6&gt;=$F285),IF($H285="Complétée","F",IF(OR($H285="En cours",$H285="En revue"),"E",IF($H285="Bloquée","B","P"))),""))</f>
        <v/>
      </c>
      <c r="AH285" s="53">
        <f>IF(OR($F285="",$G285=""),"",IF(AND(AH$5&lt;=$G285,AH$5+6&gt;=$F285),IF($H285="Complétée","F",IF(OR($H285="En cours",$H285="En revue"),"E",IF($H285="Bloquée","B","P"))),""))</f>
        <v/>
      </c>
      <c r="AI285" s="53">
        <f>IF(OR($F285="",$G285=""),"",IF(AND(AI$5&lt;=$G285,AI$5+6&gt;=$F285),IF($H285="Complétée","F",IF(OR($H285="En cours",$H285="En revue"),"E",IF($H285="Bloquée","B","P"))),""))</f>
        <v/>
      </c>
      <c r="AJ285" s="53">
        <f>IF(OR($F285="",$G285=""),"",IF(AND(AJ$5&lt;=$G285,AJ$5+6&gt;=$F285),IF($H285="Complétée","F",IF(OR($H285="En cours",$H285="En revue"),"E",IF($H285="Bloquée","B","P"))),""))</f>
        <v/>
      </c>
      <c r="AK285" s="53">
        <f>IF(OR($F285="",$G285=""),"",IF(AND(AK$5&lt;=$G285,AK$5+6&gt;=$F285),IF($H285="Complétée","F",IF(OR($H285="En cours",$H285="En revue"),"E",IF($H285="Bloquée","B","P"))),""))</f>
        <v/>
      </c>
      <c r="AL285" s="53">
        <f>IF(OR($F285="",$G285=""),"",IF(AND(AL$5&lt;=$G285,AL$5+6&gt;=$F285),IF($H285="Complétée","F",IF(OR($H285="En cours",$H285="En revue"),"E",IF($H285="Bloquée","B","P"))),""))</f>
        <v/>
      </c>
      <c r="AM285" s="53">
        <f>IF(OR($F285="",$G285=""),"",IF(AND(AM$5&lt;=$G285,AM$5+6&gt;=$F285),IF($H285="Complétée","F",IF(OR($H285="En cours",$H285="En revue"),"E",IF($H285="Bloquée","B","P"))),""))</f>
        <v/>
      </c>
      <c r="AN285" s="53">
        <f>IF(OR($F285="",$G285=""),"",IF(AND(AN$5&lt;=$G285,AN$5+6&gt;=$F285),IF($H285="Complétée","F",IF(OR($H285="En cours",$H285="En revue"),"E",IF($H285="Bloquée","B","P"))),""))</f>
        <v/>
      </c>
      <c r="AO285" s="53">
        <f>IF(OR($F285="",$G285=""),"",IF(AND(AO$5&lt;=$G285,AO$5+6&gt;=$F285),IF($H285="Complétée","F",IF(OR($H285="En cours",$H285="En revue"),"E",IF($H285="Bloquée","B","P"))),""))</f>
        <v/>
      </c>
      <c r="AP285" s="53">
        <f>IF(OR($F285="",$G285=""),"",IF(AND(AP$5&lt;=$G285,AP$5+6&gt;=$F285),IF($H285="Complétée","F",IF(OR($H285="En cours",$H285="En revue"),"E",IF($H285="Bloquée","B","P"))),""))</f>
        <v/>
      </c>
      <c r="AQ285" s="53">
        <f>IF(OR($F285="",$G285=""),"",IF(AND(AQ$5&lt;=$G285,AQ$5+6&gt;=$F285),IF($H285="Complétée","F",IF(OR($H285="En cours",$H285="En revue"),"E",IF($H285="Bloquée","B","P"))),""))</f>
        <v/>
      </c>
      <c r="AR285" s="53">
        <f>IF(OR($F285="",$G285=""),"",IF(AND(AR$5&lt;=$G285,AR$5+6&gt;=$F285),IF($H285="Complétée","F",IF(OR($H285="En cours",$H285="En revue"),"E",IF($H285="Bloquée","B","P"))),""))</f>
        <v/>
      </c>
      <c r="AS285" s="53">
        <f>IF(OR($F285="",$G285=""),"",IF(AND(AS$5&lt;=$G285,AS$5+6&gt;=$F285),IF($H285="Complétée","F",IF(OR($H285="En cours",$H285="En revue"),"E",IF($H285="Bloquée","B","P"))),""))</f>
        <v/>
      </c>
      <c r="AT285" s="53">
        <f>IF(OR($F285="",$G285=""),"",IF(AND(AT$5&lt;=$G285,AT$5+6&gt;=$F285),IF($H285="Complétée","F",IF(OR($H285="En cours",$H285="En revue"),"E",IF($H285="Bloquée","B","P"))),""))</f>
        <v/>
      </c>
      <c r="AU285" s="53">
        <f>IF(OR($F285="",$G285=""),"",IF(AND(AU$5&lt;=$G285,AU$5+6&gt;=$F285),IF($H285="Complétée","F",IF(OR($H285="En cours",$H285="En revue"),"E",IF($H285="Bloquée","B","P"))),""))</f>
        <v/>
      </c>
      <c r="AV285" s="53">
        <f>IF(OR($F285="",$G285=""),"",IF(AND(AV$5&lt;=$G285,AV$5+6&gt;=$F285),IF($H285="Complétée","F",IF(OR($H285="En cours",$H285="En revue"),"E",IF($H285="Bloquée","B","P"))),""))</f>
        <v/>
      </c>
      <c r="AW285" s="53">
        <f>IF(OR($F285="",$G285=""),"",IF(AND(AW$5&lt;=$G285,AW$5+6&gt;=$F285),IF($H285="Complétée","F",IF(OR($H285="En cours",$H285="En revue"),"E",IF($H285="Bloquée","B","P"))),""))</f>
        <v/>
      </c>
    </row>
    <row r="286">
      <c r="B286" s="50">
        <f>IF(Taches!B286="","",Taches!B286)</f>
        <v/>
      </c>
      <c r="C286" s="51">
        <f>IF(Taches!B286="","",Taches!F286)</f>
        <v/>
      </c>
      <c r="D286" s="50">
        <f>IF(Taches!B286="","",Taches!C286)</f>
        <v/>
      </c>
      <c r="E286" s="50">
        <f>IF(Taches!B286="","",Taches!D286)</f>
        <v/>
      </c>
      <c r="F286" s="52">
        <f>IF(Taches!P286="","",Taches!P286)</f>
        <v/>
      </c>
      <c r="G286" s="52">
        <f>IF(Taches!Q286="","",Taches!Q286)</f>
        <v/>
      </c>
      <c r="H286" s="50">
        <f>IF(Taches!B286="","",Taches!J286)</f>
        <v/>
      </c>
      <c r="I286" s="53">
        <f>IF(OR($F286="",$G286=""),"",IF(AND(I$5&lt;=$G286,I$5+6&gt;=$F286),IF($H286="Complétée","F",IF(OR($H286="En cours",$H286="En revue"),"E",IF($H286="Bloquée","B","P"))),""))</f>
        <v/>
      </c>
      <c r="J286" s="53">
        <f>IF(OR($F286="",$G286=""),"",IF(AND(J$5&lt;=$G286,J$5+6&gt;=$F286),IF($H286="Complétée","F",IF(OR($H286="En cours",$H286="En revue"),"E",IF($H286="Bloquée","B","P"))),""))</f>
        <v/>
      </c>
      <c r="K286" s="53">
        <f>IF(OR($F286="",$G286=""),"",IF(AND(K$5&lt;=$G286,K$5+6&gt;=$F286),IF($H286="Complétée","F",IF(OR($H286="En cours",$H286="En revue"),"E",IF($H286="Bloquée","B","P"))),""))</f>
        <v/>
      </c>
      <c r="L286" s="53">
        <f>IF(OR($F286="",$G286=""),"",IF(AND(L$5&lt;=$G286,L$5+6&gt;=$F286),IF($H286="Complétée","F",IF(OR($H286="En cours",$H286="En revue"),"E",IF($H286="Bloquée","B","P"))),""))</f>
        <v/>
      </c>
      <c r="M286" s="53">
        <f>IF(OR($F286="",$G286=""),"",IF(AND(M$5&lt;=$G286,M$5+6&gt;=$F286),IF($H286="Complétée","F",IF(OR($H286="En cours",$H286="En revue"),"E",IF($H286="Bloquée","B","P"))),""))</f>
        <v/>
      </c>
      <c r="N286" s="53">
        <f>IF(OR($F286="",$G286=""),"",IF(AND(N$5&lt;=$G286,N$5+6&gt;=$F286),IF($H286="Complétée","F",IF(OR($H286="En cours",$H286="En revue"),"E",IF($H286="Bloquée","B","P"))),""))</f>
        <v/>
      </c>
      <c r="O286" s="53">
        <f>IF(OR($F286="",$G286=""),"",IF(AND(O$5&lt;=$G286,O$5+6&gt;=$F286),IF($H286="Complétée","F",IF(OR($H286="En cours",$H286="En revue"),"E",IF($H286="Bloquée","B","P"))),""))</f>
        <v/>
      </c>
      <c r="P286" s="53">
        <f>IF(OR($F286="",$G286=""),"",IF(AND(P$5&lt;=$G286,P$5+6&gt;=$F286),IF($H286="Complétée","F",IF(OR($H286="En cours",$H286="En revue"),"E",IF($H286="Bloquée","B","P"))),""))</f>
        <v/>
      </c>
      <c r="Q286" s="53">
        <f>IF(OR($F286="",$G286=""),"",IF(AND(Q$5&lt;=$G286,Q$5+6&gt;=$F286),IF($H286="Complétée","F",IF(OR($H286="En cours",$H286="En revue"),"E",IF($H286="Bloquée","B","P"))),""))</f>
        <v/>
      </c>
      <c r="R286" s="53">
        <f>IF(OR($F286="",$G286=""),"",IF(AND(R$5&lt;=$G286,R$5+6&gt;=$F286),IF($H286="Complétée","F",IF(OR($H286="En cours",$H286="En revue"),"E",IF($H286="Bloquée","B","P"))),""))</f>
        <v/>
      </c>
      <c r="S286" s="53">
        <f>IF(OR($F286="",$G286=""),"",IF(AND(S$5&lt;=$G286,S$5+6&gt;=$F286),IF($H286="Complétée","F",IF(OR($H286="En cours",$H286="En revue"),"E",IF($H286="Bloquée","B","P"))),""))</f>
        <v/>
      </c>
      <c r="T286" s="53">
        <f>IF(OR($F286="",$G286=""),"",IF(AND(T$5&lt;=$G286,T$5+6&gt;=$F286),IF($H286="Complétée","F",IF(OR($H286="En cours",$H286="En revue"),"E",IF($H286="Bloquée","B","P"))),""))</f>
        <v/>
      </c>
      <c r="U286" s="53">
        <f>IF(OR($F286="",$G286=""),"",IF(AND(U$5&lt;=$G286,U$5+6&gt;=$F286),IF($H286="Complétée","F",IF(OR($H286="En cours",$H286="En revue"),"E",IF($H286="Bloquée","B","P"))),""))</f>
        <v/>
      </c>
      <c r="V286" s="53">
        <f>IF(OR($F286="",$G286=""),"",IF(AND(V$5&lt;=$G286,V$5+6&gt;=$F286),IF($H286="Complétée","F",IF(OR($H286="En cours",$H286="En revue"),"E",IF($H286="Bloquée","B","P"))),""))</f>
        <v/>
      </c>
      <c r="W286" s="53">
        <f>IF(OR($F286="",$G286=""),"",IF(AND(W$5&lt;=$G286,W$5+6&gt;=$F286),IF($H286="Complétée","F",IF(OR($H286="En cours",$H286="En revue"),"E",IF($H286="Bloquée","B","P"))),""))</f>
        <v/>
      </c>
      <c r="X286" s="53">
        <f>IF(OR($F286="",$G286=""),"",IF(AND(X$5&lt;=$G286,X$5+6&gt;=$F286),IF($H286="Complétée","F",IF(OR($H286="En cours",$H286="En revue"),"E",IF($H286="Bloquée","B","P"))),""))</f>
        <v/>
      </c>
      <c r="Y286" s="53">
        <f>IF(OR($F286="",$G286=""),"",IF(AND(Y$5&lt;=$G286,Y$5+6&gt;=$F286),IF($H286="Complétée","F",IF(OR($H286="En cours",$H286="En revue"),"E",IF($H286="Bloquée","B","P"))),""))</f>
        <v/>
      </c>
      <c r="Z286" s="53">
        <f>IF(OR($F286="",$G286=""),"",IF(AND(Z$5&lt;=$G286,Z$5+6&gt;=$F286),IF($H286="Complétée","F",IF(OR($H286="En cours",$H286="En revue"),"E",IF($H286="Bloquée","B","P"))),""))</f>
        <v/>
      </c>
      <c r="AA286" s="53">
        <f>IF(OR($F286="",$G286=""),"",IF(AND(AA$5&lt;=$G286,AA$5+6&gt;=$F286),IF($H286="Complétée","F",IF(OR($H286="En cours",$H286="En revue"),"E",IF($H286="Bloquée","B","P"))),""))</f>
        <v/>
      </c>
      <c r="AB286" s="53">
        <f>IF(OR($F286="",$G286=""),"",IF(AND(AB$5&lt;=$G286,AB$5+6&gt;=$F286),IF($H286="Complétée","F",IF(OR($H286="En cours",$H286="En revue"),"E",IF($H286="Bloquée","B","P"))),""))</f>
        <v/>
      </c>
      <c r="AC286" s="53">
        <f>IF(OR($F286="",$G286=""),"",IF(AND(AC$5&lt;=$G286,AC$5+6&gt;=$F286),IF($H286="Complétée","F",IF(OR($H286="En cours",$H286="En revue"),"E",IF($H286="Bloquée","B","P"))),""))</f>
        <v/>
      </c>
      <c r="AD286" s="53">
        <f>IF(OR($F286="",$G286=""),"",IF(AND(AD$5&lt;=$G286,AD$5+6&gt;=$F286),IF($H286="Complétée","F",IF(OR($H286="En cours",$H286="En revue"),"E",IF($H286="Bloquée","B","P"))),""))</f>
        <v/>
      </c>
      <c r="AE286" s="53">
        <f>IF(OR($F286="",$G286=""),"",IF(AND(AE$5&lt;=$G286,AE$5+6&gt;=$F286),IF($H286="Complétée","F",IF(OR($H286="En cours",$H286="En revue"),"E",IF($H286="Bloquée","B","P"))),""))</f>
        <v/>
      </c>
      <c r="AF286" s="53">
        <f>IF(OR($F286="",$G286=""),"",IF(AND(AF$5&lt;=$G286,AF$5+6&gt;=$F286),IF($H286="Complétée","F",IF(OR($H286="En cours",$H286="En revue"),"E",IF($H286="Bloquée","B","P"))),""))</f>
        <v/>
      </c>
      <c r="AG286" s="53">
        <f>IF(OR($F286="",$G286=""),"",IF(AND(AG$5&lt;=$G286,AG$5+6&gt;=$F286),IF($H286="Complétée","F",IF(OR($H286="En cours",$H286="En revue"),"E",IF($H286="Bloquée","B","P"))),""))</f>
        <v/>
      </c>
      <c r="AH286" s="53">
        <f>IF(OR($F286="",$G286=""),"",IF(AND(AH$5&lt;=$G286,AH$5+6&gt;=$F286),IF($H286="Complétée","F",IF(OR($H286="En cours",$H286="En revue"),"E",IF($H286="Bloquée","B","P"))),""))</f>
        <v/>
      </c>
      <c r="AI286" s="53">
        <f>IF(OR($F286="",$G286=""),"",IF(AND(AI$5&lt;=$G286,AI$5+6&gt;=$F286),IF($H286="Complétée","F",IF(OR($H286="En cours",$H286="En revue"),"E",IF($H286="Bloquée","B","P"))),""))</f>
        <v/>
      </c>
      <c r="AJ286" s="53">
        <f>IF(OR($F286="",$G286=""),"",IF(AND(AJ$5&lt;=$G286,AJ$5+6&gt;=$F286),IF($H286="Complétée","F",IF(OR($H286="En cours",$H286="En revue"),"E",IF($H286="Bloquée","B","P"))),""))</f>
        <v/>
      </c>
      <c r="AK286" s="53">
        <f>IF(OR($F286="",$G286=""),"",IF(AND(AK$5&lt;=$G286,AK$5+6&gt;=$F286),IF($H286="Complétée","F",IF(OR($H286="En cours",$H286="En revue"),"E",IF($H286="Bloquée","B","P"))),""))</f>
        <v/>
      </c>
      <c r="AL286" s="53">
        <f>IF(OR($F286="",$G286=""),"",IF(AND(AL$5&lt;=$G286,AL$5+6&gt;=$F286),IF($H286="Complétée","F",IF(OR($H286="En cours",$H286="En revue"),"E",IF($H286="Bloquée","B","P"))),""))</f>
        <v/>
      </c>
      <c r="AM286" s="53">
        <f>IF(OR($F286="",$G286=""),"",IF(AND(AM$5&lt;=$G286,AM$5+6&gt;=$F286),IF($H286="Complétée","F",IF(OR($H286="En cours",$H286="En revue"),"E",IF($H286="Bloquée","B","P"))),""))</f>
        <v/>
      </c>
      <c r="AN286" s="53">
        <f>IF(OR($F286="",$G286=""),"",IF(AND(AN$5&lt;=$G286,AN$5+6&gt;=$F286),IF($H286="Complétée","F",IF(OR($H286="En cours",$H286="En revue"),"E",IF($H286="Bloquée","B","P"))),""))</f>
        <v/>
      </c>
      <c r="AO286" s="53">
        <f>IF(OR($F286="",$G286=""),"",IF(AND(AO$5&lt;=$G286,AO$5+6&gt;=$F286),IF($H286="Complétée","F",IF(OR($H286="En cours",$H286="En revue"),"E",IF($H286="Bloquée","B","P"))),""))</f>
        <v/>
      </c>
      <c r="AP286" s="53">
        <f>IF(OR($F286="",$G286=""),"",IF(AND(AP$5&lt;=$G286,AP$5+6&gt;=$F286),IF($H286="Complétée","F",IF(OR($H286="En cours",$H286="En revue"),"E",IF($H286="Bloquée","B","P"))),""))</f>
        <v/>
      </c>
      <c r="AQ286" s="53">
        <f>IF(OR($F286="",$G286=""),"",IF(AND(AQ$5&lt;=$G286,AQ$5+6&gt;=$F286),IF($H286="Complétée","F",IF(OR($H286="En cours",$H286="En revue"),"E",IF($H286="Bloquée","B","P"))),""))</f>
        <v/>
      </c>
      <c r="AR286" s="53">
        <f>IF(OR($F286="",$G286=""),"",IF(AND(AR$5&lt;=$G286,AR$5+6&gt;=$F286),IF($H286="Complétée","F",IF(OR($H286="En cours",$H286="En revue"),"E",IF($H286="Bloquée","B","P"))),""))</f>
        <v/>
      </c>
      <c r="AS286" s="53">
        <f>IF(OR($F286="",$G286=""),"",IF(AND(AS$5&lt;=$G286,AS$5+6&gt;=$F286),IF($H286="Complétée","F",IF(OR($H286="En cours",$H286="En revue"),"E",IF($H286="Bloquée","B","P"))),""))</f>
        <v/>
      </c>
      <c r="AT286" s="53">
        <f>IF(OR($F286="",$G286=""),"",IF(AND(AT$5&lt;=$G286,AT$5+6&gt;=$F286),IF($H286="Complétée","F",IF(OR($H286="En cours",$H286="En revue"),"E",IF($H286="Bloquée","B","P"))),""))</f>
        <v/>
      </c>
      <c r="AU286" s="53">
        <f>IF(OR($F286="",$G286=""),"",IF(AND(AU$5&lt;=$G286,AU$5+6&gt;=$F286),IF($H286="Complétée","F",IF(OR($H286="En cours",$H286="En revue"),"E",IF($H286="Bloquée","B","P"))),""))</f>
        <v/>
      </c>
      <c r="AV286" s="53">
        <f>IF(OR($F286="",$G286=""),"",IF(AND(AV$5&lt;=$G286,AV$5+6&gt;=$F286),IF($H286="Complétée","F",IF(OR($H286="En cours",$H286="En revue"),"E",IF($H286="Bloquée","B","P"))),""))</f>
        <v/>
      </c>
      <c r="AW286" s="53">
        <f>IF(OR($F286="",$G286=""),"",IF(AND(AW$5&lt;=$G286,AW$5+6&gt;=$F286),IF($H286="Complétée","F",IF(OR($H286="En cours",$H286="En revue"),"E",IF($H286="Bloquée","B","P"))),""))</f>
        <v/>
      </c>
    </row>
    <row r="287">
      <c r="B287" s="50">
        <f>IF(Taches!B287="","",Taches!B287)</f>
        <v/>
      </c>
      <c r="C287" s="51">
        <f>IF(Taches!B287="","",Taches!F287)</f>
        <v/>
      </c>
      <c r="D287" s="50">
        <f>IF(Taches!B287="","",Taches!C287)</f>
        <v/>
      </c>
      <c r="E287" s="50">
        <f>IF(Taches!B287="","",Taches!D287)</f>
        <v/>
      </c>
      <c r="F287" s="52">
        <f>IF(Taches!P287="","",Taches!P287)</f>
        <v/>
      </c>
      <c r="G287" s="52">
        <f>IF(Taches!Q287="","",Taches!Q287)</f>
        <v/>
      </c>
      <c r="H287" s="50">
        <f>IF(Taches!B287="","",Taches!J287)</f>
        <v/>
      </c>
      <c r="I287" s="53">
        <f>IF(OR($F287="",$G287=""),"",IF(AND(I$5&lt;=$G287,I$5+6&gt;=$F287),IF($H287="Complétée","F",IF(OR($H287="En cours",$H287="En revue"),"E",IF($H287="Bloquée","B","P"))),""))</f>
        <v/>
      </c>
      <c r="J287" s="53">
        <f>IF(OR($F287="",$G287=""),"",IF(AND(J$5&lt;=$G287,J$5+6&gt;=$F287),IF($H287="Complétée","F",IF(OR($H287="En cours",$H287="En revue"),"E",IF($H287="Bloquée","B","P"))),""))</f>
        <v/>
      </c>
      <c r="K287" s="53">
        <f>IF(OR($F287="",$G287=""),"",IF(AND(K$5&lt;=$G287,K$5+6&gt;=$F287),IF($H287="Complétée","F",IF(OR($H287="En cours",$H287="En revue"),"E",IF($H287="Bloquée","B","P"))),""))</f>
        <v/>
      </c>
      <c r="L287" s="53">
        <f>IF(OR($F287="",$G287=""),"",IF(AND(L$5&lt;=$G287,L$5+6&gt;=$F287),IF($H287="Complétée","F",IF(OR($H287="En cours",$H287="En revue"),"E",IF($H287="Bloquée","B","P"))),""))</f>
        <v/>
      </c>
      <c r="M287" s="53">
        <f>IF(OR($F287="",$G287=""),"",IF(AND(M$5&lt;=$G287,M$5+6&gt;=$F287),IF($H287="Complétée","F",IF(OR($H287="En cours",$H287="En revue"),"E",IF($H287="Bloquée","B","P"))),""))</f>
        <v/>
      </c>
      <c r="N287" s="53">
        <f>IF(OR($F287="",$G287=""),"",IF(AND(N$5&lt;=$G287,N$5+6&gt;=$F287),IF($H287="Complétée","F",IF(OR($H287="En cours",$H287="En revue"),"E",IF($H287="Bloquée","B","P"))),""))</f>
        <v/>
      </c>
      <c r="O287" s="53">
        <f>IF(OR($F287="",$G287=""),"",IF(AND(O$5&lt;=$G287,O$5+6&gt;=$F287),IF($H287="Complétée","F",IF(OR($H287="En cours",$H287="En revue"),"E",IF($H287="Bloquée","B","P"))),""))</f>
        <v/>
      </c>
      <c r="P287" s="53">
        <f>IF(OR($F287="",$G287=""),"",IF(AND(P$5&lt;=$G287,P$5+6&gt;=$F287),IF($H287="Complétée","F",IF(OR($H287="En cours",$H287="En revue"),"E",IF($H287="Bloquée","B","P"))),""))</f>
        <v/>
      </c>
      <c r="Q287" s="53">
        <f>IF(OR($F287="",$G287=""),"",IF(AND(Q$5&lt;=$G287,Q$5+6&gt;=$F287),IF($H287="Complétée","F",IF(OR($H287="En cours",$H287="En revue"),"E",IF($H287="Bloquée","B","P"))),""))</f>
        <v/>
      </c>
      <c r="R287" s="53">
        <f>IF(OR($F287="",$G287=""),"",IF(AND(R$5&lt;=$G287,R$5+6&gt;=$F287),IF($H287="Complétée","F",IF(OR($H287="En cours",$H287="En revue"),"E",IF($H287="Bloquée","B","P"))),""))</f>
        <v/>
      </c>
      <c r="S287" s="53">
        <f>IF(OR($F287="",$G287=""),"",IF(AND(S$5&lt;=$G287,S$5+6&gt;=$F287),IF($H287="Complétée","F",IF(OR($H287="En cours",$H287="En revue"),"E",IF($H287="Bloquée","B","P"))),""))</f>
        <v/>
      </c>
      <c r="T287" s="53">
        <f>IF(OR($F287="",$G287=""),"",IF(AND(T$5&lt;=$G287,T$5+6&gt;=$F287),IF($H287="Complétée","F",IF(OR($H287="En cours",$H287="En revue"),"E",IF($H287="Bloquée","B","P"))),""))</f>
        <v/>
      </c>
      <c r="U287" s="53">
        <f>IF(OR($F287="",$G287=""),"",IF(AND(U$5&lt;=$G287,U$5+6&gt;=$F287),IF($H287="Complétée","F",IF(OR($H287="En cours",$H287="En revue"),"E",IF($H287="Bloquée","B","P"))),""))</f>
        <v/>
      </c>
      <c r="V287" s="53">
        <f>IF(OR($F287="",$G287=""),"",IF(AND(V$5&lt;=$G287,V$5+6&gt;=$F287),IF($H287="Complétée","F",IF(OR($H287="En cours",$H287="En revue"),"E",IF($H287="Bloquée","B","P"))),""))</f>
        <v/>
      </c>
      <c r="W287" s="53">
        <f>IF(OR($F287="",$G287=""),"",IF(AND(W$5&lt;=$G287,W$5+6&gt;=$F287),IF($H287="Complétée","F",IF(OR($H287="En cours",$H287="En revue"),"E",IF($H287="Bloquée","B","P"))),""))</f>
        <v/>
      </c>
      <c r="X287" s="53">
        <f>IF(OR($F287="",$G287=""),"",IF(AND(X$5&lt;=$G287,X$5+6&gt;=$F287),IF($H287="Complétée","F",IF(OR($H287="En cours",$H287="En revue"),"E",IF($H287="Bloquée","B","P"))),""))</f>
        <v/>
      </c>
      <c r="Y287" s="53">
        <f>IF(OR($F287="",$G287=""),"",IF(AND(Y$5&lt;=$G287,Y$5+6&gt;=$F287),IF($H287="Complétée","F",IF(OR($H287="En cours",$H287="En revue"),"E",IF($H287="Bloquée","B","P"))),""))</f>
        <v/>
      </c>
      <c r="Z287" s="53">
        <f>IF(OR($F287="",$G287=""),"",IF(AND(Z$5&lt;=$G287,Z$5+6&gt;=$F287),IF($H287="Complétée","F",IF(OR($H287="En cours",$H287="En revue"),"E",IF($H287="Bloquée","B","P"))),""))</f>
        <v/>
      </c>
      <c r="AA287" s="53">
        <f>IF(OR($F287="",$G287=""),"",IF(AND(AA$5&lt;=$G287,AA$5+6&gt;=$F287),IF($H287="Complétée","F",IF(OR($H287="En cours",$H287="En revue"),"E",IF($H287="Bloquée","B","P"))),""))</f>
        <v/>
      </c>
      <c r="AB287" s="53">
        <f>IF(OR($F287="",$G287=""),"",IF(AND(AB$5&lt;=$G287,AB$5+6&gt;=$F287),IF($H287="Complétée","F",IF(OR($H287="En cours",$H287="En revue"),"E",IF($H287="Bloquée","B","P"))),""))</f>
        <v/>
      </c>
      <c r="AC287" s="53">
        <f>IF(OR($F287="",$G287=""),"",IF(AND(AC$5&lt;=$G287,AC$5+6&gt;=$F287),IF($H287="Complétée","F",IF(OR($H287="En cours",$H287="En revue"),"E",IF($H287="Bloquée","B","P"))),""))</f>
        <v/>
      </c>
      <c r="AD287" s="53">
        <f>IF(OR($F287="",$G287=""),"",IF(AND(AD$5&lt;=$G287,AD$5+6&gt;=$F287),IF($H287="Complétée","F",IF(OR($H287="En cours",$H287="En revue"),"E",IF($H287="Bloquée","B","P"))),""))</f>
        <v/>
      </c>
      <c r="AE287" s="53">
        <f>IF(OR($F287="",$G287=""),"",IF(AND(AE$5&lt;=$G287,AE$5+6&gt;=$F287),IF($H287="Complétée","F",IF(OR($H287="En cours",$H287="En revue"),"E",IF($H287="Bloquée","B","P"))),""))</f>
        <v/>
      </c>
      <c r="AF287" s="53">
        <f>IF(OR($F287="",$G287=""),"",IF(AND(AF$5&lt;=$G287,AF$5+6&gt;=$F287),IF($H287="Complétée","F",IF(OR($H287="En cours",$H287="En revue"),"E",IF($H287="Bloquée","B","P"))),""))</f>
        <v/>
      </c>
      <c r="AG287" s="53">
        <f>IF(OR($F287="",$G287=""),"",IF(AND(AG$5&lt;=$G287,AG$5+6&gt;=$F287),IF($H287="Complétée","F",IF(OR($H287="En cours",$H287="En revue"),"E",IF($H287="Bloquée","B","P"))),""))</f>
        <v/>
      </c>
      <c r="AH287" s="53">
        <f>IF(OR($F287="",$G287=""),"",IF(AND(AH$5&lt;=$G287,AH$5+6&gt;=$F287),IF($H287="Complétée","F",IF(OR($H287="En cours",$H287="En revue"),"E",IF($H287="Bloquée","B","P"))),""))</f>
        <v/>
      </c>
      <c r="AI287" s="53">
        <f>IF(OR($F287="",$G287=""),"",IF(AND(AI$5&lt;=$G287,AI$5+6&gt;=$F287),IF($H287="Complétée","F",IF(OR($H287="En cours",$H287="En revue"),"E",IF($H287="Bloquée","B","P"))),""))</f>
        <v/>
      </c>
      <c r="AJ287" s="53">
        <f>IF(OR($F287="",$G287=""),"",IF(AND(AJ$5&lt;=$G287,AJ$5+6&gt;=$F287),IF($H287="Complétée","F",IF(OR($H287="En cours",$H287="En revue"),"E",IF($H287="Bloquée","B","P"))),""))</f>
        <v/>
      </c>
      <c r="AK287" s="53">
        <f>IF(OR($F287="",$G287=""),"",IF(AND(AK$5&lt;=$G287,AK$5+6&gt;=$F287),IF($H287="Complétée","F",IF(OR($H287="En cours",$H287="En revue"),"E",IF($H287="Bloquée","B","P"))),""))</f>
        <v/>
      </c>
      <c r="AL287" s="53">
        <f>IF(OR($F287="",$G287=""),"",IF(AND(AL$5&lt;=$G287,AL$5+6&gt;=$F287),IF($H287="Complétée","F",IF(OR($H287="En cours",$H287="En revue"),"E",IF($H287="Bloquée","B","P"))),""))</f>
        <v/>
      </c>
      <c r="AM287" s="53">
        <f>IF(OR($F287="",$G287=""),"",IF(AND(AM$5&lt;=$G287,AM$5+6&gt;=$F287),IF($H287="Complétée","F",IF(OR($H287="En cours",$H287="En revue"),"E",IF($H287="Bloquée","B","P"))),""))</f>
        <v/>
      </c>
      <c r="AN287" s="53">
        <f>IF(OR($F287="",$G287=""),"",IF(AND(AN$5&lt;=$G287,AN$5+6&gt;=$F287),IF($H287="Complétée","F",IF(OR($H287="En cours",$H287="En revue"),"E",IF($H287="Bloquée","B","P"))),""))</f>
        <v/>
      </c>
      <c r="AO287" s="53">
        <f>IF(OR($F287="",$G287=""),"",IF(AND(AO$5&lt;=$G287,AO$5+6&gt;=$F287),IF($H287="Complétée","F",IF(OR($H287="En cours",$H287="En revue"),"E",IF($H287="Bloquée","B","P"))),""))</f>
        <v/>
      </c>
      <c r="AP287" s="53">
        <f>IF(OR($F287="",$G287=""),"",IF(AND(AP$5&lt;=$G287,AP$5+6&gt;=$F287),IF($H287="Complétée","F",IF(OR($H287="En cours",$H287="En revue"),"E",IF($H287="Bloquée","B","P"))),""))</f>
        <v/>
      </c>
      <c r="AQ287" s="53">
        <f>IF(OR($F287="",$G287=""),"",IF(AND(AQ$5&lt;=$G287,AQ$5+6&gt;=$F287),IF($H287="Complétée","F",IF(OR($H287="En cours",$H287="En revue"),"E",IF($H287="Bloquée","B","P"))),""))</f>
        <v/>
      </c>
      <c r="AR287" s="53">
        <f>IF(OR($F287="",$G287=""),"",IF(AND(AR$5&lt;=$G287,AR$5+6&gt;=$F287),IF($H287="Complétée","F",IF(OR($H287="En cours",$H287="En revue"),"E",IF($H287="Bloquée","B","P"))),""))</f>
        <v/>
      </c>
      <c r="AS287" s="53">
        <f>IF(OR($F287="",$G287=""),"",IF(AND(AS$5&lt;=$G287,AS$5+6&gt;=$F287),IF($H287="Complétée","F",IF(OR($H287="En cours",$H287="En revue"),"E",IF($H287="Bloquée","B","P"))),""))</f>
        <v/>
      </c>
      <c r="AT287" s="53">
        <f>IF(OR($F287="",$G287=""),"",IF(AND(AT$5&lt;=$G287,AT$5+6&gt;=$F287),IF($H287="Complétée","F",IF(OR($H287="En cours",$H287="En revue"),"E",IF($H287="Bloquée","B","P"))),""))</f>
        <v/>
      </c>
      <c r="AU287" s="53">
        <f>IF(OR($F287="",$G287=""),"",IF(AND(AU$5&lt;=$G287,AU$5+6&gt;=$F287),IF($H287="Complétée","F",IF(OR($H287="En cours",$H287="En revue"),"E",IF($H287="Bloquée","B","P"))),""))</f>
        <v/>
      </c>
      <c r="AV287" s="53">
        <f>IF(OR($F287="",$G287=""),"",IF(AND(AV$5&lt;=$G287,AV$5+6&gt;=$F287),IF($H287="Complétée","F",IF(OR($H287="En cours",$H287="En revue"),"E",IF($H287="Bloquée","B","P"))),""))</f>
        <v/>
      </c>
      <c r="AW287" s="53">
        <f>IF(OR($F287="",$G287=""),"",IF(AND(AW$5&lt;=$G287,AW$5+6&gt;=$F287),IF($H287="Complétée","F",IF(OR($H287="En cours",$H287="En revue"),"E",IF($H287="Bloquée","B","P"))),""))</f>
        <v/>
      </c>
    </row>
    <row r="288">
      <c r="B288" s="50">
        <f>IF(Taches!B288="","",Taches!B288)</f>
        <v/>
      </c>
      <c r="C288" s="51">
        <f>IF(Taches!B288="","",Taches!F288)</f>
        <v/>
      </c>
      <c r="D288" s="50">
        <f>IF(Taches!B288="","",Taches!C288)</f>
        <v/>
      </c>
      <c r="E288" s="50">
        <f>IF(Taches!B288="","",Taches!D288)</f>
        <v/>
      </c>
      <c r="F288" s="52">
        <f>IF(Taches!P288="","",Taches!P288)</f>
        <v/>
      </c>
      <c r="G288" s="52">
        <f>IF(Taches!Q288="","",Taches!Q288)</f>
        <v/>
      </c>
      <c r="H288" s="50">
        <f>IF(Taches!B288="","",Taches!J288)</f>
        <v/>
      </c>
      <c r="I288" s="53">
        <f>IF(OR($F288="",$G288=""),"",IF(AND(I$5&lt;=$G288,I$5+6&gt;=$F288),IF($H288="Complétée","F",IF(OR($H288="En cours",$H288="En revue"),"E",IF($H288="Bloquée","B","P"))),""))</f>
        <v/>
      </c>
      <c r="J288" s="53">
        <f>IF(OR($F288="",$G288=""),"",IF(AND(J$5&lt;=$G288,J$5+6&gt;=$F288),IF($H288="Complétée","F",IF(OR($H288="En cours",$H288="En revue"),"E",IF($H288="Bloquée","B","P"))),""))</f>
        <v/>
      </c>
      <c r="K288" s="53">
        <f>IF(OR($F288="",$G288=""),"",IF(AND(K$5&lt;=$G288,K$5+6&gt;=$F288),IF($H288="Complétée","F",IF(OR($H288="En cours",$H288="En revue"),"E",IF($H288="Bloquée","B","P"))),""))</f>
        <v/>
      </c>
      <c r="L288" s="53">
        <f>IF(OR($F288="",$G288=""),"",IF(AND(L$5&lt;=$G288,L$5+6&gt;=$F288),IF($H288="Complétée","F",IF(OR($H288="En cours",$H288="En revue"),"E",IF($H288="Bloquée","B","P"))),""))</f>
        <v/>
      </c>
      <c r="M288" s="53">
        <f>IF(OR($F288="",$G288=""),"",IF(AND(M$5&lt;=$G288,M$5+6&gt;=$F288),IF($H288="Complétée","F",IF(OR($H288="En cours",$H288="En revue"),"E",IF($H288="Bloquée","B","P"))),""))</f>
        <v/>
      </c>
      <c r="N288" s="53">
        <f>IF(OR($F288="",$G288=""),"",IF(AND(N$5&lt;=$G288,N$5+6&gt;=$F288),IF($H288="Complétée","F",IF(OR($H288="En cours",$H288="En revue"),"E",IF($H288="Bloquée","B","P"))),""))</f>
        <v/>
      </c>
      <c r="O288" s="53">
        <f>IF(OR($F288="",$G288=""),"",IF(AND(O$5&lt;=$G288,O$5+6&gt;=$F288),IF($H288="Complétée","F",IF(OR($H288="En cours",$H288="En revue"),"E",IF($H288="Bloquée","B","P"))),""))</f>
        <v/>
      </c>
      <c r="P288" s="53">
        <f>IF(OR($F288="",$G288=""),"",IF(AND(P$5&lt;=$G288,P$5+6&gt;=$F288),IF($H288="Complétée","F",IF(OR($H288="En cours",$H288="En revue"),"E",IF($H288="Bloquée","B","P"))),""))</f>
        <v/>
      </c>
      <c r="Q288" s="53">
        <f>IF(OR($F288="",$G288=""),"",IF(AND(Q$5&lt;=$G288,Q$5+6&gt;=$F288),IF($H288="Complétée","F",IF(OR($H288="En cours",$H288="En revue"),"E",IF($H288="Bloquée","B","P"))),""))</f>
        <v/>
      </c>
      <c r="R288" s="53">
        <f>IF(OR($F288="",$G288=""),"",IF(AND(R$5&lt;=$G288,R$5+6&gt;=$F288),IF($H288="Complétée","F",IF(OR($H288="En cours",$H288="En revue"),"E",IF($H288="Bloquée","B","P"))),""))</f>
        <v/>
      </c>
      <c r="S288" s="53">
        <f>IF(OR($F288="",$G288=""),"",IF(AND(S$5&lt;=$G288,S$5+6&gt;=$F288),IF($H288="Complétée","F",IF(OR($H288="En cours",$H288="En revue"),"E",IF($H288="Bloquée","B","P"))),""))</f>
        <v/>
      </c>
      <c r="T288" s="53">
        <f>IF(OR($F288="",$G288=""),"",IF(AND(T$5&lt;=$G288,T$5+6&gt;=$F288),IF($H288="Complétée","F",IF(OR($H288="En cours",$H288="En revue"),"E",IF($H288="Bloquée","B","P"))),""))</f>
        <v/>
      </c>
      <c r="U288" s="53">
        <f>IF(OR($F288="",$G288=""),"",IF(AND(U$5&lt;=$G288,U$5+6&gt;=$F288),IF($H288="Complétée","F",IF(OR($H288="En cours",$H288="En revue"),"E",IF($H288="Bloquée","B","P"))),""))</f>
        <v/>
      </c>
      <c r="V288" s="53">
        <f>IF(OR($F288="",$G288=""),"",IF(AND(V$5&lt;=$G288,V$5+6&gt;=$F288),IF($H288="Complétée","F",IF(OR($H288="En cours",$H288="En revue"),"E",IF($H288="Bloquée","B","P"))),""))</f>
        <v/>
      </c>
      <c r="W288" s="53">
        <f>IF(OR($F288="",$G288=""),"",IF(AND(W$5&lt;=$G288,W$5+6&gt;=$F288),IF($H288="Complétée","F",IF(OR($H288="En cours",$H288="En revue"),"E",IF($H288="Bloquée","B","P"))),""))</f>
        <v/>
      </c>
      <c r="X288" s="53">
        <f>IF(OR($F288="",$G288=""),"",IF(AND(X$5&lt;=$G288,X$5+6&gt;=$F288),IF($H288="Complétée","F",IF(OR($H288="En cours",$H288="En revue"),"E",IF($H288="Bloquée","B","P"))),""))</f>
        <v/>
      </c>
      <c r="Y288" s="53">
        <f>IF(OR($F288="",$G288=""),"",IF(AND(Y$5&lt;=$G288,Y$5+6&gt;=$F288),IF($H288="Complétée","F",IF(OR($H288="En cours",$H288="En revue"),"E",IF($H288="Bloquée","B","P"))),""))</f>
        <v/>
      </c>
      <c r="Z288" s="53">
        <f>IF(OR($F288="",$G288=""),"",IF(AND(Z$5&lt;=$G288,Z$5+6&gt;=$F288),IF($H288="Complétée","F",IF(OR($H288="En cours",$H288="En revue"),"E",IF($H288="Bloquée","B","P"))),""))</f>
        <v/>
      </c>
      <c r="AA288" s="53">
        <f>IF(OR($F288="",$G288=""),"",IF(AND(AA$5&lt;=$G288,AA$5+6&gt;=$F288),IF($H288="Complétée","F",IF(OR($H288="En cours",$H288="En revue"),"E",IF($H288="Bloquée","B","P"))),""))</f>
        <v/>
      </c>
      <c r="AB288" s="53">
        <f>IF(OR($F288="",$G288=""),"",IF(AND(AB$5&lt;=$G288,AB$5+6&gt;=$F288),IF($H288="Complétée","F",IF(OR($H288="En cours",$H288="En revue"),"E",IF($H288="Bloquée","B","P"))),""))</f>
        <v/>
      </c>
      <c r="AC288" s="53">
        <f>IF(OR($F288="",$G288=""),"",IF(AND(AC$5&lt;=$G288,AC$5+6&gt;=$F288),IF($H288="Complétée","F",IF(OR($H288="En cours",$H288="En revue"),"E",IF($H288="Bloquée","B","P"))),""))</f>
        <v/>
      </c>
      <c r="AD288" s="53">
        <f>IF(OR($F288="",$G288=""),"",IF(AND(AD$5&lt;=$G288,AD$5+6&gt;=$F288),IF($H288="Complétée","F",IF(OR($H288="En cours",$H288="En revue"),"E",IF($H288="Bloquée","B","P"))),""))</f>
        <v/>
      </c>
      <c r="AE288" s="53">
        <f>IF(OR($F288="",$G288=""),"",IF(AND(AE$5&lt;=$G288,AE$5+6&gt;=$F288),IF($H288="Complétée","F",IF(OR($H288="En cours",$H288="En revue"),"E",IF($H288="Bloquée","B","P"))),""))</f>
        <v/>
      </c>
      <c r="AF288" s="53">
        <f>IF(OR($F288="",$G288=""),"",IF(AND(AF$5&lt;=$G288,AF$5+6&gt;=$F288),IF($H288="Complétée","F",IF(OR($H288="En cours",$H288="En revue"),"E",IF($H288="Bloquée","B","P"))),""))</f>
        <v/>
      </c>
      <c r="AG288" s="53">
        <f>IF(OR($F288="",$G288=""),"",IF(AND(AG$5&lt;=$G288,AG$5+6&gt;=$F288),IF($H288="Complétée","F",IF(OR($H288="En cours",$H288="En revue"),"E",IF($H288="Bloquée","B","P"))),""))</f>
        <v/>
      </c>
      <c r="AH288" s="53">
        <f>IF(OR($F288="",$G288=""),"",IF(AND(AH$5&lt;=$G288,AH$5+6&gt;=$F288),IF($H288="Complétée","F",IF(OR($H288="En cours",$H288="En revue"),"E",IF($H288="Bloquée","B","P"))),""))</f>
        <v/>
      </c>
      <c r="AI288" s="53">
        <f>IF(OR($F288="",$G288=""),"",IF(AND(AI$5&lt;=$G288,AI$5+6&gt;=$F288),IF($H288="Complétée","F",IF(OR($H288="En cours",$H288="En revue"),"E",IF($H288="Bloquée","B","P"))),""))</f>
        <v/>
      </c>
      <c r="AJ288" s="53">
        <f>IF(OR($F288="",$G288=""),"",IF(AND(AJ$5&lt;=$G288,AJ$5+6&gt;=$F288),IF($H288="Complétée","F",IF(OR($H288="En cours",$H288="En revue"),"E",IF($H288="Bloquée","B","P"))),""))</f>
        <v/>
      </c>
      <c r="AK288" s="53">
        <f>IF(OR($F288="",$G288=""),"",IF(AND(AK$5&lt;=$G288,AK$5+6&gt;=$F288),IF($H288="Complétée","F",IF(OR($H288="En cours",$H288="En revue"),"E",IF($H288="Bloquée","B","P"))),""))</f>
        <v/>
      </c>
      <c r="AL288" s="53">
        <f>IF(OR($F288="",$G288=""),"",IF(AND(AL$5&lt;=$G288,AL$5+6&gt;=$F288),IF($H288="Complétée","F",IF(OR($H288="En cours",$H288="En revue"),"E",IF($H288="Bloquée","B","P"))),""))</f>
        <v/>
      </c>
      <c r="AM288" s="53">
        <f>IF(OR($F288="",$G288=""),"",IF(AND(AM$5&lt;=$G288,AM$5+6&gt;=$F288),IF($H288="Complétée","F",IF(OR($H288="En cours",$H288="En revue"),"E",IF($H288="Bloquée","B","P"))),""))</f>
        <v/>
      </c>
      <c r="AN288" s="53">
        <f>IF(OR($F288="",$G288=""),"",IF(AND(AN$5&lt;=$G288,AN$5+6&gt;=$F288),IF($H288="Complétée","F",IF(OR($H288="En cours",$H288="En revue"),"E",IF($H288="Bloquée","B","P"))),""))</f>
        <v/>
      </c>
      <c r="AO288" s="53">
        <f>IF(OR($F288="",$G288=""),"",IF(AND(AO$5&lt;=$G288,AO$5+6&gt;=$F288),IF($H288="Complétée","F",IF(OR($H288="En cours",$H288="En revue"),"E",IF($H288="Bloquée","B","P"))),""))</f>
        <v/>
      </c>
      <c r="AP288" s="53">
        <f>IF(OR($F288="",$G288=""),"",IF(AND(AP$5&lt;=$G288,AP$5+6&gt;=$F288),IF($H288="Complétée","F",IF(OR($H288="En cours",$H288="En revue"),"E",IF($H288="Bloquée","B","P"))),""))</f>
        <v/>
      </c>
      <c r="AQ288" s="53">
        <f>IF(OR($F288="",$G288=""),"",IF(AND(AQ$5&lt;=$G288,AQ$5+6&gt;=$F288),IF($H288="Complétée","F",IF(OR($H288="En cours",$H288="En revue"),"E",IF($H288="Bloquée","B","P"))),""))</f>
        <v/>
      </c>
      <c r="AR288" s="53">
        <f>IF(OR($F288="",$G288=""),"",IF(AND(AR$5&lt;=$G288,AR$5+6&gt;=$F288),IF($H288="Complétée","F",IF(OR($H288="En cours",$H288="En revue"),"E",IF($H288="Bloquée","B","P"))),""))</f>
        <v/>
      </c>
      <c r="AS288" s="53">
        <f>IF(OR($F288="",$G288=""),"",IF(AND(AS$5&lt;=$G288,AS$5+6&gt;=$F288),IF($H288="Complétée","F",IF(OR($H288="En cours",$H288="En revue"),"E",IF($H288="Bloquée","B","P"))),""))</f>
        <v/>
      </c>
      <c r="AT288" s="53">
        <f>IF(OR($F288="",$G288=""),"",IF(AND(AT$5&lt;=$G288,AT$5+6&gt;=$F288),IF($H288="Complétée","F",IF(OR($H288="En cours",$H288="En revue"),"E",IF($H288="Bloquée","B","P"))),""))</f>
        <v/>
      </c>
      <c r="AU288" s="53">
        <f>IF(OR($F288="",$G288=""),"",IF(AND(AU$5&lt;=$G288,AU$5+6&gt;=$F288),IF($H288="Complétée","F",IF(OR($H288="En cours",$H288="En revue"),"E",IF($H288="Bloquée","B","P"))),""))</f>
        <v/>
      </c>
      <c r="AV288" s="53">
        <f>IF(OR($F288="",$G288=""),"",IF(AND(AV$5&lt;=$G288,AV$5+6&gt;=$F288),IF($H288="Complétée","F",IF(OR($H288="En cours",$H288="En revue"),"E",IF($H288="Bloquée","B","P"))),""))</f>
        <v/>
      </c>
      <c r="AW288" s="53">
        <f>IF(OR($F288="",$G288=""),"",IF(AND(AW$5&lt;=$G288,AW$5+6&gt;=$F288),IF($H288="Complétée","F",IF(OR($H288="En cours",$H288="En revue"),"E",IF($H288="Bloquée","B","P"))),""))</f>
        <v/>
      </c>
    </row>
    <row r="289">
      <c r="B289" s="50">
        <f>IF(Taches!B289="","",Taches!B289)</f>
        <v/>
      </c>
      <c r="C289" s="51">
        <f>IF(Taches!B289="","",Taches!F289)</f>
        <v/>
      </c>
      <c r="D289" s="50">
        <f>IF(Taches!B289="","",Taches!C289)</f>
        <v/>
      </c>
      <c r="E289" s="50">
        <f>IF(Taches!B289="","",Taches!D289)</f>
        <v/>
      </c>
      <c r="F289" s="52">
        <f>IF(Taches!P289="","",Taches!P289)</f>
        <v/>
      </c>
      <c r="G289" s="52">
        <f>IF(Taches!Q289="","",Taches!Q289)</f>
        <v/>
      </c>
      <c r="H289" s="50">
        <f>IF(Taches!B289="","",Taches!J289)</f>
        <v/>
      </c>
      <c r="I289" s="53">
        <f>IF(OR($F289="",$G289=""),"",IF(AND(I$5&lt;=$G289,I$5+6&gt;=$F289),IF($H289="Complétée","F",IF(OR($H289="En cours",$H289="En revue"),"E",IF($H289="Bloquée","B","P"))),""))</f>
        <v/>
      </c>
      <c r="J289" s="53">
        <f>IF(OR($F289="",$G289=""),"",IF(AND(J$5&lt;=$G289,J$5+6&gt;=$F289),IF($H289="Complétée","F",IF(OR($H289="En cours",$H289="En revue"),"E",IF($H289="Bloquée","B","P"))),""))</f>
        <v/>
      </c>
      <c r="K289" s="53">
        <f>IF(OR($F289="",$G289=""),"",IF(AND(K$5&lt;=$G289,K$5+6&gt;=$F289),IF($H289="Complétée","F",IF(OR($H289="En cours",$H289="En revue"),"E",IF($H289="Bloquée","B","P"))),""))</f>
        <v/>
      </c>
      <c r="L289" s="53">
        <f>IF(OR($F289="",$G289=""),"",IF(AND(L$5&lt;=$G289,L$5+6&gt;=$F289),IF($H289="Complétée","F",IF(OR($H289="En cours",$H289="En revue"),"E",IF($H289="Bloquée","B","P"))),""))</f>
        <v/>
      </c>
      <c r="M289" s="53">
        <f>IF(OR($F289="",$G289=""),"",IF(AND(M$5&lt;=$G289,M$5+6&gt;=$F289),IF($H289="Complétée","F",IF(OR($H289="En cours",$H289="En revue"),"E",IF($H289="Bloquée","B","P"))),""))</f>
        <v/>
      </c>
      <c r="N289" s="53">
        <f>IF(OR($F289="",$G289=""),"",IF(AND(N$5&lt;=$G289,N$5+6&gt;=$F289),IF($H289="Complétée","F",IF(OR($H289="En cours",$H289="En revue"),"E",IF($H289="Bloquée","B","P"))),""))</f>
        <v/>
      </c>
      <c r="O289" s="53">
        <f>IF(OR($F289="",$G289=""),"",IF(AND(O$5&lt;=$G289,O$5+6&gt;=$F289),IF($H289="Complétée","F",IF(OR($H289="En cours",$H289="En revue"),"E",IF($H289="Bloquée","B","P"))),""))</f>
        <v/>
      </c>
      <c r="P289" s="53">
        <f>IF(OR($F289="",$G289=""),"",IF(AND(P$5&lt;=$G289,P$5+6&gt;=$F289),IF($H289="Complétée","F",IF(OR($H289="En cours",$H289="En revue"),"E",IF($H289="Bloquée","B","P"))),""))</f>
        <v/>
      </c>
      <c r="Q289" s="53">
        <f>IF(OR($F289="",$G289=""),"",IF(AND(Q$5&lt;=$G289,Q$5+6&gt;=$F289),IF($H289="Complétée","F",IF(OR($H289="En cours",$H289="En revue"),"E",IF($H289="Bloquée","B","P"))),""))</f>
        <v/>
      </c>
      <c r="R289" s="53">
        <f>IF(OR($F289="",$G289=""),"",IF(AND(R$5&lt;=$G289,R$5+6&gt;=$F289),IF($H289="Complétée","F",IF(OR($H289="En cours",$H289="En revue"),"E",IF($H289="Bloquée","B","P"))),""))</f>
        <v/>
      </c>
      <c r="S289" s="53">
        <f>IF(OR($F289="",$G289=""),"",IF(AND(S$5&lt;=$G289,S$5+6&gt;=$F289),IF($H289="Complétée","F",IF(OR($H289="En cours",$H289="En revue"),"E",IF($H289="Bloquée","B","P"))),""))</f>
        <v/>
      </c>
      <c r="T289" s="53">
        <f>IF(OR($F289="",$G289=""),"",IF(AND(T$5&lt;=$G289,T$5+6&gt;=$F289),IF($H289="Complétée","F",IF(OR($H289="En cours",$H289="En revue"),"E",IF($H289="Bloquée","B","P"))),""))</f>
        <v/>
      </c>
      <c r="U289" s="53">
        <f>IF(OR($F289="",$G289=""),"",IF(AND(U$5&lt;=$G289,U$5+6&gt;=$F289),IF($H289="Complétée","F",IF(OR($H289="En cours",$H289="En revue"),"E",IF($H289="Bloquée","B","P"))),""))</f>
        <v/>
      </c>
      <c r="V289" s="53">
        <f>IF(OR($F289="",$G289=""),"",IF(AND(V$5&lt;=$G289,V$5+6&gt;=$F289),IF($H289="Complétée","F",IF(OR($H289="En cours",$H289="En revue"),"E",IF($H289="Bloquée","B","P"))),""))</f>
        <v/>
      </c>
      <c r="W289" s="53">
        <f>IF(OR($F289="",$G289=""),"",IF(AND(W$5&lt;=$G289,W$5+6&gt;=$F289),IF($H289="Complétée","F",IF(OR($H289="En cours",$H289="En revue"),"E",IF($H289="Bloquée","B","P"))),""))</f>
        <v/>
      </c>
      <c r="X289" s="53">
        <f>IF(OR($F289="",$G289=""),"",IF(AND(X$5&lt;=$G289,X$5+6&gt;=$F289),IF($H289="Complétée","F",IF(OR($H289="En cours",$H289="En revue"),"E",IF($H289="Bloquée","B","P"))),""))</f>
        <v/>
      </c>
      <c r="Y289" s="53">
        <f>IF(OR($F289="",$G289=""),"",IF(AND(Y$5&lt;=$G289,Y$5+6&gt;=$F289),IF($H289="Complétée","F",IF(OR($H289="En cours",$H289="En revue"),"E",IF($H289="Bloquée","B","P"))),""))</f>
        <v/>
      </c>
      <c r="Z289" s="53">
        <f>IF(OR($F289="",$G289=""),"",IF(AND(Z$5&lt;=$G289,Z$5+6&gt;=$F289),IF($H289="Complétée","F",IF(OR($H289="En cours",$H289="En revue"),"E",IF($H289="Bloquée","B","P"))),""))</f>
        <v/>
      </c>
      <c r="AA289" s="53">
        <f>IF(OR($F289="",$G289=""),"",IF(AND(AA$5&lt;=$G289,AA$5+6&gt;=$F289),IF($H289="Complétée","F",IF(OR($H289="En cours",$H289="En revue"),"E",IF($H289="Bloquée","B","P"))),""))</f>
        <v/>
      </c>
      <c r="AB289" s="53">
        <f>IF(OR($F289="",$G289=""),"",IF(AND(AB$5&lt;=$G289,AB$5+6&gt;=$F289),IF($H289="Complétée","F",IF(OR($H289="En cours",$H289="En revue"),"E",IF($H289="Bloquée","B","P"))),""))</f>
        <v/>
      </c>
      <c r="AC289" s="53">
        <f>IF(OR($F289="",$G289=""),"",IF(AND(AC$5&lt;=$G289,AC$5+6&gt;=$F289),IF($H289="Complétée","F",IF(OR($H289="En cours",$H289="En revue"),"E",IF($H289="Bloquée","B","P"))),""))</f>
        <v/>
      </c>
      <c r="AD289" s="53">
        <f>IF(OR($F289="",$G289=""),"",IF(AND(AD$5&lt;=$G289,AD$5+6&gt;=$F289),IF($H289="Complétée","F",IF(OR($H289="En cours",$H289="En revue"),"E",IF($H289="Bloquée","B","P"))),""))</f>
        <v/>
      </c>
      <c r="AE289" s="53">
        <f>IF(OR($F289="",$G289=""),"",IF(AND(AE$5&lt;=$G289,AE$5+6&gt;=$F289),IF($H289="Complétée","F",IF(OR($H289="En cours",$H289="En revue"),"E",IF($H289="Bloquée","B","P"))),""))</f>
        <v/>
      </c>
      <c r="AF289" s="53">
        <f>IF(OR($F289="",$G289=""),"",IF(AND(AF$5&lt;=$G289,AF$5+6&gt;=$F289),IF($H289="Complétée","F",IF(OR($H289="En cours",$H289="En revue"),"E",IF($H289="Bloquée","B","P"))),""))</f>
        <v/>
      </c>
      <c r="AG289" s="53">
        <f>IF(OR($F289="",$G289=""),"",IF(AND(AG$5&lt;=$G289,AG$5+6&gt;=$F289),IF($H289="Complétée","F",IF(OR($H289="En cours",$H289="En revue"),"E",IF($H289="Bloquée","B","P"))),""))</f>
        <v/>
      </c>
      <c r="AH289" s="53">
        <f>IF(OR($F289="",$G289=""),"",IF(AND(AH$5&lt;=$G289,AH$5+6&gt;=$F289),IF($H289="Complétée","F",IF(OR($H289="En cours",$H289="En revue"),"E",IF($H289="Bloquée","B","P"))),""))</f>
        <v/>
      </c>
      <c r="AI289" s="53">
        <f>IF(OR($F289="",$G289=""),"",IF(AND(AI$5&lt;=$G289,AI$5+6&gt;=$F289),IF($H289="Complétée","F",IF(OR($H289="En cours",$H289="En revue"),"E",IF($H289="Bloquée","B","P"))),""))</f>
        <v/>
      </c>
      <c r="AJ289" s="53">
        <f>IF(OR($F289="",$G289=""),"",IF(AND(AJ$5&lt;=$G289,AJ$5+6&gt;=$F289),IF($H289="Complétée","F",IF(OR($H289="En cours",$H289="En revue"),"E",IF($H289="Bloquée","B","P"))),""))</f>
        <v/>
      </c>
      <c r="AK289" s="53">
        <f>IF(OR($F289="",$G289=""),"",IF(AND(AK$5&lt;=$G289,AK$5+6&gt;=$F289),IF($H289="Complétée","F",IF(OR($H289="En cours",$H289="En revue"),"E",IF($H289="Bloquée","B","P"))),""))</f>
        <v/>
      </c>
      <c r="AL289" s="53">
        <f>IF(OR($F289="",$G289=""),"",IF(AND(AL$5&lt;=$G289,AL$5+6&gt;=$F289),IF($H289="Complétée","F",IF(OR($H289="En cours",$H289="En revue"),"E",IF($H289="Bloquée","B","P"))),""))</f>
        <v/>
      </c>
      <c r="AM289" s="53">
        <f>IF(OR($F289="",$G289=""),"",IF(AND(AM$5&lt;=$G289,AM$5+6&gt;=$F289),IF($H289="Complétée","F",IF(OR($H289="En cours",$H289="En revue"),"E",IF($H289="Bloquée","B","P"))),""))</f>
        <v/>
      </c>
      <c r="AN289" s="53">
        <f>IF(OR($F289="",$G289=""),"",IF(AND(AN$5&lt;=$G289,AN$5+6&gt;=$F289),IF($H289="Complétée","F",IF(OR($H289="En cours",$H289="En revue"),"E",IF($H289="Bloquée","B","P"))),""))</f>
        <v/>
      </c>
      <c r="AO289" s="53">
        <f>IF(OR($F289="",$G289=""),"",IF(AND(AO$5&lt;=$G289,AO$5+6&gt;=$F289),IF($H289="Complétée","F",IF(OR($H289="En cours",$H289="En revue"),"E",IF($H289="Bloquée","B","P"))),""))</f>
        <v/>
      </c>
      <c r="AP289" s="53">
        <f>IF(OR($F289="",$G289=""),"",IF(AND(AP$5&lt;=$G289,AP$5+6&gt;=$F289),IF($H289="Complétée","F",IF(OR($H289="En cours",$H289="En revue"),"E",IF($H289="Bloquée","B","P"))),""))</f>
        <v/>
      </c>
      <c r="AQ289" s="53">
        <f>IF(OR($F289="",$G289=""),"",IF(AND(AQ$5&lt;=$G289,AQ$5+6&gt;=$F289),IF($H289="Complétée","F",IF(OR($H289="En cours",$H289="En revue"),"E",IF($H289="Bloquée","B","P"))),""))</f>
        <v/>
      </c>
      <c r="AR289" s="53">
        <f>IF(OR($F289="",$G289=""),"",IF(AND(AR$5&lt;=$G289,AR$5+6&gt;=$F289),IF($H289="Complétée","F",IF(OR($H289="En cours",$H289="En revue"),"E",IF($H289="Bloquée","B","P"))),""))</f>
        <v/>
      </c>
      <c r="AS289" s="53">
        <f>IF(OR($F289="",$G289=""),"",IF(AND(AS$5&lt;=$G289,AS$5+6&gt;=$F289),IF($H289="Complétée","F",IF(OR($H289="En cours",$H289="En revue"),"E",IF($H289="Bloquée","B","P"))),""))</f>
        <v/>
      </c>
      <c r="AT289" s="53">
        <f>IF(OR($F289="",$G289=""),"",IF(AND(AT$5&lt;=$G289,AT$5+6&gt;=$F289),IF($H289="Complétée","F",IF(OR($H289="En cours",$H289="En revue"),"E",IF($H289="Bloquée","B","P"))),""))</f>
        <v/>
      </c>
      <c r="AU289" s="53">
        <f>IF(OR($F289="",$G289=""),"",IF(AND(AU$5&lt;=$G289,AU$5+6&gt;=$F289),IF($H289="Complétée","F",IF(OR($H289="En cours",$H289="En revue"),"E",IF($H289="Bloquée","B","P"))),""))</f>
        <v/>
      </c>
      <c r="AV289" s="53">
        <f>IF(OR($F289="",$G289=""),"",IF(AND(AV$5&lt;=$G289,AV$5+6&gt;=$F289),IF($H289="Complétée","F",IF(OR($H289="En cours",$H289="En revue"),"E",IF($H289="Bloquée","B","P"))),""))</f>
        <v/>
      </c>
      <c r="AW289" s="53">
        <f>IF(OR($F289="",$G289=""),"",IF(AND(AW$5&lt;=$G289,AW$5+6&gt;=$F289),IF($H289="Complétée","F",IF(OR($H289="En cours",$H289="En revue"),"E",IF($H289="Bloquée","B","P"))),""))</f>
        <v/>
      </c>
    </row>
    <row r="290">
      <c r="B290" s="50">
        <f>IF(Taches!B290="","",Taches!B290)</f>
        <v/>
      </c>
      <c r="C290" s="51">
        <f>IF(Taches!B290="","",Taches!F290)</f>
        <v/>
      </c>
      <c r="D290" s="50">
        <f>IF(Taches!B290="","",Taches!C290)</f>
        <v/>
      </c>
      <c r="E290" s="50">
        <f>IF(Taches!B290="","",Taches!D290)</f>
        <v/>
      </c>
      <c r="F290" s="52">
        <f>IF(Taches!P290="","",Taches!P290)</f>
        <v/>
      </c>
      <c r="G290" s="52">
        <f>IF(Taches!Q290="","",Taches!Q290)</f>
        <v/>
      </c>
      <c r="H290" s="50">
        <f>IF(Taches!B290="","",Taches!J290)</f>
        <v/>
      </c>
      <c r="I290" s="53">
        <f>IF(OR($F290="",$G290=""),"",IF(AND(I$5&lt;=$G290,I$5+6&gt;=$F290),IF($H290="Complétée","F",IF(OR($H290="En cours",$H290="En revue"),"E",IF($H290="Bloquée","B","P"))),""))</f>
        <v/>
      </c>
      <c r="J290" s="53">
        <f>IF(OR($F290="",$G290=""),"",IF(AND(J$5&lt;=$G290,J$5+6&gt;=$F290),IF($H290="Complétée","F",IF(OR($H290="En cours",$H290="En revue"),"E",IF($H290="Bloquée","B","P"))),""))</f>
        <v/>
      </c>
      <c r="K290" s="53">
        <f>IF(OR($F290="",$G290=""),"",IF(AND(K$5&lt;=$G290,K$5+6&gt;=$F290),IF($H290="Complétée","F",IF(OR($H290="En cours",$H290="En revue"),"E",IF($H290="Bloquée","B","P"))),""))</f>
        <v/>
      </c>
      <c r="L290" s="53">
        <f>IF(OR($F290="",$G290=""),"",IF(AND(L$5&lt;=$G290,L$5+6&gt;=$F290),IF($H290="Complétée","F",IF(OR($H290="En cours",$H290="En revue"),"E",IF($H290="Bloquée","B","P"))),""))</f>
        <v/>
      </c>
      <c r="M290" s="53">
        <f>IF(OR($F290="",$G290=""),"",IF(AND(M$5&lt;=$G290,M$5+6&gt;=$F290),IF($H290="Complétée","F",IF(OR($H290="En cours",$H290="En revue"),"E",IF($H290="Bloquée","B","P"))),""))</f>
        <v/>
      </c>
      <c r="N290" s="53">
        <f>IF(OR($F290="",$G290=""),"",IF(AND(N$5&lt;=$G290,N$5+6&gt;=$F290),IF($H290="Complétée","F",IF(OR($H290="En cours",$H290="En revue"),"E",IF($H290="Bloquée","B","P"))),""))</f>
        <v/>
      </c>
      <c r="O290" s="53">
        <f>IF(OR($F290="",$G290=""),"",IF(AND(O$5&lt;=$G290,O$5+6&gt;=$F290),IF($H290="Complétée","F",IF(OR($H290="En cours",$H290="En revue"),"E",IF($H290="Bloquée","B","P"))),""))</f>
        <v/>
      </c>
      <c r="P290" s="53">
        <f>IF(OR($F290="",$G290=""),"",IF(AND(P$5&lt;=$G290,P$5+6&gt;=$F290),IF($H290="Complétée","F",IF(OR($H290="En cours",$H290="En revue"),"E",IF($H290="Bloquée","B","P"))),""))</f>
        <v/>
      </c>
      <c r="Q290" s="53">
        <f>IF(OR($F290="",$G290=""),"",IF(AND(Q$5&lt;=$G290,Q$5+6&gt;=$F290),IF($H290="Complétée","F",IF(OR($H290="En cours",$H290="En revue"),"E",IF($H290="Bloquée","B","P"))),""))</f>
        <v/>
      </c>
      <c r="R290" s="53">
        <f>IF(OR($F290="",$G290=""),"",IF(AND(R$5&lt;=$G290,R$5+6&gt;=$F290),IF($H290="Complétée","F",IF(OR($H290="En cours",$H290="En revue"),"E",IF($H290="Bloquée","B","P"))),""))</f>
        <v/>
      </c>
      <c r="S290" s="53">
        <f>IF(OR($F290="",$G290=""),"",IF(AND(S$5&lt;=$G290,S$5+6&gt;=$F290),IF($H290="Complétée","F",IF(OR($H290="En cours",$H290="En revue"),"E",IF($H290="Bloquée","B","P"))),""))</f>
        <v/>
      </c>
      <c r="T290" s="53">
        <f>IF(OR($F290="",$G290=""),"",IF(AND(T$5&lt;=$G290,T$5+6&gt;=$F290),IF($H290="Complétée","F",IF(OR($H290="En cours",$H290="En revue"),"E",IF($H290="Bloquée","B","P"))),""))</f>
        <v/>
      </c>
      <c r="U290" s="53">
        <f>IF(OR($F290="",$G290=""),"",IF(AND(U$5&lt;=$G290,U$5+6&gt;=$F290),IF($H290="Complétée","F",IF(OR($H290="En cours",$H290="En revue"),"E",IF($H290="Bloquée","B","P"))),""))</f>
        <v/>
      </c>
      <c r="V290" s="53">
        <f>IF(OR($F290="",$G290=""),"",IF(AND(V$5&lt;=$G290,V$5+6&gt;=$F290),IF($H290="Complétée","F",IF(OR($H290="En cours",$H290="En revue"),"E",IF($H290="Bloquée","B","P"))),""))</f>
        <v/>
      </c>
      <c r="W290" s="53">
        <f>IF(OR($F290="",$G290=""),"",IF(AND(W$5&lt;=$G290,W$5+6&gt;=$F290),IF($H290="Complétée","F",IF(OR($H290="En cours",$H290="En revue"),"E",IF($H290="Bloquée","B","P"))),""))</f>
        <v/>
      </c>
      <c r="X290" s="53">
        <f>IF(OR($F290="",$G290=""),"",IF(AND(X$5&lt;=$G290,X$5+6&gt;=$F290),IF($H290="Complétée","F",IF(OR($H290="En cours",$H290="En revue"),"E",IF($H290="Bloquée","B","P"))),""))</f>
        <v/>
      </c>
      <c r="Y290" s="53">
        <f>IF(OR($F290="",$G290=""),"",IF(AND(Y$5&lt;=$G290,Y$5+6&gt;=$F290),IF($H290="Complétée","F",IF(OR($H290="En cours",$H290="En revue"),"E",IF($H290="Bloquée","B","P"))),""))</f>
        <v/>
      </c>
      <c r="Z290" s="53">
        <f>IF(OR($F290="",$G290=""),"",IF(AND(Z$5&lt;=$G290,Z$5+6&gt;=$F290),IF($H290="Complétée","F",IF(OR($H290="En cours",$H290="En revue"),"E",IF($H290="Bloquée","B","P"))),""))</f>
        <v/>
      </c>
      <c r="AA290" s="53">
        <f>IF(OR($F290="",$G290=""),"",IF(AND(AA$5&lt;=$G290,AA$5+6&gt;=$F290),IF($H290="Complétée","F",IF(OR($H290="En cours",$H290="En revue"),"E",IF($H290="Bloquée","B","P"))),""))</f>
        <v/>
      </c>
      <c r="AB290" s="53">
        <f>IF(OR($F290="",$G290=""),"",IF(AND(AB$5&lt;=$G290,AB$5+6&gt;=$F290),IF($H290="Complétée","F",IF(OR($H290="En cours",$H290="En revue"),"E",IF($H290="Bloquée","B","P"))),""))</f>
        <v/>
      </c>
      <c r="AC290" s="53">
        <f>IF(OR($F290="",$G290=""),"",IF(AND(AC$5&lt;=$G290,AC$5+6&gt;=$F290),IF($H290="Complétée","F",IF(OR($H290="En cours",$H290="En revue"),"E",IF($H290="Bloquée","B","P"))),""))</f>
        <v/>
      </c>
      <c r="AD290" s="53">
        <f>IF(OR($F290="",$G290=""),"",IF(AND(AD$5&lt;=$G290,AD$5+6&gt;=$F290),IF($H290="Complétée","F",IF(OR($H290="En cours",$H290="En revue"),"E",IF($H290="Bloquée","B","P"))),""))</f>
        <v/>
      </c>
      <c r="AE290" s="53">
        <f>IF(OR($F290="",$G290=""),"",IF(AND(AE$5&lt;=$G290,AE$5+6&gt;=$F290),IF($H290="Complétée","F",IF(OR($H290="En cours",$H290="En revue"),"E",IF($H290="Bloquée","B","P"))),""))</f>
        <v/>
      </c>
      <c r="AF290" s="53">
        <f>IF(OR($F290="",$G290=""),"",IF(AND(AF$5&lt;=$G290,AF$5+6&gt;=$F290),IF($H290="Complétée","F",IF(OR($H290="En cours",$H290="En revue"),"E",IF($H290="Bloquée","B","P"))),""))</f>
        <v/>
      </c>
      <c r="AG290" s="53">
        <f>IF(OR($F290="",$G290=""),"",IF(AND(AG$5&lt;=$G290,AG$5+6&gt;=$F290),IF($H290="Complétée","F",IF(OR($H290="En cours",$H290="En revue"),"E",IF($H290="Bloquée","B","P"))),""))</f>
        <v/>
      </c>
      <c r="AH290" s="53">
        <f>IF(OR($F290="",$G290=""),"",IF(AND(AH$5&lt;=$G290,AH$5+6&gt;=$F290),IF($H290="Complétée","F",IF(OR($H290="En cours",$H290="En revue"),"E",IF($H290="Bloquée","B","P"))),""))</f>
        <v/>
      </c>
      <c r="AI290" s="53">
        <f>IF(OR($F290="",$G290=""),"",IF(AND(AI$5&lt;=$G290,AI$5+6&gt;=$F290),IF($H290="Complétée","F",IF(OR($H290="En cours",$H290="En revue"),"E",IF($H290="Bloquée","B","P"))),""))</f>
        <v/>
      </c>
      <c r="AJ290" s="53">
        <f>IF(OR($F290="",$G290=""),"",IF(AND(AJ$5&lt;=$G290,AJ$5+6&gt;=$F290),IF($H290="Complétée","F",IF(OR($H290="En cours",$H290="En revue"),"E",IF($H290="Bloquée","B","P"))),""))</f>
        <v/>
      </c>
      <c r="AK290" s="53">
        <f>IF(OR($F290="",$G290=""),"",IF(AND(AK$5&lt;=$G290,AK$5+6&gt;=$F290),IF($H290="Complétée","F",IF(OR($H290="En cours",$H290="En revue"),"E",IF($H290="Bloquée","B","P"))),""))</f>
        <v/>
      </c>
      <c r="AL290" s="53">
        <f>IF(OR($F290="",$G290=""),"",IF(AND(AL$5&lt;=$G290,AL$5+6&gt;=$F290),IF($H290="Complétée","F",IF(OR($H290="En cours",$H290="En revue"),"E",IF($H290="Bloquée","B","P"))),""))</f>
        <v/>
      </c>
      <c r="AM290" s="53">
        <f>IF(OR($F290="",$G290=""),"",IF(AND(AM$5&lt;=$G290,AM$5+6&gt;=$F290),IF($H290="Complétée","F",IF(OR($H290="En cours",$H290="En revue"),"E",IF($H290="Bloquée","B","P"))),""))</f>
        <v/>
      </c>
      <c r="AN290" s="53">
        <f>IF(OR($F290="",$G290=""),"",IF(AND(AN$5&lt;=$G290,AN$5+6&gt;=$F290),IF($H290="Complétée","F",IF(OR($H290="En cours",$H290="En revue"),"E",IF($H290="Bloquée","B","P"))),""))</f>
        <v/>
      </c>
      <c r="AO290" s="53">
        <f>IF(OR($F290="",$G290=""),"",IF(AND(AO$5&lt;=$G290,AO$5+6&gt;=$F290),IF($H290="Complétée","F",IF(OR($H290="En cours",$H290="En revue"),"E",IF($H290="Bloquée","B","P"))),""))</f>
        <v/>
      </c>
      <c r="AP290" s="53">
        <f>IF(OR($F290="",$G290=""),"",IF(AND(AP$5&lt;=$G290,AP$5+6&gt;=$F290),IF($H290="Complétée","F",IF(OR($H290="En cours",$H290="En revue"),"E",IF($H290="Bloquée","B","P"))),""))</f>
        <v/>
      </c>
      <c r="AQ290" s="53">
        <f>IF(OR($F290="",$G290=""),"",IF(AND(AQ$5&lt;=$G290,AQ$5+6&gt;=$F290),IF($H290="Complétée","F",IF(OR($H290="En cours",$H290="En revue"),"E",IF($H290="Bloquée","B","P"))),""))</f>
        <v/>
      </c>
      <c r="AR290" s="53">
        <f>IF(OR($F290="",$G290=""),"",IF(AND(AR$5&lt;=$G290,AR$5+6&gt;=$F290),IF($H290="Complétée","F",IF(OR($H290="En cours",$H290="En revue"),"E",IF($H290="Bloquée","B","P"))),""))</f>
        <v/>
      </c>
      <c r="AS290" s="53">
        <f>IF(OR($F290="",$G290=""),"",IF(AND(AS$5&lt;=$G290,AS$5+6&gt;=$F290),IF($H290="Complétée","F",IF(OR($H290="En cours",$H290="En revue"),"E",IF($H290="Bloquée","B","P"))),""))</f>
        <v/>
      </c>
      <c r="AT290" s="53">
        <f>IF(OR($F290="",$G290=""),"",IF(AND(AT$5&lt;=$G290,AT$5+6&gt;=$F290),IF($H290="Complétée","F",IF(OR($H290="En cours",$H290="En revue"),"E",IF($H290="Bloquée","B","P"))),""))</f>
        <v/>
      </c>
      <c r="AU290" s="53">
        <f>IF(OR($F290="",$G290=""),"",IF(AND(AU$5&lt;=$G290,AU$5+6&gt;=$F290),IF($H290="Complétée","F",IF(OR($H290="En cours",$H290="En revue"),"E",IF($H290="Bloquée","B","P"))),""))</f>
        <v/>
      </c>
      <c r="AV290" s="53">
        <f>IF(OR($F290="",$G290=""),"",IF(AND(AV$5&lt;=$G290,AV$5+6&gt;=$F290),IF($H290="Complétée","F",IF(OR($H290="En cours",$H290="En revue"),"E",IF($H290="Bloquée","B","P"))),""))</f>
        <v/>
      </c>
      <c r="AW290" s="53">
        <f>IF(OR($F290="",$G290=""),"",IF(AND(AW$5&lt;=$G290,AW$5+6&gt;=$F290),IF($H290="Complétée","F",IF(OR($H290="En cours",$H290="En revue"),"E",IF($H290="Bloquée","B","P"))),""))</f>
        <v/>
      </c>
    </row>
    <row r="291">
      <c r="B291" s="50">
        <f>IF(Taches!B291="","",Taches!B291)</f>
        <v/>
      </c>
      <c r="C291" s="51">
        <f>IF(Taches!B291="","",Taches!F291)</f>
        <v/>
      </c>
      <c r="D291" s="50">
        <f>IF(Taches!B291="","",Taches!C291)</f>
        <v/>
      </c>
      <c r="E291" s="50">
        <f>IF(Taches!B291="","",Taches!D291)</f>
        <v/>
      </c>
      <c r="F291" s="52">
        <f>IF(Taches!P291="","",Taches!P291)</f>
        <v/>
      </c>
      <c r="G291" s="52">
        <f>IF(Taches!Q291="","",Taches!Q291)</f>
        <v/>
      </c>
      <c r="H291" s="50">
        <f>IF(Taches!B291="","",Taches!J291)</f>
        <v/>
      </c>
      <c r="I291" s="53">
        <f>IF(OR($F291="",$G291=""),"",IF(AND(I$5&lt;=$G291,I$5+6&gt;=$F291),IF($H291="Complétée","F",IF(OR($H291="En cours",$H291="En revue"),"E",IF($H291="Bloquée","B","P"))),""))</f>
        <v/>
      </c>
      <c r="J291" s="53">
        <f>IF(OR($F291="",$G291=""),"",IF(AND(J$5&lt;=$G291,J$5+6&gt;=$F291),IF($H291="Complétée","F",IF(OR($H291="En cours",$H291="En revue"),"E",IF($H291="Bloquée","B","P"))),""))</f>
        <v/>
      </c>
      <c r="K291" s="53">
        <f>IF(OR($F291="",$G291=""),"",IF(AND(K$5&lt;=$G291,K$5+6&gt;=$F291),IF($H291="Complétée","F",IF(OR($H291="En cours",$H291="En revue"),"E",IF($H291="Bloquée","B","P"))),""))</f>
        <v/>
      </c>
      <c r="L291" s="53">
        <f>IF(OR($F291="",$G291=""),"",IF(AND(L$5&lt;=$G291,L$5+6&gt;=$F291),IF($H291="Complétée","F",IF(OR($H291="En cours",$H291="En revue"),"E",IF($H291="Bloquée","B","P"))),""))</f>
        <v/>
      </c>
      <c r="M291" s="53">
        <f>IF(OR($F291="",$G291=""),"",IF(AND(M$5&lt;=$G291,M$5+6&gt;=$F291),IF($H291="Complétée","F",IF(OR($H291="En cours",$H291="En revue"),"E",IF($H291="Bloquée","B","P"))),""))</f>
        <v/>
      </c>
      <c r="N291" s="53">
        <f>IF(OR($F291="",$G291=""),"",IF(AND(N$5&lt;=$G291,N$5+6&gt;=$F291),IF($H291="Complétée","F",IF(OR($H291="En cours",$H291="En revue"),"E",IF($H291="Bloquée","B","P"))),""))</f>
        <v/>
      </c>
      <c r="O291" s="53">
        <f>IF(OR($F291="",$G291=""),"",IF(AND(O$5&lt;=$G291,O$5+6&gt;=$F291),IF($H291="Complétée","F",IF(OR($H291="En cours",$H291="En revue"),"E",IF($H291="Bloquée","B","P"))),""))</f>
        <v/>
      </c>
      <c r="P291" s="53">
        <f>IF(OR($F291="",$G291=""),"",IF(AND(P$5&lt;=$G291,P$5+6&gt;=$F291),IF($H291="Complétée","F",IF(OR($H291="En cours",$H291="En revue"),"E",IF($H291="Bloquée","B","P"))),""))</f>
        <v/>
      </c>
      <c r="Q291" s="53">
        <f>IF(OR($F291="",$G291=""),"",IF(AND(Q$5&lt;=$G291,Q$5+6&gt;=$F291),IF($H291="Complétée","F",IF(OR($H291="En cours",$H291="En revue"),"E",IF($H291="Bloquée","B","P"))),""))</f>
        <v/>
      </c>
      <c r="R291" s="53">
        <f>IF(OR($F291="",$G291=""),"",IF(AND(R$5&lt;=$G291,R$5+6&gt;=$F291),IF($H291="Complétée","F",IF(OR($H291="En cours",$H291="En revue"),"E",IF($H291="Bloquée","B","P"))),""))</f>
        <v/>
      </c>
      <c r="S291" s="53">
        <f>IF(OR($F291="",$G291=""),"",IF(AND(S$5&lt;=$G291,S$5+6&gt;=$F291),IF($H291="Complétée","F",IF(OR($H291="En cours",$H291="En revue"),"E",IF($H291="Bloquée","B","P"))),""))</f>
        <v/>
      </c>
      <c r="T291" s="53">
        <f>IF(OR($F291="",$G291=""),"",IF(AND(T$5&lt;=$G291,T$5+6&gt;=$F291),IF($H291="Complétée","F",IF(OR($H291="En cours",$H291="En revue"),"E",IF($H291="Bloquée","B","P"))),""))</f>
        <v/>
      </c>
      <c r="U291" s="53">
        <f>IF(OR($F291="",$G291=""),"",IF(AND(U$5&lt;=$G291,U$5+6&gt;=$F291),IF($H291="Complétée","F",IF(OR($H291="En cours",$H291="En revue"),"E",IF($H291="Bloquée","B","P"))),""))</f>
        <v/>
      </c>
      <c r="V291" s="53">
        <f>IF(OR($F291="",$G291=""),"",IF(AND(V$5&lt;=$G291,V$5+6&gt;=$F291),IF($H291="Complétée","F",IF(OR($H291="En cours",$H291="En revue"),"E",IF($H291="Bloquée","B","P"))),""))</f>
        <v/>
      </c>
      <c r="W291" s="53">
        <f>IF(OR($F291="",$G291=""),"",IF(AND(W$5&lt;=$G291,W$5+6&gt;=$F291),IF($H291="Complétée","F",IF(OR($H291="En cours",$H291="En revue"),"E",IF($H291="Bloquée","B","P"))),""))</f>
        <v/>
      </c>
      <c r="X291" s="53">
        <f>IF(OR($F291="",$G291=""),"",IF(AND(X$5&lt;=$G291,X$5+6&gt;=$F291),IF($H291="Complétée","F",IF(OR($H291="En cours",$H291="En revue"),"E",IF($H291="Bloquée","B","P"))),""))</f>
        <v/>
      </c>
      <c r="Y291" s="53">
        <f>IF(OR($F291="",$G291=""),"",IF(AND(Y$5&lt;=$G291,Y$5+6&gt;=$F291),IF($H291="Complétée","F",IF(OR($H291="En cours",$H291="En revue"),"E",IF($H291="Bloquée","B","P"))),""))</f>
        <v/>
      </c>
      <c r="Z291" s="53">
        <f>IF(OR($F291="",$G291=""),"",IF(AND(Z$5&lt;=$G291,Z$5+6&gt;=$F291),IF($H291="Complétée","F",IF(OR($H291="En cours",$H291="En revue"),"E",IF($H291="Bloquée","B","P"))),""))</f>
        <v/>
      </c>
      <c r="AA291" s="53">
        <f>IF(OR($F291="",$G291=""),"",IF(AND(AA$5&lt;=$G291,AA$5+6&gt;=$F291),IF($H291="Complétée","F",IF(OR($H291="En cours",$H291="En revue"),"E",IF($H291="Bloquée","B","P"))),""))</f>
        <v/>
      </c>
      <c r="AB291" s="53">
        <f>IF(OR($F291="",$G291=""),"",IF(AND(AB$5&lt;=$G291,AB$5+6&gt;=$F291),IF($H291="Complétée","F",IF(OR($H291="En cours",$H291="En revue"),"E",IF($H291="Bloquée","B","P"))),""))</f>
        <v/>
      </c>
      <c r="AC291" s="53">
        <f>IF(OR($F291="",$G291=""),"",IF(AND(AC$5&lt;=$G291,AC$5+6&gt;=$F291),IF($H291="Complétée","F",IF(OR($H291="En cours",$H291="En revue"),"E",IF($H291="Bloquée","B","P"))),""))</f>
        <v/>
      </c>
      <c r="AD291" s="53">
        <f>IF(OR($F291="",$G291=""),"",IF(AND(AD$5&lt;=$G291,AD$5+6&gt;=$F291),IF($H291="Complétée","F",IF(OR($H291="En cours",$H291="En revue"),"E",IF($H291="Bloquée","B","P"))),""))</f>
        <v/>
      </c>
      <c r="AE291" s="53">
        <f>IF(OR($F291="",$G291=""),"",IF(AND(AE$5&lt;=$G291,AE$5+6&gt;=$F291),IF($H291="Complétée","F",IF(OR($H291="En cours",$H291="En revue"),"E",IF($H291="Bloquée","B","P"))),""))</f>
        <v/>
      </c>
      <c r="AF291" s="53">
        <f>IF(OR($F291="",$G291=""),"",IF(AND(AF$5&lt;=$G291,AF$5+6&gt;=$F291),IF($H291="Complétée","F",IF(OR($H291="En cours",$H291="En revue"),"E",IF($H291="Bloquée","B","P"))),""))</f>
        <v/>
      </c>
      <c r="AG291" s="53">
        <f>IF(OR($F291="",$G291=""),"",IF(AND(AG$5&lt;=$G291,AG$5+6&gt;=$F291),IF($H291="Complétée","F",IF(OR($H291="En cours",$H291="En revue"),"E",IF($H291="Bloquée","B","P"))),""))</f>
        <v/>
      </c>
      <c r="AH291" s="53">
        <f>IF(OR($F291="",$G291=""),"",IF(AND(AH$5&lt;=$G291,AH$5+6&gt;=$F291),IF($H291="Complétée","F",IF(OR($H291="En cours",$H291="En revue"),"E",IF($H291="Bloquée","B","P"))),""))</f>
        <v/>
      </c>
      <c r="AI291" s="53">
        <f>IF(OR($F291="",$G291=""),"",IF(AND(AI$5&lt;=$G291,AI$5+6&gt;=$F291),IF($H291="Complétée","F",IF(OR($H291="En cours",$H291="En revue"),"E",IF($H291="Bloquée","B","P"))),""))</f>
        <v/>
      </c>
      <c r="AJ291" s="53">
        <f>IF(OR($F291="",$G291=""),"",IF(AND(AJ$5&lt;=$G291,AJ$5+6&gt;=$F291),IF($H291="Complétée","F",IF(OR($H291="En cours",$H291="En revue"),"E",IF($H291="Bloquée","B","P"))),""))</f>
        <v/>
      </c>
      <c r="AK291" s="53">
        <f>IF(OR($F291="",$G291=""),"",IF(AND(AK$5&lt;=$G291,AK$5+6&gt;=$F291),IF($H291="Complétée","F",IF(OR($H291="En cours",$H291="En revue"),"E",IF($H291="Bloquée","B","P"))),""))</f>
        <v/>
      </c>
      <c r="AL291" s="53">
        <f>IF(OR($F291="",$G291=""),"",IF(AND(AL$5&lt;=$G291,AL$5+6&gt;=$F291),IF($H291="Complétée","F",IF(OR($H291="En cours",$H291="En revue"),"E",IF($H291="Bloquée","B","P"))),""))</f>
        <v/>
      </c>
      <c r="AM291" s="53">
        <f>IF(OR($F291="",$G291=""),"",IF(AND(AM$5&lt;=$G291,AM$5+6&gt;=$F291),IF($H291="Complétée","F",IF(OR($H291="En cours",$H291="En revue"),"E",IF($H291="Bloquée","B","P"))),""))</f>
        <v/>
      </c>
      <c r="AN291" s="53">
        <f>IF(OR($F291="",$G291=""),"",IF(AND(AN$5&lt;=$G291,AN$5+6&gt;=$F291),IF($H291="Complétée","F",IF(OR($H291="En cours",$H291="En revue"),"E",IF($H291="Bloquée","B","P"))),""))</f>
        <v/>
      </c>
      <c r="AO291" s="53">
        <f>IF(OR($F291="",$G291=""),"",IF(AND(AO$5&lt;=$G291,AO$5+6&gt;=$F291),IF($H291="Complétée","F",IF(OR($H291="En cours",$H291="En revue"),"E",IF($H291="Bloquée","B","P"))),""))</f>
        <v/>
      </c>
      <c r="AP291" s="53">
        <f>IF(OR($F291="",$G291=""),"",IF(AND(AP$5&lt;=$G291,AP$5+6&gt;=$F291),IF($H291="Complétée","F",IF(OR($H291="En cours",$H291="En revue"),"E",IF($H291="Bloquée","B","P"))),""))</f>
        <v/>
      </c>
      <c r="AQ291" s="53">
        <f>IF(OR($F291="",$G291=""),"",IF(AND(AQ$5&lt;=$G291,AQ$5+6&gt;=$F291),IF($H291="Complétée","F",IF(OR($H291="En cours",$H291="En revue"),"E",IF($H291="Bloquée","B","P"))),""))</f>
        <v/>
      </c>
      <c r="AR291" s="53">
        <f>IF(OR($F291="",$G291=""),"",IF(AND(AR$5&lt;=$G291,AR$5+6&gt;=$F291),IF($H291="Complétée","F",IF(OR($H291="En cours",$H291="En revue"),"E",IF($H291="Bloquée","B","P"))),""))</f>
        <v/>
      </c>
      <c r="AS291" s="53">
        <f>IF(OR($F291="",$G291=""),"",IF(AND(AS$5&lt;=$G291,AS$5+6&gt;=$F291),IF($H291="Complétée","F",IF(OR($H291="En cours",$H291="En revue"),"E",IF($H291="Bloquée","B","P"))),""))</f>
        <v/>
      </c>
      <c r="AT291" s="53">
        <f>IF(OR($F291="",$G291=""),"",IF(AND(AT$5&lt;=$G291,AT$5+6&gt;=$F291),IF($H291="Complétée","F",IF(OR($H291="En cours",$H291="En revue"),"E",IF($H291="Bloquée","B","P"))),""))</f>
        <v/>
      </c>
      <c r="AU291" s="53">
        <f>IF(OR($F291="",$G291=""),"",IF(AND(AU$5&lt;=$G291,AU$5+6&gt;=$F291),IF($H291="Complétée","F",IF(OR($H291="En cours",$H291="En revue"),"E",IF($H291="Bloquée","B","P"))),""))</f>
        <v/>
      </c>
      <c r="AV291" s="53">
        <f>IF(OR($F291="",$G291=""),"",IF(AND(AV$5&lt;=$G291,AV$5+6&gt;=$F291),IF($H291="Complétée","F",IF(OR($H291="En cours",$H291="En revue"),"E",IF($H291="Bloquée","B","P"))),""))</f>
        <v/>
      </c>
      <c r="AW291" s="53">
        <f>IF(OR($F291="",$G291=""),"",IF(AND(AW$5&lt;=$G291,AW$5+6&gt;=$F291),IF($H291="Complétée","F",IF(OR($H291="En cours",$H291="En revue"),"E",IF($H291="Bloquée","B","P"))),""))</f>
        <v/>
      </c>
    </row>
    <row r="292">
      <c r="B292" s="50">
        <f>IF(Taches!B292="","",Taches!B292)</f>
        <v/>
      </c>
      <c r="C292" s="51">
        <f>IF(Taches!B292="","",Taches!F292)</f>
        <v/>
      </c>
      <c r="D292" s="50">
        <f>IF(Taches!B292="","",Taches!C292)</f>
        <v/>
      </c>
      <c r="E292" s="50">
        <f>IF(Taches!B292="","",Taches!D292)</f>
        <v/>
      </c>
      <c r="F292" s="52">
        <f>IF(Taches!P292="","",Taches!P292)</f>
        <v/>
      </c>
      <c r="G292" s="52">
        <f>IF(Taches!Q292="","",Taches!Q292)</f>
        <v/>
      </c>
      <c r="H292" s="50">
        <f>IF(Taches!B292="","",Taches!J292)</f>
        <v/>
      </c>
      <c r="I292" s="53">
        <f>IF(OR($F292="",$G292=""),"",IF(AND(I$5&lt;=$G292,I$5+6&gt;=$F292),IF($H292="Complétée","F",IF(OR($H292="En cours",$H292="En revue"),"E",IF($H292="Bloquée","B","P"))),""))</f>
        <v/>
      </c>
      <c r="J292" s="53">
        <f>IF(OR($F292="",$G292=""),"",IF(AND(J$5&lt;=$G292,J$5+6&gt;=$F292),IF($H292="Complétée","F",IF(OR($H292="En cours",$H292="En revue"),"E",IF($H292="Bloquée","B","P"))),""))</f>
        <v/>
      </c>
      <c r="K292" s="53">
        <f>IF(OR($F292="",$G292=""),"",IF(AND(K$5&lt;=$G292,K$5+6&gt;=$F292),IF($H292="Complétée","F",IF(OR($H292="En cours",$H292="En revue"),"E",IF($H292="Bloquée","B","P"))),""))</f>
        <v/>
      </c>
      <c r="L292" s="53">
        <f>IF(OR($F292="",$G292=""),"",IF(AND(L$5&lt;=$G292,L$5+6&gt;=$F292),IF($H292="Complétée","F",IF(OR($H292="En cours",$H292="En revue"),"E",IF($H292="Bloquée","B","P"))),""))</f>
        <v/>
      </c>
      <c r="M292" s="53">
        <f>IF(OR($F292="",$G292=""),"",IF(AND(M$5&lt;=$G292,M$5+6&gt;=$F292),IF($H292="Complétée","F",IF(OR($H292="En cours",$H292="En revue"),"E",IF($H292="Bloquée","B","P"))),""))</f>
        <v/>
      </c>
      <c r="N292" s="53">
        <f>IF(OR($F292="",$G292=""),"",IF(AND(N$5&lt;=$G292,N$5+6&gt;=$F292),IF($H292="Complétée","F",IF(OR($H292="En cours",$H292="En revue"),"E",IF($H292="Bloquée","B","P"))),""))</f>
        <v/>
      </c>
      <c r="O292" s="53">
        <f>IF(OR($F292="",$G292=""),"",IF(AND(O$5&lt;=$G292,O$5+6&gt;=$F292),IF($H292="Complétée","F",IF(OR($H292="En cours",$H292="En revue"),"E",IF($H292="Bloquée","B","P"))),""))</f>
        <v/>
      </c>
      <c r="P292" s="53">
        <f>IF(OR($F292="",$G292=""),"",IF(AND(P$5&lt;=$G292,P$5+6&gt;=$F292),IF($H292="Complétée","F",IF(OR($H292="En cours",$H292="En revue"),"E",IF($H292="Bloquée","B","P"))),""))</f>
        <v/>
      </c>
      <c r="Q292" s="53">
        <f>IF(OR($F292="",$G292=""),"",IF(AND(Q$5&lt;=$G292,Q$5+6&gt;=$F292),IF($H292="Complétée","F",IF(OR($H292="En cours",$H292="En revue"),"E",IF($H292="Bloquée","B","P"))),""))</f>
        <v/>
      </c>
      <c r="R292" s="53">
        <f>IF(OR($F292="",$G292=""),"",IF(AND(R$5&lt;=$G292,R$5+6&gt;=$F292),IF($H292="Complétée","F",IF(OR($H292="En cours",$H292="En revue"),"E",IF($H292="Bloquée","B","P"))),""))</f>
        <v/>
      </c>
      <c r="S292" s="53">
        <f>IF(OR($F292="",$G292=""),"",IF(AND(S$5&lt;=$G292,S$5+6&gt;=$F292),IF($H292="Complétée","F",IF(OR($H292="En cours",$H292="En revue"),"E",IF($H292="Bloquée","B","P"))),""))</f>
        <v/>
      </c>
      <c r="T292" s="53">
        <f>IF(OR($F292="",$G292=""),"",IF(AND(T$5&lt;=$G292,T$5+6&gt;=$F292),IF($H292="Complétée","F",IF(OR($H292="En cours",$H292="En revue"),"E",IF($H292="Bloquée","B","P"))),""))</f>
        <v/>
      </c>
      <c r="U292" s="53">
        <f>IF(OR($F292="",$G292=""),"",IF(AND(U$5&lt;=$G292,U$5+6&gt;=$F292),IF($H292="Complétée","F",IF(OR($H292="En cours",$H292="En revue"),"E",IF($H292="Bloquée","B","P"))),""))</f>
        <v/>
      </c>
      <c r="V292" s="53">
        <f>IF(OR($F292="",$G292=""),"",IF(AND(V$5&lt;=$G292,V$5+6&gt;=$F292),IF($H292="Complétée","F",IF(OR($H292="En cours",$H292="En revue"),"E",IF($H292="Bloquée","B","P"))),""))</f>
        <v/>
      </c>
      <c r="W292" s="53">
        <f>IF(OR($F292="",$G292=""),"",IF(AND(W$5&lt;=$G292,W$5+6&gt;=$F292),IF($H292="Complétée","F",IF(OR($H292="En cours",$H292="En revue"),"E",IF($H292="Bloquée","B","P"))),""))</f>
        <v/>
      </c>
      <c r="X292" s="53">
        <f>IF(OR($F292="",$G292=""),"",IF(AND(X$5&lt;=$G292,X$5+6&gt;=$F292),IF($H292="Complétée","F",IF(OR($H292="En cours",$H292="En revue"),"E",IF($H292="Bloquée","B","P"))),""))</f>
        <v/>
      </c>
      <c r="Y292" s="53">
        <f>IF(OR($F292="",$G292=""),"",IF(AND(Y$5&lt;=$G292,Y$5+6&gt;=$F292),IF($H292="Complétée","F",IF(OR($H292="En cours",$H292="En revue"),"E",IF($H292="Bloquée","B","P"))),""))</f>
        <v/>
      </c>
      <c r="Z292" s="53">
        <f>IF(OR($F292="",$G292=""),"",IF(AND(Z$5&lt;=$G292,Z$5+6&gt;=$F292),IF($H292="Complétée","F",IF(OR($H292="En cours",$H292="En revue"),"E",IF($H292="Bloquée","B","P"))),""))</f>
        <v/>
      </c>
      <c r="AA292" s="53">
        <f>IF(OR($F292="",$G292=""),"",IF(AND(AA$5&lt;=$G292,AA$5+6&gt;=$F292),IF($H292="Complétée","F",IF(OR($H292="En cours",$H292="En revue"),"E",IF($H292="Bloquée","B","P"))),""))</f>
        <v/>
      </c>
      <c r="AB292" s="53">
        <f>IF(OR($F292="",$G292=""),"",IF(AND(AB$5&lt;=$G292,AB$5+6&gt;=$F292),IF($H292="Complétée","F",IF(OR($H292="En cours",$H292="En revue"),"E",IF($H292="Bloquée","B","P"))),""))</f>
        <v/>
      </c>
      <c r="AC292" s="53">
        <f>IF(OR($F292="",$G292=""),"",IF(AND(AC$5&lt;=$G292,AC$5+6&gt;=$F292),IF($H292="Complétée","F",IF(OR($H292="En cours",$H292="En revue"),"E",IF($H292="Bloquée","B","P"))),""))</f>
        <v/>
      </c>
      <c r="AD292" s="53">
        <f>IF(OR($F292="",$G292=""),"",IF(AND(AD$5&lt;=$G292,AD$5+6&gt;=$F292),IF($H292="Complétée","F",IF(OR($H292="En cours",$H292="En revue"),"E",IF($H292="Bloquée","B","P"))),""))</f>
        <v/>
      </c>
      <c r="AE292" s="53">
        <f>IF(OR($F292="",$G292=""),"",IF(AND(AE$5&lt;=$G292,AE$5+6&gt;=$F292),IF($H292="Complétée","F",IF(OR($H292="En cours",$H292="En revue"),"E",IF($H292="Bloquée","B","P"))),""))</f>
        <v/>
      </c>
      <c r="AF292" s="53">
        <f>IF(OR($F292="",$G292=""),"",IF(AND(AF$5&lt;=$G292,AF$5+6&gt;=$F292),IF($H292="Complétée","F",IF(OR($H292="En cours",$H292="En revue"),"E",IF($H292="Bloquée","B","P"))),""))</f>
        <v/>
      </c>
      <c r="AG292" s="53">
        <f>IF(OR($F292="",$G292=""),"",IF(AND(AG$5&lt;=$G292,AG$5+6&gt;=$F292),IF($H292="Complétée","F",IF(OR($H292="En cours",$H292="En revue"),"E",IF($H292="Bloquée","B","P"))),""))</f>
        <v/>
      </c>
      <c r="AH292" s="53">
        <f>IF(OR($F292="",$G292=""),"",IF(AND(AH$5&lt;=$G292,AH$5+6&gt;=$F292),IF($H292="Complétée","F",IF(OR($H292="En cours",$H292="En revue"),"E",IF($H292="Bloquée","B","P"))),""))</f>
        <v/>
      </c>
      <c r="AI292" s="53">
        <f>IF(OR($F292="",$G292=""),"",IF(AND(AI$5&lt;=$G292,AI$5+6&gt;=$F292),IF($H292="Complétée","F",IF(OR($H292="En cours",$H292="En revue"),"E",IF($H292="Bloquée","B","P"))),""))</f>
        <v/>
      </c>
      <c r="AJ292" s="53">
        <f>IF(OR($F292="",$G292=""),"",IF(AND(AJ$5&lt;=$G292,AJ$5+6&gt;=$F292),IF($H292="Complétée","F",IF(OR($H292="En cours",$H292="En revue"),"E",IF($H292="Bloquée","B","P"))),""))</f>
        <v/>
      </c>
      <c r="AK292" s="53">
        <f>IF(OR($F292="",$G292=""),"",IF(AND(AK$5&lt;=$G292,AK$5+6&gt;=$F292),IF($H292="Complétée","F",IF(OR($H292="En cours",$H292="En revue"),"E",IF($H292="Bloquée","B","P"))),""))</f>
        <v/>
      </c>
      <c r="AL292" s="53">
        <f>IF(OR($F292="",$G292=""),"",IF(AND(AL$5&lt;=$G292,AL$5+6&gt;=$F292),IF($H292="Complétée","F",IF(OR($H292="En cours",$H292="En revue"),"E",IF($H292="Bloquée","B","P"))),""))</f>
        <v/>
      </c>
      <c r="AM292" s="53">
        <f>IF(OR($F292="",$G292=""),"",IF(AND(AM$5&lt;=$G292,AM$5+6&gt;=$F292),IF($H292="Complétée","F",IF(OR($H292="En cours",$H292="En revue"),"E",IF($H292="Bloquée","B","P"))),""))</f>
        <v/>
      </c>
      <c r="AN292" s="53">
        <f>IF(OR($F292="",$G292=""),"",IF(AND(AN$5&lt;=$G292,AN$5+6&gt;=$F292),IF($H292="Complétée","F",IF(OR($H292="En cours",$H292="En revue"),"E",IF($H292="Bloquée","B","P"))),""))</f>
        <v/>
      </c>
      <c r="AO292" s="53">
        <f>IF(OR($F292="",$G292=""),"",IF(AND(AO$5&lt;=$G292,AO$5+6&gt;=$F292),IF($H292="Complétée","F",IF(OR($H292="En cours",$H292="En revue"),"E",IF($H292="Bloquée","B","P"))),""))</f>
        <v/>
      </c>
      <c r="AP292" s="53">
        <f>IF(OR($F292="",$G292=""),"",IF(AND(AP$5&lt;=$G292,AP$5+6&gt;=$F292),IF($H292="Complétée","F",IF(OR($H292="En cours",$H292="En revue"),"E",IF($H292="Bloquée","B","P"))),""))</f>
        <v/>
      </c>
      <c r="AQ292" s="53">
        <f>IF(OR($F292="",$G292=""),"",IF(AND(AQ$5&lt;=$G292,AQ$5+6&gt;=$F292),IF($H292="Complétée","F",IF(OR($H292="En cours",$H292="En revue"),"E",IF($H292="Bloquée","B","P"))),""))</f>
        <v/>
      </c>
      <c r="AR292" s="53">
        <f>IF(OR($F292="",$G292=""),"",IF(AND(AR$5&lt;=$G292,AR$5+6&gt;=$F292),IF($H292="Complétée","F",IF(OR($H292="En cours",$H292="En revue"),"E",IF($H292="Bloquée","B","P"))),""))</f>
        <v/>
      </c>
      <c r="AS292" s="53">
        <f>IF(OR($F292="",$G292=""),"",IF(AND(AS$5&lt;=$G292,AS$5+6&gt;=$F292),IF($H292="Complétée","F",IF(OR($H292="En cours",$H292="En revue"),"E",IF($H292="Bloquée","B","P"))),""))</f>
        <v/>
      </c>
      <c r="AT292" s="53">
        <f>IF(OR($F292="",$G292=""),"",IF(AND(AT$5&lt;=$G292,AT$5+6&gt;=$F292),IF($H292="Complétée","F",IF(OR($H292="En cours",$H292="En revue"),"E",IF($H292="Bloquée","B","P"))),""))</f>
        <v/>
      </c>
      <c r="AU292" s="53">
        <f>IF(OR($F292="",$G292=""),"",IF(AND(AU$5&lt;=$G292,AU$5+6&gt;=$F292),IF($H292="Complétée","F",IF(OR($H292="En cours",$H292="En revue"),"E",IF($H292="Bloquée","B","P"))),""))</f>
        <v/>
      </c>
      <c r="AV292" s="53">
        <f>IF(OR($F292="",$G292=""),"",IF(AND(AV$5&lt;=$G292,AV$5+6&gt;=$F292),IF($H292="Complétée","F",IF(OR($H292="En cours",$H292="En revue"),"E",IF($H292="Bloquée","B","P"))),""))</f>
        <v/>
      </c>
      <c r="AW292" s="53">
        <f>IF(OR($F292="",$G292=""),"",IF(AND(AW$5&lt;=$G292,AW$5+6&gt;=$F292),IF($H292="Complétée","F",IF(OR($H292="En cours",$H292="En revue"),"E",IF($H292="Bloquée","B","P"))),""))</f>
        <v/>
      </c>
    </row>
    <row r="293">
      <c r="B293" s="50">
        <f>IF(Taches!B293="","",Taches!B293)</f>
        <v/>
      </c>
      <c r="C293" s="51">
        <f>IF(Taches!B293="","",Taches!F293)</f>
        <v/>
      </c>
      <c r="D293" s="50">
        <f>IF(Taches!B293="","",Taches!C293)</f>
        <v/>
      </c>
      <c r="E293" s="50">
        <f>IF(Taches!B293="","",Taches!D293)</f>
        <v/>
      </c>
      <c r="F293" s="52">
        <f>IF(Taches!P293="","",Taches!P293)</f>
        <v/>
      </c>
      <c r="G293" s="52">
        <f>IF(Taches!Q293="","",Taches!Q293)</f>
        <v/>
      </c>
      <c r="H293" s="50">
        <f>IF(Taches!B293="","",Taches!J293)</f>
        <v/>
      </c>
      <c r="I293" s="53">
        <f>IF(OR($F293="",$G293=""),"",IF(AND(I$5&lt;=$G293,I$5+6&gt;=$F293),IF($H293="Complétée","F",IF(OR($H293="En cours",$H293="En revue"),"E",IF($H293="Bloquée","B","P"))),""))</f>
        <v/>
      </c>
      <c r="J293" s="53">
        <f>IF(OR($F293="",$G293=""),"",IF(AND(J$5&lt;=$G293,J$5+6&gt;=$F293),IF($H293="Complétée","F",IF(OR($H293="En cours",$H293="En revue"),"E",IF($H293="Bloquée","B","P"))),""))</f>
        <v/>
      </c>
      <c r="K293" s="53">
        <f>IF(OR($F293="",$G293=""),"",IF(AND(K$5&lt;=$G293,K$5+6&gt;=$F293),IF($H293="Complétée","F",IF(OR($H293="En cours",$H293="En revue"),"E",IF($H293="Bloquée","B","P"))),""))</f>
        <v/>
      </c>
      <c r="L293" s="53">
        <f>IF(OR($F293="",$G293=""),"",IF(AND(L$5&lt;=$G293,L$5+6&gt;=$F293),IF($H293="Complétée","F",IF(OR($H293="En cours",$H293="En revue"),"E",IF($H293="Bloquée","B","P"))),""))</f>
        <v/>
      </c>
      <c r="M293" s="53">
        <f>IF(OR($F293="",$G293=""),"",IF(AND(M$5&lt;=$G293,M$5+6&gt;=$F293),IF($H293="Complétée","F",IF(OR($H293="En cours",$H293="En revue"),"E",IF($H293="Bloquée","B","P"))),""))</f>
        <v/>
      </c>
      <c r="N293" s="53">
        <f>IF(OR($F293="",$G293=""),"",IF(AND(N$5&lt;=$G293,N$5+6&gt;=$F293),IF($H293="Complétée","F",IF(OR($H293="En cours",$H293="En revue"),"E",IF($H293="Bloquée","B","P"))),""))</f>
        <v/>
      </c>
      <c r="O293" s="53">
        <f>IF(OR($F293="",$G293=""),"",IF(AND(O$5&lt;=$G293,O$5+6&gt;=$F293),IF($H293="Complétée","F",IF(OR($H293="En cours",$H293="En revue"),"E",IF($H293="Bloquée","B","P"))),""))</f>
        <v/>
      </c>
      <c r="P293" s="53">
        <f>IF(OR($F293="",$G293=""),"",IF(AND(P$5&lt;=$G293,P$5+6&gt;=$F293),IF($H293="Complétée","F",IF(OR($H293="En cours",$H293="En revue"),"E",IF($H293="Bloquée","B","P"))),""))</f>
        <v/>
      </c>
      <c r="Q293" s="53">
        <f>IF(OR($F293="",$G293=""),"",IF(AND(Q$5&lt;=$G293,Q$5+6&gt;=$F293),IF($H293="Complétée","F",IF(OR($H293="En cours",$H293="En revue"),"E",IF($H293="Bloquée","B","P"))),""))</f>
        <v/>
      </c>
      <c r="R293" s="53">
        <f>IF(OR($F293="",$G293=""),"",IF(AND(R$5&lt;=$G293,R$5+6&gt;=$F293),IF($H293="Complétée","F",IF(OR($H293="En cours",$H293="En revue"),"E",IF($H293="Bloquée","B","P"))),""))</f>
        <v/>
      </c>
      <c r="S293" s="53">
        <f>IF(OR($F293="",$G293=""),"",IF(AND(S$5&lt;=$G293,S$5+6&gt;=$F293),IF($H293="Complétée","F",IF(OR($H293="En cours",$H293="En revue"),"E",IF($H293="Bloquée","B","P"))),""))</f>
        <v/>
      </c>
      <c r="T293" s="53">
        <f>IF(OR($F293="",$G293=""),"",IF(AND(T$5&lt;=$G293,T$5+6&gt;=$F293),IF($H293="Complétée","F",IF(OR($H293="En cours",$H293="En revue"),"E",IF($H293="Bloquée","B","P"))),""))</f>
        <v/>
      </c>
      <c r="U293" s="53">
        <f>IF(OR($F293="",$G293=""),"",IF(AND(U$5&lt;=$G293,U$5+6&gt;=$F293),IF($H293="Complétée","F",IF(OR($H293="En cours",$H293="En revue"),"E",IF($H293="Bloquée","B","P"))),""))</f>
        <v/>
      </c>
      <c r="V293" s="53">
        <f>IF(OR($F293="",$G293=""),"",IF(AND(V$5&lt;=$G293,V$5+6&gt;=$F293),IF($H293="Complétée","F",IF(OR($H293="En cours",$H293="En revue"),"E",IF($H293="Bloquée","B","P"))),""))</f>
        <v/>
      </c>
      <c r="W293" s="53">
        <f>IF(OR($F293="",$G293=""),"",IF(AND(W$5&lt;=$G293,W$5+6&gt;=$F293),IF($H293="Complétée","F",IF(OR($H293="En cours",$H293="En revue"),"E",IF($H293="Bloquée","B","P"))),""))</f>
        <v/>
      </c>
      <c r="X293" s="53">
        <f>IF(OR($F293="",$G293=""),"",IF(AND(X$5&lt;=$G293,X$5+6&gt;=$F293),IF($H293="Complétée","F",IF(OR($H293="En cours",$H293="En revue"),"E",IF($H293="Bloquée","B","P"))),""))</f>
        <v/>
      </c>
      <c r="Y293" s="53">
        <f>IF(OR($F293="",$G293=""),"",IF(AND(Y$5&lt;=$G293,Y$5+6&gt;=$F293),IF($H293="Complétée","F",IF(OR($H293="En cours",$H293="En revue"),"E",IF($H293="Bloquée","B","P"))),""))</f>
        <v/>
      </c>
      <c r="Z293" s="53">
        <f>IF(OR($F293="",$G293=""),"",IF(AND(Z$5&lt;=$G293,Z$5+6&gt;=$F293),IF($H293="Complétée","F",IF(OR($H293="En cours",$H293="En revue"),"E",IF($H293="Bloquée","B","P"))),""))</f>
        <v/>
      </c>
      <c r="AA293" s="53">
        <f>IF(OR($F293="",$G293=""),"",IF(AND(AA$5&lt;=$G293,AA$5+6&gt;=$F293),IF($H293="Complétée","F",IF(OR($H293="En cours",$H293="En revue"),"E",IF($H293="Bloquée","B","P"))),""))</f>
        <v/>
      </c>
      <c r="AB293" s="53">
        <f>IF(OR($F293="",$G293=""),"",IF(AND(AB$5&lt;=$G293,AB$5+6&gt;=$F293),IF($H293="Complétée","F",IF(OR($H293="En cours",$H293="En revue"),"E",IF($H293="Bloquée","B","P"))),""))</f>
        <v/>
      </c>
      <c r="AC293" s="53">
        <f>IF(OR($F293="",$G293=""),"",IF(AND(AC$5&lt;=$G293,AC$5+6&gt;=$F293),IF($H293="Complétée","F",IF(OR($H293="En cours",$H293="En revue"),"E",IF($H293="Bloquée","B","P"))),""))</f>
        <v/>
      </c>
      <c r="AD293" s="53">
        <f>IF(OR($F293="",$G293=""),"",IF(AND(AD$5&lt;=$G293,AD$5+6&gt;=$F293),IF($H293="Complétée","F",IF(OR($H293="En cours",$H293="En revue"),"E",IF($H293="Bloquée","B","P"))),""))</f>
        <v/>
      </c>
      <c r="AE293" s="53">
        <f>IF(OR($F293="",$G293=""),"",IF(AND(AE$5&lt;=$G293,AE$5+6&gt;=$F293),IF($H293="Complétée","F",IF(OR($H293="En cours",$H293="En revue"),"E",IF($H293="Bloquée","B","P"))),""))</f>
        <v/>
      </c>
      <c r="AF293" s="53">
        <f>IF(OR($F293="",$G293=""),"",IF(AND(AF$5&lt;=$G293,AF$5+6&gt;=$F293),IF($H293="Complétée","F",IF(OR($H293="En cours",$H293="En revue"),"E",IF($H293="Bloquée","B","P"))),""))</f>
        <v/>
      </c>
      <c r="AG293" s="53">
        <f>IF(OR($F293="",$G293=""),"",IF(AND(AG$5&lt;=$G293,AG$5+6&gt;=$F293),IF($H293="Complétée","F",IF(OR($H293="En cours",$H293="En revue"),"E",IF($H293="Bloquée","B","P"))),""))</f>
        <v/>
      </c>
      <c r="AH293" s="53">
        <f>IF(OR($F293="",$G293=""),"",IF(AND(AH$5&lt;=$G293,AH$5+6&gt;=$F293),IF($H293="Complétée","F",IF(OR($H293="En cours",$H293="En revue"),"E",IF($H293="Bloquée","B","P"))),""))</f>
        <v/>
      </c>
      <c r="AI293" s="53">
        <f>IF(OR($F293="",$G293=""),"",IF(AND(AI$5&lt;=$G293,AI$5+6&gt;=$F293),IF($H293="Complétée","F",IF(OR($H293="En cours",$H293="En revue"),"E",IF($H293="Bloquée","B","P"))),""))</f>
        <v/>
      </c>
      <c r="AJ293" s="53">
        <f>IF(OR($F293="",$G293=""),"",IF(AND(AJ$5&lt;=$G293,AJ$5+6&gt;=$F293),IF($H293="Complétée","F",IF(OR($H293="En cours",$H293="En revue"),"E",IF($H293="Bloquée","B","P"))),""))</f>
        <v/>
      </c>
      <c r="AK293" s="53">
        <f>IF(OR($F293="",$G293=""),"",IF(AND(AK$5&lt;=$G293,AK$5+6&gt;=$F293),IF($H293="Complétée","F",IF(OR($H293="En cours",$H293="En revue"),"E",IF($H293="Bloquée","B","P"))),""))</f>
        <v/>
      </c>
      <c r="AL293" s="53">
        <f>IF(OR($F293="",$G293=""),"",IF(AND(AL$5&lt;=$G293,AL$5+6&gt;=$F293),IF($H293="Complétée","F",IF(OR($H293="En cours",$H293="En revue"),"E",IF($H293="Bloquée","B","P"))),""))</f>
        <v/>
      </c>
      <c r="AM293" s="53">
        <f>IF(OR($F293="",$G293=""),"",IF(AND(AM$5&lt;=$G293,AM$5+6&gt;=$F293),IF($H293="Complétée","F",IF(OR($H293="En cours",$H293="En revue"),"E",IF($H293="Bloquée","B","P"))),""))</f>
        <v/>
      </c>
      <c r="AN293" s="53">
        <f>IF(OR($F293="",$G293=""),"",IF(AND(AN$5&lt;=$G293,AN$5+6&gt;=$F293),IF($H293="Complétée","F",IF(OR($H293="En cours",$H293="En revue"),"E",IF($H293="Bloquée","B","P"))),""))</f>
        <v/>
      </c>
      <c r="AO293" s="53">
        <f>IF(OR($F293="",$G293=""),"",IF(AND(AO$5&lt;=$G293,AO$5+6&gt;=$F293),IF($H293="Complétée","F",IF(OR($H293="En cours",$H293="En revue"),"E",IF($H293="Bloquée","B","P"))),""))</f>
        <v/>
      </c>
      <c r="AP293" s="53">
        <f>IF(OR($F293="",$G293=""),"",IF(AND(AP$5&lt;=$G293,AP$5+6&gt;=$F293),IF($H293="Complétée","F",IF(OR($H293="En cours",$H293="En revue"),"E",IF($H293="Bloquée","B","P"))),""))</f>
        <v/>
      </c>
      <c r="AQ293" s="53">
        <f>IF(OR($F293="",$G293=""),"",IF(AND(AQ$5&lt;=$G293,AQ$5+6&gt;=$F293),IF($H293="Complétée","F",IF(OR($H293="En cours",$H293="En revue"),"E",IF($H293="Bloquée","B","P"))),""))</f>
        <v/>
      </c>
      <c r="AR293" s="53">
        <f>IF(OR($F293="",$G293=""),"",IF(AND(AR$5&lt;=$G293,AR$5+6&gt;=$F293),IF($H293="Complétée","F",IF(OR($H293="En cours",$H293="En revue"),"E",IF($H293="Bloquée","B","P"))),""))</f>
        <v/>
      </c>
      <c r="AS293" s="53">
        <f>IF(OR($F293="",$G293=""),"",IF(AND(AS$5&lt;=$G293,AS$5+6&gt;=$F293),IF($H293="Complétée","F",IF(OR($H293="En cours",$H293="En revue"),"E",IF($H293="Bloquée","B","P"))),""))</f>
        <v/>
      </c>
      <c r="AT293" s="53">
        <f>IF(OR($F293="",$G293=""),"",IF(AND(AT$5&lt;=$G293,AT$5+6&gt;=$F293),IF($H293="Complétée","F",IF(OR($H293="En cours",$H293="En revue"),"E",IF($H293="Bloquée","B","P"))),""))</f>
        <v/>
      </c>
      <c r="AU293" s="53">
        <f>IF(OR($F293="",$G293=""),"",IF(AND(AU$5&lt;=$G293,AU$5+6&gt;=$F293),IF($H293="Complétée","F",IF(OR($H293="En cours",$H293="En revue"),"E",IF($H293="Bloquée","B","P"))),""))</f>
        <v/>
      </c>
      <c r="AV293" s="53">
        <f>IF(OR($F293="",$G293=""),"",IF(AND(AV$5&lt;=$G293,AV$5+6&gt;=$F293),IF($H293="Complétée","F",IF(OR($H293="En cours",$H293="En revue"),"E",IF($H293="Bloquée","B","P"))),""))</f>
        <v/>
      </c>
      <c r="AW293" s="53">
        <f>IF(OR($F293="",$G293=""),"",IF(AND(AW$5&lt;=$G293,AW$5+6&gt;=$F293),IF($H293="Complétée","F",IF(OR($H293="En cours",$H293="En revue"),"E",IF($H293="Bloquée","B","P"))),""))</f>
        <v/>
      </c>
    </row>
    <row r="294">
      <c r="B294" s="50">
        <f>IF(Taches!B294="","",Taches!B294)</f>
        <v/>
      </c>
      <c r="C294" s="51">
        <f>IF(Taches!B294="","",Taches!F294)</f>
        <v/>
      </c>
      <c r="D294" s="50">
        <f>IF(Taches!B294="","",Taches!C294)</f>
        <v/>
      </c>
      <c r="E294" s="50">
        <f>IF(Taches!B294="","",Taches!D294)</f>
        <v/>
      </c>
      <c r="F294" s="52">
        <f>IF(Taches!P294="","",Taches!P294)</f>
        <v/>
      </c>
      <c r="G294" s="52">
        <f>IF(Taches!Q294="","",Taches!Q294)</f>
        <v/>
      </c>
      <c r="H294" s="50">
        <f>IF(Taches!B294="","",Taches!J294)</f>
        <v/>
      </c>
      <c r="I294" s="53">
        <f>IF(OR($F294="",$G294=""),"",IF(AND(I$5&lt;=$G294,I$5+6&gt;=$F294),IF($H294="Complétée","F",IF(OR($H294="En cours",$H294="En revue"),"E",IF($H294="Bloquée","B","P"))),""))</f>
        <v/>
      </c>
      <c r="J294" s="53">
        <f>IF(OR($F294="",$G294=""),"",IF(AND(J$5&lt;=$G294,J$5+6&gt;=$F294),IF($H294="Complétée","F",IF(OR($H294="En cours",$H294="En revue"),"E",IF($H294="Bloquée","B","P"))),""))</f>
        <v/>
      </c>
      <c r="K294" s="53">
        <f>IF(OR($F294="",$G294=""),"",IF(AND(K$5&lt;=$G294,K$5+6&gt;=$F294),IF($H294="Complétée","F",IF(OR($H294="En cours",$H294="En revue"),"E",IF($H294="Bloquée","B","P"))),""))</f>
        <v/>
      </c>
      <c r="L294" s="53">
        <f>IF(OR($F294="",$G294=""),"",IF(AND(L$5&lt;=$G294,L$5+6&gt;=$F294),IF($H294="Complétée","F",IF(OR($H294="En cours",$H294="En revue"),"E",IF($H294="Bloquée","B","P"))),""))</f>
        <v/>
      </c>
      <c r="M294" s="53">
        <f>IF(OR($F294="",$G294=""),"",IF(AND(M$5&lt;=$G294,M$5+6&gt;=$F294),IF($H294="Complétée","F",IF(OR($H294="En cours",$H294="En revue"),"E",IF($H294="Bloquée","B","P"))),""))</f>
        <v/>
      </c>
      <c r="N294" s="53">
        <f>IF(OR($F294="",$G294=""),"",IF(AND(N$5&lt;=$G294,N$5+6&gt;=$F294),IF($H294="Complétée","F",IF(OR($H294="En cours",$H294="En revue"),"E",IF($H294="Bloquée","B","P"))),""))</f>
        <v/>
      </c>
      <c r="O294" s="53">
        <f>IF(OR($F294="",$G294=""),"",IF(AND(O$5&lt;=$G294,O$5+6&gt;=$F294),IF($H294="Complétée","F",IF(OR($H294="En cours",$H294="En revue"),"E",IF($H294="Bloquée","B","P"))),""))</f>
        <v/>
      </c>
      <c r="P294" s="53">
        <f>IF(OR($F294="",$G294=""),"",IF(AND(P$5&lt;=$G294,P$5+6&gt;=$F294),IF($H294="Complétée","F",IF(OR($H294="En cours",$H294="En revue"),"E",IF($H294="Bloquée","B","P"))),""))</f>
        <v/>
      </c>
      <c r="Q294" s="53">
        <f>IF(OR($F294="",$G294=""),"",IF(AND(Q$5&lt;=$G294,Q$5+6&gt;=$F294),IF($H294="Complétée","F",IF(OR($H294="En cours",$H294="En revue"),"E",IF($H294="Bloquée","B","P"))),""))</f>
        <v/>
      </c>
      <c r="R294" s="53">
        <f>IF(OR($F294="",$G294=""),"",IF(AND(R$5&lt;=$G294,R$5+6&gt;=$F294),IF($H294="Complétée","F",IF(OR($H294="En cours",$H294="En revue"),"E",IF($H294="Bloquée","B","P"))),""))</f>
        <v/>
      </c>
      <c r="S294" s="53">
        <f>IF(OR($F294="",$G294=""),"",IF(AND(S$5&lt;=$G294,S$5+6&gt;=$F294),IF($H294="Complétée","F",IF(OR($H294="En cours",$H294="En revue"),"E",IF($H294="Bloquée","B","P"))),""))</f>
        <v/>
      </c>
      <c r="T294" s="53">
        <f>IF(OR($F294="",$G294=""),"",IF(AND(T$5&lt;=$G294,T$5+6&gt;=$F294),IF($H294="Complétée","F",IF(OR($H294="En cours",$H294="En revue"),"E",IF($H294="Bloquée","B","P"))),""))</f>
        <v/>
      </c>
      <c r="U294" s="53">
        <f>IF(OR($F294="",$G294=""),"",IF(AND(U$5&lt;=$G294,U$5+6&gt;=$F294),IF($H294="Complétée","F",IF(OR($H294="En cours",$H294="En revue"),"E",IF($H294="Bloquée","B","P"))),""))</f>
        <v/>
      </c>
      <c r="V294" s="53">
        <f>IF(OR($F294="",$G294=""),"",IF(AND(V$5&lt;=$G294,V$5+6&gt;=$F294),IF($H294="Complétée","F",IF(OR($H294="En cours",$H294="En revue"),"E",IF($H294="Bloquée","B","P"))),""))</f>
        <v/>
      </c>
      <c r="W294" s="53">
        <f>IF(OR($F294="",$G294=""),"",IF(AND(W$5&lt;=$G294,W$5+6&gt;=$F294),IF($H294="Complétée","F",IF(OR($H294="En cours",$H294="En revue"),"E",IF($H294="Bloquée","B","P"))),""))</f>
        <v/>
      </c>
      <c r="X294" s="53">
        <f>IF(OR($F294="",$G294=""),"",IF(AND(X$5&lt;=$G294,X$5+6&gt;=$F294),IF($H294="Complétée","F",IF(OR($H294="En cours",$H294="En revue"),"E",IF($H294="Bloquée","B","P"))),""))</f>
        <v/>
      </c>
      <c r="Y294" s="53">
        <f>IF(OR($F294="",$G294=""),"",IF(AND(Y$5&lt;=$G294,Y$5+6&gt;=$F294),IF($H294="Complétée","F",IF(OR($H294="En cours",$H294="En revue"),"E",IF($H294="Bloquée","B","P"))),""))</f>
        <v/>
      </c>
      <c r="Z294" s="53">
        <f>IF(OR($F294="",$G294=""),"",IF(AND(Z$5&lt;=$G294,Z$5+6&gt;=$F294),IF($H294="Complétée","F",IF(OR($H294="En cours",$H294="En revue"),"E",IF($H294="Bloquée","B","P"))),""))</f>
        <v/>
      </c>
      <c r="AA294" s="53">
        <f>IF(OR($F294="",$G294=""),"",IF(AND(AA$5&lt;=$G294,AA$5+6&gt;=$F294),IF($H294="Complétée","F",IF(OR($H294="En cours",$H294="En revue"),"E",IF($H294="Bloquée","B","P"))),""))</f>
        <v/>
      </c>
      <c r="AB294" s="53">
        <f>IF(OR($F294="",$G294=""),"",IF(AND(AB$5&lt;=$G294,AB$5+6&gt;=$F294),IF($H294="Complétée","F",IF(OR($H294="En cours",$H294="En revue"),"E",IF($H294="Bloquée","B","P"))),""))</f>
        <v/>
      </c>
      <c r="AC294" s="53">
        <f>IF(OR($F294="",$G294=""),"",IF(AND(AC$5&lt;=$G294,AC$5+6&gt;=$F294),IF($H294="Complétée","F",IF(OR($H294="En cours",$H294="En revue"),"E",IF($H294="Bloquée","B","P"))),""))</f>
        <v/>
      </c>
      <c r="AD294" s="53">
        <f>IF(OR($F294="",$G294=""),"",IF(AND(AD$5&lt;=$G294,AD$5+6&gt;=$F294),IF($H294="Complétée","F",IF(OR($H294="En cours",$H294="En revue"),"E",IF($H294="Bloquée","B","P"))),""))</f>
        <v/>
      </c>
      <c r="AE294" s="53">
        <f>IF(OR($F294="",$G294=""),"",IF(AND(AE$5&lt;=$G294,AE$5+6&gt;=$F294),IF($H294="Complétée","F",IF(OR($H294="En cours",$H294="En revue"),"E",IF($H294="Bloquée","B","P"))),""))</f>
        <v/>
      </c>
      <c r="AF294" s="53">
        <f>IF(OR($F294="",$G294=""),"",IF(AND(AF$5&lt;=$G294,AF$5+6&gt;=$F294),IF($H294="Complétée","F",IF(OR($H294="En cours",$H294="En revue"),"E",IF($H294="Bloquée","B","P"))),""))</f>
        <v/>
      </c>
      <c r="AG294" s="53">
        <f>IF(OR($F294="",$G294=""),"",IF(AND(AG$5&lt;=$G294,AG$5+6&gt;=$F294),IF($H294="Complétée","F",IF(OR($H294="En cours",$H294="En revue"),"E",IF($H294="Bloquée","B","P"))),""))</f>
        <v/>
      </c>
      <c r="AH294" s="53">
        <f>IF(OR($F294="",$G294=""),"",IF(AND(AH$5&lt;=$G294,AH$5+6&gt;=$F294),IF($H294="Complétée","F",IF(OR($H294="En cours",$H294="En revue"),"E",IF($H294="Bloquée","B","P"))),""))</f>
        <v/>
      </c>
      <c r="AI294" s="53">
        <f>IF(OR($F294="",$G294=""),"",IF(AND(AI$5&lt;=$G294,AI$5+6&gt;=$F294),IF($H294="Complétée","F",IF(OR($H294="En cours",$H294="En revue"),"E",IF($H294="Bloquée","B","P"))),""))</f>
        <v/>
      </c>
      <c r="AJ294" s="53">
        <f>IF(OR($F294="",$G294=""),"",IF(AND(AJ$5&lt;=$G294,AJ$5+6&gt;=$F294),IF($H294="Complétée","F",IF(OR($H294="En cours",$H294="En revue"),"E",IF($H294="Bloquée","B","P"))),""))</f>
        <v/>
      </c>
      <c r="AK294" s="53">
        <f>IF(OR($F294="",$G294=""),"",IF(AND(AK$5&lt;=$G294,AK$5+6&gt;=$F294),IF($H294="Complétée","F",IF(OR($H294="En cours",$H294="En revue"),"E",IF($H294="Bloquée","B","P"))),""))</f>
        <v/>
      </c>
      <c r="AL294" s="53">
        <f>IF(OR($F294="",$G294=""),"",IF(AND(AL$5&lt;=$G294,AL$5+6&gt;=$F294),IF($H294="Complétée","F",IF(OR($H294="En cours",$H294="En revue"),"E",IF($H294="Bloquée","B","P"))),""))</f>
        <v/>
      </c>
      <c r="AM294" s="53">
        <f>IF(OR($F294="",$G294=""),"",IF(AND(AM$5&lt;=$G294,AM$5+6&gt;=$F294),IF($H294="Complétée","F",IF(OR($H294="En cours",$H294="En revue"),"E",IF($H294="Bloquée","B","P"))),""))</f>
        <v/>
      </c>
      <c r="AN294" s="53">
        <f>IF(OR($F294="",$G294=""),"",IF(AND(AN$5&lt;=$G294,AN$5+6&gt;=$F294),IF($H294="Complétée","F",IF(OR($H294="En cours",$H294="En revue"),"E",IF($H294="Bloquée","B","P"))),""))</f>
        <v/>
      </c>
      <c r="AO294" s="53">
        <f>IF(OR($F294="",$G294=""),"",IF(AND(AO$5&lt;=$G294,AO$5+6&gt;=$F294),IF($H294="Complétée","F",IF(OR($H294="En cours",$H294="En revue"),"E",IF($H294="Bloquée","B","P"))),""))</f>
        <v/>
      </c>
      <c r="AP294" s="53">
        <f>IF(OR($F294="",$G294=""),"",IF(AND(AP$5&lt;=$G294,AP$5+6&gt;=$F294),IF($H294="Complétée","F",IF(OR($H294="En cours",$H294="En revue"),"E",IF($H294="Bloquée","B","P"))),""))</f>
        <v/>
      </c>
      <c r="AQ294" s="53">
        <f>IF(OR($F294="",$G294=""),"",IF(AND(AQ$5&lt;=$G294,AQ$5+6&gt;=$F294),IF($H294="Complétée","F",IF(OR($H294="En cours",$H294="En revue"),"E",IF($H294="Bloquée","B","P"))),""))</f>
        <v/>
      </c>
      <c r="AR294" s="53">
        <f>IF(OR($F294="",$G294=""),"",IF(AND(AR$5&lt;=$G294,AR$5+6&gt;=$F294),IF($H294="Complétée","F",IF(OR($H294="En cours",$H294="En revue"),"E",IF($H294="Bloquée","B","P"))),""))</f>
        <v/>
      </c>
      <c r="AS294" s="53">
        <f>IF(OR($F294="",$G294=""),"",IF(AND(AS$5&lt;=$G294,AS$5+6&gt;=$F294),IF($H294="Complétée","F",IF(OR($H294="En cours",$H294="En revue"),"E",IF($H294="Bloquée","B","P"))),""))</f>
        <v/>
      </c>
      <c r="AT294" s="53">
        <f>IF(OR($F294="",$G294=""),"",IF(AND(AT$5&lt;=$G294,AT$5+6&gt;=$F294),IF($H294="Complétée","F",IF(OR($H294="En cours",$H294="En revue"),"E",IF($H294="Bloquée","B","P"))),""))</f>
        <v/>
      </c>
      <c r="AU294" s="53">
        <f>IF(OR($F294="",$G294=""),"",IF(AND(AU$5&lt;=$G294,AU$5+6&gt;=$F294),IF($H294="Complétée","F",IF(OR($H294="En cours",$H294="En revue"),"E",IF($H294="Bloquée","B","P"))),""))</f>
        <v/>
      </c>
      <c r="AV294" s="53">
        <f>IF(OR($F294="",$G294=""),"",IF(AND(AV$5&lt;=$G294,AV$5+6&gt;=$F294),IF($H294="Complétée","F",IF(OR($H294="En cours",$H294="En revue"),"E",IF($H294="Bloquée","B","P"))),""))</f>
        <v/>
      </c>
      <c r="AW294" s="53">
        <f>IF(OR($F294="",$G294=""),"",IF(AND(AW$5&lt;=$G294,AW$5+6&gt;=$F294),IF($H294="Complétée","F",IF(OR($H294="En cours",$H294="En revue"),"E",IF($H294="Bloquée","B","P"))),""))</f>
        <v/>
      </c>
    </row>
    <row r="295">
      <c r="B295" s="50">
        <f>IF(Taches!B295="","",Taches!B295)</f>
        <v/>
      </c>
      <c r="C295" s="51">
        <f>IF(Taches!B295="","",Taches!F295)</f>
        <v/>
      </c>
      <c r="D295" s="50">
        <f>IF(Taches!B295="","",Taches!C295)</f>
        <v/>
      </c>
      <c r="E295" s="50">
        <f>IF(Taches!B295="","",Taches!D295)</f>
        <v/>
      </c>
      <c r="F295" s="52">
        <f>IF(Taches!P295="","",Taches!P295)</f>
        <v/>
      </c>
      <c r="G295" s="52">
        <f>IF(Taches!Q295="","",Taches!Q295)</f>
        <v/>
      </c>
      <c r="H295" s="50">
        <f>IF(Taches!B295="","",Taches!J295)</f>
        <v/>
      </c>
      <c r="I295" s="53">
        <f>IF(OR($F295="",$G295=""),"",IF(AND(I$5&lt;=$G295,I$5+6&gt;=$F295),IF($H295="Complétée","F",IF(OR($H295="En cours",$H295="En revue"),"E",IF($H295="Bloquée","B","P"))),""))</f>
        <v/>
      </c>
      <c r="J295" s="53">
        <f>IF(OR($F295="",$G295=""),"",IF(AND(J$5&lt;=$G295,J$5+6&gt;=$F295),IF($H295="Complétée","F",IF(OR($H295="En cours",$H295="En revue"),"E",IF($H295="Bloquée","B","P"))),""))</f>
        <v/>
      </c>
      <c r="K295" s="53">
        <f>IF(OR($F295="",$G295=""),"",IF(AND(K$5&lt;=$G295,K$5+6&gt;=$F295),IF($H295="Complétée","F",IF(OR($H295="En cours",$H295="En revue"),"E",IF($H295="Bloquée","B","P"))),""))</f>
        <v/>
      </c>
      <c r="L295" s="53">
        <f>IF(OR($F295="",$G295=""),"",IF(AND(L$5&lt;=$G295,L$5+6&gt;=$F295),IF($H295="Complétée","F",IF(OR($H295="En cours",$H295="En revue"),"E",IF($H295="Bloquée","B","P"))),""))</f>
        <v/>
      </c>
      <c r="M295" s="53">
        <f>IF(OR($F295="",$G295=""),"",IF(AND(M$5&lt;=$G295,M$5+6&gt;=$F295),IF($H295="Complétée","F",IF(OR($H295="En cours",$H295="En revue"),"E",IF($H295="Bloquée","B","P"))),""))</f>
        <v/>
      </c>
      <c r="N295" s="53">
        <f>IF(OR($F295="",$G295=""),"",IF(AND(N$5&lt;=$G295,N$5+6&gt;=$F295),IF($H295="Complétée","F",IF(OR($H295="En cours",$H295="En revue"),"E",IF($H295="Bloquée","B","P"))),""))</f>
        <v/>
      </c>
      <c r="O295" s="53">
        <f>IF(OR($F295="",$G295=""),"",IF(AND(O$5&lt;=$G295,O$5+6&gt;=$F295),IF($H295="Complétée","F",IF(OR($H295="En cours",$H295="En revue"),"E",IF($H295="Bloquée","B","P"))),""))</f>
        <v/>
      </c>
      <c r="P295" s="53">
        <f>IF(OR($F295="",$G295=""),"",IF(AND(P$5&lt;=$G295,P$5+6&gt;=$F295),IF($H295="Complétée","F",IF(OR($H295="En cours",$H295="En revue"),"E",IF($H295="Bloquée","B","P"))),""))</f>
        <v/>
      </c>
      <c r="Q295" s="53">
        <f>IF(OR($F295="",$G295=""),"",IF(AND(Q$5&lt;=$G295,Q$5+6&gt;=$F295),IF($H295="Complétée","F",IF(OR($H295="En cours",$H295="En revue"),"E",IF($H295="Bloquée","B","P"))),""))</f>
        <v/>
      </c>
      <c r="R295" s="53">
        <f>IF(OR($F295="",$G295=""),"",IF(AND(R$5&lt;=$G295,R$5+6&gt;=$F295),IF($H295="Complétée","F",IF(OR($H295="En cours",$H295="En revue"),"E",IF($H295="Bloquée","B","P"))),""))</f>
        <v/>
      </c>
      <c r="S295" s="53">
        <f>IF(OR($F295="",$G295=""),"",IF(AND(S$5&lt;=$G295,S$5+6&gt;=$F295),IF($H295="Complétée","F",IF(OR($H295="En cours",$H295="En revue"),"E",IF($H295="Bloquée","B","P"))),""))</f>
        <v/>
      </c>
      <c r="T295" s="53">
        <f>IF(OR($F295="",$G295=""),"",IF(AND(T$5&lt;=$G295,T$5+6&gt;=$F295),IF($H295="Complétée","F",IF(OR($H295="En cours",$H295="En revue"),"E",IF($H295="Bloquée","B","P"))),""))</f>
        <v/>
      </c>
      <c r="U295" s="53">
        <f>IF(OR($F295="",$G295=""),"",IF(AND(U$5&lt;=$G295,U$5+6&gt;=$F295),IF($H295="Complétée","F",IF(OR($H295="En cours",$H295="En revue"),"E",IF($H295="Bloquée","B","P"))),""))</f>
        <v/>
      </c>
      <c r="V295" s="53">
        <f>IF(OR($F295="",$G295=""),"",IF(AND(V$5&lt;=$G295,V$5+6&gt;=$F295),IF($H295="Complétée","F",IF(OR($H295="En cours",$H295="En revue"),"E",IF($H295="Bloquée","B","P"))),""))</f>
        <v/>
      </c>
      <c r="W295" s="53">
        <f>IF(OR($F295="",$G295=""),"",IF(AND(W$5&lt;=$G295,W$5+6&gt;=$F295),IF($H295="Complétée","F",IF(OR($H295="En cours",$H295="En revue"),"E",IF($H295="Bloquée","B","P"))),""))</f>
        <v/>
      </c>
      <c r="X295" s="53">
        <f>IF(OR($F295="",$G295=""),"",IF(AND(X$5&lt;=$G295,X$5+6&gt;=$F295),IF($H295="Complétée","F",IF(OR($H295="En cours",$H295="En revue"),"E",IF($H295="Bloquée","B","P"))),""))</f>
        <v/>
      </c>
      <c r="Y295" s="53">
        <f>IF(OR($F295="",$G295=""),"",IF(AND(Y$5&lt;=$G295,Y$5+6&gt;=$F295),IF($H295="Complétée","F",IF(OR($H295="En cours",$H295="En revue"),"E",IF($H295="Bloquée","B","P"))),""))</f>
        <v/>
      </c>
      <c r="Z295" s="53">
        <f>IF(OR($F295="",$G295=""),"",IF(AND(Z$5&lt;=$G295,Z$5+6&gt;=$F295),IF($H295="Complétée","F",IF(OR($H295="En cours",$H295="En revue"),"E",IF($H295="Bloquée","B","P"))),""))</f>
        <v/>
      </c>
      <c r="AA295" s="53">
        <f>IF(OR($F295="",$G295=""),"",IF(AND(AA$5&lt;=$G295,AA$5+6&gt;=$F295),IF($H295="Complétée","F",IF(OR($H295="En cours",$H295="En revue"),"E",IF($H295="Bloquée","B","P"))),""))</f>
        <v/>
      </c>
      <c r="AB295" s="53">
        <f>IF(OR($F295="",$G295=""),"",IF(AND(AB$5&lt;=$G295,AB$5+6&gt;=$F295),IF($H295="Complétée","F",IF(OR($H295="En cours",$H295="En revue"),"E",IF($H295="Bloquée","B","P"))),""))</f>
        <v/>
      </c>
      <c r="AC295" s="53">
        <f>IF(OR($F295="",$G295=""),"",IF(AND(AC$5&lt;=$G295,AC$5+6&gt;=$F295),IF($H295="Complétée","F",IF(OR($H295="En cours",$H295="En revue"),"E",IF($H295="Bloquée","B","P"))),""))</f>
        <v/>
      </c>
      <c r="AD295" s="53">
        <f>IF(OR($F295="",$G295=""),"",IF(AND(AD$5&lt;=$G295,AD$5+6&gt;=$F295),IF($H295="Complétée","F",IF(OR($H295="En cours",$H295="En revue"),"E",IF($H295="Bloquée","B","P"))),""))</f>
        <v/>
      </c>
      <c r="AE295" s="53">
        <f>IF(OR($F295="",$G295=""),"",IF(AND(AE$5&lt;=$G295,AE$5+6&gt;=$F295),IF($H295="Complétée","F",IF(OR($H295="En cours",$H295="En revue"),"E",IF($H295="Bloquée","B","P"))),""))</f>
        <v/>
      </c>
      <c r="AF295" s="53">
        <f>IF(OR($F295="",$G295=""),"",IF(AND(AF$5&lt;=$G295,AF$5+6&gt;=$F295),IF($H295="Complétée","F",IF(OR($H295="En cours",$H295="En revue"),"E",IF($H295="Bloquée","B","P"))),""))</f>
        <v/>
      </c>
      <c r="AG295" s="53">
        <f>IF(OR($F295="",$G295=""),"",IF(AND(AG$5&lt;=$G295,AG$5+6&gt;=$F295),IF($H295="Complétée","F",IF(OR($H295="En cours",$H295="En revue"),"E",IF($H295="Bloquée","B","P"))),""))</f>
        <v/>
      </c>
      <c r="AH295" s="53">
        <f>IF(OR($F295="",$G295=""),"",IF(AND(AH$5&lt;=$G295,AH$5+6&gt;=$F295),IF($H295="Complétée","F",IF(OR($H295="En cours",$H295="En revue"),"E",IF($H295="Bloquée","B","P"))),""))</f>
        <v/>
      </c>
      <c r="AI295" s="53">
        <f>IF(OR($F295="",$G295=""),"",IF(AND(AI$5&lt;=$G295,AI$5+6&gt;=$F295),IF($H295="Complétée","F",IF(OR($H295="En cours",$H295="En revue"),"E",IF($H295="Bloquée","B","P"))),""))</f>
        <v/>
      </c>
      <c r="AJ295" s="53">
        <f>IF(OR($F295="",$G295=""),"",IF(AND(AJ$5&lt;=$G295,AJ$5+6&gt;=$F295),IF($H295="Complétée","F",IF(OR($H295="En cours",$H295="En revue"),"E",IF($H295="Bloquée","B","P"))),""))</f>
        <v/>
      </c>
      <c r="AK295" s="53">
        <f>IF(OR($F295="",$G295=""),"",IF(AND(AK$5&lt;=$G295,AK$5+6&gt;=$F295),IF($H295="Complétée","F",IF(OR($H295="En cours",$H295="En revue"),"E",IF($H295="Bloquée","B","P"))),""))</f>
        <v/>
      </c>
      <c r="AL295" s="53">
        <f>IF(OR($F295="",$G295=""),"",IF(AND(AL$5&lt;=$G295,AL$5+6&gt;=$F295),IF($H295="Complétée","F",IF(OR($H295="En cours",$H295="En revue"),"E",IF($H295="Bloquée","B","P"))),""))</f>
        <v/>
      </c>
      <c r="AM295" s="53">
        <f>IF(OR($F295="",$G295=""),"",IF(AND(AM$5&lt;=$G295,AM$5+6&gt;=$F295),IF($H295="Complétée","F",IF(OR($H295="En cours",$H295="En revue"),"E",IF($H295="Bloquée","B","P"))),""))</f>
        <v/>
      </c>
      <c r="AN295" s="53">
        <f>IF(OR($F295="",$G295=""),"",IF(AND(AN$5&lt;=$G295,AN$5+6&gt;=$F295),IF($H295="Complétée","F",IF(OR($H295="En cours",$H295="En revue"),"E",IF($H295="Bloquée","B","P"))),""))</f>
        <v/>
      </c>
      <c r="AO295" s="53">
        <f>IF(OR($F295="",$G295=""),"",IF(AND(AO$5&lt;=$G295,AO$5+6&gt;=$F295),IF($H295="Complétée","F",IF(OR($H295="En cours",$H295="En revue"),"E",IF($H295="Bloquée","B","P"))),""))</f>
        <v/>
      </c>
      <c r="AP295" s="53">
        <f>IF(OR($F295="",$G295=""),"",IF(AND(AP$5&lt;=$G295,AP$5+6&gt;=$F295),IF($H295="Complétée","F",IF(OR($H295="En cours",$H295="En revue"),"E",IF($H295="Bloquée","B","P"))),""))</f>
        <v/>
      </c>
      <c r="AQ295" s="53">
        <f>IF(OR($F295="",$G295=""),"",IF(AND(AQ$5&lt;=$G295,AQ$5+6&gt;=$F295),IF($H295="Complétée","F",IF(OR($H295="En cours",$H295="En revue"),"E",IF($H295="Bloquée","B","P"))),""))</f>
        <v/>
      </c>
      <c r="AR295" s="53">
        <f>IF(OR($F295="",$G295=""),"",IF(AND(AR$5&lt;=$G295,AR$5+6&gt;=$F295),IF($H295="Complétée","F",IF(OR($H295="En cours",$H295="En revue"),"E",IF($H295="Bloquée","B","P"))),""))</f>
        <v/>
      </c>
      <c r="AS295" s="53">
        <f>IF(OR($F295="",$G295=""),"",IF(AND(AS$5&lt;=$G295,AS$5+6&gt;=$F295),IF($H295="Complétée","F",IF(OR($H295="En cours",$H295="En revue"),"E",IF($H295="Bloquée","B","P"))),""))</f>
        <v/>
      </c>
      <c r="AT295" s="53">
        <f>IF(OR($F295="",$G295=""),"",IF(AND(AT$5&lt;=$G295,AT$5+6&gt;=$F295),IF($H295="Complétée","F",IF(OR($H295="En cours",$H295="En revue"),"E",IF($H295="Bloquée","B","P"))),""))</f>
        <v/>
      </c>
      <c r="AU295" s="53">
        <f>IF(OR($F295="",$G295=""),"",IF(AND(AU$5&lt;=$G295,AU$5+6&gt;=$F295),IF($H295="Complétée","F",IF(OR($H295="En cours",$H295="En revue"),"E",IF($H295="Bloquée","B","P"))),""))</f>
        <v/>
      </c>
      <c r="AV295" s="53">
        <f>IF(OR($F295="",$G295=""),"",IF(AND(AV$5&lt;=$G295,AV$5+6&gt;=$F295),IF($H295="Complétée","F",IF(OR($H295="En cours",$H295="En revue"),"E",IF($H295="Bloquée","B","P"))),""))</f>
        <v/>
      </c>
      <c r="AW295" s="53">
        <f>IF(OR($F295="",$G295=""),"",IF(AND(AW$5&lt;=$G295,AW$5+6&gt;=$F295),IF($H295="Complétée","F",IF(OR($H295="En cours",$H295="En revue"),"E",IF($H295="Bloquée","B","P"))),""))</f>
        <v/>
      </c>
    </row>
    <row r="296">
      <c r="B296" s="50">
        <f>IF(Taches!B296="","",Taches!B296)</f>
        <v/>
      </c>
      <c r="C296" s="51">
        <f>IF(Taches!B296="","",Taches!F296)</f>
        <v/>
      </c>
      <c r="D296" s="50">
        <f>IF(Taches!B296="","",Taches!C296)</f>
        <v/>
      </c>
      <c r="E296" s="50">
        <f>IF(Taches!B296="","",Taches!D296)</f>
        <v/>
      </c>
      <c r="F296" s="52">
        <f>IF(Taches!P296="","",Taches!P296)</f>
        <v/>
      </c>
      <c r="G296" s="52">
        <f>IF(Taches!Q296="","",Taches!Q296)</f>
        <v/>
      </c>
      <c r="H296" s="50">
        <f>IF(Taches!B296="","",Taches!J296)</f>
        <v/>
      </c>
      <c r="I296" s="53">
        <f>IF(OR($F296="",$G296=""),"",IF(AND(I$5&lt;=$G296,I$5+6&gt;=$F296),IF($H296="Complétée","F",IF(OR($H296="En cours",$H296="En revue"),"E",IF($H296="Bloquée","B","P"))),""))</f>
        <v/>
      </c>
      <c r="J296" s="53">
        <f>IF(OR($F296="",$G296=""),"",IF(AND(J$5&lt;=$G296,J$5+6&gt;=$F296),IF($H296="Complétée","F",IF(OR($H296="En cours",$H296="En revue"),"E",IF($H296="Bloquée","B","P"))),""))</f>
        <v/>
      </c>
      <c r="K296" s="53">
        <f>IF(OR($F296="",$G296=""),"",IF(AND(K$5&lt;=$G296,K$5+6&gt;=$F296),IF($H296="Complétée","F",IF(OR($H296="En cours",$H296="En revue"),"E",IF($H296="Bloquée","B","P"))),""))</f>
        <v/>
      </c>
      <c r="L296" s="53">
        <f>IF(OR($F296="",$G296=""),"",IF(AND(L$5&lt;=$G296,L$5+6&gt;=$F296),IF($H296="Complétée","F",IF(OR($H296="En cours",$H296="En revue"),"E",IF($H296="Bloquée","B","P"))),""))</f>
        <v/>
      </c>
      <c r="M296" s="53">
        <f>IF(OR($F296="",$G296=""),"",IF(AND(M$5&lt;=$G296,M$5+6&gt;=$F296),IF($H296="Complétée","F",IF(OR($H296="En cours",$H296="En revue"),"E",IF($H296="Bloquée","B","P"))),""))</f>
        <v/>
      </c>
      <c r="N296" s="53">
        <f>IF(OR($F296="",$G296=""),"",IF(AND(N$5&lt;=$G296,N$5+6&gt;=$F296),IF($H296="Complétée","F",IF(OR($H296="En cours",$H296="En revue"),"E",IF($H296="Bloquée","B","P"))),""))</f>
        <v/>
      </c>
      <c r="O296" s="53">
        <f>IF(OR($F296="",$G296=""),"",IF(AND(O$5&lt;=$G296,O$5+6&gt;=$F296),IF($H296="Complétée","F",IF(OR($H296="En cours",$H296="En revue"),"E",IF($H296="Bloquée","B","P"))),""))</f>
        <v/>
      </c>
      <c r="P296" s="53">
        <f>IF(OR($F296="",$G296=""),"",IF(AND(P$5&lt;=$G296,P$5+6&gt;=$F296),IF($H296="Complétée","F",IF(OR($H296="En cours",$H296="En revue"),"E",IF($H296="Bloquée","B","P"))),""))</f>
        <v/>
      </c>
      <c r="Q296" s="53">
        <f>IF(OR($F296="",$G296=""),"",IF(AND(Q$5&lt;=$G296,Q$5+6&gt;=$F296),IF($H296="Complétée","F",IF(OR($H296="En cours",$H296="En revue"),"E",IF($H296="Bloquée","B","P"))),""))</f>
        <v/>
      </c>
      <c r="R296" s="53">
        <f>IF(OR($F296="",$G296=""),"",IF(AND(R$5&lt;=$G296,R$5+6&gt;=$F296),IF($H296="Complétée","F",IF(OR($H296="En cours",$H296="En revue"),"E",IF($H296="Bloquée","B","P"))),""))</f>
        <v/>
      </c>
      <c r="S296" s="53">
        <f>IF(OR($F296="",$G296=""),"",IF(AND(S$5&lt;=$G296,S$5+6&gt;=$F296),IF($H296="Complétée","F",IF(OR($H296="En cours",$H296="En revue"),"E",IF($H296="Bloquée","B","P"))),""))</f>
        <v/>
      </c>
      <c r="T296" s="53">
        <f>IF(OR($F296="",$G296=""),"",IF(AND(T$5&lt;=$G296,T$5+6&gt;=$F296),IF($H296="Complétée","F",IF(OR($H296="En cours",$H296="En revue"),"E",IF($H296="Bloquée","B","P"))),""))</f>
        <v/>
      </c>
      <c r="U296" s="53">
        <f>IF(OR($F296="",$G296=""),"",IF(AND(U$5&lt;=$G296,U$5+6&gt;=$F296),IF($H296="Complétée","F",IF(OR($H296="En cours",$H296="En revue"),"E",IF($H296="Bloquée","B","P"))),""))</f>
        <v/>
      </c>
      <c r="V296" s="53">
        <f>IF(OR($F296="",$G296=""),"",IF(AND(V$5&lt;=$G296,V$5+6&gt;=$F296),IF($H296="Complétée","F",IF(OR($H296="En cours",$H296="En revue"),"E",IF($H296="Bloquée","B","P"))),""))</f>
        <v/>
      </c>
      <c r="W296" s="53">
        <f>IF(OR($F296="",$G296=""),"",IF(AND(W$5&lt;=$G296,W$5+6&gt;=$F296),IF($H296="Complétée","F",IF(OR($H296="En cours",$H296="En revue"),"E",IF($H296="Bloquée","B","P"))),""))</f>
        <v/>
      </c>
      <c r="X296" s="53">
        <f>IF(OR($F296="",$G296=""),"",IF(AND(X$5&lt;=$G296,X$5+6&gt;=$F296),IF($H296="Complétée","F",IF(OR($H296="En cours",$H296="En revue"),"E",IF($H296="Bloquée","B","P"))),""))</f>
        <v/>
      </c>
      <c r="Y296" s="53">
        <f>IF(OR($F296="",$G296=""),"",IF(AND(Y$5&lt;=$G296,Y$5+6&gt;=$F296),IF($H296="Complétée","F",IF(OR($H296="En cours",$H296="En revue"),"E",IF($H296="Bloquée","B","P"))),""))</f>
        <v/>
      </c>
      <c r="Z296" s="53">
        <f>IF(OR($F296="",$G296=""),"",IF(AND(Z$5&lt;=$G296,Z$5+6&gt;=$F296),IF($H296="Complétée","F",IF(OR($H296="En cours",$H296="En revue"),"E",IF($H296="Bloquée","B","P"))),""))</f>
        <v/>
      </c>
      <c r="AA296" s="53">
        <f>IF(OR($F296="",$G296=""),"",IF(AND(AA$5&lt;=$G296,AA$5+6&gt;=$F296),IF($H296="Complétée","F",IF(OR($H296="En cours",$H296="En revue"),"E",IF($H296="Bloquée","B","P"))),""))</f>
        <v/>
      </c>
      <c r="AB296" s="53">
        <f>IF(OR($F296="",$G296=""),"",IF(AND(AB$5&lt;=$G296,AB$5+6&gt;=$F296),IF($H296="Complétée","F",IF(OR($H296="En cours",$H296="En revue"),"E",IF($H296="Bloquée","B","P"))),""))</f>
        <v/>
      </c>
      <c r="AC296" s="53">
        <f>IF(OR($F296="",$G296=""),"",IF(AND(AC$5&lt;=$G296,AC$5+6&gt;=$F296),IF($H296="Complétée","F",IF(OR($H296="En cours",$H296="En revue"),"E",IF($H296="Bloquée","B","P"))),""))</f>
        <v/>
      </c>
      <c r="AD296" s="53">
        <f>IF(OR($F296="",$G296=""),"",IF(AND(AD$5&lt;=$G296,AD$5+6&gt;=$F296),IF($H296="Complétée","F",IF(OR($H296="En cours",$H296="En revue"),"E",IF($H296="Bloquée","B","P"))),""))</f>
        <v/>
      </c>
      <c r="AE296" s="53">
        <f>IF(OR($F296="",$G296=""),"",IF(AND(AE$5&lt;=$G296,AE$5+6&gt;=$F296),IF($H296="Complétée","F",IF(OR($H296="En cours",$H296="En revue"),"E",IF($H296="Bloquée","B","P"))),""))</f>
        <v/>
      </c>
      <c r="AF296" s="53">
        <f>IF(OR($F296="",$G296=""),"",IF(AND(AF$5&lt;=$G296,AF$5+6&gt;=$F296),IF($H296="Complétée","F",IF(OR($H296="En cours",$H296="En revue"),"E",IF($H296="Bloquée","B","P"))),""))</f>
        <v/>
      </c>
      <c r="AG296" s="53">
        <f>IF(OR($F296="",$G296=""),"",IF(AND(AG$5&lt;=$G296,AG$5+6&gt;=$F296),IF($H296="Complétée","F",IF(OR($H296="En cours",$H296="En revue"),"E",IF($H296="Bloquée","B","P"))),""))</f>
        <v/>
      </c>
      <c r="AH296" s="53">
        <f>IF(OR($F296="",$G296=""),"",IF(AND(AH$5&lt;=$G296,AH$5+6&gt;=$F296),IF($H296="Complétée","F",IF(OR($H296="En cours",$H296="En revue"),"E",IF($H296="Bloquée","B","P"))),""))</f>
        <v/>
      </c>
      <c r="AI296" s="53">
        <f>IF(OR($F296="",$G296=""),"",IF(AND(AI$5&lt;=$G296,AI$5+6&gt;=$F296),IF($H296="Complétée","F",IF(OR($H296="En cours",$H296="En revue"),"E",IF($H296="Bloquée","B","P"))),""))</f>
        <v/>
      </c>
      <c r="AJ296" s="53">
        <f>IF(OR($F296="",$G296=""),"",IF(AND(AJ$5&lt;=$G296,AJ$5+6&gt;=$F296),IF($H296="Complétée","F",IF(OR($H296="En cours",$H296="En revue"),"E",IF($H296="Bloquée","B","P"))),""))</f>
        <v/>
      </c>
      <c r="AK296" s="53">
        <f>IF(OR($F296="",$G296=""),"",IF(AND(AK$5&lt;=$G296,AK$5+6&gt;=$F296),IF($H296="Complétée","F",IF(OR($H296="En cours",$H296="En revue"),"E",IF($H296="Bloquée","B","P"))),""))</f>
        <v/>
      </c>
      <c r="AL296" s="53">
        <f>IF(OR($F296="",$G296=""),"",IF(AND(AL$5&lt;=$G296,AL$5+6&gt;=$F296),IF($H296="Complétée","F",IF(OR($H296="En cours",$H296="En revue"),"E",IF($H296="Bloquée","B","P"))),""))</f>
        <v/>
      </c>
      <c r="AM296" s="53">
        <f>IF(OR($F296="",$G296=""),"",IF(AND(AM$5&lt;=$G296,AM$5+6&gt;=$F296),IF($H296="Complétée","F",IF(OR($H296="En cours",$H296="En revue"),"E",IF($H296="Bloquée","B","P"))),""))</f>
        <v/>
      </c>
      <c r="AN296" s="53">
        <f>IF(OR($F296="",$G296=""),"",IF(AND(AN$5&lt;=$G296,AN$5+6&gt;=$F296),IF($H296="Complétée","F",IF(OR($H296="En cours",$H296="En revue"),"E",IF($H296="Bloquée","B","P"))),""))</f>
        <v/>
      </c>
      <c r="AO296" s="53">
        <f>IF(OR($F296="",$G296=""),"",IF(AND(AO$5&lt;=$G296,AO$5+6&gt;=$F296),IF($H296="Complétée","F",IF(OR($H296="En cours",$H296="En revue"),"E",IF($H296="Bloquée","B","P"))),""))</f>
        <v/>
      </c>
      <c r="AP296" s="53">
        <f>IF(OR($F296="",$G296=""),"",IF(AND(AP$5&lt;=$G296,AP$5+6&gt;=$F296),IF($H296="Complétée","F",IF(OR($H296="En cours",$H296="En revue"),"E",IF($H296="Bloquée","B","P"))),""))</f>
        <v/>
      </c>
      <c r="AQ296" s="53">
        <f>IF(OR($F296="",$G296=""),"",IF(AND(AQ$5&lt;=$G296,AQ$5+6&gt;=$F296),IF($H296="Complétée","F",IF(OR($H296="En cours",$H296="En revue"),"E",IF($H296="Bloquée","B","P"))),""))</f>
        <v/>
      </c>
      <c r="AR296" s="53">
        <f>IF(OR($F296="",$G296=""),"",IF(AND(AR$5&lt;=$G296,AR$5+6&gt;=$F296),IF($H296="Complétée","F",IF(OR($H296="En cours",$H296="En revue"),"E",IF($H296="Bloquée","B","P"))),""))</f>
        <v/>
      </c>
      <c r="AS296" s="53">
        <f>IF(OR($F296="",$G296=""),"",IF(AND(AS$5&lt;=$G296,AS$5+6&gt;=$F296),IF($H296="Complétée","F",IF(OR($H296="En cours",$H296="En revue"),"E",IF($H296="Bloquée","B","P"))),""))</f>
        <v/>
      </c>
      <c r="AT296" s="53">
        <f>IF(OR($F296="",$G296=""),"",IF(AND(AT$5&lt;=$G296,AT$5+6&gt;=$F296),IF($H296="Complétée","F",IF(OR($H296="En cours",$H296="En revue"),"E",IF($H296="Bloquée","B","P"))),""))</f>
        <v/>
      </c>
      <c r="AU296" s="53">
        <f>IF(OR($F296="",$G296=""),"",IF(AND(AU$5&lt;=$G296,AU$5+6&gt;=$F296),IF($H296="Complétée","F",IF(OR($H296="En cours",$H296="En revue"),"E",IF($H296="Bloquée","B","P"))),""))</f>
        <v/>
      </c>
      <c r="AV296" s="53">
        <f>IF(OR($F296="",$G296=""),"",IF(AND(AV$5&lt;=$G296,AV$5+6&gt;=$F296),IF($H296="Complétée","F",IF(OR($H296="En cours",$H296="En revue"),"E",IF($H296="Bloquée","B","P"))),""))</f>
        <v/>
      </c>
      <c r="AW296" s="53">
        <f>IF(OR($F296="",$G296=""),"",IF(AND(AW$5&lt;=$G296,AW$5+6&gt;=$F296),IF($H296="Complétée","F",IF(OR($H296="En cours",$H296="En revue"),"E",IF($H296="Bloquée","B","P"))),""))</f>
        <v/>
      </c>
    </row>
    <row r="297">
      <c r="B297" s="50">
        <f>IF(Taches!B297="","",Taches!B297)</f>
        <v/>
      </c>
      <c r="C297" s="51">
        <f>IF(Taches!B297="","",Taches!F297)</f>
        <v/>
      </c>
      <c r="D297" s="50">
        <f>IF(Taches!B297="","",Taches!C297)</f>
        <v/>
      </c>
      <c r="E297" s="50">
        <f>IF(Taches!B297="","",Taches!D297)</f>
        <v/>
      </c>
      <c r="F297" s="52">
        <f>IF(Taches!P297="","",Taches!P297)</f>
        <v/>
      </c>
      <c r="G297" s="52">
        <f>IF(Taches!Q297="","",Taches!Q297)</f>
        <v/>
      </c>
      <c r="H297" s="50">
        <f>IF(Taches!B297="","",Taches!J297)</f>
        <v/>
      </c>
      <c r="I297" s="53">
        <f>IF(OR($F297="",$G297=""),"",IF(AND(I$5&lt;=$G297,I$5+6&gt;=$F297),IF($H297="Complétée","F",IF(OR($H297="En cours",$H297="En revue"),"E",IF($H297="Bloquée","B","P"))),""))</f>
        <v/>
      </c>
      <c r="J297" s="53">
        <f>IF(OR($F297="",$G297=""),"",IF(AND(J$5&lt;=$G297,J$5+6&gt;=$F297),IF($H297="Complétée","F",IF(OR($H297="En cours",$H297="En revue"),"E",IF($H297="Bloquée","B","P"))),""))</f>
        <v/>
      </c>
      <c r="K297" s="53">
        <f>IF(OR($F297="",$G297=""),"",IF(AND(K$5&lt;=$G297,K$5+6&gt;=$F297),IF($H297="Complétée","F",IF(OR($H297="En cours",$H297="En revue"),"E",IF($H297="Bloquée","B","P"))),""))</f>
        <v/>
      </c>
      <c r="L297" s="53">
        <f>IF(OR($F297="",$G297=""),"",IF(AND(L$5&lt;=$G297,L$5+6&gt;=$F297),IF($H297="Complétée","F",IF(OR($H297="En cours",$H297="En revue"),"E",IF($H297="Bloquée","B","P"))),""))</f>
        <v/>
      </c>
      <c r="M297" s="53">
        <f>IF(OR($F297="",$G297=""),"",IF(AND(M$5&lt;=$G297,M$5+6&gt;=$F297),IF($H297="Complétée","F",IF(OR($H297="En cours",$H297="En revue"),"E",IF($H297="Bloquée","B","P"))),""))</f>
        <v/>
      </c>
      <c r="N297" s="53">
        <f>IF(OR($F297="",$G297=""),"",IF(AND(N$5&lt;=$G297,N$5+6&gt;=$F297),IF($H297="Complétée","F",IF(OR($H297="En cours",$H297="En revue"),"E",IF($H297="Bloquée","B","P"))),""))</f>
        <v/>
      </c>
      <c r="O297" s="53">
        <f>IF(OR($F297="",$G297=""),"",IF(AND(O$5&lt;=$G297,O$5+6&gt;=$F297),IF($H297="Complétée","F",IF(OR($H297="En cours",$H297="En revue"),"E",IF($H297="Bloquée","B","P"))),""))</f>
        <v/>
      </c>
      <c r="P297" s="53">
        <f>IF(OR($F297="",$G297=""),"",IF(AND(P$5&lt;=$G297,P$5+6&gt;=$F297),IF($H297="Complétée","F",IF(OR($H297="En cours",$H297="En revue"),"E",IF($H297="Bloquée","B","P"))),""))</f>
        <v/>
      </c>
      <c r="Q297" s="53">
        <f>IF(OR($F297="",$G297=""),"",IF(AND(Q$5&lt;=$G297,Q$5+6&gt;=$F297),IF($H297="Complétée","F",IF(OR($H297="En cours",$H297="En revue"),"E",IF($H297="Bloquée","B","P"))),""))</f>
        <v/>
      </c>
      <c r="R297" s="53">
        <f>IF(OR($F297="",$G297=""),"",IF(AND(R$5&lt;=$G297,R$5+6&gt;=$F297),IF($H297="Complétée","F",IF(OR($H297="En cours",$H297="En revue"),"E",IF($H297="Bloquée","B","P"))),""))</f>
        <v/>
      </c>
      <c r="S297" s="53">
        <f>IF(OR($F297="",$G297=""),"",IF(AND(S$5&lt;=$G297,S$5+6&gt;=$F297),IF($H297="Complétée","F",IF(OR($H297="En cours",$H297="En revue"),"E",IF($H297="Bloquée","B","P"))),""))</f>
        <v/>
      </c>
      <c r="T297" s="53">
        <f>IF(OR($F297="",$G297=""),"",IF(AND(T$5&lt;=$G297,T$5+6&gt;=$F297),IF($H297="Complétée","F",IF(OR($H297="En cours",$H297="En revue"),"E",IF($H297="Bloquée","B","P"))),""))</f>
        <v/>
      </c>
      <c r="U297" s="53">
        <f>IF(OR($F297="",$G297=""),"",IF(AND(U$5&lt;=$G297,U$5+6&gt;=$F297),IF($H297="Complétée","F",IF(OR($H297="En cours",$H297="En revue"),"E",IF($H297="Bloquée","B","P"))),""))</f>
        <v/>
      </c>
      <c r="V297" s="53">
        <f>IF(OR($F297="",$G297=""),"",IF(AND(V$5&lt;=$G297,V$5+6&gt;=$F297),IF($H297="Complétée","F",IF(OR($H297="En cours",$H297="En revue"),"E",IF($H297="Bloquée","B","P"))),""))</f>
        <v/>
      </c>
      <c r="W297" s="53">
        <f>IF(OR($F297="",$G297=""),"",IF(AND(W$5&lt;=$G297,W$5+6&gt;=$F297),IF($H297="Complétée","F",IF(OR($H297="En cours",$H297="En revue"),"E",IF($H297="Bloquée","B","P"))),""))</f>
        <v/>
      </c>
      <c r="X297" s="53">
        <f>IF(OR($F297="",$G297=""),"",IF(AND(X$5&lt;=$G297,X$5+6&gt;=$F297),IF($H297="Complétée","F",IF(OR($H297="En cours",$H297="En revue"),"E",IF($H297="Bloquée","B","P"))),""))</f>
        <v/>
      </c>
      <c r="Y297" s="53">
        <f>IF(OR($F297="",$G297=""),"",IF(AND(Y$5&lt;=$G297,Y$5+6&gt;=$F297),IF($H297="Complétée","F",IF(OR($H297="En cours",$H297="En revue"),"E",IF($H297="Bloquée","B","P"))),""))</f>
        <v/>
      </c>
      <c r="Z297" s="53">
        <f>IF(OR($F297="",$G297=""),"",IF(AND(Z$5&lt;=$G297,Z$5+6&gt;=$F297),IF($H297="Complétée","F",IF(OR($H297="En cours",$H297="En revue"),"E",IF($H297="Bloquée","B","P"))),""))</f>
        <v/>
      </c>
      <c r="AA297" s="53">
        <f>IF(OR($F297="",$G297=""),"",IF(AND(AA$5&lt;=$G297,AA$5+6&gt;=$F297),IF($H297="Complétée","F",IF(OR($H297="En cours",$H297="En revue"),"E",IF($H297="Bloquée","B","P"))),""))</f>
        <v/>
      </c>
      <c r="AB297" s="53">
        <f>IF(OR($F297="",$G297=""),"",IF(AND(AB$5&lt;=$G297,AB$5+6&gt;=$F297),IF($H297="Complétée","F",IF(OR($H297="En cours",$H297="En revue"),"E",IF($H297="Bloquée","B","P"))),""))</f>
        <v/>
      </c>
      <c r="AC297" s="53">
        <f>IF(OR($F297="",$G297=""),"",IF(AND(AC$5&lt;=$G297,AC$5+6&gt;=$F297),IF($H297="Complétée","F",IF(OR($H297="En cours",$H297="En revue"),"E",IF($H297="Bloquée","B","P"))),""))</f>
        <v/>
      </c>
      <c r="AD297" s="53">
        <f>IF(OR($F297="",$G297=""),"",IF(AND(AD$5&lt;=$G297,AD$5+6&gt;=$F297),IF($H297="Complétée","F",IF(OR($H297="En cours",$H297="En revue"),"E",IF($H297="Bloquée","B","P"))),""))</f>
        <v/>
      </c>
      <c r="AE297" s="53">
        <f>IF(OR($F297="",$G297=""),"",IF(AND(AE$5&lt;=$G297,AE$5+6&gt;=$F297),IF($H297="Complétée","F",IF(OR($H297="En cours",$H297="En revue"),"E",IF($H297="Bloquée","B","P"))),""))</f>
        <v/>
      </c>
      <c r="AF297" s="53">
        <f>IF(OR($F297="",$G297=""),"",IF(AND(AF$5&lt;=$G297,AF$5+6&gt;=$F297),IF($H297="Complétée","F",IF(OR($H297="En cours",$H297="En revue"),"E",IF($H297="Bloquée","B","P"))),""))</f>
        <v/>
      </c>
      <c r="AG297" s="53">
        <f>IF(OR($F297="",$G297=""),"",IF(AND(AG$5&lt;=$G297,AG$5+6&gt;=$F297),IF($H297="Complétée","F",IF(OR($H297="En cours",$H297="En revue"),"E",IF($H297="Bloquée","B","P"))),""))</f>
        <v/>
      </c>
      <c r="AH297" s="53">
        <f>IF(OR($F297="",$G297=""),"",IF(AND(AH$5&lt;=$G297,AH$5+6&gt;=$F297),IF($H297="Complétée","F",IF(OR($H297="En cours",$H297="En revue"),"E",IF($H297="Bloquée","B","P"))),""))</f>
        <v/>
      </c>
      <c r="AI297" s="53">
        <f>IF(OR($F297="",$G297=""),"",IF(AND(AI$5&lt;=$G297,AI$5+6&gt;=$F297),IF($H297="Complétée","F",IF(OR($H297="En cours",$H297="En revue"),"E",IF($H297="Bloquée","B","P"))),""))</f>
        <v/>
      </c>
      <c r="AJ297" s="53">
        <f>IF(OR($F297="",$G297=""),"",IF(AND(AJ$5&lt;=$G297,AJ$5+6&gt;=$F297),IF($H297="Complétée","F",IF(OR($H297="En cours",$H297="En revue"),"E",IF($H297="Bloquée","B","P"))),""))</f>
        <v/>
      </c>
      <c r="AK297" s="53">
        <f>IF(OR($F297="",$G297=""),"",IF(AND(AK$5&lt;=$G297,AK$5+6&gt;=$F297),IF($H297="Complétée","F",IF(OR($H297="En cours",$H297="En revue"),"E",IF($H297="Bloquée","B","P"))),""))</f>
        <v/>
      </c>
      <c r="AL297" s="53">
        <f>IF(OR($F297="",$G297=""),"",IF(AND(AL$5&lt;=$G297,AL$5+6&gt;=$F297),IF($H297="Complétée","F",IF(OR($H297="En cours",$H297="En revue"),"E",IF($H297="Bloquée","B","P"))),""))</f>
        <v/>
      </c>
      <c r="AM297" s="53">
        <f>IF(OR($F297="",$G297=""),"",IF(AND(AM$5&lt;=$G297,AM$5+6&gt;=$F297),IF($H297="Complétée","F",IF(OR($H297="En cours",$H297="En revue"),"E",IF($H297="Bloquée","B","P"))),""))</f>
        <v/>
      </c>
      <c r="AN297" s="53">
        <f>IF(OR($F297="",$G297=""),"",IF(AND(AN$5&lt;=$G297,AN$5+6&gt;=$F297),IF($H297="Complétée","F",IF(OR($H297="En cours",$H297="En revue"),"E",IF($H297="Bloquée","B","P"))),""))</f>
        <v/>
      </c>
      <c r="AO297" s="53">
        <f>IF(OR($F297="",$G297=""),"",IF(AND(AO$5&lt;=$G297,AO$5+6&gt;=$F297),IF($H297="Complétée","F",IF(OR($H297="En cours",$H297="En revue"),"E",IF($H297="Bloquée","B","P"))),""))</f>
        <v/>
      </c>
      <c r="AP297" s="53">
        <f>IF(OR($F297="",$G297=""),"",IF(AND(AP$5&lt;=$G297,AP$5+6&gt;=$F297),IF($H297="Complétée","F",IF(OR($H297="En cours",$H297="En revue"),"E",IF($H297="Bloquée","B","P"))),""))</f>
        <v/>
      </c>
      <c r="AQ297" s="53">
        <f>IF(OR($F297="",$G297=""),"",IF(AND(AQ$5&lt;=$G297,AQ$5+6&gt;=$F297),IF($H297="Complétée","F",IF(OR($H297="En cours",$H297="En revue"),"E",IF($H297="Bloquée","B","P"))),""))</f>
        <v/>
      </c>
      <c r="AR297" s="53">
        <f>IF(OR($F297="",$G297=""),"",IF(AND(AR$5&lt;=$G297,AR$5+6&gt;=$F297),IF($H297="Complétée","F",IF(OR($H297="En cours",$H297="En revue"),"E",IF($H297="Bloquée","B","P"))),""))</f>
        <v/>
      </c>
      <c r="AS297" s="53">
        <f>IF(OR($F297="",$G297=""),"",IF(AND(AS$5&lt;=$G297,AS$5+6&gt;=$F297),IF($H297="Complétée","F",IF(OR($H297="En cours",$H297="En revue"),"E",IF($H297="Bloquée","B","P"))),""))</f>
        <v/>
      </c>
      <c r="AT297" s="53">
        <f>IF(OR($F297="",$G297=""),"",IF(AND(AT$5&lt;=$G297,AT$5+6&gt;=$F297),IF($H297="Complétée","F",IF(OR($H297="En cours",$H297="En revue"),"E",IF($H297="Bloquée","B","P"))),""))</f>
        <v/>
      </c>
      <c r="AU297" s="53">
        <f>IF(OR($F297="",$G297=""),"",IF(AND(AU$5&lt;=$G297,AU$5+6&gt;=$F297),IF($H297="Complétée","F",IF(OR($H297="En cours",$H297="En revue"),"E",IF($H297="Bloquée","B","P"))),""))</f>
        <v/>
      </c>
      <c r="AV297" s="53">
        <f>IF(OR($F297="",$G297=""),"",IF(AND(AV$5&lt;=$G297,AV$5+6&gt;=$F297),IF($H297="Complétée","F",IF(OR($H297="En cours",$H297="En revue"),"E",IF($H297="Bloquée","B","P"))),""))</f>
        <v/>
      </c>
      <c r="AW297" s="53">
        <f>IF(OR($F297="",$G297=""),"",IF(AND(AW$5&lt;=$G297,AW$5+6&gt;=$F297),IF($H297="Complétée","F",IF(OR($H297="En cours",$H297="En revue"),"E",IF($H297="Bloquée","B","P"))),""))</f>
        <v/>
      </c>
    </row>
    <row r="298">
      <c r="B298" s="50">
        <f>IF(Taches!B298="","",Taches!B298)</f>
        <v/>
      </c>
      <c r="C298" s="51">
        <f>IF(Taches!B298="","",Taches!F298)</f>
        <v/>
      </c>
      <c r="D298" s="50">
        <f>IF(Taches!B298="","",Taches!C298)</f>
        <v/>
      </c>
      <c r="E298" s="50">
        <f>IF(Taches!B298="","",Taches!D298)</f>
        <v/>
      </c>
      <c r="F298" s="52">
        <f>IF(Taches!P298="","",Taches!P298)</f>
        <v/>
      </c>
      <c r="G298" s="52">
        <f>IF(Taches!Q298="","",Taches!Q298)</f>
        <v/>
      </c>
      <c r="H298" s="50">
        <f>IF(Taches!B298="","",Taches!J298)</f>
        <v/>
      </c>
      <c r="I298" s="53">
        <f>IF(OR($F298="",$G298=""),"",IF(AND(I$5&lt;=$G298,I$5+6&gt;=$F298),IF($H298="Complétée","F",IF(OR($H298="En cours",$H298="En revue"),"E",IF($H298="Bloquée","B","P"))),""))</f>
        <v/>
      </c>
      <c r="J298" s="53">
        <f>IF(OR($F298="",$G298=""),"",IF(AND(J$5&lt;=$G298,J$5+6&gt;=$F298),IF($H298="Complétée","F",IF(OR($H298="En cours",$H298="En revue"),"E",IF($H298="Bloquée","B","P"))),""))</f>
        <v/>
      </c>
      <c r="K298" s="53">
        <f>IF(OR($F298="",$G298=""),"",IF(AND(K$5&lt;=$G298,K$5+6&gt;=$F298),IF($H298="Complétée","F",IF(OR($H298="En cours",$H298="En revue"),"E",IF($H298="Bloquée","B","P"))),""))</f>
        <v/>
      </c>
      <c r="L298" s="53">
        <f>IF(OR($F298="",$G298=""),"",IF(AND(L$5&lt;=$G298,L$5+6&gt;=$F298),IF($H298="Complétée","F",IF(OR($H298="En cours",$H298="En revue"),"E",IF($H298="Bloquée","B","P"))),""))</f>
        <v/>
      </c>
      <c r="M298" s="53">
        <f>IF(OR($F298="",$G298=""),"",IF(AND(M$5&lt;=$G298,M$5+6&gt;=$F298),IF($H298="Complétée","F",IF(OR($H298="En cours",$H298="En revue"),"E",IF($H298="Bloquée","B","P"))),""))</f>
        <v/>
      </c>
      <c r="N298" s="53">
        <f>IF(OR($F298="",$G298=""),"",IF(AND(N$5&lt;=$G298,N$5+6&gt;=$F298),IF($H298="Complétée","F",IF(OR($H298="En cours",$H298="En revue"),"E",IF($H298="Bloquée","B","P"))),""))</f>
        <v/>
      </c>
      <c r="O298" s="53">
        <f>IF(OR($F298="",$G298=""),"",IF(AND(O$5&lt;=$G298,O$5+6&gt;=$F298),IF($H298="Complétée","F",IF(OR($H298="En cours",$H298="En revue"),"E",IF($H298="Bloquée","B","P"))),""))</f>
        <v/>
      </c>
      <c r="P298" s="53">
        <f>IF(OR($F298="",$G298=""),"",IF(AND(P$5&lt;=$G298,P$5+6&gt;=$F298),IF($H298="Complétée","F",IF(OR($H298="En cours",$H298="En revue"),"E",IF($H298="Bloquée","B","P"))),""))</f>
        <v/>
      </c>
      <c r="Q298" s="53">
        <f>IF(OR($F298="",$G298=""),"",IF(AND(Q$5&lt;=$G298,Q$5+6&gt;=$F298),IF($H298="Complétée","F",IF(OR($H298="En cours",$H298="En revue"),"E",IF($H298="Bloquée","B","P"))),""))</f>
        <v/>
      </c>
      <c r="R298" s="53">
        <f>IF(OR($F298="",$G298=""),"",IF(AND(R$5&lt;=$G298,R$5+6&gt;=$F298),IF($H298="Complétée","F",IF(OR($H298="En cours",$H298="En revue"),"E",IF($H298="Bloquée","B","P"))),""))</f>
        <v/>
      </c>
      <c r="S298" s="53">
        <f>IF(OR($F298="",$G298=""),"",IF(AND(S$5&lt;=$G298,S$5+6&gt;=$F298),IF($H298="Complétée","F",IF(OR($H298="En cours",$H298="En revue"),"E",IF($H298="Bloquée","B","P"))),""))</f>
        <v/>
      </c>
      <c r="T298" s="53">
        <f>IF(OR($F298="",$G298=""),"",IF(AND(T$5&lt;=$G298,T$5+6&gt;=$F298),IF($H298="Complétée","F",IF(OR($H298="En cours",$H298="En revue"),"E",IF($H298="Bloquée","B","P"))),""))</f>
        <v/>
      </c>
      <c r="U298" s="53">
        <f>IF(OR($F298="",$G298=""),"",IF(AND(U$5&lt;=$G298,U$5+6&gt;=$F298),IF($H298="Complétée","F",IF(OR($H298="En cours",$H298="En revue"),"E",IF($H298="Bloquée","B","P"))),""))</f>
        <v/>
      </c>
      <c r="V298" s="53">
        <f>IF(OR($F298="",$G298=""),"",IF(AND(V$5&lt;=$G298,V$5+6&gt;=$F298),IF($H298="Complétée","F",IF(OR($H298="En cours",$H298="En revue"),"E",IF($H298="Bloquée","B","P"))),""))</f>
        <v/>
      </c>
      <c r="W298" s="53">
        <f>IF(OR($F298="",$G298=""),"",IF(AND(W$5&lt;=$G298,W$5+6&gt;=$F298),IF($H298="Complétée","F",IF(OR($H298="En cours",$H298="En revue"),"E",IF($H298="Bloquée","B","P"))),""))</f>
        <v/>
      </c>
      <c r="X298" s="53">
        <f>IF(OR($F298="",$G298=""),"",IF(AND(X$5&lt;=$G298,X$5+6&gt;=$F298),IF($H298="Complétée","F",IF(OR($H298="En cours",$H298="En revue"),"E",IF($H298="Bloquée","B","P"))),""))</f>
        <v/>
      </c>
      <c r="Y298" s="53">
        <f>IF(OR($F298="",$G298=""),"",IF(AND(Y$5&lt;=$G298,Y$5+6&gt;=$F298),IF($H298="Complétée","F",IF(OR($H298="En cours",$H298="En revue"),"E",IF($H298="Bloquée","B","P"))),""))</f>
        <v/>
      </c>
      <c r="Z298" s="53">
        <f>IF(OR($F298="",$G298=""),"",IF(AND(Z$5&lt;=$G298,Z$5+6&gt;=$F298),IF($H298="Complétée","F",IF(OR($H298="En cours",$H298="En revue"),"E",IF($H298="Bloquée","B","P"))),""))</f>
        <v/>
      </c>
      <c r="AA298" s="53">
        <f>IF(OR($F298="",$G298=""),"",IF(AND(AA$5&lt;=$G298,AA$5+6&gt;=$F298),IF($H298="Complétée","F",IF(OR($H298="En cours",$H298="En revue"),"E",IF($H298="Bloquée","B","P"))),""))</f>
        <v/>
      </c>
      <c r="AB298" s="53">
        <f>IF(OR($F298="",$G298=""),"",IF(AND(AB$5&lt;=$G298,AB$5+6&gt;=$F298),IF($H298="Complétée","F",IF(OR($H298="En cours",$H298="En revue"),"E",IF($H298="Bloquée","B","P"))),""))</f>
        <v/>
      </c>
      <c r="AC298" s="53">
        <f>IF(OR($F298="",$G298=""),"",IF(AND(AC$5&lt;=$G298,AC$5+6&gt;=$F298),IF($H298="Complétée","F",IF(OR($H298="En cours",$H298="En revue"),"E",IF($H298="Bloquée","B","P"))),""))</f>
        <v/>
      </c>
      <c r="AD298" s="53">
        <f>IF(OR($F298="",$G298=""),"",IF(AND(AD$5&lt;=$G298,AD$5+6&gt;=$F298),IF($H298="Complétée","F",IF(OR($H298="En cours",$H298="En revue"),"E",IF($H298="Bloquée","B","P"))),""))</f>
        <v/>
      </c>
      <c r="AE298" s="53">
        <f>IF(OR($F298="",$G298=""),"",IF(AND(AE$5&lt;=$G298,AE$5+6&gt;=$F298),IF($H298="Complétée","F",IF(OR($H298="En cours",$H298="En revue"),"E",IF($H298="Bloquée","B","P"))),""))</f>
        <v/>
      </c>
      <c r="AF298" s="53">
        <f>IF(OR($F298="",$G298=""),"",IF(AND(AF$5&lt;=$G298,AF$5+6&gt;=$F298),IF($H298="Complétée","F",IF(OR($H298="En cours",$H298="En revue"),"E",IF($H298="Bloquée","B","P"))),""))</f>
        <v/>
      </c>
      <c r="AG298" s="53">
        <f>IF(OR($F298="",$G298=""),"",IF(AND(AG$5&lt;=$G298,AG$5+6&gt;=$F298),IF($H298="Complétée","F",IF(OR($H298="En cours",$H298="En revue"),"E",IF($H298="Bloquée","B","P"))),""))</f>
        <v/>
      </c>
      <c r="AH298" s="53">
        <f>IF(OR($F298="",$G298=""),"",IF(AND(AH$5&lt;=$G298,AH$5+6&gt;=$F298),IF($H298="Complétée","F",IF(OR($H298="En cours",$H298="En revue"),"E",IF($H298="Bloquée","B","P"))),""))</f>
        <v/>
      </c>
      <c r="AI298" s="53">
        <f>IF(OR($F298="",$G298=""),"",IF(AND(AI$5&lt;=$G298,AI$5+6&gt;=$F298),IF($H298="Complétée","F",IF(OR($H298="En cours",$H298="En revue"),"E",IF($H298="Bloquée","B","P"))),""))</f>
        <v/>
      </c>
      <c r="AJ298" s="53">
        <f>IF(OR($F298="",$G298=""),"",IF(AND(AJ$5&lt;=$G298,AJ$5+6&gt;=$F298),IF($H298="Complétée","F",IF(OR($H298="En cours",$H298="En revue"),"E",IF($H298="Bloquée","B","P"))),""))</f>
        <v/>
      </c>
      <c r="AK298" s="53">
        <f>IF(OR($F298="",$G298=""),"",IF(AND(AK$5&lt;=$G298,AK$5+6&gt;=$F298),IF($H298="Complétée","F",IF(OR($H298="En cours",$H298="En revue"),"E",IF($H298="Bloquée","B","P"))),""))</f>
        <v/>
      </c>
      <c r="AL298" s="53">
        <f>IF(OR($F298="",$G298=""),"",IF(AND(AL$5&lt;=$G298,AL$5+6&gt;=$F298),IF($H298="Complétée","F",IF(OR($H298="En cours",$H298="En revue"),"E",IF($H298="Bloquée","B","P"))),""))</f>
        <v/>
      </c>
      <c r="AM298" s="53">
        <f>IF(OR($F298="",$G298=""),"",IF(AND(AM$5&lt;=$G298,AM$5+6&gt;=$F298),IF($H298="Complétée","F",IF(OR($H298="En cours",$H298="En revue"),"E",IF($H298="Bloquée","B","P"))),""))</f>
        <v/>
      </c>
      <c r="AN298" s="53">
        <f>IF(OR($F298="",$G298=""),"",IF(AND(AN$5&lt;=$G298,AN$5+6&gt;=$F298),IF($H298="Complétée","F",IF(OR($H298="En cours",$H298="En revue"),"E",IF($H298="Bloquée","B","P"))),""))</f>
        <v/>
      </c>
      <c r="AO298" s="53">
        <f>IF(OR($F298="",$G298=""),"",IF(AND(AO$5&lt;=$G298,AO$5+6&gt;=$F298),IF($H298="Complétée","F",IF(OR($H298="En cours",$H298="En revue"),"E",IF($H298="Bloquée","B","P"))),""))</f>
        <v/>
      </c>
      <c r="AP298" s="53">
        <f>IF(OR($F298="",$G298=""),"",IF(AND(AP$5&lt;=$G298,AP$5+6&gt;=$F298),IF($H298="Complétée","F",IF(OR($H298="En cours",$H298="En revue"),"E",IF($H298="Bloquée","B","P"))),""))</f>
        <v/>
      </c>
      <c r="AQ298" s="53">
        <f>IF(OR($F298="",$G298=""),"",IF(AND(AQ$5&lt;=$G298,AQ$5+6&gt;=$F298),IF($H298="Complétée","F",IF(OR($H298="En cours",$H298="En revue"),"E",IF($H298="Bloquée","B","P"))),""))</f>
        <v/>
      </c>
      <c r="AR298" s="53">
        <f>IF(OR($F298="",$G298=""),"",IF(AND(AR$5&lt;=$G298,AR$5+6&gt;=$F298),IF($H298="Complétée","F",IF(OR($H298="En cours",$H298="En revue"),"E",IF($H298="Bloquée","B","P"))),""))</f>
        <v/>
      </c>
      <c r="AS298" s="53">
        <f>IF(OR($F298="",$G298=""),"",IF(AND(AS$5&lt;=$G298,AS$5+6&gt;=$F298),IF($H298="Complétée","F",IF(OR($H298="En cours",$H298="En revue"),"E",IF($H298="Bloquée","B","P"))),""))</f>
        <v/>
      </c>
      <c r="AT298" s="53">
        <f>IF(OR($F298="",$G298=""),"",IF(AND(AT$5&lt;=$G298,AT$5+6&gt;=$F298),IF($H298="Complétée","F",IF(OR($H298="En cours",$H298="En revue"),"E",IF($H298="Bloquée","B","P"))),""))</f>
        <v/>
      </c>
      <c r="AU298" s="53">
        <f>IF(OR($F298="",$G298=""),"",IF(AND(AU$5&lt;=$G298,AU$5+6&gt;=$F298),IF($H298="Complétée","F",IF(OR($H298="En cours",$H298="En revue"),"E",IF($H298="Bloquée","B","P"))),""))</f>
        <v/>
      </c>
      <c r="AV298" s="53">
        <f>IF(OR($F298="",$G298=""),"",IF(AND(AV$5&lt;=$G298,AV$5+6&gt;=$F298),IF($H298="Complétée","F",IF(OR($H298="En cours",$H298="En revue"),"E",IF($H298="Bloquée","B","P"))),""))</f>
        <v/>
      </c>
      <c r="AW298" s="53">
        <f>IF(OR($F298="",$G298=""),"",IF(AND(AW$5&lt;=$G298,AW$5+6&gt;=$F298),IF($H298="Complétée","F",IF(OR($H298="En cours",$H298="En revue"),"E",IF($H298="Bloquée","B","P"))),""))</f>
        <v/>
      </c>
    </row>
    <row r="299">
      <c r="B299" s="50">
        <f>IF(Taches!B299="","",Taches!B299)</f>
        <v/>
      </c>
      <c r="C299" s="51">
        <f>IF(Taches!B299="","",Taches!F299)</f>
        <v/>
      </c>
      <c r="D299" s="50">
        <f>IF(Taches!B299="","",Taches!C299)</f>
        <v/>
      </c>
      <c r="E299" s="50">
        <f>IF(Taches!B299="","",Taches!D299)</f>
        <v/>
      </c>
      <c r="F299" s="52">
        <f>IF(Taches!P299="","",Taches!P299)</f>
        <v/>
      </c>
      <c r="G299" s="52">
        <f>IF(Taches!Q299="","",Taches!Q299)</f>
        <v/>
      </c>
      <c r="H299" s="50">
        <f>IF(Taches!B299="","",Taches!J299)</f>
        <v/>
      </c>
      <c r="I299" s="53">
        <f>IF(OR($F299="",$G299=""),"",IF(AND(I$5&lt;=$G299,I$5+6&gt;=$F299),IF($H299="Complétée","F",IF(OR($H299="En cours",$H299="En revue"),"E",IF($H299="Bloquée","B","P"))),""))</f>
        <v/>
      </c>
      <c r="J299" s="53">
        <f>IF(OR($F299="",$G299=""),"",IF(AND(J$5&lt;=$G299,J$5+6&gt;=$F299),IF($H299="Complétée","F",IF(OR($H299="En cours",$H299="En revue"),"E",IF($H299="Bloquée","B","P"))),""))</f>
        <v/>
      </c>
      <c r="K299" s="53">
        <f>IF(OR($F299="",$G299=""),"",IF(AND(K$5&lt;=$G299,K$5+6&gt;=$F299),IF($H299="Complétée","F",IF(OR($H299="En cours",$H299="En revue"),"E",IF($H299="Bloquée","B","P"))),""))</f>
        <v/>
      </c>
      <c r="L299" s="53">
        <f>IF(OR($F299="",$G299=""),"",IF(AND(L$5&lt;=$G299,L$5+6&gt;=$F299),IF($H299="Complétée","F",IF(OR($H299="En cours",$H299="En revue"),"E",IF($H299="Bloquée","B","P"))),""))</f>
        <v/>
      </c>
      <c r="M299" s="53">
        <f>IF(OR($F299="",$G299=""),"",IF(AND(M$5&lt;=$G299,M$5+6&gt;=$F299),IF($H299="Complétée","F",IF(OR($H299="En cours",$H299="En revue"),"E",IF($H299="Bloquée","B","P"))),""))</f>
        <v/>
      </c>
      <c r="N299" s="53">
        <f>IF(OR($F299="",$G299=""),"",IF(AND(N$5&lt;=$G299,N$5+6&gt;=$F299),IF($H299="Complétée","F",IF(OR($H299="En cours",$H299="En revue"),"E",IF($H299="Bloquée","B","P"))),""))</f>
        <v/>
      </c>
      <c r="O299" s="53">
        <f>IF(OR($F299="",$G299=""),"",IF(AND(O$5&lt;=$G299,O$5+6&gt;=$F299),IF($H299="Complétée","F",IF(OR($H299="En cours",$H299="En revue"),"E",IF($H299="Bloquée","B","P"))),""))</f>
        <v/>
      </c>
      <c r="P299" s="53">
        <f>IF(OR($F299="",$G299=""),"",IF(AND(P$5&lt;=$G299,P$5+6&gt;=$F299),IF($H299="Complétée","F",IF(OR($H299="En cours",$H299="En revue"),"E",IF($H299="Bloquée","B","P"))),""))</f>
        <v/>
      </c>
      <c r="Q299" s="53">
        <f>IF(OR($F299="",$G299=""),"",IF(AND(Q$5&lt;=$G299,Q$5+6&gt;=$F299),IF($H299="Complétée","F",IF(OR($H299="En cours",$H299="En revue"),"E",IF($H299="Bloquée","B","P"))),""))</f>
        <v/>
      </c>
      <c r="R299" s="53">
        <f>IF(OR($F299="",$G299=""),"",IF(AND(R$5&lt;=$G299,R$5+6&gt;=$F299),IF($H299="Complétée","F",IF(OR($H299="En cours",$H299="En revue"),"E",IF($H299="Bloquée","B","P"))),""))</f>
        <v/>
      </c>
      <c r="S299" s="53">
        <f>IF(OR($F299="",$G299=""),"",IF(AND(S$5&lt;=$G299,S$5+6&gt;=$F299),IF($H299="Complétée","F",IF(OR($H299="En cours",$H299="En revue"),"E",IF($H299="Bloquée","B","P"))),""))</f>
        <v/>
      </c>
      <c r="T299" s="53">
        <f>IF(OR($F299="",$G299=""),"",IF(AND(T$5&lt;=$G299,T$5+6&gt;=$F299),IF($H299="Complétée","F",IF(OR($H299="En cours",$H299="En revue"),"E",IF($H299="Bloquée","B","P"))),""))</f>
        <v/>
      </c>
      <c r="U299" s="53">
        <f>IF(OR($F299="",$G299=""),"",IF(AND(U$5&lt;=$G299,U$5+6&gt;=$F299),IF($H299="Complétée","F",IF(OR($H299="En cours",$H299="En revue"),"E",IF($H299="Bloquée","B","P"))),""))</f>
        <v/>
      </c>
      <c r="V299" s="53">
        <f>IF(OR($F299="",$G299=""),"",IF(AND(V$5&lt;=$G299,V$5+6&gt;=$F299),IF($H299="Complétée","F",IF(OR($H299="En cours",$H299="En revue"),"E",IF($H299="Bloquée","B","P"))),""))</f>
        <v/>
      </c>
      <c r="W299" s="53">
        <f>IF(OR($F299="",$G299=""),"",IF(AND(W$5&lt;=$G299,W$5+6&gt;=$F299),IF($H299="Complétée","F",IF(OR($H299="En cours",$H299="En revue"),"E",IF($H299="Bloquée","B","P"))),""))</f>
        <v/>
      </c>
      <c r="X299" s="53">
        <f>IF(OR($F299="",$G299=""),"",IF(AND(X$5&lt;=$G299,X$5+6&gt;=$F299),IF($H299="Complétée","F",IF(OR($H299="En cours",$H299="En revue"),"E",IF($H299="Bloquée","B","P"))),""))</f>
        <v/>
      </c>
      <c r="Y299" s="53">
        <f>IF(OR($F299="",$G299=""),"",IF(AND(Y$5&lt;=$G299,Y$5+6&gt;=$F299),IF($H299="Complétée","F",IF(OR($H299="En cours",$H299="En revue"),"E",IF($H299="Bloquée","B","P"))),""))</f>
        <v/>
      </c>
      <c r="Z299" s="53">
        <f>IF(OR($F299="",$G299=""),"",IF(AND(Z$5&lt;=$G299,Z$5+6&gt;=$F299),IF($H299="Complétée","F",IF(OR($H299="En cours",$H299="En revue"),"E",IF($H299="Bloquée","B","P"))),""))</f>
        <v/>
      </c>
      <c r="AA299" s="53">
        <f>IF(OR($F299="",$G299=""),"",IF(AND(AA$5&lt;=$G299,AA$5+6&gt;=$F299),IF($H299="Complétée","F",IF(OR($H299="En cours",$H299="En revue"),"E",IF($H299="Bloquée","B","P"))),""))</f>
        <v/>
      </c>
      <c r="AB299" s="53">
        <f>IF(OR($F299="",$G299=""),"",IF(AND(AB$5&lt;=$G299,AB$5+6&gt;=$F299),IF($H299="Complétée","F",IF(OR($H299="En cours",$H299="En revue"),"E",IF($H299="Bloquée","B","P"))),""))</f>
        <v/>
      </c>
      <c r="AC299" s="53">
        <f>IF(OR($F299="",$G299=""),"",IF(AND(AC$5&lt;=$G299,AC$5+6&gt;=$F299),IF($H299="Complétée","F",IF(OR($H299="En cours",$H299="En revue"),"E",IF($H299="Bloquée","B","P"))),""))</f>
        <v/>
      </c>
      <c r="AD299" s="53">
        <f>IF(OR($F299="",$G299=""),"",IF(AND(AD$5&lt;=$G299,AD$5+6&gt;=$F299),IF($H299="Complétée","F",IF(OR($H299="En cours",$H299="En revue"),"E",IF($H299="Bloquée","B","P"))),""))</f>
        <v/>
      </c>
      <c r="AE299" s="53">
        <f>IF(OR($F299="",$G299=""),"",IF(AND(AE$5&lt;=$G299,AE$5+6&gt;=$F299),IF($H299="Complétée","F",IF(OR($H299="En cours",$H299="En revue"),"E",IF($H299="Bloquée","B","P"))),""))</f>
        <v/>
      </c>
      <c r="AF299" s="53">
        <f>IF(OR($F299="",$G299=""),"",IF(AND(AF$5&lt;=$G299,AF$5+6&gt;=$F299),IF($H299="Complétée","F",IF(OR($H299="En cours",$H299="En revue"),"E",IF($H299="Bloquée","B","P"))),""))</f>
        <v/>
      </c>
      <c r="AG299" s="53">
        <f>IF(OR($F299="",$G299=""),"",IF(AND(AG$5&lt;=$G299,AG$5+6&gt;=$F299),IF($H299="Complétée","F",IF(OR($H299="En cours",$H299="En revue"),"E",IF($H299="Bloquée","B","P"))),""))</f>
        <v/>
      </c>
      <c r="AH299" s="53">
        <f>IF(OR($F299="",$G299=""),"",IF(AND(AH$5&lt;=$G299,AH$5+6&gt;=$F299),IF($H299="Complétée","F",IF(OR($H299="En cours",$H299="En revue"),"E",IF($H299="Bloquée","B","P"))),""))</f>
        <v/>
      </c>
      <c r="AI299" s="53">
        <f>IF(OR($F299="",$G299=""),"",IF(AND(AI$5&lt;=$G299,AI$5+6&gt;=$F299),IF($H299="Complétée","F",IF(OR($H299="En cours",$H299="En revue"),"E",IF($H299="Bloquée","B","P"))),""))</f>
        <v/>
      </c>
      <c r="AJ299" s="53">
        <f>IF(OR($F299="",$G299=""),"",IF(AND(AJ$5&lt;=$G299,AJ$5+6&gt;=$F299),IF($H299="Complétée","F",IF(OR($H299="En cours",$H299="En revue"),"E",IF($H299="Bloquée","B","P"))),""))</f>
        <v/>
      </c>
      <c r="AK299" s="53">
        <f>IF(OR($F299="",$G299=""),"",IF(AND(AK$5&lt;=$G299,AK$5+6&gt;=$F299),IF($H299="Complétée","F",IF(OR($H299="En cours",$H299="En revue"),"E",IF($H299="Bloquée","B","P"))),""))</f>
        <v/>
      </c>
      <c r="AL299" s="53">
        <f>IF(OR($F299="",$G299=""),"",IF(AND(AL$5&lt;=$G299,AL$5+6&gt;=$F299),IF($H299="Complétée","F",IF(OR($H299="En cours",$H299="En revue"),"E",IF($H299="Bloquée","B","P"))),""))</f>
        <v/>
      </c>
      <c r="AM299" s="53">
        <f>IF(OR($F299="",$G299=""),"",IF(AND(AM$5&lt;=$G299,AM$5+6&gt;=$F299),IF($H299="Complétée","F",IF(OR($H299="En cours",$H299="En revue"),"E",IF($H299="Bloquée","B","P"))),""))</f>
        <v/>
      </c>
      <c r="AN299" s="53">
        <f>IF(OR($F299="",$G299=""),"",IF(AND(AN$5&lt;=$G299,AN$5+6&gt;=$F299),IF($H299="Complétée","F",IF(OR($H299="En cours",$H299="En revue"),"E",IF($H299="Bloquée","B","P"))),""))</f>
        <v/>
      </c>
      <c r="AO299" s="53">
        <f>IF(OR($F299="",$G299=""),"",IF(AND(AO$5&lt;=$G299,AO$5+6&gt;=$F299),IF($H299="Complétée","F",IF(OR($H299="En cours",$H299="En revue"),"E",IF($H299="Bloquée","B","P"))),""))</f>
        <v/>
      </c>
      <c r="AP299" s="53">
        <f>IF(OR($F299="",$G299=""),"",IF(AND(AP$5&lt;=$G299,AP$5+6&gt;=$F299),IF($H299="Complétée","F",IF(OR($H299="En cours",$H299="En revue"),"E",IF($H299="Bloquée","B","P"))),""))</f>
        <v/>
      </c>
      <c r="AQ299" s="53">
        <f>IF(OR($F299="",$G299=""),"",IF(AND(AQ$5&lt;=$G299,AQ$5+6&gt;=$F299),IF($H299="Complétée","F",IF(OR($H299="En cours",$H299="En revue"),"E",IF($H299="Bloquée","B","P"))),""))</f>
        <v/>
      </c>
      <c r="AR299" s="53">
        <f>IF(OR($F299="",$G299=""),"",IF(AND(AR$5&lt;=$G299,AR$5+6&gt;=$F299),IF($H299="Complétée","F",IF(OR($H299="En cours",$H299="En revue"),"E",IF($H299="Bloquée","B","P"))),""))</f>
        <v/>
      </c>
      <c r="AS299" s="53">
        <f>IF(OR($F299="",$G299=""),"",IF(AND(AS$5&lt;=$G299,AS$5+6&gt;=$F299),IF($H299="Complétée","F",IF(OR($H299="En cours",$H299="En revue"),"E",IF($H299="Bloquée","B","P"))),""))</f>
        <v/>
      </c>
      <c r="AT299" s="53">
        <f>IF(OR($F299="",$G299=""),"",IF(AND(AT$5&lt;=$G299,AT$5+6&gt;=$F299),IF($H299="Complétée","F",IF(OR($H299="En cours",$H299="En revue"),"E",IF($H299="Bloquée","B","P"))),""))</f>
        <v/>
      </c>
      <c r="AU299" s="53">
        <f>IF(OR($F299="",$G299=""),"",IF(AND(AU$5&lt;=$G299,AU$5+6&gt;=$F299),IF($H299="Complétée","F",IF(OR($H299="En cours",$H299="En revue"),"E",IF($H299="Bloquée","B","P"))),""))</f>
        <v/>
      </c>
      <c r="AV299" s="53">
        <f>IF(OR($F299="",$G299=""),"",IF(AND(AV$5&lt;=$G299,AV$5+6&gt;=$F299),IF($H299="Complétée","F",IF(OR($H299="En cours",$H299="En revue"),"E",IF($H299="Bloquée","B","P"))),""))</f>
        <v/>
      </c>
      <c r="AW299" s="53">
        <f>IF(OR($F299="",$G299=""),"",IF(AND(AW$5&lt;=$G299,AW$5+6&gt;=$F299),IF($H299="Complétée","F",IF(OR($H299="En cours",$H299="En revue"),"E",IF($H299="Bloquée","B","P"))),""))</f>
        <v/>
      </c>
    </row>
    <row r="300">
      <c r="B300" s="50">
        <f>IF(Taches!B300="","",Taches!B300)</f>
        <v/>
      </c>
      <c r="C300" s="51">
        <f>IF(Taches!B300="","",Taches!F300)</f>
        <v/>
      </c>
      <c r="D300" s="50">
        <f>IF(Taches!B300="","",Taches!C300)</f>
        <v/>
      </c>
      <c r="E300" s="50">
        <f>IF(Taches!B300="","",Taches!D300)</f>
        <v/>
      </c>
      <c r="F300" s="52">
        <f>IF(Taches!P300="","",Taches!P300)</f>
        <v/>
      </c>
      <c r="G300" s="52">
        <f>IF(Taches!Q300="","",Taches!Q300)</f>
        <v/>
      </c>
      <c r="H300" s="50">
        <f>IF(Taches!B300="","",Taches!J300)</f>
        <v/>
      </c>
      <c r="I300" s="53">
        <f>IF(OR($F300="",$G300=""),"",IF(AND(I$5&lt;=$G300,I$5+6&gt;=$F300),IF($H300="Complétée","F",IF(OR($H300="En cours",$H300="En revue"),"E",IF($H300="Bloquée","B","P"))),""))</f>
        <v/>
      </c>
      <c r="J300" s="53">
        <f>IF(OR($F300="",$G300=""),"",IF(AND(J$5&lt;=$G300,J$5+6&gt;=$F300),IF($H300="Complétée","F",IF(OR($H300="En cours",$H300="En revue"),"E",IF($H300="Bloquée","B","P"))),""))</f>
        <v/>
      </c>
      <c r="K300" s="53">
        <f>IF(OR($F300="",$G300=""),"",IF(AND(K$5&lt;=$G300,K$5+6&gt;=$F300),IF($H300="Complétée","F",IF(OR($H300="En cours",$H300="En revue"),"E",IF($H300="Bloquée","B","P"))),""))</f>
        <v/>
      </c>
      <c r="L300" s="53">
        <f>IF(OR($F300="",$G300=""),"",IF(AND(L$5&lt;=$G300,L$5+6&gt;=$F300),IF($H300="Complétée","F",IF(OR($H300="En cours",$H300="En revue"),"E",IF($H300="Bloquée","B","P"))),""))</f>
        <v/>
      </c>
      <c r="M300" s="53">
        <f>IF(OR($F300="",$G300=""),"",IF(AND(M$5&lt;=$G300,M$5+6&gt;=$F300),IF($H300="Complétée","F",IF(OR($H300="En cours",$H300="En revue"),"E",IF($H300="Bloquée","B","P"))),""))</f>
        <v/>
      </c>
      <c r="N300" s="53">
        <f>IF(OR($F300="",$G300=""),"",IF(AND(N$5&lt;=$G300,N$5+6&gt;=$F300),IF($H300="Complétée","F",IF(OR($H300="En cours",$H300="En revue"),"E",IF($H300="Bloquée","B","P"))),""))</f>
        <v/>
      </c>
      <c r="O300" s="53">
        <f>IF(OR($F300="",$G300=""),"",IF(AND(O$5&lt;=$G300,O$5+6&gt;=$F300),IF($H300="Complétée","F",IF(OR($H300="En cours",$H300="En revue"),"E",IF($H300="Bloquée","B","P"))),""))</f>
        <v/>
      </c>
      <c r="P300" s="53">
        <f>IF(OR($F300="",$G300=""),"",IF(AND(P$5&lt;=$G300,P$5+6&gt;=$F300),IF($H300="Complétée","F",IF(OR($H300="En cours",$H300="En revue"),"E",IF($H300="Bloquée","B","P"))),""))</f>
        <v/>
      </c>
      <c r="Q300" s="53">
        <f>IF(OR($F300="",$G300=""),"",IF(AND(Q$5&lt;=$G300,Q$5+6&gt;=$F300),IF($H300="Complétée","F",IF(OR($H300="En cours",$H300="En revue"),"E",IF($H300="Bloquée","B","P"))),""))</f>
        <v/>
      </c>
      <c r="R300" s="53">
        <f>IF(OR($F300="",$G300=""),"",IF(AND(R$5&lt;=$G300,R$5+6&gt;=$F300),IF($H300="Complétée","F",IF(OR($H300="En cours",$H300="En revue"),"E",IF($H300="Bloquée","B","P"))),""))</f>
        <v/>
      </c>
      <c r="S300" s="53">
        <f>IF(OR($F300="",$G300=""),"",IF(AND(S$5&lt;=$G300,S$5+6&gt;=$F300),IF($H300="Complétée","F",IF(OR($H300="En cours",$H300="En revue"),"E",IF($H300="Bloquée","B","P"))),""))</f>
        <v/>
      </c>
      <c r="T300" s="53">
        <f>IF(OR($F300="",$G300=""),"",IF(AND(T$5&lt;=$G300,T$5+6&gt;=$F300),IF($H300="Complétée","F",IF(OR($H300="En cours",$H300="En revue"),"E",IF($H300="Bloquée","B","P"))),""))</f>
        <v/>
      </c>
      <c r="U300" s="53">
        <f>IF(OR($F300="",$G300=""),"",IF(AND(U$5&lt;=$G300,U$5+6&gt;=$F300),IF($H300="Complétée","F",IF(OR($H300="En cours",$H300="En revue"),"E",IF($H300="Bloquée","B","P"))),""))</f>
        <v/>
      </c>
      <c r="V300" s="53">
        <f>IF(OR($F300="",$G300=""),"",IF(AND(V$5&lt;=$G300,V$5+6&gt;=$F300),IF($H300="Complétée","F",IF(OR($H300="En cours",$H300="En revue"),"E",IF($H300="Bloquée","B","P"))),""))</f>
        <v/>
      </c>
      <c r="W300" s="53">
        <f>IF(OR($F300="",$G300=""),"",IF(AND(W$5&lt;=$G300,W$5+6&gt;=$F300),IF($H300="Complétée","F",IF(OR($H300="En cours",$H300="En revue"),"E",IF($H300="Bloquée","B","P"))),""))</f>
        <v/>
      </c>
      <c r="X300" s="53">
        <f>IF(OR($F300="",$G300=""),"",IF(AND(X$5&lt;=$G300,X$5+6&gt;=$F300),IF($H300="Complétée","F",IF(OR($H300="En cours",$H300="En revue"),"E",IF($H300="Bloquée","B","P"))),""))</f>
        <v/>
      </c>
      <c r="Y300" s="53">
        <f>IF(OR($F300="",$G300=""),"",IF(AND(Y$5&lt;=$G300,Y$5+6&gt;=$F300),IF($H300="Complétée","F",IF(OR($H300="En cours",$H300="En revue"),"E",IF($H300="Bloquée","B","P"))),""))</f>
        <v/>
      </c>
      <c r="Z300" s="53">
        <f>IF(OR($F300="",$G300=""),"",IF(AND(Z$5&lt;=$G300,Z$5+6&gt;=$F300),IF($H300="Complétée","F",IF(OR($H300="En cours",$H300="En revue"),"E",IF($H300="Bloquée","B","P"))),""))</f>
        <v/>
      </c>
      <c r="AA300" s="53">
        <f>IF(OR($F300="",$G300=""),"",IF(AND(AA$5&lt;=$G300,AA$5+6&gt;=$F300),IF($H300="Complétée","F",IF(OR($H300="En cours",$H300="En revue"),"E",IF($H300="Bloquée","B","P"))),""))</f>
        <v/>
      </c>
      <c r="AB300" s="53">
        <f>IF(OR($F300="",$G300=""),"",IF(AND(AB$5&lt;=$G300,AB$5+6&gt;=$F300),IF($H300="Complétée","F",IF(OR($H300="En cours",$H300="En revue"),"E",IF($H300="Bloquée","B","P"))),""))</f>
        <v/>
      </c>
      <c r="AC300" s="53">
        <f>IF(OR($F300="",$G300=""),"",IF(AND(AC$5&lt;=$G300,AC$5+6&gt;=$F300),IF($H300="Complétée","F",IF(OR($H300="En cours",$H300="En revue"),"E",IF($H300="Bloquée","B","P"))),""))</f>
        <v/>
      </c>
      <c r="AD300" s="53">
        <f>IF(OR($F300="",$G300=""),"",IF(AND(AD$5&lt;=$G300,AD$5+6&gt;=$F300),IF($H300="Complétée","F",IF(OR($H300="En cours",$H300="En revue"),"E",IF($H300="Bloquée","B","P"))),""))</f>
        <v/>
      </c>
      <c r="AE300" s="53">
        <f>IF(OR($F300="",$G300=""),"",IF(AND(AE$5&lt;=$G300,AE$5+6&gt;=$F300),IF($H300="Complétée","F",IF(OR($H300="En cours",$H300="En revue"),"E",IF($H300="Bloquée","B","P"))),""))</f>
        <v/>
      </c>
      <c r="AF300" s="53">
        <f>IF(OR($F300="",$G300=""),"",IF(AND(AF$5&lt;=$G300,AF$5+6&gt;=$F300),IF($H300="Complétée","F",IF(OR($H300="En cours",$H300="En revue"),"E",IF($H300="Bloquée","B","P"))),""))</f>
        <v/>
      </c>
      <c r="AG300" s="53">
        <f>IF(OR($F300="",$G300=""),"",IF(AND(AG$5&lt;=$G300,AG$5+6&gt;=$F300),IF($H300="Complétée","F",IF(OR($H300="En cours",$H300="En revue"),"E",IF($H300="Bloquée","B","P"))),""))</f>
        <v/>
      </c>
      <c r="AH300" s="53">
        <f>IF(OR($F300="",$G300=""),"",IF(AND(AH$5&lt;=$G300,AH$5+6&gt;=$F300),IF($H300="Complétée","F",IF(OR($H300="En cours",$H300="En revue"),"E",IF($H300="Bloquée","B","P"))),""))</f>
        <v/>
      </c>
      <c r="AI300" s="53">
        <f>IF(OR($F300="",$G300=""),"",IF(AND(AI$5&lt;=$G300,AI$5+6&gt;=$F300),IF($H300="Complétée","F",IF(OR($H300="En cours",$H300="En revue"),"E",IF($H300="Bloquée","B","P"))),""))</f>
        <v/>
      </c>
      <c r="AJ300" s="53">
        <f>IF(OR($F300="",$G300=""),"",IF(AND(AJ$5&lt;=$G300,AJ$5+6&gt;=$F300),IF($H300="Complétée","F",IF(OR($H300="En cours",$H300="En revue"),"E",IF($H300="Bloquée","B","P"))),""))</f>
        <v/>
      </c>
      <c r="AK300" s="53">
        <f>IF(OR($F300="",$G300=""),"",IF(AND(AK$5&lt;=$G300,AK$5+6&gt;=$F300),IF($H300="Complétée","F",IF(OR($H300="En cours",$H300="En revue"),"E",IF($H300="Bloquée","B","P"))),""))</f>
        <v/>
      </c>
      <c r="AL300" s="53">
        <f>IF(OR($F300="",$G300=""),"",IF(AND(AL$5&lt;=$G300,AL$5+6&gt;=$F300),IF($H300="Complétée","F",IF(OR($H300="En cours",$H300="En revue"),"E",IF($H300="Bloquée","B","P"))),""))</f>
        <v/>
      </c>
      <c r="AM300" s="53">
        <f>IF(OR($F300="",$G300=""),"",IF(AND(AM$5&lt;=$G300,AM$5+6&gt;=$F300),IF($H300="Complétée","F",IF(OR($H300="En cours",$H300="En revue"),"E",IF($H300="Bloquée","B","P"))),""))</f>
        <v/>
      </c>
      <c r="AN300" s="53">
        <f>IF(OR($F300="",$G300=""),"",IF(AND(AN$5&lt;=$G300,AN$5+6&gt;=$F300),IF($H300="Complétée","F",IF(OR($H300="En cours",$H300="En revue"),"E",IF($H300="Bloquée","B","P"))),""))</f>
        <v/>
      </c>
      <c r="AO300" s="53">
        <f>IF(OR($F300="",$G300=""),"",IF(AND(AO$5&lt;=$G300,AO$5+6&gt;=$F300),IF($H300="Complétée","F",IF(OR($H300="En cours",$H300="En revue"),"E",IF($H300="Bloquée","B","P"))),""))</f>
        <v/>
      </c>
      <c r="AP300" s="53">
        <f>IF(OR($F300="",$G300=""),"",IF(AND(AP$5&lt;=$G300,AP$5+6&gt;=$F300),IF($H300="Complétée","F",IF(OR($H300="En cours",$H300="En revue"),"E",IF($H300="Bloquée","B","P"))),""))</f>
        <v/>
      </c>
      <c r="AQ300" s="53">
        <f>IF(OR($F300="",$G300=""),"",IF(AND(AQ$5&lt;=$G300,AQ$5+6&gt;=$F300),IF($H300="Complétée","F",IF(OR($H300="En cours",$H300="En revue"),"E",IF($H300="Bloquée","B","P"))),""))</f>
        <v/>
      </c>
      <c r="AR300" s="53">
        <f>IF(OR($F300="",$G300=""),"",IF(AND(AR$5&lt;=$G300,AR$5+6&gt;=$F300),IF($H300="Complétée","F",IF(OR($H300="En cours",$H300="En revue"),"E",IF($H300="Bloquée","B","P"))),""))</f>
        <v/>
      </c>
      <c r="AS300" s="53">
        <f>IF(OR($F300="",$G300=""),"",IF(AND(AS$5&lt;=$G300,AS$5+6&gt;=$F300),IF($H300="Complétée","F",IF(OR($H300="En cours",$H300="En revue"),"E",IF($H300="Bloquée","B","P"))),""))</f>
        <v/>
      </c>
      <c r="AT300" s="53">
        <f>IF(OR($F300="",$G300=""),"",IF(AND(AT$5&lt;=$G300,AT$5+6&gt;=$F300),IF($H300="Complétée","F",IF(OR($H300="En cours",$H300="En revue"),"E",IF($H300="Bloquée","B","P"))),""))</f>
        <v/>
      </c>
      <c r="AU300" s="53">
        <f>IF(OR($F300="",$G300=""),"",IF(AND(AU$5&lt;=$G300,AU$5+6&gt;=$F300),IF($H300="Complétée","F",IF(OR($H300="En cours",$H300="En revue"),"E",IF($H300="Bloquée","B","P"))),""))</f>
        <v/>
      </c>
      <c r="AV300" s="53">
        <f>IF(OR($F300="",$G300=""),"",IF(AND(AV$5&lt;=$G300,AV$5+6&gt;=$F300),IF($H300="Complétée","F",IF(OR($H300="En cours",$H300="En revue"),"E",IF($H300="Bloquée","B","P"))),""))</f>
        <v/>
      </c>
      <c r="AW300" s="53">
        <f>IF(OR($F300="",$G300=""),"",IF(AND(AW$5&lt;=$G300,AW$5+6&gt;=$F300),IF($H300="Complétée","F",IF(OR($H300="En cours",$H300="En revue"),"E",IF($H300="Bloquée","B","P"))),""))</f>
        <v/>
      </c>
    </row>
    <row r="301">
      <c r="B301" s="50">
        <f>IF(Taches!B301="","",Taches!B301)</f>
        <v/>
      </c>
      <c r="C301" s="51">
        <f>IF(Taches!B301="","",Taches!F301)</f>
        <v/>
      </c>
      <c r="D301" s="50">
        <f>IF(Taches!B301="","",Taches!C301)</f>
        <v/>
      </c>
      <c r="E301" s="50">
        <f>IF(Taches!B301="","",Taches!D301)</f>
        <v/>
      </c>
      <c r="F301" s="52">
        <f>IF(Taches!P301="","",Taches!P301)</f>
        <v/>
      </c>
      <c r="G301" s="52">
        <f>IF(Taches!Q301="","",Taches!Q301)</f>
        <v/>
      </c>
      <c r="H301" s="50">
        <f>IF(Taches!B301="","",Taches!J301)</f>
        <v/>
      </c>
      <c r="I301" s="53">
        <f>IF(OR($F301="",$G301=""),"",IF(AND(I$5&lt;=$G301,I$5+6&gt;=$F301),IF($H301="Complétée","F",IF(OR($H301="En cours",$H301="En revue"),"E",IF($H301="Bloquée","B","P"))),""))</f>
        <v/>
      </c>
      <c r="J301" s="53">
        <f>IF(OR($F301="",$G301=""),"",IF(AND(J$5&lt;=$G301,J$5+6&gt;=$F301),IF($H301="Complétée","F",IF(OR($H301="En cours",$H301="En revue"),"E",IF($H301="Bloquée","B","P"))),""))</f>
        <v/>
      </c>
      <c r="K301" s="53">
        <f>IF(OR($F301="",$G301=""),"",IF(AND(K$5&lt;=$G301,K$5+6&gt;=$F301),IF($H301="Complétée","F",IF(OR($H301="En cours",$H301="En revue"),"E",IF($H301="Bloquée","B","P"))),""))</f>
        <v/>
      </c>
      <c r="L301" s="53">
        <f>IF(OR($F301="",$G301=""),"",IF(AND(L$5&lt;=$G301,L$5+6&gt;=$F301),IF($H301="Complétée","F",IF(OR($H301="En cours",$H301="En revue"),"E",IF($H301="Bloquée","B","P"))),""))</f>
        <v/>
      </c>
      <c r="M301" s="53">
        <f>IF(OR($F301="",$G301=""),"",IF(AND(M$5&lt;=$G301,M$5+6&gt;=$F301),IF($H301="Complétée","F",IF(OR($H301="En cours",$H301="En revue"),"E",IF($H301="Bloquée","B","P"))),""))</f>
        <v/>
      </c>
      <c r="N301" s="53">
        <f>IF(OR($F301="",$G301=""),"",IF(AND(N$5&lt;=$G301,N$5+6&gt;=$F301),IF($H301="Complétée","F",IF(OR($H301="En cours",$H301="En revue"),"E",IF($H301="Bloquée","B","P"))),""))</f>
        <v/>
      </c>
      <c r="O301" s="53">
        <f>IF(OR($F301="",$G301=""),"",IF(AND(O$5&lt;=$G301,O$5+6&gt;=$F301),IF($H301="Complétée","F",IF(OR($H301="En cours",$H301="En revue"),"E",IF($H301="Bloquée","B","P"))),""))</f>
        <v/>
      </c>
      <c r="P301" s="53">
        <f>IF(OR($F301="",$G301=""),"",IF(AND(P$5&lt;=$G301,P$5+6&gt;=$F301),IF($H301="Complétée","F",IF(OR($H301="En cours",$H301="En revue"),"E",IF($H301="Bloquée","B","P"))),""))</f>
        <v/>
      </c>
      <c r="Q301" s="53">
        <f>IF(OR($F301="",$G301=""),"",IF(AND(Q$5&lt;=$G301,Q$5+6&gt;=$F301),IF($H301="Complétée","F",IF(OR($H301="En cours",$H301="En revue"),"E",IF($H301="Bloquée","B","P"))),""))</f>
        <v/>
      </c>
      <c r="R301" s="53">
        <f>IF(OR($F301="",$G301=""),"",IF(AND(R$5&lt;=$G301,R$5+6&gt;=$F301),IF($H301="Complétée","F",IF(OR($H301="En cours",$H301="En revue"),"E",IF($H301="Bloquée","B","P"))),""))</f>
        <v/>
      </c>
      <c r="S301" s="53">
        <f>IF(OR($F301="",$G301=""),"",IF(AND(S$5&lt;=$G301,S$5+6&gt;=$F301),IF($H301="Complétée","F",IF(OR($H301="En cours",$H301="En revue"),"E",IF($H301="Bloquée","B","P"))),""))</f>
        <v/>
      </c>
      <c r="T301" s="53">
        <f>IF(OR($F301="",$G301=""),"",IF(AND(T$5&lt;=$G301,T$5+6&gt;=$F301),IF($H301="Complétée","F",IF(OR($H301="En cours",$H301="En revue"),"E",IF($H301="Bloquée","B","P"))),""))</f>
        <v/>
      </c>
      <c r="U301" s="53">
        <f>IF(OR($F301="",$G301=""),"",IF(AND(U$5&lt;=$G301,U$5+6&gt;=$F301),IF($H301="Complétée","F",IF(OR($H301="En cours",$H301="En revue"),"E",IF($H301="Bloquée","B","P"))),""))</f>
        <v/>
      </c>
      <c r="V301" s="53">
        <f>IF(OR($F301="",$G301=""),"",IF(AND(V$5&lt;=$G301,V$5+6&gt;=$F301),IF($H301="Complétée","F",IF(OR($H301="En cours",$H301="En revue"),"E",IF($H301="Bloquée","B","P"))),""))</f>
        <v/>
      </c>
      <c r="W301" s="53">
        <f>IF(OR($F301="",$G301=""),"",IF(AND(W$5&lt;=$G301,W$5+6&gt;=$F301),IF($H301="Complétée","F",IF(OR($H301="En cours",$H301="En revue"),"E",IF($H301="Bloquée","B","P"))),""))</f>
        <v/>
      </c>
      <c r="X301" s="53">
        <f>IF(OR($F301="",$G301=""),"",IF(AND(X$5&lt;=$G301,X$5+6&gt;=$F301),IF($H301="Complétée","F",IF(OR($H301="En cours",$H301="En revue"),"E",IF($H301="Bloquée","B","P"))),""))</f>
        <v/>
      </c>
      <c r="Y301" s="53">
        <f>IF(OR($F301="",$G301=""),"",IF(AND(Y$5&lt;=$G301,Y$5+6&gt;=$F301),IF($H301="Complétée","F",IF(OR($H301="En cours",$H301="En revue"),"E",IF($H301="Bloquée","B","P"))),""))</f>
        <v/>
      </c>
      <c r="Z301" s="53">
        <f>IF(OR($F301="",$G301=""),"",IF(AND(Z$5&lt;=$G301,Z$5+6&gt;=$F301),IF($H301="Complétée","F",IF(OR($H301="En cours",$H301="En revue"),"E",IF($H301="Bloquée","B","P"))),""))</f>
        <v/>
      </c>
      <c r="AA301" s="53">
        <f>IF(OR($F301="",$G301=""),"",IF(AND(AA$5&lt;=$G301,AA$5+6&gt;=$F301),IF($H301="Complétée","F",IF(OR($H301="En cours",$H301="En revue"),"E",IF($H301="Bloquée","B","P"))),""))</f>
        <v/>
      </c>
      <c r="AB301" s="53">
        <f>IF(OR($F301="",$G301=""),"",IF(AND(AB$5&lt;=$G301,AB$5+6&gt;=$F301),IF($H301="Complétée","F",IF(OR($H301="En cours",$H301="En revue"),"E",IF($H301="Bloquée","B","P"))),""))</f>
        <v/>
      </c>
      <c r="AC301" s="53">
        <f>IF(OR($F301="",$G301=""),"",IF(AND(AC$5&lt;=$G301,AC$5+6&gt;=$F301),IF($H301="Complétée","F",IF(OR($H301="En cours",$H301="En revue"),"E",IF($H301="Bloquée","B","P"))),""))</f>
        <v/>
      </c>
      <c r="AD301" s="53">
        <f>IF(OR($F301="",$G301=""),"",IF(AND(AD$5&lt;=$G301,AD$5+6&gt;=$F301),IF($H301="Complétée","F",IF(OR($H301="En cours",$H301="En revue"),"E",IF($H301="Bloquée","B","P"))),""))</f>
        <v/>
      </c>
      <c r="AE301" s="53">
        <f>IF(OR($F301="",$G301=""),"",IF(AND(AE$5&lt;=$G301,AE$5+6&gt;=$F301),IF($H301="Complétée","F",IF(OR($H301="En cours",$H301="En revue"),"E",IF($H301="Bloquée","B","P"))),""))</f>
        <v/>
      </c>
      <c r="AF301" s="53">
        <f>IF(OR($F301="",$G301=""),"",IF(AND(AF$5&lt;=$G301,AF$5+6&gt;=$F301),IF($H301="Complétée","F",IF(OR($H301="En cours",$H301="En revue"),"E",IF($H301="Bloquée","B","P"))),""))</f>
        <v/>
      </c>
      <c r="AG301" s="53">
        <f>IF(OR($F301="",$G301=""),"",IF(AND(AG$5&lt;=$G301,AG$5+6&gt;=$F301),IF($H301="Complétée","F",IF(OR($H301="En cours",$H301="En revue"),"E",IF($H301="Bloquée","B","P"))),""))</f>
        <v/>
      </c>
      <c r="AH301" s="53">
        <f>IF(OR($F301="",$G301=""),"",IF(AND(AH$5&lt;=$G301,AH$5+6&gt;=$F301),IF($H301="Complétée","F",IF(OR($H301="En cours",$H301="En revue"),"E",IF($H301="Bloquée","B","P"))),""))</f>
        <v/>
      </c>
      <c r="AI301" s="53">
        <f>IF(OR($F301="",$G301=""),"",IF(AND(AI$5&lt;=$G301,AI$5+6&gt;=$F301),IF($H301="Complétée","F",IF(OR($H301="En cours",$H301="En revue"),"E",IF($H301="Bloquée","B","P"))),""))</f>
        <v/>
      </c>
      <c r="AJ301" s="53">
        <f>IF(OR($F301="",$G301=""),"",IF(AND(AJ$5&lt;=$G301,AJ$5+6&gt;=$F301),IF($H301="Complétée","F",IF(OR($H301="En cours",$H301="En revue"),"E",IF($H301="Bloquée","B","P"))),""))</f>
        <v/>
      </c>
      <c r="AK301" s="53">
        <f>IF(OR($F301="",$G301=""),"",IF(AND(AK$5&lt;=$G301,AK$5+6&gt;=$F301),IF($H301="Complétée","F",IF(OR($H301="En cours",$H301="En revue"),"E",IF($H301="Bloquée","B","P"))),""))</f>
        <v/>
      </c>
      <c r="AL301" s="53">
        <f>IF(OR($F301="",$G301=""),"",IF(AND(AL$5&lt;=$G301,AL$5+6&gt;=$F301),IF($H301="Complétée","F",IF(OR($H301="En cours",$H301="En revue"),"E",IF($H301="Bloquée","B","P"))),""))</f>
        <v/>
      </c>
      <c r="AM301" s="53">
        <f>IF(OR($F301="",$G301=""),"",IF(AND(AM$5&lt;=$G301,AM$5+6&gt;=$F301),IF($H301="Complétée","F",IF(OR($H301="En cours",$H301="En revue"),"E",IF($H301="Bloquée","B","P"))),""))</f>
        <v/>
      </c>
      <c r="AN301" s="53">
        <f>IF(OR($F301="",$G301=""),"",IF(AND(AN$5&lt;=$G301,AN$5+6&gt;=$F301),IF($H301="Complétée","F",IF(OR($H301="En cours",$H301="En revue"),"E",IF($H301="Bloquée","B","P"))),""))</f>
        <v/>
      </c>
      <c r="AO301" s="53">
        <f>IF(OR($F301="",$G301=""),"",IF(AND(AO$5&lt;=$G301,AO$5+6&gt;=$F301),IF($H301="Complétée","F",IF(OR($H301="En cours",$H301="En revue"),"E",IF($H301="Bloquée","B","P"))),""))</f>
        <v/>
      </c>
      <c r="AP301" s="53">
        <f>IF(OR($F301="",$G301=""),"",IF(AND(AP$5&lt;=$G301,AP$5+6&gt;=$F301),IF($H301="Complétée","F",IF(OR($H301="En cours",$H301="En revue"),"E",IF($H301="Bloquée","B","P"))),""))</f>
        <v/>
      </c>
      <c r="AQ301" s="53">
        <f>IF(OR($F301="",$G301=""),"",IF(AND(AQ$5&lt;=$G301,AQ$5+6&gt;=$F301),IF($H301="Complétée","F",IF(OR($H301="En cours",$H301="En revue"),"E",IF($H301="Bloquée","B","P"))),""))</f>
        <v/>
      </c>
      <c r="AR301" s="53">
        <f>IF(OR($F301="",$G301=""),"",IF(AND(AR$5&lt;=$G301,AR$5+6&gt;=$F301),IF($H301="Complétée","F",IF(OR($H301="En cours",$H301="En revue"),"E",IF($H301="Bloquée","B","P"))),""))</f>
        <v/>
      </c>
      <c r="AS301" s="53">
        <f>IF(OR($F301="",$G301=""),"",IF(AND(AS$5&lt;=$G301,AS$5+6&gt;=$F301),IF($H301="Complétée","F",IF(OR($H301="En cours",$H301="En revue"),"E",IF($H301="Bloquée","B","P"))),""))</f>
        <v/>
      </c>
      <c r="AT301" s="53">
        <f>IF(OR($F301="",$G301=""),"",IF(AND(AT$5&lt;=$G301,AT$5+6&gt;=$F301),IF($H301="Complétée","F",IF(OR($H301="En cours",$H301="En revue"),"E",IF($H301="Bloquée","B","P"))),""))</f>
        <v/>
      </c>
      <c r="AU301" s="53">
        <f>IF(OR($F301="",$G301=""),"",IF(AND(AU$5&lt;=$G301,AU$5+6&gt;=$F301),IF($H301="Complétée","F",IF(OR($H301="En cours",$H301="En revue"),"E",IF($H301="Bloquée","B","P"))),""))</f>
        <v/>
      </c>
      <c r="AV301" s="53">
        <f>IF(OR($F301="",$G301=""),"",IF(AND(AV$5&lt;=$G301,AV$5+6&gt;=$F301),IF($H301="Complétée","F",IF(OR($H301="En cours",$H301="En revue"),"E",IF($H301="Bloquée","B","P"))),""))</f>
        <v/>
      </c>
      <c r="AW301" s="53">
        <f>IF(OR($F301="",$G301=""),"",IF(AND(AW$5&lt;=$G301,AW$5+6&gt;=$F301),IF($H301="Complétée","F",IF(OR($H301="En cours",$H301="En revue"),"E",IF($H301="Bloquée","B","P"))),""))</f>
        <v/>
      </c>
    </row>
    <row r="302">
      <c r="B302" s="50">
        <f>IF(Taches!B302="","",Taches!B302)</f>
        <v/>
      </c>
      <c r="C302" s="51">
        <f>IF(Taches!B302="","",Taches!F302)</f>
        <v/>
      </c>
      <c r="D302" s="50">
        <f>IF(Taches!B302="","",Taches!C302)</f>
        <v/>
      </c>
      <c r="E302" s="50">
        <f>IF(Taches!B302="","",Taches!D302)</f>
        <v/>
      </c>
      <c r="F302" s="52">
        <f>IF(Taches!P302="","",Taches!P302)</f>
        <v/>
      </c>
      <c r="G302" s="52">
        <f>IF(Taches!Q302="","",Taches!Q302)</f>
        <v/>
      </c>
      <c r="H302" s="50">
        <f>IF(Taches!B302="","",Taches!J302)</f>
        <v/>
      </c>
      <c r="I302" s="53">
        <f>IF(OR($F302="",$G302=""),"",IF(AND(I$5&lt;=$G302,I$5+6&gt;=$F302),IF($H302="Complétée","F",IF(OR($H302="En cours",$H302="En revue"),"E",IF($H302="Bloquée","B","P"))),""))</f>
        <v/>
      </c>
      <c r="J302" s="53">
        <f>IF(OR($F302="",$G302=""),"",IF(AND(J$5&lt;=$G302,J$5+6&gt;=$F302),IF($H302="Complétée","F",IF(OR($H302="En cours",$H302="En revue"),"E",IF($H302="Bloquée","B","P"))),""))</f>
        <v/>
      </c>
      <c r="K302" s="53">
        <f>IF(OR($F302="",$G302=""),"",IF(AND(K$5&lt;=$G302,K$5+6&gt;=$F302),IF($H302="Complétée","F",IF(OR($H302="En cours",$H302="En revue"),"E",IF($H302="Bloquée","B","P"))),""))</f>
        <v/>
      </c>
      <c r="L302" s="53">
        <f>IF(OR($F302="",$G302=""),"",IF(AND(L$5&lt;=$G302,L$5+6&gt;=$F302),IF($H302="Complétée","F",IF(OR($H302="En cours",$H302="En revue"),"E",IF($H302="Bloquée","B","P"))),""))</f>
        <v/>
      </c>
      <c r="M302" s="53">
        <f>IF(OR($F302="",$G302=""),"",IF(AND(M$5&lt;=$G302,M$5+6&gt;=$F302),IF($H302="Complétée","F",IF(OR($H302="En cours",$H302="En revue"),"E",IF($H302="Bloquée","B","P"))),""))</f>
        <v/>
      </c>
      <c r="N302" s="53">
        <f>IF(OR($F302="",$G302=""),"",IF(AND(N$5&lt;=$G302,N$5+6&gt;=$F302),IF($H302="Complétée","F",IF(OR($H302="En cours",$H302="En revue"),"E",IF($H302="Bloquée","B","P"))),""))</f>
        <v/>
      </c>
      <c r="O302" s="53">
        <f>IF(OR($F302="",$G302=""),"",IF(AND(O$5&lt;=$G302,O$5+6&gt;=$F302),IF($H302="Complétée","F",IF(OR($H302="En cours",$H302="En revue"),"E",IF($H302="Bloquée","B","P"))),""))</f>
        <v/>
      </c>
      <c r="P302" s="53">
        <f>IF(OR($F302="",$G302=""),"",IF(AND(P$5&lt;=$G302,P$5+6&gt;=$F302),IF($H302="Complétée","F",IF(OR($H302="En cours",$H302="En revue"),"E",IF($H302="Bloquée","B","P"))),""))</f>
        <v/>
      </c>
      <c r="Q302" s="53">
        <f>IF(OR($F302="",$G302=""),"",IF(AND(Q$5&lt;=$G302,Q$5+6&gt;=$F302),IF($H302="Complétée","F",IF(OR($H302="En cours",$H302="En revue"),"E",IF($H302="Bloquée","B","P"))),""))</f>
        <v/>
      </c>
      <c r="R302" s="53">
        <f>IF(OR($F302="",$G302=""),"",IF(AND(R$5&lt;=$G302,R$5+6&gt;=$F302),IF($H302="Complétée","F",IF(OR($H302="En cours",$H302="En revue"),"E",IF($H302="Bloquée","B","P"))),""))</f>
        <v/>
      </c>
      <c r="S302" s="53">
        <f>IF(OR($F302="",$G302=""),"",IF(AND(S$5&lt;=$G302,S$5+6&gt;=$F302),IF($H302="Complétée","F",IF(OR($H302="En cours",$H302="En revue"),"E",IF($H302="Bloquée","B","P"))),""))</f>
        <v/>
      </c>
      <c r="T302" s="53">
        <f>IF(OR($F302="",$G302=""),"",IF(AND(T$5&lt;=$G302,T$5+6&gt;=$F302),IF($H302="Complétée","F",IF(OR($H302="En cours",$H302="En revue"),"E",IF($H302="Bloquée","B","P"))),""))</f>
        <v/>
      </c>
      <c r="U302" s="53">
        <f>IF(OR($F302="",$G302=""),"",IF(AND(U$5&lt;=$G302,U$5+6&gt;=$F302),IF($H302="Complétée","F",IF(OR($H302="En cours",$H302="En revue"),"E",IF($H302="Bloquée","B","P"))),""))</f>
        <v/>
      </c>
      <c r="V302" s="53">
        <f>IF(OR($F302="",$G302=""),"",IF(AND(V$5&lt;=$G302,V$5+6&gt;=$F302),IF($H302="Complétée","F",IF(OR($H302="En cours",$H302="En revue"),"E",IF($H302="Bloquée","B","P"))),""))</f>
        <v/>
      </c>
      <c r="W302" s="53">
        <f>IF(OR($F302="",$G302=""),"",IF(AND(W$5&lt;=$G302,W$5+6&gt;=$F302),IF($H302="Complétée","F",IF(OR($H302="En cours",$H302="En revue"),"E",IF($H302="Bloquée","B","P"))),""))</f>
        <v/>
      </c>
      <c r="X302" s="53">
        <f>IF(OR($F302="",$G302=""),"",IF(AND(X$5&lt;=$G302,X$5+6&gt;=$F302),IF($H302="Complétée","F",IF(OR($H302="En cours",$H302="En revue"),"E",IF($H302="Bloquée","B","P"))),""))</f>
        <v/>
      </c>
      <c r="Y302" s="53">
        <f>IF(OR($F302="",$G302=""),"",IF(AND(Y$5&lt;=$G302,Y$5+6&gt;=$F302),IF($H302="Complétée","F",IF(OR($H302="En cours",$H302="En revue"),"E",IF($H302="Bloquée","B","P"))),""))</f>
        <v/>
      </c>
      <c r="Z302" s="53">
        <f>IF(OR($F302="",$G302=""),"",IF(AND(Z$5&lt;=$G302,Z$5+6&gt;=$F302),IF($H302="Complétée","F",IF(OR($H302="En cours",$H302="En revue"),"E",IF($H302="Bloquée","B","P"))),""))</f>
        <v/>
      </c>
      <c r="AA302" s="53">
        <f>IF(OR($F302="",$G302=""),"",IF(AND(AA$5&lt;=$G302,AA$5+6&gt;=$F302),IF($H302="Complétée","F",IF(OR($H302="En cours",$H302="En revue"),"E",IF($H302="Bloquée","B","P"))),""))</f>
        <v/>
      </c>
      <c r="AB302" s="53">
        <f>IF(OR($F302="",$G302=""),"",IF(AND(AB$5&lt;=$G302,AB$5+6&gt;=$F302),IF($H302="Complétée","F",IF(OR($H302="En cours",$H302="En revue"),"E",IF($H302="Bloquée","B","P"))),""))</f>
        <v/>
      </c>
      <c r="AC302" s="53">
        <f>IF(OR($F302="",$G302=""),"",IF(AND(AC$5&lt;=$G302,AC$5+6&gt;=$F302),IF($H302="Complétée","F",IF(OR($H302="En cours",$H302="En revue"),"E",IF($H302="Bloquée","B","P"))),""))</f>
        <v/>
      </c>
      <c r="AD302" s="53">
        <f>IF(OR($F302="",$G302=""),"",IF(AND(AD$5&lt;=$G302,AD$5+6&gt;=$F302),IF($H302="Complétée","F",IF(OR($H302="En cours",$H302="En revue"),"E",IF($H302="Bloquée","B","P"))),""))</f>
        <v/>
      </c>
      <c r="AE302" s="53">
        <f>IF(OR($F302="",$G302=""),"",IF(AND(AE$5&lt;=$G302,AE$5+6&gt;=$F302),IF($H302="Complétée","F",IF(OR($H302="En cours",$H302="En revue"),"E",IF($H302="Bloquée","B","P"))),""))</f>
        <v/>
      </c>
      <c r="AF302" s="53">
        <f>IF(OR($F302="",$G302=""),"",IF(AND(AF$5&lt;=$G302,AF$5+6&gt;=$F302),IF($H302="Complétée","F",IF(OR($H302="En cours",$H302="En revue"),"E",IF($H302="Bloquée","B","P"))),""))</f>
        <v/>
      </c>
      <c r="AG302" s="53">
        <f>IF(OR($F302="",$G302=""),"",IF(AND(AG$5&lt;=$G302,AG$5+6&gt;=$F302),IF($H302="Complétée","F",IF(OR($H302="En cours",$H302="En revue"),"E",IF($H302="Bloquée","B","P"))),""))</f>
        <v/>
      </c>
      <c r="AH302" s="53">
        <f>IF(OR($F302="",$G302=""),"",IF(AND(AH$5&lt;=$G302,AH$5+6&gt;=$F302),IF($H302="Complétée","F",IF(OR($H302="En cours",$H302="En revue"),"E",IF($H302="Bloquée","B","P"))),""))</f>
        <v/>
      </c>
      <c r="AI302" s="53">
        <f>IF(OR($F302="",$G302=""),"",IF(AND(AI$5&lt;=$G302,AI$5+6&gt;=$F302),IF($H302="Complétée","F",IF(OR($H302="En cours",$H302="En revue"),"E",IF($H302="Bloquée","B","P"))),""))</f>
        <v/>
      </c>
      <c r="AJ302" s="53">
        <f>IF(OR($F302="",$G302=""),"",IF(AND(AJ$5&lt;=$G302,AJ$5+6&gt;=$F302),IF($H302="Complétée","F",IF(OR($H302="En cours",$H302="En revue"),"E",IF($H302="Bloquée","B","P"))),""))</f>
        <v/>
      </c>
      <c r="AK302" s="53">
        <f>IF(OR($F302="",$G302=""),"",IF(AND(AK$5&lt;=$G302,AK$5+6&gt;=$F302),IF($H302="Complétée","F",IF(OR($H302="En cours",$H302="En revue"),"E",IF($H302="Bloquée","B","P"))),""))</f>
        <v/>
      </c>
      <c r="AL302" s="53">
        <f>IF(OR($F302="",$G302=""),"",IF(AND(AL$5&lt;=$G302,AL$5+6&gt;=$F302),IF($H302="Complétée","F",IF(OR($H302="En cours",$H302="En revue"),"E",IF($H302="Bloquée","B","P"))),""))</f>
        <v/>
      </c>
      <c r="AM302" s="53">
        <f>IF(OR($F302="",$G302=""),"",IF(AND(AM$5&lt;=$G302,AM$5+6&gt;=$F302),IF($H302="Complétée","F",IF(OR($H302="En cours",$H302="En revue"),"E",IF($H302="Bloquée","B","P"))),""))</f>
        <v/>
      </c>
      <c r="AN302" s="53">
        <f>IF(OR($F302="",$G302=""),"",IF(AND(AN$5&lt;=$G302,AN$5+6&gt;=$F302),IF($H302="Complétée","F",IF(OR($H302="En cours",$H302="En revue"),"E",IF($H302="Bloquée","B","P"))),""))</f>
        <v/>
      </c>
      <c r="AO302" s="53">
        <f>IF(OR($F302="",$G302=""),"",IF(AND(AO$5&lt;=$G302,AO$5+6&gt;=$F302),IF($H302="Complétée","F",IF(OR($H302="En cours",$H302="En revue"),"E",IF($H302="Bloquée","B","P"))),""))</f>
        <v/>
      </c>
      <c r="AP302" s="53">
        <f>IF(OR($F302="",$G302=""),"",IF(AND(AP$5&lt;=$G302,AP$5+6&gt;=$F302),IF($H302="Complétée","F",IF(OR($H302="En cours",$H302="En revue"),"E",IF($H302="Bloquée","B","P"))),""))</f>
        <v/>
      </c>
      <c r="AQ302" s="53">
        <f>IF(OR($F302="",$G302=""),"",IF(AND(AQ$5&lt;=$G302,AQ$5+6&gt;=$F302),IF($H302="Complétée","F",IF(OR($H302="En cours",$H302="En revue"),"E",IF($H302="Bloquée","B","P"))),""))</f>
        <v/>
      </c>
      <c r="AR302" s="53">
        <f>IF(OR($F302="",$G302=""),"",IF(AND(AR$5&lt;=$G302,AR$5+6&gt;=$F302),IF($H302="Complétée","F",IF(OR($H302="En cours",$H302="En revue"),"E",IF($H302="Bloquée","B","P"))),""))</f>
        <v/>
      </c>
      <c r="AS302" s="53">
        <f>IF(OR($F302="",$G302=""),"",IF(AND(AS$5&lt;=$G302,AS$5+6&gt;=$F302),IF($H302="Complétée","F",IF(OR($H302="En cours",$H302="En revue"),"E",IF($H302="Bloquée","B","P"))),""))</f>
        <v/>
      </c>
      <c r="AT302" s="53">
        <f>IF(OR($F302="",$G302=""),"",IF(AND(AT$5&lt;=$G302,AT$5+6&gt;=$F302),IF($H302="Complétée","F",IF(OR($H302="En cours",$H302="En revue"),"E",IF($H302="Bloquée","B","P"))),""))</f>
        <v/>
      </c>
      <c r="AU302" s="53">
        <f>IF(OR($F302="",$G302=""),"",IF(AND(AU$5&lt;=$G302,AU$5+6&gt;=$F302),IF($H302="Complétée","F",IF(OR($H302="En cours",$H302="En revue"),"E",IF($H302="Bloquée","B","P"))),""))</f>
        <v/>
      </c>
      <c r="AV302" s="53">
        <f>IF(OR($F302="",$G302=""),"",IF(AND(AV$5&lt;=$G302,AV$5+6&gt;=$F302),IF($H302="Complétée","F",IF(OR($H302="En cours",$H302="En revue"),"E",IF($H302="Bloquée","B","P"))),""))</f>
        <v/>
      </c>
      <c r="AW302" s="53">
        <f>IF(OR($F302="",$G302=""),"",IF(AND(AW$5&lt;=$G302,AW$5+6&gt;=$F302),IF($H302="Complétée","F",IF(OR($H302="En cours",$H302="En revue"),"E",IF($H302="Bloquée","B","P"))),""))</f>
        <v/>
      </c>
    </row>
    <row r="303">
      <c r="B303" s="50">
        <f>IF(Taches!B303="","",Taches!B303)</f>
        <v/>
      </c>
      <c r="C303" s="51">
        <f>IF(Taches!B303="","",Taches!F303)</f>
        <v/>
      </c>
      <c r="D303" s="50">
        <f>IF(Taches!B303="","",Taches!C303)</f>
        <v/>
      </c>
      <c r="E303" s="50">
        <f>IF(Taches!B303="","",Taches!D303)</f>
        <v/>
      </c>
      <c r="F303" s="52">
        <f>IF(Taches!P303="","",Taches!P303)</f>
        <v/>
      </c>
      <c r="G303" s="52">
        <f>IF(Taches!Q303="","",Taches!Q303)</f>
        <v/>
      </c>
      <c r="H303" s="50">
        <f>IF(Taches!B303="","",Taches!J303)</f>
        <v/>
      </c>
      <c r="I303" s="53">
        <f>IF(OR($F303="",$G303=""),"",IF(AND(I$5&lt;=$G303,I$5+6&gt;=$F303),IF($H303="Complétée","F",IF(OR($H303="En cours",$H303="En revue"),"E",IF($H303="Bloquée","B","P"))),""))</f>
        <v/>
      </c>
      <c r="J303" s="53">
        <f>IF(OR($F303="",$G303=""),"",IF(AND(J$5&lt;=$G303,J$5+6&gt;=$F303),IF($H303="Complétée","F",IF(OR($H303="En cours",$H303="En revue"),"E",IF($H303="Bloquée","B","P"))),""))</f>
        <v/>
      </c>
      <c r="K303" s="53">
        <f>IF(OR($F303="",$G303=""),"",IF(AND(K$5&lt;=$G303,K$5+6&gt;=$F303),IF($H303="Complétée","F",IF(OR($H303="En cours",$H303="En revue"),"E",IF($H303="Bloquée","B","P"))),""))</f>
        <v/>
      </c>
      <c r="L303" s="53">
        <f>IF(OR($F303="",$G303=""),"",IF(AND(L$5&lt;=$G303,L$5+6&gt;=$F303),IF($H303="Complétée","F",IF(OR($H303="En cours",$H303="En revue"),"E",IF($H303="Bloquée","B","P"))),""))</f>
        <v/>
      </c>
      <c r="M303" s="53">
        <f>IF(OR($F303="",$G303=""),"",IF(AND(M$5&lt;=$G303,M$5+6&gt;=$F303),IF($H303="Complétée","F",IF(OR($H303="En cours",$H303="En revue"),"E",IF($H303="Bloquée","B","P"))),""))</f>
        <v/>
      </c>
      <c r="N303" s="53">
        <f>IF(OR($F303="",$G303=""),"",IF(AND(N$5&lt;=$G303,N$5+6&gt;=$F303),IF($H303="Complétée","F",IF(OR($H303="En cours",$H303="En revue"),"E",IF($H303="Bloquée","B","P"))),""))</f>
        <v/>
      </c>
      <c r="O303" s="53">
        <f>IF(OR($F303="",$G303=""),"",IF(AND(O$5&lt;=$G303,O$5+6&gt;=$F303),IF($H303="Complétée","F",IF(OR($H303="En cours",$H303="En revue"),"E",IF($H303="Bloquée","B","P"))),""))</f>
        <v/>
      </c>
      <c r="P303" s="53">
        <f>IF(OR($F303="",$G303=""),"",IF(AND(P$5&lt;=$G303,P$5+6&gt;=$F303),IF($H303="Complétée","F",IF(OR($H303="En cours",$H303="En revue"),"E",IF($H303="Bloquée","B","P"))),""))</f>
        <v/>
      </c>
      <c r="Q303" s="53">
        <f>IF(OR($F303="",$G303=""),"",IF(AND(Q$5&lt;=$G303,Q$5+6&gt;=$F303),IF($H303="Complétée","F",IF(OR($H303="En cours",$H303="En revue"),"E",IF($H303="Bloquée","B","P"))),""))</f>
        <v/>
      </c>
      <c r="R303" s="53">
        <f>IF(OR($F303="",$G303=""),"",IF(AND(R$5&lt;=$G303,R$5+6&gt;=$F303),IF($H303="Complétée","F",IF(OR($H303="En cours",$H303="En revue"),"E",IF($H303="Bloquée","B","P"))),""))</f>
        <v/>
      </c>
      <c r="S303" s="53">
        <f>IF(OR($F303="",$G303=""),"",IF(AND(S$5&lt;=$G303,S$5+6&gt;=$F303),IF($H303="Complétée","F",IF(OR($H303="En cours",$H303="En revue"),"E",IF($H303="Bloquée","B","P"))),""))</f>
        <v/>
      </c>
      <c r="T303" s="53">
        <f>IF(OR($F303="",$G303=""),"",IF(AND(T$5&lt;=$G303,T$5+6&gt;=$F303),IF($H303="Complétée","F",IF(OR($H303="En cours",$H303="En revue"),"E",IF($H303="Bloquée","B","P"))),""))</f>
        <v/>
      </c>
      <c r="U303" s="53">
        <f>IF(OR($F303="",$G303=""),"",IF(AND(U$5&lt;=$G303,U$5+6&gt;=$F303),IF($H303="Complétée","F",IF(OR($H303="En cours",$H303="En revue"),"E",IF($H303="Bloquée","B","P"))),""))</f>
        <v/>
      </c>
      <c r="V303" s="53">
        <f>IF(OR($F303="",$G303=""),"",IF(AND(V$5&lt;=$G303,V$5+6&gt;=$F303),IF($H303="Complétée","F",IF(OR($H303="En cours",$H303="En revue"),"E",IF($H303="Bloquée","B","P"))),""))</f>
        <v/>
      </c>
      <c r="W303" s="53">
        <f>IF(OR($F303="",$G303=""),"",IF(AND(W$5&lt;=$G303,W$5+6&gt;=$F303),IF($H303="Complétée","F",IF(OR($H303="En cours",$H303="En revue"),"E",IF($H303="Bloquée","B","P"))),""))</f>
        <v/>
      </c>
      <c r="X303" s="53">
        <f>IF(OR($F303="",$G303=""),"",IF(AND(X$5&lt;=$G303,X$5+6&gt;=$F303),IF($H303="Complétée","F",IF(OR($H303="En cours",$H303="En revue"),"E",IF($H303="Bloquée","B","P"))),""))</f>
        <v/>
      </c>
      <c r="Y303" s="53">
        <f>IF(OR($F303="",$G303=""),"",IF(AND(Y$5&lt;=$G303,Y$5+6&gt;=$F303),IF($H303="Complétée","F",IF(OR($H303="En cours",$H303="En revue"),"E",IF($H303="Bloquée","B","P"))),""))</f>
        <v/>
      </c>
      <c r="Z303" s="53">
        <f>IF(OR($F303="",$G303=""),"",IF(AND(Z$5&lt;=$G303,Z$5+6&gt;=$F303),IF($H303="Complétée","F",IF(OR($H303="En cours",$H303="En revue"),"E",IF($H303="Bloquée","B","P"))),""))</f>
        <v/>
      </c>
      <c r="AA303" s="53">
        <f>IF(OR($F303="",$G303=""),"",IF(AND(AA$5&lt;=$G303,AA$5+6&gt;=$F303),IF($H303="Complétée","F",IF(OR($H303="En cours",$H303="En revue"),"E",IF($H303="Bloquée","B","P"))),""))</f>
        <v/>
      </c>
      <c r="AB303" s="53">
        <f>IF(OR($F303="",$G303=""),"",IF(AND(AB$5&lt;=$G303,AB$5+6&gt;=$F303),IF($H303="Complétée","F",IF(OR($H303="En cours",$H303="En revue"),"E",IF($H303="Bloquée","B","P"))),""))</f>
        <v/>
      </c>
      <c r="AC303" s="53">
        <f>IF(OR($F303="",$G303=""),"",IF(AND(AC$5&lt;=$G303,AC$5+6&gt;=$F303),IF($H303="Complétée","F",IF(OR($H303="En cours",$H303="En revue"),"E",IF($H303="Bloquée","B","P"))),""))</f>
        <v/>
      </c>
      <c r="AD303" s="53">
        <f>IF(OR($F303="",$G303=""),"",IF(AND(AD$5&lt;=$G303,AD$5+6&gt;=$F303),IF($H303="Complétée","F",IF(OR($H303="En cours",$H303="En revue"),"E",IF($H303="Bloquée","B","P"))),""))</f>
        <v/>
      </c>
      <c r="AE303" s="53">
        <f>IF(OR($F303="",$G303=""),"",IF(AND(AE$5&lt;=$G303,AE$5+6&gt;=$F303),IF($H303="Complétée","F",IF(OR($H303="En cours",$H303="En revue"),"E",IF($H303="Bloquée","B","P"))),""))</f>
        <v/>
      </c>
      <c r="AF303" s="53">
        <f>IF(OR($F303="",$G303=""),"",IF(AND(AF$5&lt;=$G303,AF$5+6&gt;=$F303),IF($H303="Complétée","F",IF(OR($H303="En cours",$H303="En revue"),"E",IF($H303="Bloquée","B","P"))),""))</f>
        <v/>
      </c>
      <c r="AG303" s="53">
        <f>IF(OR($F303="",$G303=""),"",IF(AND(AG$5&lt;=$G303,AG$5+6&gt;=$F303),IF($H303="Complétée","F",IF(OR($H303="En cours",$H303="En revue"),"E",IF($H303="Bloquée","B","P"))),""))</f>
        <v/>
      </c>
      <c r="AH303" s="53">
        <f>IF(OR($F303="",$G303=""),"",IF(AND(AH$5&lt;=$G303,AH$5+6&gt;=$F303),IF($H303="Complétée","F",IF(OR($H303="En cours",$H303="En revue"),"E",IF($H303="Bloquée","B","P"))),""))</f>
        <v/>
      </c>
      <c r="AI303" s="53">
        <f>IF(OR($F303="",$G303=""),"",IF(AND(AI$5&lt;=$G303,AI$5+6&gt;=$F303),IF($H303="Complétée","F",IF(OR($H303="En cours",$H303="En revue"),"E",IF($H303="Bloquée","B","P"))),""))</f>
        <v/>
      </c>
      <c r="AJ303" s="53">
        <f>IF(OR($F303="",$G303=""),"",IF(AND(AJ$5&lt;=$G303,AJ$5+6&gt;=$F303),IF($H303="Complétée","F",IF(OR($H303="En cours",$H303="En revue"),"E",IF($H303="Bloquée","B","P"))),""))</f>
        <v/>
      </c>
      <c r="AK303" s="53">
        <f>IF(OR($F303="",$G303=""),"",IF(AND(AK$5&lt;=$G303,AK$5+6&gt;=$F303),IF($H303="Complétée","F",IF(OR($H303="En cours",$H303="En revue"),"E",IF($H303="Bloquée","B","P"))),""))</f>
        <v/>
      </c>
      <c r="AL303" s="53">
        <f>IF(OR($F303="",$G303=""),"",IF(AND(AL$5&lt;=$G303,AL$5+6&gt;=$F303),IF($H303="Complétée","F",IF(OR($H303="En cours",$H303="En revue"),"E",IF($H303="Bloquée","B","P"))),""))</f>
        <v/>
      </c>
      <c r="AM303" s="53">
        <f>IF(OR($F303="",$G303=""),"",IF(AND(AM$5&lt;=$G303,AM$5+6&gt;=$F303),IF($H303="Complétée","F",IF(OR($H303="En cours",$H303="En revue"),"E",IF($H303="Bloquée","B","P"))),""))</f>
        <v/>
      </c>
      <c r="AN303" s="53">
        <f>IF(OR($F303="",$G303=""),"",IF(AND(AN$5&lt;=$G303,AN$5+6&gt;=$F303),IF($H303="Complétée","F",IF(OR($H303="En cours",$H303="En revue"),"E",IF($H303="Bloquée","B","P"))),""))</f>
        <v/>
      </c>
      <c r="AO303" s="53">
        <f>IF(OR($F303="",$G303=""),"",IF(AND(AO$5&lt;=$G303,AO$5+6&gt;=$F303),IF($H303="Complétée","F",IF(OR($H303="En cours",$H303="En revue"),"E",IF($H303="Bloquée","B","P"))),""))</f>
        <v/>
      </c>
      <c r="AP303" s="53">
        <f>IF(OR($F303="",$G303=""),"",IF(AND(AP$5&lt;=$G303,AP$5+6&gt;=$F303),IF($H303="Complétée","F",IF(OR($H303="En cours",$H303="En revue"),"E",IF($H303="Bloquée","B","P"))),""))</f>
        <v/>
      </c>
      <c r="AQ303" s="53">
        <f>IF(OR($F303="",$G303=""),"",IF(AND(AQ$5&lt;=$G303,AQ$5+6&gt;=$F303),IF($H303="Complétée","F",IF(OR($H303="En cours",$H303="En revue"),"E",IF($H303="Bloquée","B","P"))),""))</f>
        <v/>
      </c>
      <c r="AR303" s="53">
        <f>IF(OR($F303="",$G303=""),"",IF(AND(AR$5&lt;=$G303,AR$5+6&gt;=$F303),IF($H303="Complétée","F",IF(OR($H303="En cours",$H303="En revue"),"E",IF($H303="Bloquée","B","P"))),""))</f>
        <v/>
      </c>
      <c r="AS303" s="53">
        <f>IF(OR($F303="",$G303=""),"",IF(AND(AS$5&lt;=$G303,AS$5+6&gt;=$F303),IF($H303="Complétée","F",IF(OR($H303="En cours",$H303="En revue"),"E",IF($H303="Bloquée","B","P"))),""))</f>
        <v/>
      </c>
      <c r="AT303" s="53">
        <f>IF(OR($F303="",$G303=""),"",IF(AND(AT$5&lt;=$G303,AT$5+6&gt;=$F303),IF($H303="Complétée","F",IF(OR($H303="En cours",$H303="En revue"),"E",IF($H303="Bloquée","B","P"))),""))</f>
        <v/>
      </c>
      <c r="AU303" s="53">
        <f>IF(OR($F303="",$G303=""),"",IF(AND(AU$5&lt;=$G303,AU$5+6&gt;=$F303),IF($H303="Complétée","F",IF(OR($H303="En cours",$H303="En revue"),"E",IF($H303="Bloquée","B","P"))),""))</f>
        <v/>
      </c>
      <c r="AV303" s="53">
        <f>IF(OR($F303="",$G303=""),"",IF(AND(AV$5&lt;=$G303,AV$5+6&gt;=$F303),IF($H303="Complétée","F",IF(OR($H303="En cours",$H303="En revue"),"E",IF($H303="Bloquée","B","P"))),""))</f>
        <v/>
      </c>
      <c r="AW303" s="53">
        <f>IF(OR($F303="",$G303=""),"",IF(AND(AW$5&lt;=$G303,AW$5+6&gt;=$F303),IF($H303="Complétée","F",IF(OR($H303="En cours",$H303="En revue"),"E",IF($H303="Bloquée","B","P"))),""))</f>
        <v/>
      </c>
    </row>
    <row r="304">
      <c r="B304" s="50">
        <f>IF(Taches!B304="","",Taches!B304)</f>
        <v/>
      </c>
      <c r="C304" s="51">
        <f>IF(Taches!B304="","",Taches!F304)</f>
        <v/>
      </c>
      <c r="D304" s="50">
        <f>IF(Taches!B304="","",Taches!C304)</f>
        <v/>
      </c>
      <c r="E304" s="50">
        <f>IF(Taches!B304="","",Taches!D304)</f>
        <v/>
      </c>
      <c r="F304" s="52">
        <f>IF(Taches!P304="","",Taches!P304)</f>
        <v/>
      </c>
      <c r="G304" s="52">
        <f>IF(Taches!Q304="","",Taches!Q304)</f>
        <v/>
      </c>
      <c r="H304" s="50">
        <f>IF(Taches!B304="","",Taches!J304)</f>
        <v/>
      </c>
      <c r="I304" s="53">
        <f>IF(OR($F304="",$G304=""),"",IF(AND(I$5&lt;=$G304,I$5+6&gt;=$F304),IF($H304="Complétée","F",IF(OR($H304="En cours",$H304="En revue"),"E",IF($H304="Bloquée","B","P"))),""))</f>
        <v/>
      </c>
      <c r="J304" s="53">
        <f>IF(OR($F304="",$G304=""),"",IF(AND(J$5&lt;=$G304,J$5+6&gt;=$F304),IF($H304="Complétée","F",IF(OR($H304="En cours",$H304="En revue"),"E",IF($H304="Bloquée","B","P"))),""))</f>
        <v/>
      </c>
      <c r="K304" s="53">
        <f>IF(OR($F304="",$G304=""),"",IF(AND(K$5&lt;=$G304,K$5+6&gt;=$F304),IF($H304="Complétée","F",IF(OR($H304="En cours",$H304="En revue"),"E",IF($H304="Bloquée","B","P"))),""))</f>
        <v/>
      </c>
      <c r="L304" s="53">
        <f>IF(OR($F304="",$G304=""),"",IF(AND(L$5&lt;=$G304,L$5+6&gt;=$F304),IF($H304="Complétée","F",IF(OR($H304="En cours",$H304="En revue"),"E",IF($H304="Bloquée","B","P"))),""))</f>
        <v/>
      </c>
      <c r="M304" s="53">
        <f>IF(OR($F304="",$G304=""),"",IF(AND(M$5&lt;=$G304,M$5+6&gt;=$F304),IF($H304="Complétée","F",IF(OR($H304="En cours",$H304="En revue"),"E",IF($H304="Bloquée","B","P"))),""))</f>
        <v/>
      </c>
      <c r="N304" s="53">
        <f>IF(OR($F304="",$G304=""),"",IF(AND(N$5&lt;=$G304,N$5+6&gt;=$F304),IF($H304="Complétée","F",IF(OR($H304="En cours",$H304="En revue"),"E",IF($H304="Bloquée","B","P"))),""))</f>
        <v/>
      </c>
      <c r="O304" s="53">
        <f>IF(OR($F304="",$G304=""),"",IF(AND(O$5&lt;=$G304,O$5+6&gt;=$F304),IF($H304="Complétée","F",IF(OR($H304="En cours",$H304="En revue"),"E",IF($H304="Bloquée","B","P"))),""))</f>
        <v/>
      </c>
      <c r="P304" s="53">
        <f>IF(OR($F304="",$G304=""),"",IF(AND(P$5&lt;=$G304,P$5+6&gt;=$F304),IF($H304="Complétée","F",IF(OR($H304="En cours",$H304="En revue"),"E",IF($H304="Bloquée","B","P"))),""))</f>
        <v/>
      </c>
      <c r="Q304" s="53">
        <f>IF(OR($F304="",$G304=""),"",IF(AND(Q$5&lt;=$G304,Q$5+6&gt;=$F304),IF($H304="Complétée","F",IF(OR($H304="En cours",$H304="En revue"),"E",IF($H304="Bloquée","B","P"))),""))</f>
        <v/>
      </c>
      <c r="R304" s="53">
        <f>IF(OR($F304="",$G304=""),"",IF(AND(R$5&lt;=$G304,R$5+6&gt;=$F304),IF($H304="Complétée","F",IF(OR($H304="En cours",$H304="En revue"),"E",IF($H304="Bloquée","B","P"))),""))</f>
        <v/>
      </c>
      <c r="S304" s="53">
        <f>IF(OR($F304="",$G304=""),"",IF(AND(S$5&lt;=$G304,S$5+6&gt;=$F304),IF($H304="Complétée","F",IF(OR($H304="En cours",$H304="En revue"),"E",IF($H304="Bloquée","B","P"))),""))</f>
        <v/>
      </c>
      <c r="T304" s="53">
        <f>IF(OR($F304="",$G304=""),"",IF(AND(T$5&lt;=$G304,T$5+6&gt;=$F304),IF($H304="Complétée","F",IF(OR($H304="En cours",$H304="En revue"),"E",IF($H304="Bloquée","B","P"))),""))</f>
        <v/>
      </c>
      <c r="U304" s="53">
        <f>IF(OR($F304="",$G304=""),"",IF(AND(U$5&lt;=$G304,U$5+6&gt;=$F304),IF($H304="Complétée","F",IF(OR($H304="En cours",$H304="En revue"),"E",IF($H304="Bloquée","B","P"))),""))</f>
        <v/>
      </c>
      <c r="V304" s="53">
        <f>IF(OR($F304="",$G304=""),"",IF(AND(V$5&lt;=$G304,V$5+6&gt;=$F304),IF($H304="Complétée","F",IF(OR($H304="En cours",$H304="En revue"),"E",IF($H304="Bloquée","B","P"))),""))</f>
        <v/>
      </c>
      <c r="W304" s="53">
        <f>IF(OR($F304="",$G304=""),"",IF(AND(W$5&lt;=$G304,W$5+6&gt;=$F304),IF($H304="Complétée","F",IF(OR($H304="En cours",$H304="En revue"),"E",IF($H304="Bloquée","B","P"))),""))</f>
        <v/>
      </c>
      <c r="X304" s="53">
        <f>IF(OR($F304="",$G304=""),"",IF(AND(X$5&lt;=$G304,X$5+6&gt;=$F304),IF($H304="Complétée","F",IF(OR($H304="En cours",$H304="En revue"),"E",IF($H304="Bloquée","B","P"))),""))</f>
        <v/>
      </c>
      <c r="Y304" s="53">
        <f>IF(OR($F304="",$G304=""),"",IF(AND(Y$5&lt;=$G304,Y$5+6&gt;=$F304),IF($H304="Complétée","F",IF(OR($H304="En cours",$H304="En revue"),"E",IF($H304="Bloquée","B","P"))),""))</f>
        <v/>
      </c>
      <c r="Z304" s="53">
        <f>IF(OR($F304="",$G304=""),"",IF(AND(Z$5&lt;=$G304,Z$5+6&gt;=$F304),IF($H304="Complétée","F",IF(OR($H304="En cours",$H304="En revue"),"E",IF($H304="Bloquée","B","P"))),""))</f>
        <v/>
      </c>
      <c r="AA304" s="53">
        <f>IF(OR($F304="",$G304=""),"",IF(AND(AA$5&lt;=$G304,AA$5+6&gt;=$F304),IF($H304="Complétée","F",IF(OR($H304="En cours",$H304="En revue"),"E",IF($H304="Bloquée","B","P"))),""))</f>
        <v/>
      </c>
      <c r="AB304" s="53">
        <f>IF(OR($F304="",$G304=""),"",IF(AND(AB$5&lt;=$G304,AB$5+6&gt;=$F304),IF($H304="Complétée","F",IF(OR($H304="En cours",$H304="En revue"),"E",IF($H304="Bloquée","B","P"))),""))</f>
        <v/>
      </c>
      <c r="AC304" s="53">
        <f>IF(OR($F304="",$G304=""),"",IF(AND(AC$5&lt;=$G304,AC$5+6&gt;=$F304),IF($H304="Complétée","F",IF(OR($H304="En cours",$H304="En revue"),"E",IF($H304="Bloquée","B","P"))),""))</f>
        <v/>
      </c>
      <c r="AD304" s="53">
        <f>IF(OR($F304="",$G304=""),"",IF(AND(AD$5&lt;=$G304,AD$5+6&gt;=$F304),IF($H304="Complétée","F",IF(OR($H304="En cours",$H304="En revue"),"E",IF($H304="Bloquée","B","P"))),""))</f>
        <v/>
      </c>
      <c r="AE304" s="53">
        <f>IF(OR($F304="",$G304=""),"",IF(AND(AE$5&lt;=$G304,AE$5+6&gt;=$F304),IF($H304="Complétée","F",IF(OR($H304="En cours",$H304="En revue"),"E",IF($H304="Bloquée","B","P"))),""))</f>
        <v/>
      </c>
      <c r="AF304" s="53">
        <f>IF(OR($F304="",$G304=""),"",IF(AND(AF$5&lt;=$G304,AF$5+6&gt;=$F304),IF($H304="Complétée","F",IF(OR($H304="En cours",$H304="En revue"),"E",IF($H304="Bloquée","B","P"))),""))</f>
        <v/>
      </c>
      <c r="AG304" s="53">
        <f>IF(OR($F304="",$G304=""),"",IF(AND(AG$5&lt;=$G304,AG$5+6&gt;=$F304),IF($H304="Complétée","F",IF(OR($H304="En cours",$H304="En revue"),"E",IF($H304="Bloquée","B","P"))),""))</f>
        <v/>
      </c>
      <c r="AH304" s="53">
        <f>IF(OR($F304="",$G304=""),"",IF(AND(AH$5&lt;=$G304,AH$5+6&gt;=$F304),IF($H304="Complétée","F",IF(OR($H304="En cours",$H304="En revue"),"E",IF($H304="Bloquée","B","P"))),""))</f>
        <v/>
      </c>
      <c r="AI304" s="53">
        <f>IF(OR($F304="",$G304=""),"",IF(AND(AI$5&lt;=$G304,AI$5+6&gt;=$F304),IF($H304="Complétée","F",IF(OR($H304="En cours",$H304="En revue"),"E",IF($H304="Bloquée","B","P"))),""))</f>
        <v/>
      </c>
      <c r="AJ304" s="53">
        <f>IF(OR($F304="",$G304=""),"",IF(AND(AJ$5&lt;=$G304,AJ$5+6&gt;=$F304),IF($H304="Complétée","F",IF(OR($H304="En cours",$H304="En revue"),"E",IF($H304="Bloquée","B","P"))),""))</f>
        <v/>
      </c>
      <c r="AK304" s="53">
        <f>IF(OR($F304="",$G304=""),"",IF(AND(AK$5&lt;=$G304,AK$5+6&gt;=$F304),IF($H304="Complétée","F",IF(OR($H304="En cours",$H304="En revue"),"E",IF($H304="Bloquée","B","P"))),""))</f>
        <v/>
      </c>
      <c r="AL304" s="53">
        <f>IF(OR($F304="",$G304=""),"",IF(AND(AL$5&lt;=$G304,AL$5+6&gt;=$F304),IF($H304="Complétée","F",IF(OR($H304="En cours",$H304="En revue"),"E",IF($H304="Bloquée","B","P"))),""))</f>
        <v/>
      </c>
      <c r="AM304" s="53">
        <f>IF(OR($F304="",$G304=""),"",IF(AND(AM$5&lt;=$G304,AM$5+6&gt;=$F304),IF($H304="Complétée","F",IF(OR($H304="En cours",$H304="En revue"),"E",IF($H304="Bloquée","B","P"))),""))</f>
        <v/>
      </c>
      <c r="AN304" s="53">
        <f>IF(OR($F304="",$G304=""),"",IF(AND(AN$5&lt;=$G304,AN$5+6&gt;=$F304),IF($H304="Complétée","F",IF(OR($H304="En cours",$H304="En revue"),"E",IF($H304="Bloquée","B","P"))),""))</f>
        <v/>
      </c>
      <c r="AO304" s="53">
        <f>IF(OR($F304="",$G304=""),"",IF(AND(AO$5&lt;=$G304,AO$5+6&gt;=$F304),IF($H304="Complétée","F",IF(OR($H304="En cours",$H304="En revue"),"E",IF($H304="Bloquée","B","P"))),""))</f>
        <v/>
      </c>
      <c r="AP304" s="53">
        <f>IF(OR($F304="",$G304=""),"",IF(AND(AP$5&lt;=$G304,AP$5+6&gt;=$F304),IF($H304="Complétée","F",IF(OR($H304="En cours",$H304="En revue"),"E",IF($H304="Bloquée","B","P"))),""))</f>
        <v/>
      </c>
      <c r="AQ304" s="53">
        <f>IF(OR($F304="",$G304=""),"",IF(AND(AQ$5&lt;=$G304,AQ$5+6&gt;=$F304),IF($H304="Complétée","F",IF(OR($H304="En cours",$H304="En revue"),"E",IF($H304="Bloquée","B","P"))),""))</f>
        <v/>
      </c>
      <c r="AR304" s="53">
        <f>IF(OR($F304="",$G304=""),"",IF(AND(AR$5&lt;=$G304,AR$5+6&gt;=$F304),IF($H304="Complétée","F",IF(OR($H304="En cours",$H304="En revue"),"E",IF($H304="Bloquée","B","P"))),""))</f>
        <v/>
      </c>
      <c r="AS304" s="53">
        <f>IF(OR($F304="",$G304=""),"",IF(AND(AS$5&lt;=$G304,AS$5+6&gt;=$F304),IF($H304="Complétée","F",IF(OR($H304="En cours",$H304="En revue"),"E",IF($H304="Bloquée","B","P"))),""))</f>
        <v/>
      </c>
      <c r="AT304" s="53">
        <f>IF(OR($F304="",$G304=""),"",IF(AND(AT$5&lt;=$G304,AT$5+6&gt;=$F304),IF($H304="Complétée","F",IF(OR($H304="En cours",$H304="En revue"),"E",IF($H304="Bloquée","B","P"))),""))</f>
        <v/>
      </c>
      <c r="AU304" s="53">
        <f>IF(OR($F304="",$G304=""),"",IF(AND(AU$5&lt;=$G304,AU$5+6&gt;=$F304),IF($H304="Complétée","F",IF(OR($H304="En cours",$H304="En revue"),"E",IF($H304="Bloquée","B","P"))),""))</f>
        <v/>
      </c>
      <c r="AV304" s="53">
        <f>IF(OR($F304="",$G304=""),"",IF(AND(AV$5&lt;=$G304,AV$5+6&gt;=$F304),IF($H304="Complétée","F",IF(OR($H304="En cours",$H304="En revue"),"E",IF($H304="Bloquée","B","P"))),""))</f>
        <v/>
      </c>
      <c r="AW304" s="53">
        <f>IF(OR($F304="",$G304=""),"",IF(AND(AW$5&lt;=$G304,AW$5+6&gt;=$F304),IF($H304="Complétée","F",IF(OR($H304="En cours",$H304="En revue"),"E",IF($H304="Bloquée","B","P"))),""))</f>
        <v/>
      </c>
    </row>
    <row r="305">
      <c r="B305" s="50">
        <f>IF(Taches!B305="","",Taches!B305)</f>
        <v/>
      </c>
      <c r="C305" s="51">
        <f>IF(Taches!B305="","",Taches!F305)</f>
        <v/>
      </c>
      <c r="D305" s="50">
        <f>IF(Taches!B305="","",Taches!C305)</f>
        <v/>
      </c>
      <c r="E305" s="50">
        <f>IF(Taches!B305="","",Taches!D305)</f>
        <v/>
      </c>
      <c r="F305" s="52">
        <f>IF(Taches!P305="","",Taches!P305)</f>
        <v/>
      </c>
      <c r="G305" s="52">
        <f>IF(Taches!Q305="","",Taches!Q305)</f>
        <v/>
      </c>
      <c r="H305" s="50">
        <f>IF(Taches!B305="","",Taches!J305)</f>
        <v/>
      </c>
      <c r="I305" s="53">
        <f>IF(OR($F305="",$G305=""),"",IF(AND(I$5&lt;=$G305,I$5+6&gt;=$F305),IF($H305="Complétée","F",IF(OR($H305="En cours",$H305="En revue"),"E",IF($H305="Bloquée","B","P"))),""))</f>
        <v/>
      </c>
      <c r="J305" s="53">
        <f>IF(OR($F305="",$G305=""),"",IF(AND(J$5&lt;=$G305,J$5+6&gt;=$F305),IF($H305="Complétée","F",IF(OR($H305="En cours",$H305="En revue"),"E",IF($H305="Bloquée","B","P"))),""))</f>
        <v/>
      </c>
      <c r="K305" s="53">
        <f>IF(OR($F305="",$G305=""),"",IF(AND(K$5&lt;=$G305,K$5+6&gt;=$F305),IF($H305="Complétée","F",IF(OR($H305="En cours",$H305="En revue"),"E",IF($H305="Bloquée","B","P"))),""))</f>
        <v/>
      </c>
      <c r="L305" s="53">
        <f>IF(OR($F305="",$G305=""),"",IF(AND(L$5&lt;=$G305,L$5+6&gt;=$F305),IF($H305="Complétée","F",IF(OR($H305="En cours",$H305="En revue"),"E",IF($H305="Bloquée","B","P"))),""))</f>
        <v/>
      </c>
      <c r="M305" s="53">
        <f>IF(OR($F305="",$G305=""),"",IF(AND(M$5&lt;=$G305,M$5+6&gt;=$F305),IF($H305="Complétée","F",IF(OR($H305="En cours",$H305="En revue"),"E",IF($H305="Bloquée","B","P"))),""))</f>
        <v/>
      </c>
      <c r="N305" s="53">
        <f>IF(OR($F305="",$G305=""),"",IF(AND(N$5&lt;=$G305,N$5+6&gt;=$F305),IF($H305="Complétée","F",IF(OR($H305="En cours",$H305="En revue"),"E",IF($H305="Bloquée","B","P"))),""))</f>
        <v/>
      </c>
      <c r="O305" s="53">
        <f>IF(OR($F305="",$G305=""),"",IF(AND(O$5&lt;=$G305,O$5+6&gt;=$F305),IF($H305="Complétée","F",IF(OR($H305="En cours",$H305="En revue"),"E",IF($H305="Bloquée","B","P"))),""))</f>
        <v/>
      </c>
      <c r="P305" s="53">
        <f>IF(OR($F305="",$G305=""),"",IF(AND(P$5&lt;=$G305,P$5+6&gt;=$F305),IF($H305="Complétée","F",IF(OR($H305="En cours",$H305="En revue"),"E",IF($H305="Bloquée","B","P"))),""))</f>
        <v/>
      </c>
      <c r="Q305" s="53">
        <f>IF(OR($F305="",$G305=""),"",IF(AND(Q$5&lt;=$G305,Q$5+6&gt;=$F305),IF($H305="Complétée","F",IF(OR($H305="En cours",$H305="En revue"),"E",IF($H305="Bloquée","B","P"))),""))</f>
        <v/>
      </c>
      <c r="R305" s="53">
        <f>IF(OR($F305="",$G305=""),"",IF(AND(R$5&lt;=$G305,R$5+6&gt;=$F305),IF($H305="Complétée","F",IF(OR($H305="En cours",$H305="En revue"),"E",IF($H305="Bloquée","B","P"))),""))</f>
        <v/>
      </c>
      <c r="S305" s="53">
        <f>IF(OR($F305="",$G305=""),"",IF(AND(S$5&lt;=$G305,S$5+6&gt;=$F305),IF($H305="Complétée","F",IF(OR($H305="En cours",$H305="En revue"),"E",IF($H305="Bloquée","B","P"))),""))</f>
        <v/>
      </c>
      <c r="T305" s="53">
        <f>IF(OR($F305="",$G305=""),"",IF(AND(T$5&lt;=$G305,T$5+6&gt;=$F305),IF($H305="Complétée","F",IF(OR($H305="En cours",$H305="En revue"),"E",IF($H305="Bloquée","B","P"))),""))</f>
        <v/>
      </c>
      <c r="U305" s="53">
        <f>IF(OR($F305="",$G305=""),"",IF(AND(U$5&lt;=$G305,U$5+6&gt;=$F305),IF($H305="Complétée","F",IF(OR($H305="En cours",$H305="En revue"),"E",IF($H305="Bloquée","B","P"))),""))</f>
        <v/>
      </c>
      <c r="V305" s="53">
        <f>IF(OR($F305="",$G305=""),"",IF(AND(V$5&lt;=$G305,V$5+6&gt;=$F305),IF($H305="Complétée","F",IF(OR($H305="En cours",$H305="En revue"),"E",IF($H305="Bloquée","B","P"))),""))</f>
        <v/>
      </c>
      <c r="W305" s="53">
        <f>IF(OR($F305="",$G305=""),"",IF(AND(W$5&lt;=$G305,W$5+6&gt;=$F305),IF($H305="Complétée","F",IF(OR($H305="En cours",$H305="En revue"),"E",IF($H305="Bloquée","B","P"))),""))</f>
        <v/>
      </c>
      <c r="X305" s="53">
        <f>IF(OR($F305="",$G305=""),"",IF(AND(X$5&lt;=$G305,X$5+6&gt;=$F305),IF($H305="Complétée","F",IF(OR($H305="En cours",$H305="En revue"),"E",IF($H305="Bloquée","B","P"))),""))</f>
        <v/>
      </c>
      <c r="Y305" s="53">
        <f>IF(OR($F305="",$G305=""),"",IF(AND(Y$5&lt;=$G305,Y$5+6&gt;=$F305),IF($H305="Complétée","F",IF(OR($H305="En cours",$H305="En revue"),"E",IF($H305="Bloquée","B","P"))),""))</f>
        <v/>
      </c>
      <c r="Z305" s="53">
        <f>IF(OR($F305="",$G305=""),"",IF(AND(Z$5&lt;=$G305,Z$5+6&gt;=$F305),IF($H305="Complétée","F",IF(OR($H305="En cours",$H305="En revue"),"E",IF($H305="Bloquée","B","P"))),""))</f>
        <v/>
      </c>
      <c r="AA305" s="53">
        <f>IF(OR($F305="",$G305=""),"",IF(AND(AA$5&lt;=$G305,AA$5+6&gt;=$F305),IF($H305="Complétée","F",IF(OR($H305="En cours",$H305="En revue"),"E",IF($H305="Bloquée","B","P"))),""))</f>
        <v/>
      </c>
      <c r="AB305" s="53">
        <f>IF(OR($F305="",$G305=""),"",IF(AND(AB$5&lt;=$G305,AB$5+6&gt;=$F305),IF($H305="Complétée","F",IF(OR($H305="En cours",$H305="En revue"),"E",IF($H305="Bloquée","B","P"))),""))</f>
        <v/>
      </c>
      <c r="AC305" s="53">
        <f>IF(OR($F305="",$G305=""),"",IF(AND(AC$5&lt;=$G305,AC$5+6&gt;=$F305),IF($H305="Complétée","F",IF(OR($H305="En cours",$H305="En revue"),"E",IF($H305="Bloquée","B","P"))),""))</f>
        <v/>
      </c>
      <c r="AD305" s="53">
        <f>IF(OR($F305="",$G305=""),"",IF(AND(AD$5&lt;=$G305,AD$5+6&gt;=$F305),IF($H305="Complétée","F",IF(OR($H305="En cours",$H305="En revue"),"E",IF($H305="Bloquée","B","P"))),""))</f>
        <v/>
      </c>
      <c r="AE305" s="53">
        <f>IF(OR($F305="",$G305=""),"",IF(AND(AE$5&lt;=$G305,AE$5+6&gt;=$F305),IF($H305="Complétée","F",IF(OR($H305="En cours",$H305="En revue"),"E",IF($H305="Bloquée","B","P"))),""))</f>
        <v/>
      </c>
      <c r="AF305" s="53">
        <f>IF(OR($F305="",$G305=""),"",IF(AND(AF$5&lt;=$G305,AF$5+6&gt;=$F305),IF($H305="Complétée","F",IF(OR($H305="En cours",$H305="En revue"),"E",IF($H305="Bloquée","B","P"))),""))</f>
        <v/>
      </c>
      <c r="AG305" s="53">
        <f>IF(OR($F305="",$G305=""),"",IF(AND(AG$5&lt;=$G305,AG$5+6&gt;=$F305),IF($H305="Complétée","F",IF(OR($H305="En cours",$H305="En revue"),"E",IF($H305="Bloquée","B","P"))),""))</f>
        <v/>
      </c>
      <c r="AH305" s="53">
        <f>IF(OR($F305="",$G305=""),"",IF(AND(AH$5&lt;=$G305,AH$5+6&gt;=$F305),IF($H305="Complétée","F",IF(OR($H305="En cours",$H305="En revue"),"E",IF($H305="Bloquée","B","P"))),""))</f>
        <v/>
      </c>
      <c r="AI305" s="53">
        <f>IF(OR($F305="",$G305=""),"",IF(AND(AI$5&lt;=$G305,AI$5+6&gt;=$F305),IF($H305="Complétée","F",IF(OR($H305="En cours",$H305="En revue"),"E",IF($H305="Bloquée","B","P"))),""))</f>
        <v/>
      </c>
      <c r="AJ305" s="53">
        <f>IF(OR($F305="",$G305=""),"",IF(AND(AJ$5&lt;=$G305,AJ$5+6&gt;=$F305),IF($H305="Complétée","F",IF(OR($H305="En cours",$H305="En revue"),"E",IF($H305="Bloquée","B","P"))),""))</f>
        <v/>
      </c>
      <c r="AK305" s="53">
        <f>IF(OR($F305="",$G305=""),"",IF(AND(AK$5&lt;=$G305,AK$5+6&gt;=$F305),IF($H305="Complétée","F",IF(OR($H305="En cours",$H305="En revue"),"E",IF($H305="Bloquée","B","P"))),""))</f>
        <v/>
      </c>
      <c r="AL305" s="53">
        <f>IF(OR($F305="",$G305=""),"",IF(AND(AL$5&lt;=$G305,AL$5+6&gt;=$F305),IF($H305="Complétée","F",IF(OR($H305="En cours",$H305="En revue"),"E",IF($H305="Bloquée","B","P"))),""))</f>
        <v/>
      </c>
      <c r="AM305" s="53">
        <f>IF(OR($F305="",$G305=""),"",IF(AND(AM$5&lt;=$G305,AM$5+6&gt;=$F305),IF($H305="Complétée","F",IF(OR($H305="En cours",$H305="En revue"),"E",IF($H305="Bloquée","B","P"))),""))</f>
        <v/>
      </c>
      <c r="AN305" s="53">
        <f>IF(OR($F305="",$G305=""),"",IF(AND(AN$5&lt;=$G305,AN$5+6&gt;=$F305),IF($H305="Complétée","F",IF(OR($H305="En cours",$H305="En revue"),"E",IF($H305="Bloquée","B","P"))),""))</f>
        <v/>
      </c>
      <c r="AO305" s="53">
        <f>IF(OR($F305="",$G305=""),"",IF(AND(AO$5&lt;=$G305,AO$5+6&gt;=$F305),IF($H305="Complétée","F",IF(OR($H305="En cours",$H305="En revue"),"E",IF($H305="Bloquée","B","P"))),""))</f>
        <v/>
      </c>
      <c r="AP305" s="53">
        <f>IF(OR($F305="",$G305=""),"",IF(AND(AP$5&lt;=$G305,AP$5+6&gt;=$F305),IF($H305="Complétée","F",IF(OR($H305="En cours",$H305="En revue"),"E",IF($H305="Bloquée","B","P"))),""))</f>
        <v/>
      </c>
      <c r="AQ305" s="53">
        <f>IF(OR($F305="",$G305=""),"",IF(AND(AQ$5&lt;=$G305,AQ$5+6&gt;=$F305),IF($H305="Complétée","F",IF(OR($H305="En cours",$H305="En revue"),"E",IF($H305="Bloquée","B","P"))),""))</f>
        <v/>
      </c>
      <c r="AR305" s="53">
        <f>IF(OR($F305="",$G305=""),"",IF(AND(AR$5&lt;=$G305,AR$5+6&gt;=$F305),IF($H305="Complétée","F",IF(OR($H305="En cours",$H305="En revue"),"E",IF($H305="Bloquée","B","P"))),""))</f>
        <v/>
      </c>
      <c r="AS305" s="53">
        <f>IF(OR($F305="",$G305=""),"",IF(AND(AS$5&lt;=$G305,AS$5+6&gt;=$F305),IF($H305="Complétée","F",IF(OR($H305="En cours",$H305="En revue"),"E",IF($H305="Bloquée","B","P"))),""))</f>
        <v/>
      </c>
      <c r="AT305" s="53">
        <f>IF(OR($F305="",$G305=""),"",IF(AND(AT$5&lt;=$G305,AT$5+6&gt;=$F305),IF($H305="Complétée","F",IF(OR($H305="En cours",$H305="En revue"),"E",IF($H305="Bloquée","B","P"))),""))</f>
        <v/>
      </c>
      <c r="AU305" s="53">
        <f>IF(OR($F305="",$G305=""),"",IF(AND(AU$5&lt;=$G305,AU$5+6&gt;=$F305),IF($H305="Complétée","F",IF(OR($H305="En cours",$H305="En revue"),"E",IF($H305="Bloquée","B","P"))),""))</f>
        <v/>
      </c>
      <c r="AV305" s="53">
        <f>IF(OR($F305="",$G305=""),"",IF(AND(AV$5&lt;=$G305,AV$5+6&gt;=$F305),IF($H305="Complétée","F",IF(OR($H305="En cours",$H305="En revue"),"E",IF($H305="Bloquée","B","P"))),""))</f>
        <v/>
      </c>
      <c r="AW305" s="53">
        <f>IF(OR($F305="",$G305=""),"",IF(AND(AW$5&lt;=$G305,AW$5+6&gt;=$F305),IF($H305="Complétée","F",IF(OR($H305="En cours",$H305="En revue"),"E",IF($H305="Bloquée","B","P"))),""))</f>
        <v/>
      </c>
    </row>
    <row r="306">
      <c r="B306" s="50">
        <f>IF(Taches!B306="","",Taches!B306)</f>
        <v/>
      </c>
      <c r="C306" s="51">
        <f>IF(Taches!B306="","",Taches!F306)</f>
        <v/>
      </c>
      <c r="D306" s="50">
        <f>IF(Taches!B306="","",Taches!C306)</f>
        <v/>
      </c>
      <c r="E306" s="50">
        <f>IF(Taches!B306="","",Taches!D306)</f>
        <v/>
      </c>
      <c r="F306" s="52">
        <f>IF(Taches!P306="","",Taches!P306)</f>
        <v/>
      </c>
      <c r="G306" s="52">
        <f>IF(Taches!Q306="","",Taches!Q306)</f>
        <v/>
      </c>
      <c r="H306" s="50">
        <f>IF(Taches!B306="","",Taches!J306)</f>
        <v/>
      </c>
      <c r="I306" s="53">
        <f>IF(OR($F306="",$G306=""),"",IF(AND(I$5&lt;=$G306,I$5+6&gt;=$F306),IF($H306="Complétée","F",IF(OR($H306="En cours",$H306="En revue"),"E",IF($H306="Bloquée","B","P"))),""))</f>
        <v/>
      </c>
      <c r="J306" s="53">
        <f>IF(OR($F306="",$G306=""),"",IF(AND(J$5&lt;=$G306,J$5+6&gt;=$F306),IF($H306="Complétée","F",IF(OR($H306="En cours",$H306="En revue"),"E",IF($H306="Bloquée","B","P"))),""))</f>
        <v/>
      </c>
      <c r="K306" s="53">
        <f>IF(OR($F306="",$G306=""),"",IF(AND(K$5&lt;=$G306,K$5+6&gt;=$F306),IF($H306="Complétée","F",IF(OR($H306="En cours",$H306="En revue"),"E",IF($H306="Bloquée","B","P"))),""))</f>
        <v/>
      </c>
      <c r="L306" s="53">
        <f>IF(OR($F306="",$G306=""),"",IF(AND(L$5&lt;=$G306,L$5+6&gt;=$F306),IF($H306="Complétée","F",IF(OR($H306="En cours",$H306="En revue"),"E",IF($H306="Bloquée","B","P"))),""))</f>
        <v/>
      </c>
      <c r="M306" s="53">
        <f>IF(OR($F306="",$G306=""),"",IF(AND(M$5&lt;=$G306,M$5+6&gt;=$F306),IF($H306="Complétée","F",IF(OR($H306="En cours",$H306="En revue"),"E",IF($H306="Bloquée","B","P"))),""))</f>
        <v/>
      </c>
      <c r="N306" s="53">
        <f>IF(OR($F306="",$G306=""),"",IF(AND(N$5&lt;=$G306,N$5+6&gt;=$F306),IF($H306="Complétée","F",IF(OR($H306="En cours",$H306="En revue"),"E",IF($H306="Bloquée","B","P"))),""))</f>
        <v/>
      </c>
      <c r="O306" s="53">
        <f>IF(OR($F306="",$G306=""),"",IF(AND(O$5&lt;=$G306,O$5+6&gt;=$F306),IF($H306="Complétée","F",IF(OR($H306="En cours",$H306="En revue"),"E",IF($H306="Bloquée","B","P"))),""))</f>
        <v/>
      </c>
      <c r="P306" s="53">
        <f>IF(OR($F306="",$G306=""),"",IF(AND(P$5&lt;=$G306,P$5+6&gt;=$F306),IF($H306="Complétée","F",IF(OR($H306="En cours",$H306="En revue"),"E",IF($H306="Bloquée","B","P"))),""))</f>
        <v/>
      </c>
      <c r="Q306" s="53">
        <f>IF(OR($F306="",$G306=""),"",IF(AND(Q$5&lt;=$G306,Q$5+6&gt;=$F306),IF($H306="Complétée","F",IF(OR($H306="En cours",$H306="En revue"),"E",IF($H306="Bloquée","B","P"))),""))</f>
        <v/>
      </c>
      <c r="R306" s="53">
        <f>IF(OR($F306="",$G306=""),"",IF(AND(R$5&lt;=$G306,R$5+6&gt;=$F306),IF($H306="Complétée","F",IF(OR($H306="En cours",$H306="En revue"),"E",IF($H306="Bloquée","B","P"))),""))</f>
        <v/>
      </c>
      <c r="S306" s="53">
        <f>IF(OR($F306="",$G306=""),"",IF(AND(S$5&lt;=$G306,S$5+6&gt;=$F306),IF($H306="Complétée","F",IF(OR($H306="En cours",$H306="En revue"),"E",IF($H306="Bloquée","B","P"))),""))</f>
        <v/>
      </c>
      <c r="T306" s="53">
        <f>IF(OR($F306="",$G306=""),"",IF(AND(T$5&lt;=$G306,T$5+6&gt;=$F306),IF($H306="Complétée","F",IF(OR($H306="En cours",$H306="En revue"),"E",IF($H306="Bloquée","B","P"))),""))</f>
        <v/>
      </c>
      <c r="U306" s="53">
        <f>IF(OR($F306="",$G306=""),"",IF(AND(U$5&lt;=$G306,U$5+6&gt;=$F306),IF($H306="Complétée","F",IF(OR($H306="En cours",$H306="En revue"),"E",IF($H306="Bloquée","B","P"))),""))</f>
        <v/>
      </c>
      <c r="V306" s="53">
        <f>IF(OR($F306="",$G306=""),"",IF(AND(V$5&lt;=$G306,V$5+6&gt;=$F306),IF($H306="Complétée","F",IF(OR($H306="En cours",$H306="En revue"),"E",IF($H306="Bloquée","B","P"))),""))</f>
        <v/>
      </c>
      <c r="W306" s="53">
        <f>IF(OR($F306="",$G306=""),"",IF(AND(W$5&lt;=$G306,W$5+6&gt;=$F306),IF($H306="Complétée","F",IF(OR($H306="En cours",$H306="En revue"),"E",IF($H306="Bloquée","B","P"))),""))</f>
        <v/>
      </c>
      <c r="X306" s="53">
        <f>IF(OR($F306="",$G306=""),"",IF(AND(X$5&lt;=$G306,X$5+6&gt;=$F306),IF($H306="Complétée","F",IF(OR($H306="En cours",$H306="En revue"),"E",IF($H306="Bloquée","B","P"))),""))</f>
        <v/>
      </c>
      <c r="Y306" s="53">
        <f>IF(OR($F306="",$G306=""),"",IF(AND(Y$5&lt;=$G306,Y$5+6&gt;=$F306),IF($H306="Complétée","F",IF(OR($H306="En cours",$H306="En revue"),"E",IF($H306="Bloquée","B","P"))),""))</f>
        <v/>
      </c>
      <c r="Z306" s="53">
        <f>IF(OR($F306="",$G306=""),"",IF(AND(Z$5&lt;=$G306,Z$5+6&gt;=$F306),IF($H306="Complétée","F",IF(OR($H306="En cours",$H306="En revue"),"E",IF($H306="Bloquée","B","P"))),""))</f>
        <v/>
      </c>
      <c r="AA306" s="53">
        <f>IF(OR($F306="",$G306=""),"",IF(AND(AA$5&lt;=$G306,AA$5+6&gt;=$F306),IF($H306="Complétée","F",IF(OR($H306="En cours",$H306="En revue"),"E",IF($H306="Bloquée","B","P"))),""))</f>
        <v/>
      </c>
      <c r="AB306" s="53">
        <f>IF(OR($F306="",$G306=""),"",IF(AND(AB$5&lt;=$G306,AB$5+6&gt;=$F306),IF($H306="Complétée","F",IF(OR($H306="En cours",$H306="En revue"),"E",IF($H306="Bloquée","B","P"))),""))</f>
        <v/>
      </c>
      <c r="AC306" s="53">
        <f>IF(OR($F306="",$G306=""),"",IF(AND(AC$5&lt;=$G306,AC$5+6&gt;=$F306),IF($H306="Complétée","F",IF(OR($H306="En cours",$H306="En revue"),"E",IF($H306="Bloquée","B","P"))),""))</f>
        <v/>
      </c>
      <c r="AD306" s="53">
        <f>IF(OR($F306="",$G306=""),"",IF(AND(AD$5&lt;=$G306,AD$5+6&gt;=$F306),IF($H306="Complétée","F",IF(OR($H306="En cours",$H306="En revue"),"E",IF($H306="Bloquée","B","P"))),""))</f>
        <v/>
      </c>
      <c r="AE306" s="53">
        <f>IF(OR($F306="",$G306=""),"",IF(AND(AE$5&lt;=$G306,AE$5+6&gt;=$F306),IF($H306="Complétée","F",IF(OR($H306="En cours",$H306="En revue"),"E",IF($H306="Bloquée","B","P"))),""))</f>
        <v/>
      </c>
      <c r="AF306" s="53">
        <f>IF(OR($F306="",$G306=""),"",IF(AND(AF$5&lt;=$G306,AF$5+6&gt;=$F306),IF($H306="Complétée","F",IF(OR($H306="En cours",$H306="En revue"),"E",IF($H306="Bloquée","B","P"))),""))</f>
        <v/>
      </c>
      <c r="AG306" s="53">
        <f>IF(OR($F306="",$G306=""),"",IF(AND(AG$5&lt;=$G306,AG$5+6&gt;=$F306),IF($H306="Complétée","F",IF(OR($H306="En cours",$H306="En revue"),"E",IF($H306="Bloquée","B","P"))),""))</f>
        <v/>
      </c>
      <c r="AH306" s="53">
        <f>IF(OR($F306="",$G306=""),"",IF(AND(AH$5&lt;=$G306,AH$5+6&gt;=$F306),IF($H306="Complétée","F",IF(OR($H306="En cours",$H306="En revue"),"E",IF($H306="Bloquée","B","P"))),""))</f>
        <v/>
      </c>
      <c r="AI306" s="53">
        <f>IF(OR($F306="",$G306=""),"",IF(AND(AI$5&lt;=$G306,AI$5+6&gt;=$F306),IF($H306="Complétée","F",IF(OR($H306="En cours",$H306="En revue"),"E",IF($H306="Bloquée","B","P"))),""))</f>
        <v/>
      </c>
      <c r="AJ306" s="53">
        <f>IF(OR($F306="",$G306=""),"",IF(AND(AJ$5&lt;=$G306,AJ$5+6&gt;=$F306),IF($H306="Complétée","F",IF(OR($H306="En cours",$H306="En revue"),"E",IF($H306="Bloquée","B","P"))),""))</f>
        <v/>
      </c>
      <c r="AK306" s="53">
        <f>IF(OR($F306="",$G306=""),"",IF(AND(AK$5&lt;=$G306,AK$5+6&gt;=$F306),IF($H306="Complétée","F",IF(OR($H306="En cours",$H306="En revue"),"E",IF($H306="Bloquée","B","P"))),""))</f>
        <v/>
      </c>
      <c r="AL306" s="53">
        <f>IF(OR($F306="",$G306=""),"",IF(AND(AL$5&lt;=$G306,AL$5+6&gt;=$F306),IF($H306="Complétée","F",IF(OR($H306="En cours",$H306="En revue"),"E",IF($H306="Bloquée","B","P"))),""))</f>
        <v/>
      </c>
      <c r="AM306" s="53">
        <f>IF(OR($F306="",$G306=""),"",IF(AND(AM$5&lt;=$G306,AM$5+6&gt;=$F306),IF($H306="Complétée","F",IF(OR($H306="En cours",$H306="En revue"),"E",IF($H306="Bloquée","B","P"))),""))</f>
        <v/>
      </c>
      <c r="AN306" s="53">
        <f>IF(OR($F306="",$G306=""),"",IF(AND(AN$5&lt;=$G306,AN$5+6&gt;=$F306),IF($H306="Complétée","F",IF(OR($H306="En cours",$H306="En revue"),"E",IF($H306="Bloquée","B","P"))),""))</f>
        <v/>
      </c>
      <c r="AO306" s="53">
        <f>IF(OR($F306="",$G306=""),"",IF(AND(AO$5&lt;=$G306,AO$5+6&gt;=$F306),IF($H306="Complétée","F",IF(OR($H306="En cours",$H306="En revue"),"E",IF($H306="Bloquée","B","P"))),""))</f>
        <v/>
      </c>
      <c r="AP306" s="53">
        <f>IF(OR($F306="",$G306=""),"",IF(AND(AP$5&lt;=$G306,AP$5+6&gt;=$F306),IF($H306="Complétée","F",IF(OR($H306="En cours",$H306="En revue"),"E",IF($H306="Bloquée","B","P"))),""))</f>
        <v/>
      </c>
      <c r="AQ306" s="53">
        <f>IF(OR($F306="",$G306=""),"",IF(AND(AQ$5&lt;=$G306,AQ$5+6&gt;=$F306),IF($H306="Complétée","F",IF(OR($H306="En cours",$H306="En revue"),"E",IF($H306="Bloquée","B","P"))),""))</f>
        <v/>
      </c>
      <c r="AR306" s="53">
        <f>IF(OR($F306="",$G306=""),"",IF(AND(AR$5&lt;=$G306,AR$5+6&gt;=$F306),IF($H306="Complétée","F",IF(OR($H306="En cours",$H306="En revue"),"E",IF($H306="Bloquée","B","P"))),""))</f>
        <v/>
      </c>
      <c r="AS306" s="53">
        <f>IF(OR($F306="",$G306=""),"",IF(AND(AS$5&lt;=$G306,AS$5+6&gt;=$F306),IF($H306="Complétée","F",IF(OR($H306="En cours",$H306="En revue"),"E",IF($H306="Bloquée","B","P"))),""))</f>
        <v/>
      </c>
      <c r="AT306" s="53">
        <f>IF(OR($F306="",$G306=""),"",IF(AND(AT$5&lt;=$G306,AT$5+6&gt;=$F306),IF($H306="Complétée","F",IF(OR($H306="En cours",$H306="En revue"),"E",IF($H306="Bloquée","B","P"))),""))</f>
        <v/>
      </c>
      <c r="AU306" s="53">
        <f>IF(OR($F306="",$G306=""),"",IF(AND(AU$5&lt;=$G306,AU$5+6&gt;=$F306),IF($H306="Complétée","F",IF(OR($H306="En cours",$H306="En revue"),"E",IF($H306="Bloquée","B","P"))),""))</f>
        <v/>
      </c>
      <c r="AV306" s="53">
        <f>IF(OR($F306="",$G306=""),"",IF(AND(AV$5&lt;=$G306,AV$5+6&gt;=$F306),IF($H306="Complétée","F",IF(OR($H306="En cours",$H306="En revue"),"E",IF($H306="Bloquée","B","P"))),""))</f>
        <v/>
      </c>
      <c r="AW306" s="53">
        <f>IF(OR($F306="",$G306=""),"",IF(AND(AW$5&lt;=$G306,AW$5+6&gt;=$F306),IF($H306="Complétée","F",IF(OR($H306="En cours",$H306="En revue"),"E",IF($H306="Bloquée","B","P"))),""))</f>
        <v/>
      </c>
    </row>
    <row r="307">
      <c r="B307" s="50">
        <f>IF(Taches!B307="","",Taches!B307)</f>
        <v/>
      </c>
      <c r="C307" s="51">
        <f>IF(Taches!B307="","",Taches!F307)</f>
        <v/>
      </c>
      <c r="D307" s="50">
        <f>IF(Taches!B307="","",Taches!C307)</f>
        <v/>
      </c>
      <c r="E307" s="50">
        <f>IF(Taches!B307="","",Taches!D307)</f>
        <v/>
      </c>
      <c r="F307" s="52">
        <f>IF(Taches!P307="","",Taches!P307)</f>
        <v/>
      </c>
      <c r="G307" s="52">
        <f>IF(Taches!Q307="","",Taches!Q307)</f>
        <v/>
      </c>
      <c r="H307" s="50">
        <f>IF(Taches!B307="","",Taches!J307)</f>
        <v/>
      </c>
      <c r="I307" s="53">
        <f>IF(OR($F307="",$G307=""),"",IF(AND(I$5&lt;=$G307,I$5+6&gt;=$F307),IF($H307="Complétée","F",IF(OR($H307="En cours",$H307="En revue"),"E",IF($H307="Bloquée","B","P"))),""))</f>
        <v/>
      </c>
      <c r="J307" s="53">
        <f>IF(OR($F307="",$G307=""),"",IF(AND(J$5&lt;=$G307,J$5+6&gt;=$F307),IF($H307="Complétée","F",IF(OR($H307="En cours",$H307="En revue"),"E",IF($H307="Bloquée","B","P"))),""))</f>
        <v/>
      </c>
      <c r="K307" s="53">
        <f>IF(OR($F307="",$G307=""),"",IF(AND(K$5&lt;=$G307,K$5+6&gt;=$F307),IF($H307="Complétée","F",IF(OR($H307="En cours",$H307="En revue"),"E",IF($H307="Bloquée","B","P"))),""))</f>
        <v/>
      </c>
      <c r="L307" s="53">
        <f>IF(OR($F307="",$G307=""),"",IF(AND(L$5&lt;=$G307,L$5+6&gt;=$F307),IF($H307="Complétée","F",IF(OR($H307="En cours",$H307="En revue"),"E",IF($H307="Bloquée","B","P"))),""))</f>
        <v/>
      </c>
      <c r="M307" s="53">
        <f>IF(OR($F307="",$G307=""),"",IF(AND(M$5&lt;=$G307,M$5+6&gt;=$F307),IF($H307="Complétée","F",IF(OR($H307="En cours",$H307="En revue"),"E",IF($H307="Bloquée","B","P"))),""))</f>
        <v/>
      </c>
      <c r="N307" s="53">
        <f>IF(OR($F307="",$G307=""),"",IF(AND(N$5&lt;=$G307,N$5+6&gt;=$F307),IF($H307="Complétée","F",IF(OR($H307="En cours",$H307="En revue"),"E",IF($H307="Bloquée","B","P"))),""))</f>
        <v/>
      </c>
      <c r="O307" s="53">
        <f>IF(OR($F307="",$G307=""),"",IF(AND(O$5&lt;=$G307,O$5+6&gt;=$F307),IF($H307="Complétée","F",IF(OR($H307="En cours",$H307="En revue"),"E",IF($H307="Bloquée","B","P"))),""))</f>
        <v/>
      </c>
      <c r="P307" s="53">
        <f>IF(OR($F307="",$G307=""),"",IF(AND(P$5&lt;=$G307,P$5+6&gt;=$F307),IF($H307="Complétée","F",IF(OR($H307="En cours",$H307="En revue"),"E",IF($H307="Bloquée","B","P"))),""))</f>
        <v/>
      </c>
      <c r="Q307" s="53">
        <f>IF(OR($F307="",$G307=""),"",IF(AND(Q$5&lt;=$G307,Q$5+6&gt;=$F307),IF($H307="Complétée","F",IF(OR($H307="En cours",$H307="En revue"),"E",IF($H307="Bloquée","B","P"))),""))</f>
        <v/>
      </c>
      <c r="R307" s="53">
        <f>IF(OR($F307="",$G307=""),"",IF(AND(R$5&lt;=$G307,R$5+6&gt;=$F307),IF($H307="Complétée","F",IF(OR($H307="En cours",$H307="En revue"),"E",IF($H307="Bloquée","B","P"))),""))</f>
        <v/>
      </c>
      <c r="S307" s="53">
        <f>IF(OR($F307="",$G307=""),"",IF(AND(S$5&lt;=$G307,S$5+6&gt;=$F307),IF($H307="Complétée","F",IF(OR($H307="En cours",$H307="En revue"),"E",IF($H307="Bloquée","B","P"))),""))</f>
        <v/>
      </c>
      <c r="T307" s="53">
        <f>IF(OR($F307="",$G307=""),"",IF(AND(T$5&lt;=$G307,T$5+6&gt;=$F307),IF($H307="Complétée","F",IF(OR($H307="En cours",$H307="En revue"),"E",IF($H307="Bloquée","B","P"))),""))</f>
        <v/>
      </c>
      <c r="U307" s="53">
        <f>IF(OR($F307="",$G307=""),"",IF(AND(U$5&lt;=$G307,U$5+6&gt;=$F307),IF($H307="Complétée","F",IF(OR($H307="En cours",$H307="En revue"),"E",IF($H307="Bloquée","B","P"))),""))</f>
        <v/>
      </c>
      <c r="V307" s="53">
        <f>IF(OR($F307="",$G307=""),"",IF(AND(V$5&lt;=$G307,V$5+6&gt;=$F307),IF($H307="Complétée","F",IF(OR($H307="En cours",$H307="En revue"),"E",IF($H307="Bloquée","B","P"))),""))</f>
        <v/>
      </c>
      <c r="W307" s="53">
        <f>IF(OR($F307="",$G307=""),"",IF(AND(W$5&lt;=$G307,W$5+6&gt;=$F307),IF($H307="Complétée","F",IF(OR($H307="En cours",$H307="En revue"),"E",IF($H307="Bloquée","B","P"))),""))</f>
        <v/>
      </c>
      <c r="X307" s="53">
        <f>IF(OR($F307="",$G307=""),"",IF(AND(X$5&lt;=$G307,X$5+6&gt;=$F307),IF($H307="Complétée","F",IF(OR($H307="En cours",$H307="En revue"),"E",IF($H307="Bloquée","B","P"))),""))</f>
        <v/>
      </c>
      <c r="Y307" s="53">
        <f>IF(OR($F307="",$G307=""),"",IF(AND(Y$5&lt;=$G307,Y$5+6&gt;=$F307),IF($H307="Complétée","F",IF(OR($H307="En cours",$H307="En revue"),"E",IF($H307="Bloquée","B","P"))),""))</f>
        <v/>
      </c>
      <c r="Z307" s="53">
        <f>IF(OR($F307="",$G307=""),"",IF(AND(Z$5&lt;=$G307,Z$5+6&gt;=$F307),IF($H307="Complétée","F",IF(OR($H307="En cours",$H307="En revue"),"E",IF($H307="Bloquée","B","P"))),""))</f>
        <v/>
      </c>
      <c r="AA307" s="53">
        <f>IF(OR($F307="",$G307=""),"",IF(AND(AA$5&lt;=$G307,AA$5+6&gt;=$F307),IF($H307="Complétée","F",IF(OR($H307="En cours",$H307="En revue"),"E",IF($H307="Bloquée","B","P"))),""))</f>
        <v/>
      </c>
      <c r="AB307" s="53">
        <f>IF(OR($F307="",$G307=""),"",IF(AND(AB$5&lt;=$G307,AB$5+6&gt;=$F307),IF($H307="Complétée","F",IF(OR($H307="En cours",$H307="En revue"),"E",IF($H307="Bloquée","B","P"))),""))</f>
        <v/>
      </c>
      <c r="AC307" s="53">
        <f>IF(OR($F307="",$G307=""),"",IF(AND(AC$5&lt;=$G307,AC$5+6&gt;=$F307),IF($H307="Complétée","F",IF(OR($H307="En cours",$H307="En revue"),"E",IF($H307="Bloquée","B","P"))),""))</f>
        <v/>
      </c>
      <c r="AD307" s="53">
        <f>IF(OR($F307="",$G307=""),"",IF(AND(AD$5&lt;=$G307,AD$5+6&gt;=$F307),IF($H307="Complétée","F",IF(OR($H307="En cours",$H307="En revue"),"E",IF($H307="Bloquée","B","P"))),""))</f>
        <v/>
      </c>
      <c r="AE307" s="53">
        <f>IF(OR($F307="",$G307=""),"",IF(AND(AE$5&lt;=$G307,AE$5+6&gt;=$F307),IF($H307="Complétée","F",IF(OR($H307="En cours",$H307="En revue"),"E",IF($H307="Bloquée","B","P"))),""))</f>
        <v/>
      </c>
      <c r="AF307" s="53">
        <f>IF(OR($F307="",$G307=""),"",IF(AND(AF$5&lt;=$G307,AF$5+6&gt;=$F307),IF($H307="Complétée","F",IF(OR($H307="En cours",$H307="En revue"),"E",IF($H307="Bloquée","B","P"))),""))</f>
        <v/>
      </c>
      <c r="AG307" s="53">
        <f>IF(OR($F307="",$G307=""),"",IF(AND(AG$5&lt;=$G307,AG$5+6&gt;=$F307),IF($H307="Complétée","F",IF(OR($H307="En cours",$H307="En revue"),"E",IF($H307="Bloquée","B","P"))),""))</f>
        <v/>
      </c>
      <c r="AH307" s="53">
        <f>IF(OR($F307="",$G307=""),"",IF(AND(AH$5&lt;=$G307,AH$5+6&gt;=$F307),IF($H307="Complétée","F",IF(OR($H307="En cours",$H307="En revue"),"E",IF($H307="Bloquée","B","P"))),""))</f>
        <v/>
      </c>
      <c r="AI307" s="53">
        <f>IF(OR($F307="",$G307=""),"",IF(AND(AI$5&lt;=$G307,AI$5+6&gt;=$F307),IF($H307="Complétée","F",IF(OR($H307="En cours",$H307="En revue"),"E",IF($H307="Bloquée","B","P"))),""))</f>
        <v/>
      </c>
      <c r="AJ307" s="53">
        <f>IF(OR($F307="",$G307=""),"",IF(AND(AJ$5&lt;=$G307,AJ$5+6&gt;=$F307),IF($H307="Complétée","F",IF(OR($H307="En cours",$H307="En revue"),"E",IF($H307="Bloquée","B","P"))),""))</f>
        <v/>
      </c>
      <c r="AK307" s="53">
        <f>IF(OR($F307="",$G307=""),"",IF(AND(AK$5&lt;=$G307,AK$5+6&gt;=$F307),IF($H307="Complétée","F",IF(OR($H307="En cours",$H307="En revue"),"E",IF($H307="Bloquée","B","P"))),""))</f>
        <v/>
      </c>
      <c r="AL307" s="53">
        <f>IF(OR($F307="",$G307=""),"",IF(AND(AL$5&lt;=$G307,AL$5+6&gt;=$F307),IF($H307="Complétée","F",IF(OR($H307="En cours",$H307="En revue"),"E",IF($H307="Bloquée","B","P"))),""))</f>
        <v/>
      </c>
      <c r="AM307" s="53">
        <f>IF(OR($F307="",$G307=""),"",IF(AND(AM$5&lt;=$G307,AM$5+6&gt;=$F307),IF($H307="Complétée","F",IF(OR($H307="En cours",$H307="En revue"),"E",IF($H307="Bloquée","B","P"))),""))</f>
        <v/>
      </c>
      <c r="AN307" s="53">
        <f>IF(OR($F307="",$G307=""),"",IF(AND(AN$5&lt;=$G307,AN$5+6&gt;=$F307),IF($H307="Complétée","F",IF(OR($H307="En cours",$H307="En revue"),"E",IF($H307="Bloquée","B","P"))),""))</f>
        <v/>
      </c>
      <c r="AO307" s="53">
        <f>IF(OR($F307="",$G307=""),"",IF(AND(AO$5&lt;=$G307,AO$5+6&gt;=$F307),IF($H307="Complétée","F",IF(OR($H307="En cours",$H307="En revue"),"E",IF($H307="Bloquée","B","P"))),""))</f>
        <v/>
      </c>
      <c r="AP307" s="53">
        <f>IF(OR($F307="",$G307=""),"",IF(AND(AP$5&lt;=$G307,AP$5+6&gt;=$F307),IF($H307="Complétée","F",IF(OR($H307="En cours",$H307="En revue"),"E",IF($H307="Bloquée","B","P"))),""))</f>
        <v/>
      </c>
      <c r="AQ307" s="53">
        <f>IF(OR($F307="",$G307=""),"",IF(AND(AQ$5&lt;=$G307,AQ$5+6&gt;=$F307),IF($H307="Complétée","F",IF(OR($H307="En cours",$H307="En revue"),"E",IF($H307="Bloquée","B","P"))),""))</f>
        <v/>
      </c>
      <c r="AR307" s="53">
        <f>IF(OR($F307="",$G307=""),"",IF(AND(AR$5&lt;=$G307,AR$5+6&gt;=$F307),IF($H307="Complétée","F",IF(OR($H307="En cours",$H307="En revue"),"E",IF($H307="Bloquée","B","P"))),""))</f>
        <v/>
      </c>
      <c r="AS307" s="53">
        <f>IF(OR($F307="",$G307=""),"",IF(AND(AS$5&lt;=$G307,AS$5+6&gt;=$F307),IF($H307="Complétée","F",IF(OR($H307="En cours",$H307="En revue"),"E",IF($H307="Bloquée","B","P"))),""))</f>
        <v/>
      </c>
      <c r="AT307" s="53">
        <f>IF(OR($F307="",$G307=""),"",IF(AND(AT$5&lt;=$G307,AT$5+6&gt;=$F307),IF($H307="Complétée","F",IF(OR($H307="En cours",$H307="En revue"),"E",IF($H307="Bloquée","B","P"))),""))</f>
        <v/>
      </c>
      <c r="AU307" s="53">
        <f>IF(OR($F307="",$G307=""),"",IF(AND(AU$5&lt;=$G307,AU$5+6&gt;=$F307),IF($H307="Complétée","F",IF(OR($H307="En cours",$H307="En revue"),"E",IF($H307="Bloquée","B","P"))),""))</f>
        <v/>
      </c>
      <c r="AV307" s="53">
        <f>IF(OR($F307="",$G307=""),"",IF(AND(AV$5&lt;=$G307,AV$5+6&gt;=$F307),IF($H307="Complétée","F",IF(OR($H307="En cours",$H307="En revue"),"E",IF($H307="Bloquée","B","P"))),""))</f>
        <v/>
      </c>
      <c r="AW307" s="53">
        <f>IF(OR($F307="",$G307=""),"",IF(AND(AW$5&lt;=$G307,AW$5+6&gt;=$F307),IF($H307="Complétée","F",IF(OR($H307="En cours",$H307="En revue"),"E",IF($H307="Bloquée","B","P"))),""))</f>
        <v/>
      </c>
    </row>
    <row r="308">
      <c r="B308" s="50">
        <f>IF(Taches!B308="","",Taches!B308)</f>
        <v/>
      </c>
      <c r="C308" s="51">
        <f>IF(Taches!B308="","",Taches!F308)</f>
        <v/>
      </c>
      <c r="D308" s="50">
        <f>IF(Taches!B308="","",Taches!C308)</f>
        <v/>
      </c>
      <c r="E308" s="50">
        <f>IF(Taches!B308="","",Taches!D308)</f>
        <v/>
      </c>
      <c r="F308" s="52">
        <f>IF(Taches!P308="","",Taches!P308)</f>
        <v/>
      </c>
      <c r="G308" s="52">
        <f>IF(Taches!Q308="","",Taches!Q308)</f>
        <v/>
      </c>
      <c r="H308" s="50">
        <f>IF(Taches!B308="","",Taches!J308)</f>
        <v/>
      </c>
      <c r="I308" s="53">
        <f>IF(OR($F308="",$G308=""),"",IF(AND(I$5&lt;=$G308,I$5+6&gt;=$F308),IF($H308="Complétée","F",IF(OR($H308="En cours",$H308="En revue"),"E",IF($H308="Bloquée","B","P"))),""))</f>
        <v/>
      </c>
      <c r="J308" s="53">
        <f>IF(OR($F308="",$G308=""),"",IF(AND(J$5&lt;=$G308,J$5+6&gt;=$F308),IF($H308="Complétée","F",IF(OR($H308="En cours",$H308="En revue"),"E",IF($H308="Bloquée","B","P"))),""))</f>
        <v/>
      </c>
      <c r="K308" s="53">
        <f>IF(OR($F308="",$G308=""),"",IF(AND(K$5&lt;=$G308,K$5+6&gt;=$F308),IF($H308="Complétée","F",IF(OR($H308="En cours",$H308="En revue"),"E",IF($H308="Bloquée","B","P"))),""))</f>
        <v/>
      </c>
      <c r="L308" s="53">
        <f>IF(OR($F308="",$G308=""),"",IF(AND(L$5&lt;=$G308,L$5+6&gt;=$F308),IF($H308="Complétée","F",IF(OR($H308="En cours",$H308="En revue"),"E",IF($H308="Bloquée","B","P"))),""))</f>
        <v/>
      </c>
      <c r="M308" s="53">
        <f>IF(OR($F308="",$G308=""),"",IF(AND(M$5&lt;=$G308,M$5+6&gt;=$F308),IF($H308="Complétée","F",IF(OR($H308="En cours",$H308="En revue"),"E",IF($H308="Bloquée","B","P"))),""))</f>
        <v/>
      </c>
      <c r="N308" s="53">
        <f>IF(OR($F308="",$G308=""),"",IF(AND(N$5&lt;=$G308,N$5+6&gt;=$F308),IF($H308="Complétée","F",IF(OR($H308="En cours",$H308="En revue"),"E",IF($H308="Bloquée","B","P"))),""))</f>
        <v/>
      </c>
      <c r="O308" s="53">
        <f>IF(OR($F308="",$G308=""),"",IF(AND(O$5&lt;=$G308,O$5+6&gt;=$F308),IF($H308="Complétée","F",IF(OR($H308="En cours",$H308="En revue"),"E",IF($H308="Bloquée","B","P"))),""))</f>
        <v/>
      </c>
      <c r="P308" s="53">
        <f>IF(OR($F308="",$G308=""),"",IF(AND(P$5&lt;=$G308,P$5+6&gt;=$F308),IF($H308="Complétée","F",IF(OR($H308="En cours",$H308="En revue"),"E",IF($H308="Bloquée","B","P"))),""))</f>
        <v/>
      </c>
      <c r="Q308" s="53">
        <f>IF(OR($F308="",$G308=""),"",IF(AND(Q$5&lt;=$G308,Q$5+6&gt;=$F308),IF($H308="Complétée","F",IF(OR($H308="En cours",$H308="En revue"),"E",IF($H308="Bloquée","B","P"))),""))</f>
        <v/>
      </c>
      <c r="R308" s="53">
        <f>IF(OR($F308="",$G308=""),"",IF(AND(R$5&lt;=$G308,R$5+6&gt;=$F308),IF($H308="Complétée","F",IF(OR($H308="En cours",$H308="En revue"),"E",IF($H308="Bloquée","B","P"))),""))</f>
        <v/>
      </c>
      <c r="S308" s="53">
        <f>IF(OR($F308="",$G308=""),"",IF(AND(S$5&lt;=$G308,S$5+6&gt;=$F308),IF($H308="Complétée","F",IF(OR($H308="En cours",$H308="En revue"),"E",IF($H308="Bloquée","B","P"))),""))</f>
        <v/>
      </c>
      <c r="T308" s="53">
        <f>IF(OR($F308="",$G308=""),"",IF(AND(T$5&lt;=$G308,T$5+6&gt;=$F308),IF($H308="Complétée","F",IF(OR($H308="En cours",$H308="En revue"),"E",IF($H308="Bloquée","B","P"))),""))</f>
        <v/>
      </c>
      <c r="U308" s="53">
        <f>IF(OR($F308="",$G308=""),"",IF(AND(U$5&lt;=$G308,U$5+6&gt;=$F308),IF($H308="Complétée","F",IF(OR($H308="En cours",$H308="En revue"),"E",IF($H308="Bloquée","B","P"))),""))</f>
        <v/>
      </c>
      <c r="V308" s="53">
        <f>IF(OR($F308="",$G308=""),"",IF(AND(V$5&lt;=$G308,V$5+6&gt;=$F308),IF($H308="Complétée","F",IF(OR($H308="En cours",$H308="En revue"),"E",IF($H308="Bloquée","B","P"))),""))</f>
        <v/>
      </c>
      <c r="W308" s="53">
        <f>IF(OR($F308="",$G308=""),"",IF(AND(W$5&lt;=$G308,W$5+6&gt;=$F308),IF($H308="Complétée","F",IF(OR($H308="En cours",$H308="En revue"),"E",IF($H308="Bloquée","B","P"))),""))</f>
        <v/>
      </c>
      <c r="X308" s="53">
        <f>IF(OR($F308="",$G308=""),"",IF(AND(X$5&lt;=$G308,X$5+6&gt;=$F308),IF($H308="Complétée","F",IF(OR($H308="En cours",$H308="En revue"),"E",IF($H308="Bloquée","B","P"))),""))</f>
        <v/>
      </c>
      <c r="Y308" s="53">
        <f>IF(OR($F308="",$G308=""),"",IF(AND(Y$5&lt;=$G308,Y$5+6&gt;=$F308),IF($H308="Complétée","F",IF(OR($H308="En cours",$H308="En revue"),"E",IF($H308="Bloquée","B","P"))),""))</f>
        <v/>
      </c>
      <c r="Z308" s="53">
        <f>IF(OR($F308="",$G308=""),"",IF(AND(Z$5&lt;=$G308,Z$5+6&gt;=$F308),IF($H308="Complétée","F",IF(OR($H308="En cours",$H308="En revue"),"E",IF($H308="Bloquée","B","P"))),""))</f>
        <v/>
      </c>
      <c r="AA308" s="53">
        <f>IF(OR($F308="",$G308=""),"",IF(AND(AA$5&lt;=$G308,AA$5+6&gt;=$F308),IF($H308="Complétée","F",IF(OR($H308="En cours",$H308="En revue"),"E",IF($H308="Bloquée","B","P"))),""))</f>
        <v/>
      </c>
      <c r="AB308" s="53">
        <f>IF(OR($F308="",$G308=""),"",IF(AND(AB$5&lt;=$G308,AB$5+6&gt;=$F308),IF($H308="Complétée","F",IF(OR($H308="En cours",$H308="En revue"),"E",IF($H308="Bloquée","B","P"))),""))</f>
        <v/>
      </c>
      <c r="AC308" s="53">
        <f>IF(OR($F308="",$G308=""),"",IF(AND(AC$5&lt;=$G308,AC$5+6&gt;=$F308),IF($H308="Complétée","F",IF(OR($H308="En cours",$H308="En revue"),"E",IF($H308="Bloquée","B","P"))),""))</f>
        <v/>
      </c>
      <c r="AD308" s="53">
        <f>IF(OR($F308="",$G308=""),"",IF(AND(AD$5&lt;=$G308,AD$5+6&gt;=$F308),IF($H308="Complétée","F",IF(OR($H308="En cours",$H308="En revue"),"E",IF($H308="Bloquée","B","P"))),""))</f>
        <v/>
      </c>
      <c r="AE308" s="53">
        <f>IF(OR($F308="",$G308=""),"",IF(AND(AE$5&lt;=$G308,AE$5+6&gt;=$F308),IF($H308="Complétée","F",IF(OR($H308="En cours",$H308="En revue"),"E",IF($H308="Bloquée","B","P"))),""))</f>
        <v/>
      </c>
      <c r="AF308" s="53">
        <f>IF(OR($F308="",$G308=""),"",IF(AND(AF$5&lt;=$G308,AF$5+6&gt;=$F308),IF($H308="Complétée","F",IF(OR($H308="En cours",$H308="En revue"),"E",IF($H308="Bloquée","B","P"))),""))</f>
        <v/>
      </c>
      <c r="AG308" s="53">
        <f>IF(OR($F308="",$G308=""),"",IF(AND(AG$5&lt;=$G308,AG$5+6&gt;=$F308),IF($H308="Complétée","F",IF(OR($H308="En cours",$H308="En revue"),"E",IF($H308="Bloquée","B","P"))),""))</f>
        <v/>
      </c>
      <c r="AH308" s="53">
        <f>IF(OR($F308="",$G308=""),"",IF(AND(AH$5&lt;=$G308,AH$5+6&gt;=$F308),IF($H308="Complétée","F",IF(OR($H308="En cours",$H308="En revue"),"E",IF($H308="Bloquée","B","P"))),""))</f>
        <v/>
      </c>
      <c r="AI308" s="53">
        <f>IF(OR($F308="",$G308=""),"",IF(AND(AI$5&lt;=$G308,AI$5+6&gt;=$F308),IF($H308="Complétée","F",IF(OR($H308="En cours",$H308="En revue"),"E",IF($H308="Bloquée","B","P"))),""))</f>
        <v/>
      </c>
      <c r="AJ308" s="53">
        <f>IF(OR($F308="",$G308=""),"",IF(AND(AJ$5&lt;=$G308,AJ$5+6&gt;=$F308),IF($H308="Complétée","F",IF(OR($H308="En cours",$H308="En revue"),"E",IF($H308="Bloquée","B","P"))),""))</f>
        <v/>
      </c>
      <c r="AK308" s="53">
        <f>IF(OR($F308="",$G308=""),"",IF(AND(AK$5&lt;=$G308,AK$5+6&gt;=$F308),IF($H308="Complétée","F",IF(OR($H308="En cours",$H308="En revue"),"E",IF($H308="Bloquée","B","P"))),""))</f>
        <v/>
      </c>
      <c r="AL308" s="53">
        <f>IF(OR($F308="",$G308=""),"",IF(AND(AL$5&lt;=$G308,AL$5+6&gt;=$F308),IF($H308="Complétée","F",IF(OR($H308="En cours",$H308="En revue"),"E",IF($H308="Bloquée","B","P"))),""))</f>
        <v/>
      </c>
      <c r="AM308" s="53">
        <f>IF(OR($F308="",$G308=""),"",IF(AND(AM$5&lt;=$G308,AM$5+6&gt;=$F308),IF($H308="Complétée","F",IF(OR($H308="En cours",$H308="En revue"),"E",IF($H308="Bloquée","B","P"))),""))</f>
        <v/>
      </c>
      <c r="AN308" s="53">
        <f>IF(OR($F308="",$G308=""),"",IF(AND(AN$5&lt;=$G308,AN$5+6&gt;=$F308),IF($H308="Complétée","F",IF(OR($H308="En cours",$H308="En revue"),"E",IF($H308="Bloquée","B","P"))),""))</f>
        <v/>
      </c>
      <c r="AO308" s="53">
        <f>IF(OR($F308="",$G308=""),"",IF(AND(AO$5&lt;=$G308,AO$5+6&gt;=$F308),IF($H308="Complétée","F",IF(OR($H308="En cours",$H308="En revue"),"E",IF($H308="Bloquée","B","P"))),""))</f>
        <v/>
      </c>
      <c r="AP308" s="53">
        <f>IF(OR($F308="",$G308=""),"",IF(AND(AP$5&lt;=$G308,AP$5+6&gt;=$F308),IF($H308="Complétée","F",IF(OR($H308="En cours",$H308="En revue"),"E",IF($H308="Bloquée","B","P"))),""))</f>
        <v/>
      </c>
      <c r="AQ308" s="53">
        <f>IF(OR($F308="",$G308=""),"",IF(AND(AQ$5&lt;=$G308,AQ$5+6&gt;=$F308),IF($H308="Complétée","F",IF(OR($H308="En cours",$H308="En revue"),"E",IF($H308="Bloquée","B","P"))),""))</f>
        <v/>
      </c>
      <c r="AR308" s="53">
        <f>IF(OR($F308="",$G308=""),"",IF(AND(AR$5&lt;=$G308,AR$5+6&gt;=$F308),IF($H308="Complétée","F",IF(OR($H308="En cours",$H308="En revue"),"E",IF($H308="Bloquée","B","P"))),""))</f>
        <v/>
      </c>
      <c r="AS308" s="53">
        <f>IF(OR($F308="",$G308=""),"",IF(AND(AS$5&lt;=$G308,AS$5+6&gt;=$F308),IF($H308="Complétée","F",IF(OR($H308="En cours",$H308="En revue"),"E",IF($H308="Bloquée","B","P"))),""))</f>
        <v/>
      </c>
      <c r="AT308" s="53">
        <f>IF(OR($F308="",$G308=""),"",IF(AND(AT$5&lt;=$G308,AT$5+6&gt;=$F308),IF($H308="Complétée","F",IF(OR($H308="En cours",$H308="En revue"),"E",IF($H308="Bloquée","B","P"))),""))</f>
        <v/>
      </c>
      <c r="AU308" s="53">
        <f>IF(OR($F308="",$G308=""),"",IF(AND(AU$5&lt;=$G308,AU$5+6&gt;=$F308),IF($H308="Complétée","F",IF(OR($H308="En cours",$H308="En revue"),"E",IF($H308="Bloquée","B","P"))),""))</f>
        <v/>
      </c>
      <c r="AV308" s="53">
        <f>IF(OR($F308="",$G308=""),"",IF(AND(AV$5&lt;=$G308,AV$5+6&gt;=$F308),IF($H308="Complétée","F",IF(OR($H308="En cours",$H308="En revue"),"E",IF($H308="Bloquée","B","P"))),""))</f>
        <v/>
      </c>
      <c r="AW308" s="53">
        <f>IF(OR($F308="",$G308=""),"",IF(AND(AW$5&lt;=$G308,AW$5+6&gt;=$F308),IF($H308="Complétée","F",IF(OR($H308="En cours",$H308="En revue"),"E",IF($H308="Bloquée","B","P"))),""))</f>
        <v/>
      </c>
    </row>
    <row r="309">
      <c r="B309" s="50">
        <f>IF(Taches!B309="","",Taches!B309)</f>
        <v/>
      </c>
      <c r="C309" s="51">
        <f>IF(Taches!B309="","",Taches!F309)</f>
        <v/>
      </c>
      <c r="D309" s="50">
        <f>IF(Taches!B309="","",Taches!C309)</f>
        <v/>
      </c>
      <c r="E309" s="50">
        <f>IF(Taches!B309="","",Taches!D309)</f>
        <v/>
      </c>
      <c r="F309" s="52">
        <f>IF(Taches!P309="","",Taches!P309)</f>
        <v/>
      </c>
      <c r="G309" s="52">
        <f>IF(Taches!Q309="","",Taches!Q309)</f>
        <v/>
      </c>
      <c r="H309" s="50">
        <f>IF(Taches!B309="","",Taches!J309)</f>
        <v/>
      </c>
      <c r="I309" s="53">
        <f>IF(OR($F309="",$G309=""),"",IF(AND(I$5&lt;=$G309,I$5+6&gt;=$F309),IF($H309="Complétée","F",IF(OR($H309="En cours",$H309="En revue"),"E",IF($H309="Bloquée","B","P"))),""))</f>
        <v/>
      </c>
      <c r="J309" s="53">
        <f>IF(OR($F309="",$G309=""),"",IF(AND(J$5&lt;=$G309,J$5+6&gt;=$F309),IF($H309="Complétée","F",IF(OR($H309="En cours",$H309="En revue"),"E",IF($H309="Bloquée","B","P"))),""))</f>
        <v/>
      </c>
      <c r="K309" s="53">
        <f>IF(OR($F309="",$G309=""),"",IF(AND(K$5&lt;=$G309,K$5+6&gt;=$F309),IF($H309="Complétée","F",IF(OR($H309="En cours",$H309="En revue"),"E",IF($H309="Bloquée","B","P"))),""))</f>
        <v/>
      </c>
      <c r="L309" s="53">
        <f>IF(OR($F309="",$G309=""),"",IF(AND(L$5&lt;=$G309,L$5+6&gt;=$F309),IF($H309="Complétée","F",IF(OR($H309="En cours",$H309="En revue"),"E",IF($H309="Bloquée","B","P"))),""))</f>
        <v/>
      </c>
      <c r="M309" s="53">
        <f>IF(OR($F309="",$G309=""),"",IF(AND(M$5&lt;=$G309,M$5+6&gt;=$F309),IF($H309="Complétée","F",IF(OR($H309="En cours",$H309="En revue"),"E",IF($H309="Bloquée","B","P"))),""))</f>
        <v/>
      </c>
      <c r="N309" s="53">
        <f>IF(OR($F309="",$G309=""),"",IF(AND(N$5&lt;=$G309,N$5+6&gt;=$F309),IF($H309="Complétée","F",IF(OR($H309="En cours",$H309="En revue"),"E",IF($H309="Bloquée","B","P"))),""))</f>
        <v/>
      </c>
      <c r="O309" s="53">
        <f>IF(OR($F309="",$G309=""),"",IF(AND(O$5&lt;=$G309,O$5+6&gt;=$F309),IF($H309="Complétée","F",IF(OR($H309="En cours",$H309="En revue"),"E",IF($H309="Bloquée","B","P"))),""))</f>
        <v/>
      </c>
      <c r="P309" s="53">
        <f>IF(OR($F309="",$G309=""),"",IF(AND(P$5&lt;=$G309,P$5+6&gt;=$F309),IF($H309="Complétée","F",IF(OR($H309="En cours",$H309="En revue"),"E",IF($H309="Bloquée","B","P"))),""))</f>
        <v/>
      </c>
      <c r="Q309" s="53">
        <f>IF(OR($F309="",$G309=""),"",IF(AND(Q$5&lt;=$G309,Q$5+6&gt;=$F309),IF($H309="Complétée","F",IF(OR($H309="En cours",$H309="En revue"),"E",IF($H309="Bloquée","B","P"))),""))</f>
        <v/>
      </c>
      <c r="R309" s="53">
        <f>IF(OR($F309="",$G309=""),"",IF(AND(R$5&lt;=$G309,R$5+6&gt;=$F309),IF($H309="Complétée","F",IF(OR($H309="En cours",$H309="En revue"),"E",IF($H309="Bloquée","B","P"))),""))</f>
        <v/>
      </c>
      <c r="S309" s="53">
        <f>IF(OR($F309="",$G309=""),"",IF(AND(S$5&lt;=$G309,S$5+6&gt;=$F309),IF($H309="Complétée","F",IF(OR($H309="En cours",$H309="En revue"),"E",IF($H309="Bloquée","B","P"))),""))</f>
        <v/>
      </c>
      <c r="T309" s="53">
        <f>IF(OR($F309="",$G309=""),"",IF(AND(T$5&lt;=$G309,T$5+6&gt;=$F309),IF($H309="Complétée","F",IF(OR($H309="En cours",$H309="En revue"),"E",IF($H309="Bloquée","B","P"))),""))</f>
        <v/>
      </c>
      <c r="U309" s="53">
        <f>IF(OR($F309="",$G309=""),"",IF(AND(U$5&lt;=$G309,U$5+6&gt;=$F309),IF($H309="Complétée","F",IF(OR($H309="En cours",$H309="En revue"),"E",IF($H309="Bloquée","B","P"))),""))</f>
        <v/>
      </c>
      <c r="V309" s="53">
        <f>IF(OR($F309="",$G309=""),"",IF(AND(V$5&lt;=$G309,V$5+6&gt;=$F309),IF($H309="Complétée","F",IF(OR($H309="En cours",$H309="En revue"),"E",IF($H309="Bloquée","B","P"))),""))</f>
        <v/>
      </c>
      <c r="W309" s="53">
        <f>IF(OR($F309="",$G309=""),"",IF(AND(W$5&lt;=$G309,W$5+6&gt;=$F309),IF($H309="Complétée","F",IF(OR($H309="En cours",$H309="En revue"),"E",IF($H309="Bloquée","B","P"))),""))</f>
        <v/>
      </c>
      <c r="X309" s="53">
        <f>IF(OR($F309="",$G309=""),"",IF(AND(X$5&lt;=$G309,X$5+6&gt;=$F309),IF($H309="Complétée","F",IF(OR($H309="En cours",$H309="En revue"),"E",IF($H309="Bloquée","B","P"))),""))</f>
        <v/>
      </c>
      <c r="Y309" s="53">
        <f>IF(OR($F309="",$G309=""),"",IF(AND(Y$5&lt;=$G309,Y$5+6&gt;=$F309),IF($H309="Complétée","F",IF(OR($H309="En cours",$H309="En revue"),"E",IF($H309="Bloquée","B","P"))),""))</f>
        <v/>
      </c>
      <c r="Z309" s="53">
        <f>IF(OR($F309="",$G309=""),"",IF(AND(Z$5&lt;=$G309,Z$5+6&gt;=$F309),IF($H309="Complétée","F",IF(OR($H309="En cours",$H309="En revue"),"E",IF($H309="Bloquée","B","P"))),""))</f>
        <v/>
      </c>
      <c r="AA309" s="53">
        <f>IF(OR($F309="",$G309=""),"",IF(AND(AA$5&lt;=$G309,AA$5+6&gt;=$F309),IF($H309="Complétée","F",IF(OR($H309="En cours",$H309="En revue"),"E",IF($H309="Bloquée","B","P"))),""))</f>
        <v/>
      </c>
      <c r="AB309" s="53">
        <f>IF(OR($F309="",$G309=""),"",IF(AND(AB$5&lt;=$G309,AB$5+6&gt;=$F309),IF($H309="Complétée","F",IF(OR($H309="En cours",$H309="En revue"),"E",IF($H309="Bloquée","B","P"))),""))</f>
        <v/>
      </c>
      <c r="AC309" s="53">
        <f>IF(OR($F309="",$G309=""),"",IF(AND(AC$5&lt;=$G309,AC$5+6&gt;=$F309),IF($H309="Complétée","F",IF(OR($H309="En cours",$H309="En revue"),"E",IF($H309="Bloquée","B","P"))),""))</f>
        <v/>
      </c>
      <c r="AD309" s="53">
        <f>IF(OR($F309="",$G309=""),"",IF(AND(AD$5&lt;=$G309,AD$5+6&gt;=$F309),IF($H309="Complétée","F",IF(OR($H309="En cours",$H309="En revue"),"E",IF($H309="Bloquée","B","P"))),""))</f>
        <v/>
      </c>
      <c r="AE309" s="53">
        <f>IF(OR($F309="",$G309=""),"",IF(AND(AE$5&lt;=$G309,AE$5+6&gt;=$F309),IF($H309="Complétée","F",IF(OR($H309="En cours",$H309="En revue"),"E",IF($H309="Bloquée","B","P"))),""))</f>
        <v/>
      </c>
      <c r="AF309" s="53">
        <f>IF(OR($F309="",$G309=""),"",IF(AND(AF$5&lt;=$G309,AF$5+6&gt;=$F309),IF($H309="Complétée","F",IF(OR($H309="En cours",$H309="En revue"),"E",IF($H309="Bloquée","B","P"))),""))</f>
        <v/>
      </c>
      <c r="AG309" s="53">
        <f>IF(OR($F309="",$G309=""),"",IF(AND(AG$5&lt;=$G309,AG$5+6&gt;=$F309),IF($H309="Complétée","F",IF(OR($H309="En cours",$H309="En revue"),"E",IF($H309="Bloquée","B","P"))),""))</f>
        <v/>
      </c>
      <c r="AH309" s="53">
        <f>IF(OR($F309="",$G309=""),"",IF(AND(AH$5&lt;=$G309,AH$5+6&gt;=$F309),IF($H309="Complétée","F",IF(OR($H309="En cours",$H309="En revue"),"E",IF($H309="Bloquée","B","P"))),""))</f>
        <v/>
      </c>
      <c r="AI309" s="53">
        <f>IF(OR($F309="",$G309=""),"",IF(AND(AI$5&lt;=$G309,AI$5+6&gt;=$F309),IF($H309="Complétée","F",IF(OR($H309="En cours",$H309="En revue"),"E",IF($H309="Bloquée","B","P"))),""))</f>
        <v/>
      </c>
      <c r="AJ309" s="53">
        <f>IF(OR($F309="",$G309=""),"",IF(AND(AJ$5&lt;=$G309,AJ$5+6&gt;=$F309),IF($H309="Complétée","F",IF(OR($H309="En cours",$H309="En revue"),"E",IF($H309="Bloquée","B","P"))),""))</f>
        <v/>
      </c>
      <c r="AK309" s="53">
        <f>IF(OR($F309="",$G309=""),"",IF(AND(AK$5&lt;=$G309,AK$5+6&gt;=$F309),IF($H309="Complétée","F",IF(OR($H309="En cours",$H309="En revue"),"E",IF($H309="Bloquée","B","P"))),""))</f>
        <v/>
      </c>
      <c r="AL309" s="53">
        <f>IF(OR($F309="",$G309=""),"",IF(AND(AL$5&lt;=$G309,AL$5+6&gt;=$F309),IF($H309="Complétée","F",IF(OR($H309="En cours",$H309="En revue"),"E",IF($H309="Bloquée","B","P"))),""))</f>
        <v/>
      </c>
      <c r="AM309" s="53">
        <f>IF(OR($F309="",$G309=""),"",IF(AND(AM$5&lt;=$G309,AM$5+6&gt;=$F309),IF($H309="Complétée","F",IF(OR($H309="En cours",$H309="En revue"),"E",IF($H309="Bloquée","B","P"))),""))</f>
        <v/>
      </c>
      <c r="AN309" s="53">
        <f>IF(OR($F309="",$G309=""),"",IF(AND(AN$5&lt;=$G309,AN$5+6&gt;=$F309),IF($H309="Complétée","F",IF(OR($H309="En cours",$H309="En revue"),"E",IF($H309="Bloquée","B","P"))),""))</f>
        <v/>
      </c>
      <c r="AO309" s="53">
        <f>IF(OR($F309="",$G309=""),"",IF(AND(AO$5&lt;=$G309,AO$5+6&gt;=$F309),IF($H309="Complétée","F",IF(OR($H309="En cours",$H309="En revue"),"E",IF($H309="Bloquée","B","P"))),""))</f>
        <v/>
      </c>
      <c r="AP309" s="53">
        <f>IF(OR($F309="",$G309=""),"",IF(AND(AP$5&lt;=$G309,AP$5+6&gt;=$F309),IF($H309="Complétée","F",IF(OR($H309="En cours",$H309="En revue"),"E",IF($H309="Bloquée","B","P"))),""))</f>
        <v/>
      </c>
      <c r="AQ309" s="53">
        <f>IF(OR($F309="",$G309=""),"",IF(AND(AQ$5&lt;=$G309,AQ$5+6&gt;=$F309),IF($H309="Complétée","F",IF(OR($H309="En cours",$H309="En revue"),"E",IF($H309="Bloquée","B","P"))),""))</f>
        <v/>
      </c>
      <c r="AR309" s="53">
        <f>IF(OR($F309="",$G309=""),"",IF(AND(AR$5&lt;=$G309,AR$5+6&gt;=$F309),IF($H309="Complétée","F",IF(OR($H309="En cours",$H309="En revue"),"E",IF($H309="Bloquée","B","P"))),""))</f>
        <v/>
      </c>
      <c r="AS309" s="53">
        <f>IF(OR($F309="",$G309=""),"",IF(AND(AS$5&lt;=$G309,AS$5+6&gt;=$F309),IF($H309="Complétée","F",IF(OR($H309="En cours",$H309="En revue"),"E",IF($H309="Bloquée","B","P"))),""))</f>
        <v/>
      </c>
      <c r="AT309" s="53">
        <f>IF(OR($F309="",$G309=""),"",IF(AND(AT$5&lt;=$G309,AT$5+6&gt;=$F309),IF($H309="Complétée","F",IF(OR($H309="En cours",$H309="En revue"),"E",IF($H309="Bloquée","B","P"))),""))</f>
        <v/>
      </c>
      <c r="AU309" s="53">
        <f>IF(OR($F309="",$G309=""),"",IF(AND(AU$5&lt;=$G309,AU$5+6&gt;=$F309),IF($H309="Complétée","F",IF(OR($H309="En cours",$H309="En revue"),"E",IF($H309="Bloquée","B","P"))),""))</f>
        <v/>
      </c>
      <c r="AV309" s="53">
        <f>IF(OR($F309="",$G309=""),"",IF(AND(AV$5&lt;=$G309,AV$5+6&gt;=$F309),IF($H309="Complétée","F",IF(OR($H309="En cours",$H309="En revue"),"E",IF($H309="Bloquée","B","P"))),""))</f>
        <v/>
      </c>
      <c r="AW309" s="53">
        <f>IF(OR($F309="",$G309=""),"",IF(AND(AW$5&lt;=$G309,AW$5+6&gt;=$F309),IF($H309="Complétée","F",IF(OR($H309="En cours",$H309="En revue"),"E",IF($H309="Bloquée","B","P"))),""))</f>
        <v/>
      </c>
    </row>
    <row r="310">
      <c r="B310" s="50">
        <f>IF(Taches!B310="","",Taches!B310)</f>
        <v/>
      </c>
      <c r="C310" s="51">
        <f>IF(Taches!B310="","",Taches!F310)</f>
        <v/>
      </c>
      <c r="D310" s="50">
        <f>IF(Taches!B310="","",Taches!C310)</f>
        <v/>
      </c>
      <c r="E310" s="50">
        <f>IF(Taches!B310="","",Taches!D310)</f>
        <v/>
      </c>
      <c r="F310" s="52">
        <f>IF(Taches!P310="","",Taches!P310)</f>
        <v/>
      </c>
      <c r="G310" s="52">
        <f>IF(Taches!Q310="","",Taches!Q310)</f>
        <v/>
      </c>
      <c r="H310" s="50">
        <f>IF(Taches!B310="","",Taches!J310)</f>
        <v/>
      </c>
      <c r="I310" s="53">
        <f>IF(OR($F310="",$G310=""),"",IF(AND(I$5&lt;=$G310,I$5+6&gt;=$F310),IF($H310="Complétée","F",IF(OR($H310="En cours",$H310="En revue"),"E",IF($H310="Bloquée","B","P"))),""))</f>
        <v/>
      </c>
      <c r="J310" s="53">
        <f>IF(OR($F310="",$G310=""),"",IF(AND(J$5&lt;=$G310,J$5+6&gt;=$F310),IF($H310="Complétée","F",IF(OR($H310="En cours",$H310="En revue"),"E",IF($H310="Bloquée","B","P"))),""))</f>
        <v/>
      </c>
      <c r="K310" s="53">
        <f>IF(OR($F310="",$G310=""),"",IF(AND(K$5&lt;=$G310,K$5+6&gt;=$F310),IF($H310="Complétée","F",IF(OR($H310="En cours",$H310="En revue"),"E",IF($H310="Bloquée","B","P"))),""))</f>
        <v/>
      </c>
      <c r="L310" s="53">
        <f>IF(OR($F310="",$G310=""),"",IF(AND(L$5&lt;=$G310,L$5+6&gt;=$F310),IF($H310="Complétée","F",IF(OR($H310="En cours",$H310="En revue"),"E",IF($H310="Bloquée","B","P"))),""))</f>
        <v/>
      </c>
      <c r="M310" s="53">
        <f>IF(OR($F310="",$G310=""),"",IF(AND(M$5&lt;=$G310,M$5+6&gt;=$F310),IF($H310="Complétée","F",IF(OR($H310="En cours",$H310="En revue"),"E",IF($H310="Bloquée","B","P"))),""))</f>
        <v/>
      </c>
      <c r="N310" s="53">
        <f>IF(OR($F310="",$G310=""),"",IF(AND(N$5&lt;=$G310,N$5+6&gt;=$F310),IF($H310="Complétée","F",IF(OR($H310="En cours",$H310="En revue"),"E",IF($H310="Bloquée","B","P"))),""))</f>
        <v/>
      </c>
      <c r="O310" s="53">
        <f>IF(OR($F310="",$G310=""),"",IF(AND(O$5&lt;=$G310,O$5+6&gt;=$F310),IF($H310="Complétée","F",IF(OR($H310="En cours",$H310="En revue"),"E",IF($H310="Bloquée","B","P"))),""))</f>
        <v/>
      </c>
      <c r="P310" s="53">
        <f>IF(OR($F310="",$G310=""),"",IF(AND(P$5&lt;=$G310,P$5+6&gt;=$F310),IF($H310="Complétée","F",IF(OR($H310="En cours",$H310="En revue"),"E",IF($H310="Bloquée","B","P"))),""))</f>
        <v/>
      </c>
      <c r="Q310" s="53">
        <f>IF(OR($F310="",$G310=""),"",IF(AND(Q$5&lt;=$G310,Q$5+6&gt;=$F310),IF($H310="Complétée","F",IF(OR($H310="En cours",$H310="En revue"),"E",IF($H310="Bloquée","B","P"))),""))</f>
        <v/>
      </c>
      <c r="R310" s="53">
        <f>IF(OR($F310="",$G310=""),"",IF(AND(R$5&lt;=$G310,R$5+6&gt;=$F310),IF($H310="Complétée","F",IF(OR($H310="En cours",$H310="En revue"),"E",IF($H310="Bloquée","B","P"))),""))</f>
        <v/>
      </c>
      <c r="S310" s="53">
        <f>IF(OR($F310="",$G310=""),"",IF(AND(S$5&lt;=$G310,S$5+6&gt;=$F310),IF($H310="Complétée","F",IF(OR($H310="En cours",$H310="En revue"),"E",IF($H310="Bloquée","B","P"))),""))</f>
        <v/>
      </c>
      <c r="T310" s="53">
        <f>IF(OR($F310="",$G310=""),"",IF(AND(T$5&lt;=$G310,T$5+6&gt;=$F310),IF($H310="Complétée","F",IF(OR($H310="En cours",$H310="En revue"),"E",IF($H310="Bloquée","B","P"))),""))</f>
        <v/>
      </c>
      <c r="U310" s="53">
        <f>IF(OR($F310="",$G310=""),"",IF(AND(U$5&lt;=$G310,U$5+6&gt;=$F310),IF($H310="Complétée","F",IF(OR($H310="En cours",$H310="En revue"),"E",IF($H310="Bloquée","B","P"))),""))</f>
        <v/>
      </c>
      <c r="V310" s="53">
        <f>IF(OR($F310="",$G310=""),"",IF(AND(V$5&lt;=$G310,V$5+6&gt;=$F310),IF($H310="Complétée","F",IF(OR($H310="En cours",$H310="En revue"),"E",IF($H310="Bloquée","B","P"))),""))</f>
        <v/>
      </c>
      <c r="W310" s="53">
        <f>IF(OR($F310="",$G310=""),"",IF(AND(W$5&lt;=$G310,W$5+6&gt;=$F310),IF($H310="Complétée","F",IF(OR($H310="En cours",$H310="En revue"),"E",IF($H310="Bloquée","B","P"))),""))</f>
        <v/>
      </c>
      <c r="X310" s="53">
        <f>IF(OR($F310="",$G310=""),"",IF(AND(X$5&lt;=$G310,X$5+6&gt;=$F310),IF($H310="Complétée","F",IF(OR($H310="En cours",$H310="En revue"),"E",IF($H310="Bloquée","B","P"))),""))</f>
        <v/>
      </c>
      <c r="Y310" s="53">
        <f>IF(OR($F310="",$G310=""),"",IF(AND(Y$5&lt;=$G310,Y$5+6&gt;=$F310),IF($H310="Complétée","F",IF(OR($H310="En cours",$H310="En revue"),"E",IF($H310="Bloquée","B","P"))),""))</f>
        <v/>
      </c>
      <c r="Z310" s="53">
        <f>IF(OR($F310="",$G310=""),"",IF(AND(Z$5&lt;=$G310,Z$5+6&gt;=$F310),IF($H310="Complétée","F",IF(OR($H310="En cours",$H310="En revue"),"E",IF($H310="Bloquée","B","P"))),""))</f>
        <v/>
      </c>
      <c r="AA310" s="53">
        <f>IF(OR($F310="",$G310=""),"",IF(AND(AA$5&lt;=$G310,AA$5+6&gt;=$F310),IF($H310="Complétée","F",IF(OR($H310="En cours",$H310="En revue"),"E",IF($H310="Bloquée","B","P"))),""))</f>
        <v/>
      </c>
      <c r="AB310" s="53">
        <f>IF(OR($F310="",$G310=""),"",IF(AND(AB$5&lt;=$G310,AB$5+6&gt;=$F310),IF($H310="Complétée","F",IF(OR($H310="En cours",$H310="En revue"),"E",IF($H310="Bloquée","B","P"))),""))</f>
        <v/>
      </c>
      <c r="AC310" s="53">
        <f>IF(OR($F310="",$G310=""),"",IF(AND(AC$5&lt;=$G310,AC$5+6&gt;=$F310),IF($H310="Complétée","F",IF(OR($H310="En cours",$H310="En revue"),"E",IF($H310="Bloquée","B","P"))),""))</f>
        <v/>
      </c>
      <c r="AD310" s="53">
        <f>IF(OR($F310="",$G310=""),"",IF(AND(AD$5&lt;=$G310,AD$5+6&gt;=$F310),IF($H310="Complétée","F",IF(OR($H310="En cours",$H310="En revue"),"E",IF($H310="Bloquée","B","P"))),""))</f>
        <v/>
      </c>
      <c r="AE310" s="53">
        <f>IF(OR($F310="",$G310=""),"",IF(AND(AE$5&lt;=$G310,AE$5+6&gt;=$F310),IF($H310="Complétée","F",IF(OR($H310="En cours",$H310="En revue"),"E",IF($H310="Bloquée","B","P"))),""))</f>
        <v/>
      </c>
      <c r="AF310" s="53">
        <f>IF(OR($F310="",$G310=""),"",IF(AND(AF$5&lt;=$G310,AF$5+6&gt;=$F310),IF($H310="Complétée","F",IF(OR($H310="En cours",$H310="En revue"),"E",IF($H310="Bloquée","B","P"))),""))</f>
        <v/>
      </c>
      <c r="AG310" s="53">
        <f>IF(OR($F310="",$G310=""),"",IF(AND(AG$5&lt;=$G310,AG$5+6&gt;=$F310),IF($H310="Complétée","F",IF(OR($H310="En cours",$H310="En revue"),"E",IF($H310="Bloquée","B","P"))),""))</f>
        <v/>
      </c>
      <c r="AH310" s="53">
        <f>IF(OR($F310="",$G310=""),"",IF(AND(AH$5&lt;=$G310,AH$5+6&gt;=$F310),IF($H310="Complétée","F",IF(OR($H310="En cours",$H310="En revue"),"E",IF($H310="Bloquée","B","P"))),""))</f>
        <v/>
      </c>
      <c r="AI310" s="53">
        <f>IF(OR($F310="",$G310=""),"",IF(AND(AI$5&lt;=$G310,AI$5+6&gt;=$F310),IF($H310="Complétée","F",IF(OR($H310="En cours",$H310="En revue"),"E",IF($H310="Bloquée","B","P"))),""))</f>
        <v/>
      </c>
      <c r="AJ310" s="53">
        <f>IF(OR($F310="",$G310=""),"",IF(AND(AJ$5&lt;=$G310,AJ$5+6&gt;=$F310),IF($H310="Complétée","F",IF(OR($H310="En cours",$H310="En revue"),"E",IF($H310="Bloquée","B","P"))),""))</f>
        <v/>
      </c>
      <c r="AK310" s="53">
        <f>IF(OR($F310="",$G310=""),"",IF(AND(AK$5&lt;=$G310,AK$5+6&gt;=$F310),IF($H310="Complétée","F",IF(OR($H310="En cours",$H310="En revue"),"E",IF($H310="Bloquée","B","P"))),""))</f>
        <v/>
      </c>
      <c r="AL310" s="53">
        <f>IF(OR($F310="",$G310=""),"",IF(AND(AL$5&lt;=$G310,AL$5+6&gt;=$F310),IF($H310="Complétée","F",IF(OR($H310="En cours",$H310="En revue"),"E",IF($H310="Bloquée","B","P"))),""))</f>
        <v/>
      </c>
      <c r="AM310" s="53">
        <f>IF(OR($F310="",$G310=""),"",IF(AND(AM$5&lt;=$G310,AM$5+6&gt;=$F310),IF($H310="Complétée","F",IF(OR($H310="En cours",$H310="En revue"),"E",IF($H310="Bloquée","B","P"))),""))</f>
        <v/>
      </c>
      <c r="AN310" s="53">
        <f>IF(OR($F310="",$G310=""),"",IF(AND(AN$5&lt;=$G310,AN$5+6&gt;=$F310),IF($H310="Complétée","F",IF(OR($H310="En cours",$H310="En revue"),"E",IF($H310="Bloquée","B","P"))),""))</f>
        <v/>
      </c>
      <c r="AO310" s="53">
        <f>IF(OR($F310="",$G310=""),"",IF(AND(AO$5&lt;=$G310,AO$5+6&gt;=$F310),IF($H310="Complétée","F",IF(OR($H310="En cours",$H310="En revue"),"E",IF($H310="Bloquée","B","P"))),""))</f>
        <v/>
      </c>
      <c r="AP310" s="53">
        <f>IF(OR($F310="",$G310=""),"",IF(AND(AP$5&lt;=$G310,AP$5+6&gt;=$F310),IF($H310="Complétée","F",IF(OR($H310="En cours",$H310="En revue"),"E",IF($H310="Bloquée","B","P"))),""))</f>
        <v/>
      </c>
      <c r="AQ310" s="53">
        <f>IF(OR($F310="",$G310=""),"",IF(AND(AQ$5&lt;=$G310,AQ$5+6&gt;=$F310),IF($H310="Complétée","F",IF(OR($H310="En cours",$H310="En revue"),"E",IF($H310="Bloquée","B","P"))),""))</f>
        <v/>
      </c>
      <c r="AR310" s="53">
        <f>IF(OR($F310="",$G310=""),"",IF(AND(AR$5&lt;=$G310,AR$5+6&gt;=$F310),IF($H310="Complétée","F",IF(OR($H310="En cours",$H310="En revue"),"E",IF($H310="Bloquée","B","P"))),""))</f>
        <v/>
      </c>
      <c r="AS310" s="53">
        <f>IF(OR($F310="",$G310=""),"",IF(AND(AS$5&lt;=$G310,AS$5+6&gt;=$F310),IF($H310="Complétée","F",IF(OR($H310="En cours",$H310="En revue"),"E",IF($H310="Bloquée","B","P"))),""))</f>
        <v/>
      </c>
      <c r="AT310" s="53">
        <f>IF(OR($F310="",$G310=""),"",IF(AND(AT$5&lt;=$G310,AT$5+6&gt;=$F310),IF($H310="Complétée","F",IF(OR($H310="En cours",$H310="En revue"),"E",IF($H310="Bloquée","B","P"))),""))</f>
        <v/>
      </c>
      <c r="AU310" s="53">
        <f>IF(OR($F310="",$G310=""),"",IF(AND(AU$5&lt;=$G310,AU$5+6&gt;=$F310),IF($H310="Complétée","F",IF(OR($H310="En cours",$H310="En revue"),"E",IF($H310="Bloquée","B","P"))),""))</f>
        <v/>
      </c>
      <c r="AV310" s="53">
        <f>IF(OR($F310="",$G310=""),"",IF(AND(AV$5&lt;=$G310,AV$5+6&gt;=$F310),IF($H310="Complétée","F",IF(OR($H310="En cours",$H310="En revue"),"E",IF($H310="Bloquée","B","P"))),""))</f>
        <v/>
      </c>
      <c r="AW310" s="53">
        <f>IF(OR($F310="",$G310=""),"",IF(AND(AW$5&lt;=$G310,AW$5+6&gt;=$F310),IF($H310="Complétée","F",IF(OR($H310="En cours",$H310="En revue"),"E",IF($H310="Bloquée","B","P"))),""))</f>
        <v/>
      </c>
    </row>
    <row r="311">
      <c r="B311" s="50">
        <f>IF(Taches!B311="","",Taches!B311)</f>
        <v/>
      </c>
      <c r="C311" s="51">
        <f>IF(Taches!B311="","",Taches!F311)</f>
        <v/>
      </c>
      <c r="D311" s="50">
        <f>IF(Taches!B311="","",Taches!C311)</f>
        <v/>
      </c>
      <c r="E311" s="50">
        <f>IF(Taches!B311="","",Taches!D311)</f>
        <v/>
      </c>
      <c r="F311" s="52">
        <f>IF(Taches!P311="","",Taches!P311)</f>
        <v/>
      </c>
      <c r="G311" s="52">
        <f>IF(Taches!Q311="","",Taches!Q311)</f>
        <v/>
      </c>
      <c r="H311" s="50">
        <f>IF(Taches!B311="","",Taches!J311)</f>
        <v/>
      </c>
      <c r="I311" s="53">
        <f>IF(OR($F311="",$G311=""),"",IF(AND(I$5&lt;=$G311,I$5+6&gt;=$F311),IF($H311="Complétée","F",IF(OR($H311="En cours",$H311="En revue"),"E",IF($H311="Bloquée","B","P"))),""))</f>
        <v/>
      </c>
      <c r="J311" s="53">
        <f>IF(OR($F311="",$G311=""),"",IF(AND(J$5&lt;=$G311,J$5+6&gt;=$F311),IF($H311="Complétée","F",IF(OR($H311="En cours",$H311="En revue"),"E",IF($H311="Bloquée","B","P"))),""))</f>
        <v/>
      </c>
      <c r="K311" s="53">
        <f>IF(OR($F311="",$G311=""),"",IF(AND(K$5&lt;=$G311,K$5+6&gt;=$F311),IF($H311="Complétée","F",IF(OR($H311="En cours",$H311="En revue"),"E",IF($H311="Bloquée","B","P"))),""))</f>
        <v/>
      </c>
      <c r="L311" s="53">
        <f>IF(OR($F311="",$G311=""),"",IF(AND(L$5&lt;=$G311,L$5+6&gt;=$F311),IF($H311="Complétée","F",IF(OR($H311="En cours",$H311="En revue"),"E",IF($H311="Bloquée","B","P"))),""))</f>
        <v/>
      </c>
      <c r="M311" s="53">
        <f>IF(OR($F311="",$G311=""),"",IF(AND(M$5&lt;=$G311,M$5+6&gt;=$F311),IF($H311="Complétée","F",IF(OR($H311="En cours",$H311="En revue"),"E",IF($H311="Bloquée","B","P"))),""))</f>
        <v/>
      </c>
      <c r="N311" s="53">
        <f>IF(OR($F311="",$G311=""),"",IF(AND(N$5&lt;=$G311,N$5+6&gt;=$F311),IF($H311="Complétée","F",IF(OR($H311="En cours",$H311="En revue"),"E",IF($H311="Bloquée","B","P"))),""))</f>
        <v/>
      </c>
      <c r="O311" s="53">
        <f>IF(OR($F311="",$G311=""),"",IF(AND(O$5&lt;=$G311,O$5+6&gt;=$F311),IF($H311="Complétée","F",IF(OR($H311="En cours",$H311="En revue"),"E",IF($H311="Bloquée","B","P"))),""))</f>
        <v/>
      </c>
      <c r="P311" s="53">
        <f>IF(OR($F311="",$G311=""),"",IF(AND(P$5&lt;=$G311,P$5+6&gt;=$F311),IF($H311="Complétée","F",IF(OR($H311="En cours",$H311="En revue"),"E",IF($H311="Bloquée","B","P"))),""))</f>
        <v/>
      </c>
      <c r="Q311" s="53">
        <f>IF(OR($F311="",$G311=""),"",IF(AND(Q$5&lt;=$G311,Q$5+6&gt;=$F311),IF($H311="Complétée","F",IF(OR($H311="En cours",$H311="En revue"),"E",IF($H311="Bloquée","B","P"))),""))</f>
        <v/>
      </c>
      <c r="R311" s="53">
        <f>IF(OR($F311="",$G311=""),"",IF(AND(R$5&lt;=$G311,R$5+6&gt;=$F311),IF($H311="Complétée","F",IF(OR($H311="En cours",$H311="En revue"),"E",IF($H311="Bloquée","B","P"))),""))</f>
        <v/>
      </c>
      <c r="S311" s="53">
        <f>IF(OR($F311="",$G311=""),"",IF(AND(S$5&lt;=$G311,S$5+6&gt;=$F311),IF($H311="Complétée","F",IF(OR($H311="En cours",$H311="En revue"),"E",IF($H311="Bloquée","B","P"))),""))</f>
        <v/>
      </c>
      <c r="T311" s="53">
        <f>IF(OR($F311="",$G311=""),"",IF(AND(T$5&lt;=$G311,T$5+6&gt;=$F311),IF($H311="Complétée","F",IF(OR($H311="En cours",$H311="En revue"),"E",IF($H311="Bloquée","B","P"))),""))</f>
        <v/>
      </c>
      <c r="U311" s="53">
        <f>IF(OR($F311="",$G311=""),"",IF(AND(U$5&lt;=$G311,U$5+6&gt;=$F311),IF($H311="Complétée","F",IF(OR($H311="En cours",$H311="En revue"),"E",IF($H311="Bloquée","B","P"))),""))</f>
        <v/>
      </c>
      <c r="V311" s="53">
        <f>IF(OR($F311="",$G311=""),"",IF(AND(V$5&lt;=$G311,V$5+6&gt;=$F311),IF($H311="Complétée","F",IF(OR($H311="En cours",$H311="En revue"),"E",IF($H311="Bloquée","B","P"))),""))</f>
        <v/>
      </c>
      <c r="W311" s="53">
        <f>IF(OR($F311="",$G311=""),"",IF(AND(W$5&lt;=$G311,W$5+6&gt;=$F311),IF($H311="Complétée","F",IF(OR($H311="En cours",$H311="En revue"),"E",IF($H311="Bloquée","B","P"))),""))</f>
        <v/>
      </c>
      <c r="X311" s="53">
        <f>IF(OR($F311="",$G311=""),"",IF(AND(X$5&lt;=$G311,X$5+6&gt;=$F311),IF($H311="Complétée","F",IF(OR($H311="En cours",$H311="En revue"),"E",IF($H311="Bloquée","B","P"))),""))</f>
        <v/>
      </c>
      <c r="Y311" s="53">
        <f>IF(OR($F311="",$G311=""),"",IF(AND(Y$5&lt;=$G311,Y$5+6&gt;=$F311),IF($H311="Complétée","F",IF(OR($H311="En cours",$H311="En revue"),"E",IF($H311="Bloquée","B","P"))),""))</f>
        <v/>
      </c>
      <c r="Z311" s="53">
        <f>IF(OR($F311="",$G311=""),"",IF(AND(Z$5&lt;=$G311,Z$5+6&gt;=$F311),IF($H311="Complétée","F",IF(OR($H311="En cours",$H311="En revue"),"E",IF($H311="Bloquée","B","P"))),""))</f>
        <v/>
      </c>
      <c r="AA311" s="53">
        <f>IF(OR($F311="",$G311=""),"",IF(AND(AA$5&lt;=$G311,AA$5+6&gt;=$F311),IF($H311="Complétée","F",IF(OR($H311="En cours",$H311="En revue"),"E",IF($H311="Bloquée","B","P"))),""))</f>
        <v/>
      </c>
      <c r="AB311" s="53">
        <f>IF(OR($F311="",$G311=""),"",IF(AND(AB$5&lt;=$G311,AB$5+6&gt;=$F311),IF($H311="Complétée","F",IF(OR($H311="En cours",$H311="En revue"),"E",IF($H311="Bloquée","B","P"))),""))</f>
        <v/>
      </c>
      <c r="AC311" s="53">
        <f>IF(OR($F311="",$G311=""),"",IF(AND(AC$5&lt;=$G311,AC$5+6&gt;=$F311),IF($H311="Complétée","F",IF(OR($H311="En cours",$H311="En revue"),"E",IF($H311="Bloquée","B","P"))),""))</f>
        <v/>
      </c>
      <c r="AD311" s="53">
        <f>IF(OR($F311="",$G311=""),"",IF(AND(AD$5&lt;=$G311,AD$5+6&gt;=$F311),IF($H311="Complétée","F",IF(OR($H311="En cours",$H311="En revue"),"E",IF($H311="Bloquée","B","P"))),""))</f>
        <v/>
      </c>
      <c r="AE311" s="53">
        <f>IF(OR($F311="",$G311=""),"",IF(AND(AE$5&lt;=$G311,AE$5+6&gt;=$F311),IF($H311="Complétée","F",IF(OR($H311="En cours",$H311="En revue"),"E",IF($H311="Bloquée","B","P"))),""))</f>
        <v/>
      </c>
      <c r="AF311" s="53">
        <f>IF(OR($F311="",$G311=""),"",IF(AND(AF$5&lt;=$G311,AF$5+6&gt;=$F311),IF($H311="Complétée","F",IF(OR($H311="En cours",$H311="En revue"),"E",IF($H311="Bloquée","B","P"))),""))</f>
        <v/>
      </c>
      <c r="AG311" s="53">
        <f>IF(OR($F311="",$G311=""),"",IF(AND(AG$5&lt;=$G311,AG$5+6&gt;=$F311),IF($H311="Complétée","F",IF(OR($H311="En cours",$H311="En revue"),"E",IF($H311="Bloquée","B","P"))),""))</f>
        <v/>
      </c>
      <c r="AH311" s="53">
        <f>IF(OR($F311="",$G311=""),"",IF(AND(AH$5&lt;=$G311,AH$5+6&gt;=$F311),IF($H311="Complétée","F",IF(OR($H311="En cours",$H311="En revue"),"E",IF($H311="Bloquée","B","P"))),""))</f>
        <v/>
      </c>
      <c r="AI311" s="53">
        <f>IF(OR($F311="",$G311=""),"",IF(AND(AI$5&lt;=$G311,AI$5+6&gt;=$F311),IF($H311="Complétée","F",IF(OR($H311="En cours",$H311="En revue"),"E",IF($H311="Bloquée","B","P"))),""))</f>
        <v/>
      </c>
      <c r="AJ311" s="53">
        <f>IF(OR($F311="",$G311=""),"",IF(AND(AJ$5&lt;=$G311,AJ$5+6&gt;=$F311),IF($H311="Complétée","F",IF(OR($H311="En cours",$H311="En revue"),"E",IF($H311="Bloquée","B","P"))),""))</f>
        <v/>
      </c>
      <c r="AK311" s="53">
        <f>IF(OR($F311="",$G311=""),"",IF(AND(AK$5&lt;=$G311,AK$5+6&gt;=$F311),IF($H311="Complétée","F",IF(OR($H311="En cours",$H311="En revue"),"E",IF($H311="Bloquée","B","P"))),""))</f>
        <v/>
      </c>
      <c r="AL311" s="53">
        <f>IF(OR($F311="",$G311=""),"",IF(AND(AL$5&lt;=$G311,AL$5+6&gt;=$F311),IF($H311="Complétée","F",IF(OR($H311="En cours",$H311="En revue"),"E",IF($H311="Bloquée","B","P"))),""))</f>
        <v/>
      </c>
      <c r="AM311" s="53">
        <f>IF(OR($F311="",$G311=""),"",IF(AND(AM$5&lt;=$G311,AM$5+6&gt;=$F311),IF($H311="Complétée","F",IF(OR($H311="En cours",$H311="En revue"),"E",IF($H311="Bloquée","B","P"))),""))</f>
        <v/>
      </c>
      <c r="AN311" s="53">
        <f>IF(OR($F311="",$G311=""),"",IF(AND(AN$5&lt;=$G311,AN$5+6&gt;=$F311),IF($H311="Complétée","F",IF(OR($H311="En cours",$H311="En revue"),"E",IF($H311="Bloquée","B","P"))),""))</f>
        <v/>
      </c>
      <c r="AO311" s="53">
        <f>IF(OR($F311="",$G311=""),"",IF(AND(AO$5&lt;=$G311,AO$5+6&gt;=$F311),IF($H311="Complétée","F",IF(OR($H311="En cours",$H311="En revue"),"E",IF($H311="Bloquée","B","P"))),""))</f>
        <v/>
      </c>
      <c r="AP311" s="53">
        <f>IF(OR($F311="",$G311=""),"",IF(AND(AP$5&lt;=$G311,AP$5+6&gt;=$F311),IF($H311="Complétée","F",IF(OR($H311="En cours",$H311="En revue"),"E",IF($H311="Bloquée","B","P"))),""))</f>
        <v/>
      </c>
      <c r="AQ311" s="53">
        <f>IF(OR($F311="",$G311=""),"",IF(AND(AQ$5&lt;=$G311,AQ$5+6&gt;=$F311),IF($H311="Complétée","F",IF(OR($H311="En cours",$H311="En revue"),"E",IF($H311="Bloquée","B","P"))),""))</f>
        <v/>
      </c>
      <c r="AR311" s="53">
        <f>IF(OR($F311="",$G311=""),"",IF(AND(AR$5&lt;=$G311,AR$5+6&gt;=$F311),IF($H311="Complétée","F",IF(OR($H311="En cours",$H311="En revue"),"E",IF($H311="Bloquée","B","P"))),""))</f>
        <v/>
      </c>
      <c r="AS311" s="53">
        <f>IF(OR($F311="",$G311=""),"",IF(AND(AS$5&lt;=$G311,AS$5+6&gt;=$F311),IF($H311="Complétée","F",IF(OR($H311="En cours",$H311="En revue"),"E",IF($H311="Bloquée","B","P"))),""))</f>
        <v/>
      </c>
      <c r="AT311" s="53">
        <f>IF(OR($F311="",$G311=""),"",IF(AND(AT$5&lt;=$G311,AT$5+6&gt;=$F311),IF($H311="Complétée","F",IF(OR($H311="En cours",$H311="En revue"),"E",IF($H311="Bloquée","B","P"))),""))</f>
        <v/>
      </c>
      <c r="AU311" s="53">
        <f>IF(OR($F311="",$G311=""),"",IF(AND(AU$5&lt;=$G311,AU$5+6&gt;=$F311),IF($H311="Complétée","F",IF(OR($H311="En cours",$H311="En revue"),"E",IF($H311="Bloquée","B","P"))),""))</f>
        <v/>
      </c>
      <c r="AV311" s="53">
        <f>IF(OR($F311="",$G311=""),"",IF(AND(AV$5&lt;=$G311,AV$5+6&gt;=$F311),IF($H311="Complétée","F",IF(OR($H311="En cours",$H311="En revue"),"E",IF($H311="Bloquée","B","P"))),""))</f>
        <v/>
      </c>
      <c r="AW311" s="53">
        <f>IF(OR($F311="",$G311=""),"",IF(AND(AW$5&lt;=$G311,AW$5+6&gt;=$F311),IF($H311="Complétée","F",IF(OR($H311="En cours",$H311="En revue"),"E",IF($H311="Bloquée","B","P"))),""))</f>
        <v/>
      </c>
    </row>
    <row r="312">
      <c r="B312" s="50">
        <f>IF(Taches!B312="","",Taches!B312)</f>
        <v/>
      </c>
      <c r="C312" s="51">
        <f>IF(Taches!B312="","",Taches!F312)</f>
        <v/>
      </c>
      <c r="D312" s="50">
        <f>IF(Taches!B312="","",Taches!C312)</f>
        <v/>
      </c>
      <c r="E312" s="50">
        <f>IF(Taches!B312="","",Taches!D312)</f>
        <v/>
      </c>
      <c r="F312" s="52">
        <f>IF(Taches!P312="","",Taches!P312)</f>
        <v/>
      </c>
      <c r="G312" s="52">
        <f>IF(Taches!Q312="","",Taches!Q312)</f>
        <v/>
      </c>
      <c r="H312" s="50">
        <f>IF(Taches!B312="","",Taches!J312)</f>
        <v/>
      </c>
      <c r="I312" s="53">
        <f>IF(OR($F312="",$G312=""),"",IF(AND(I$5&lt;=$G312,I$5+6&gt;=$F312),IF($H312="Complétée","F",IF(OR($H312="En cours",$H312="En revue"),"E",IF($H312="Bloquée","B","P"))),""))</f>
        <v/>
      </c>
      <c r="J312" s="53">
        <f>IF(OR($F312="",$G312=""),"",IF(AND(J$5&lt;=$G312,J$5+6&gt;=$F312),IF($H312="Complétée","F",IF(OR($H312="En cours",$H312="En revue"),"E",IF($H312="Bloquée","B","P"))),""))</f>
        <v/>
      </c>
      <c r="K312" s="53">
        <f>IF(OR($F312="",$G312=""),"",IF(AND(K$5&lt;=$G312,K$5+6&gt;=$F312),IF($H312="Complétée","F",IF(OR($H312="En cours",$H312="En revue"),"E",IF($H312="Bloquée","B","P"))),""))</f>
        <v/>
      </c>
      <c r="L312" s="53">
        <f>IF(OR($F312="",$G312=""),"",IF(AND(L$5&lt;=$G312,L$5+6&gt;=$F312),IF($H312="Complétée","F",IF(OR($H312="En cours",$H312="En revue"),"E",IF($H312="Bloquée","B","P"))),""))</f>
        <v/>
      </c>
      <c r="M312" s="53">
        <f>IF(OR($F312="",$G312=""),"",IF(AND(M$5&lt;=$G312,M$5+6&gt;=$F312),IF($H312="Complétée","F",IF(OR($H312="En cours",$H312="En revue"),"E",IF($H312="Bloquée","B","P"))),""))</f>
        <v/>
      </c>
      <c r="N312" s="53">
        <f>IF(OR($F312="",$G312=""),"",IF(AND(N$5&lt;=$G312,N$5+6&gt;=$F312),IF($H312="Complétée","F",IF(OR($H312="En cours",$H312="En revue"),"E",IF($H312="Bloquée","B","P"))),""))</f>
        <v/>
      </c>
      <c r="O312" s="53">
        <f>IF(OR($F312="",$G312=""),"",IF(AND(O$5&lt;=$G312,O$5+6&gt;=$F312),IF($H312="Complétée","F",IF(OR($H312="En cours",$H312="En revue"),"E",IF($H312="Bloquée","B","P"))),""))</f>
        <v/>
      </c>
      <c r="P312" s="53">
        <f>IF(OR($F312="",$G312=""),"",IF(AND(P$5&lt;=$G312,P$5+6&gt;=$F312),IF($H312="Complétée","F",IF(OR($H312="En cours",$H312="En revue"),"E",IF($H312="Bloquée","B","P"))),""))</f>
        <v/>
      </c>
      <c r="Q312" s="53">
        <f>IF(OR($F312="",$G312=""),"",IF(AND(Q$5&lt;=$G312,Q$5+6&gt;=$F312),IF($H312="Complétée","F",IF(OR($H312="En cours",$H312="En revue"),"E",IF($H312="Bloquée","B","P"))),""))</f>
        <v/>
      </c>
      <c r="R312" s="53">
        <f>IF(OR($F312="",$G312=""),"",IF(AND(R$5&lt;=$G312,R$5+6&gt;=$F312),IF($H312="Complétée","F",IF(OR($H312="En cours",$H312="En revue"),"E",IF($H312="Bloquée","B","P"))),""))</f>
        <v/>
      </c>
      <c r="S312" s="53">
        <f>IF(OR($F312="",$G312=""),"",IF(AND(S$5&lt;=$G312,S$5+6&gt;=$F312),IF($H312="Complétée","F",IF(OR($H312="En cours",$H312="En revue"),"E",IF($H312="Bloquée","B","P"))),""))</f>
        <v/>
      </c>
      <c r="T312" s="53">
        <f>IF(OR($F312="",$G312=""),"",IF(AND(T$5&lt;=$G312,T$5+6&gt;=$F312),IF($H312="Complétée","F",IF(OR($H312="En cours",$H312="En revue"),"E",IF($H312="Bloquée","B","P"))),""))</f>
        <v/>
      </c>
      <c r="U312" s="53">
        <f>IF(OR($F312="",$G312=""),"",IF(AND(U$5&lt;=$G312,U$5+6&gt;=$F312),IF($H312="Complétée","F",IF(OR($H312="En cours",$H312="En revue"),"E",IF($H312="Bloquée","B","P"))),""))</f>
        <v/>
      </c>
      <c r="V312" s="53">
        <f>IF(OR($F312="",$G312=""),"",IF(AND(V$5&lt;=$G312,V$5+6&gt;=$F312),IF($H312="Complétée","F",IF(OR($H312="En cours",$H312="En revue"),"E",IF($H312="Bloquée","B","P"))),""))</f>
        <v/>
      </c>
      <c r="W312" s="53">
        <f>IF(OR($F312="",$G312=""),"",IF(AND(W$5&lt;=$G312,W$5+6&gt;=$F312),IF($H312="Complétée","F",IF(OR($H312="En cours",$H312="En revue"),"E",IF($H312="Bloquée","B","P"))),""))</f>
        <v/>
      </c>
      <c r="X312" s="53">
        <f>IF(OR($F312="",$G312=""),"",IF(AND(X$5&lt;=$G312,X$5+6&gt;=$F312),IF($H312="Complétée","F",IF(OR($H312="En cours",$H312="En revue"),"E",IF($H312="Bloquée","B","P"))),""))</f>
        <v/>
      </c>
      <c r="Y312" s="53">
        <f>IF(OR($F312="",$G312=""),"",IF(AND(Y$5&lt;=$G312,Y$5+6&gt;=$F312),IF($H312="Complétée","F",IF(OR($H312="En cours",$H312="En revue"),"E",IF($H312="Bloquée","B","P"))),""))</f>
        <v/>
      </c>
      <c r="Z312" s="53">
        <f>IF(OR($F312="",$G312=""),"",IF(AND(Z$5&lt;=$G312,Z$5+6&gt;=$F312),IF($H312="Complétée","F",IF(OR($H312="En cours",$H312="En revue"),"E",IF($H312="Bloquée","B","P"))),""))</f>
        <v/>
      </c>
      <c r="AA312" s="53">
        <f>IF(OR($F312="",$G312=""),"",IF(AND(AA$5&lt;=$G312,AA$5+6&gt;=$F312),IF($H312="Complétée","F",IF(OR($H312="En cours",$H312="En revue"),"E",IF($H312="Bloquée","B","P"))),""))</f>
        <v/>
      </c>
      <c r="AB312" s="53">
        <f>IF(OR($F312="",$G312=""),"",IF(AND(AB$5&lt;=$G312,AB$5+6&gt;=$F312),IF($H312="Complétée","F",IF(OR($H312="En cours",$H312="En revue"),"E",IF($H312="Bloquée","B","P"))),""))</f>
        <v/>
      </c>
      <c r="AC312" s="53">
        <f>IF(OR($F312="",$G312=""),"",IF(AND(AC$5&lt;=$G312,AC$5+6&gt;=$F312),IF($H312="Complétée","F",IF(OR($H312="En cours",$H312="En revue"),"E",IF($H312="Bloquée","B","P"))),""))</f>
        <v/>
      </c>
      <c r="AD312" s="53">
        <f>IF(OR($F312="",$G312=""),"",IF(AND(AD$5&lt;=$G312,AD$5+6&gt;=$F312),IF($H312="Complétée","F",IF(OR($H312="En cours",$H312="En revue"),"E",IF($H312="Bloquée","B","P"))),""))</f>
        <v/>
      </c>
      <c r="AE312" s="53">
        <f>IF(OR($F312="",$G312=""),"",IF(AND(AE$5&lt;=$G312,AE$5+6&gt;=$F312),IF($H312="Complétée","F",IF(OR($H312="En cours",$H312="En revue"),"E",IF($H312="Bloquée","B","P"))),""))</f>
        <v/>
      </c>
      <c r="AF312" s="53">
        <f>IF(OR($F312="",$G312=""),"",IF(AND(AF$5&lt;=$G312,AF$5+6&gt;=$F312),IF($H312="Complétée","F",IF(OR($H312="En cours",$H312="En revue"),"E",IF($H312="Bloquée","B","P"))),""))</f>
        <v/>
      </c>
      <c r="AG312" s="53">
        <f>IF(OR($F312="",$G312=""),"",IF(AND(AG$5&lt;=$G312,AG$5+6&gt;=$F312),IF($H312="Complétée","F",IF(OR($H312="En cours",$H312="En revue"),"E",IF($H312="Bloquée","B","P"))),""))</f>
        <v/>
      </c>
      <c r="AH312" s="53">
        <f>IF(OR($F312="",$G312=""),"",IF(AND(AH$5&lt;=$G312,AH$5+6&gt;=$F312),IF($H312="Complétée","F",IF(OR($H312="En cours",$H312="En revue"),"E",IF($H312="Bloquée","B","P"))),""))</f>
        <v/>
      </c>
      <c r="AI312" s="53">
        <f>IF(OR($F312="",$G312=""),"",IF(AND(AI$5&lt;=$G312,AI$5+6&gt;=$F312),IF($H312="Complétée","F",IF(OR($H312="En cours",$H312="En revue"),"E",IF($H312="Bloquée","B","P"))),""))</f>
        <v/>
      </c>
      <c r="AJ312" s="53">
        <f>IF(OR($F312="",$G312=""),"",IF(AND(AJ$5&lt;=$G312,AJ$5+6&gt;=$F312),IF($H312="Complétée","F",IF(OR($H312="En cours",$H312="En revue"),"E",IF($H312="Bloquée","B","P"))),""))</f>
        <v/>
      </c>
      <c r="AK312" s="53">
        <f>IF(OR($F312="",$G312=""),"",IF(AND(AK$5&lt;=$G312,AK$5+6&gt;=$F312),IF($H312="Complétée","F",IF(OR($H312="En cours",$H312="En revue"),"E",IF($H312="Bloquée","B","P"))),""))</f>
        <v/>
      </c>
      <c r="AL312" s="53">
        <f>IF(OR($F312="",$G312=""),"",IF(AND(AL$5&lt;=$G312,AL$5+6&gt;=$F312),IF($H312="Complétée","F",IF(OR($H312="En cours",$H312="En revue"),"E",IF($H312="Bloquée","B","P"))),""))</f>
        <v/>
      </c>
      <c r="AM312" s="53">
        <f>IF(OR($F312="",$G312=""),"",IF(AND(AM$5&lt;=$G312,AM$5+6&gt;=$F312),IF($H312="Complétée","F",IF(OR($H312="En cours",$H312="En revue"),"E",IF($H312="Bloquée","B","P"))),""))</f>
        <v/>
      </c>
      <c r="AN312" s="53">
        <f>IF(OR($F312="",$G312=""),"",IF(AND(AN$5&lt;=$G312,AN$5+6&gt;=$F312),IF($H312="Complétée","F",IF(OR($H312="En cours",$H312="En revue"),"E",IF($H312="Bloquée","B","P"))),""))</f>
        <v/>
      </c>
      <c r="AO312" s="53">
        <f>IF(OR($F312="",$G312=""),"",IF(AND(AO$5&lt;=$G312,AO$5+6&gt;=$F312),IF($H312="Complétée","F",IF(OR($H312="En cours",$H312="En revue"),"E",IF($H312="Bloquée","B","P"))),""))</f>
        <v/>
      </c>
      <c r="AP312" s="53">
        <f>IF(OR($F312="",$G312=""),"",IF(AND(AP$5&lt;=$G312,AP$5+6&gt;=$F312),IF($H312="Complétée","F",IF(OR($H312="En cours",$H312="En revue"),"E",IF($H312="Bloquée","B","P"))),""))</f>
        <v/>
      </c>
      <c r="AQ312" s="53">
        <f>IF(OR($F312="",$G312=""),"",IF(AND(AQ$5&lt;=$G312,AQ$5+6&gt;=$F312),IF($H312="Complétée","F",IF(OR($H312="En cours",$H312="En revue"),"E",IF($H312="Bloquée","B","P"))),""))</f>
        <v/>
      </c>
      <c r="AR312" s="53">
        <f>IF(OR($F312="",$G312=""),"",IF(AND(AR$5&lt;=$G312,AR$5+6&gt;=$F312),IF($H312="Complétée","F",IF(OR($H312="En cours",$H312="En revue"),"E",IF($H312="Bloquée","B","P"))),""))</f>
        <v/>
      </c>
      <c r="AS312" s="53">
        <f>IF(OR($F312="",$G312=""),"",IF(AND(AS$5&lt;=$G312,AS$5+6&gt;=$F312),IF($H312="Complétée","F",IF(OR($H312="En cours",$H312="En revue"),"E",IF($H312="Bloquée","B","P"))),""))</f>
        <v/>
      </c>
      <c r="AT312" s="53">
        <f>IF(OR($F312="",$G312=""),"",IF(AND(AT$5&lt;=$G312,AT$5+6&gt;=$F312),IF($H312="Complétée","F",IF(OR($H312="En cours",$H312="En revue"),"E",IF($H312="Bloquée","B","P"))),""))</f>
        <v/>
      </c>
      <c r="AU312" s="53">
        <f>IF(OR($F312="",$G312=""),"",IF(AND(AU$5&lt;=$G312,AU$5+6&gt;=$F312),IF($H312="Complétée","F",IF(OR($H312="En cours",$H312="En revue"),"E",IF($H312="Bloquée","B","P"))),""))</f>
        <v/>
      </c>
      <c r="AV312" s="53">
        <f>IF(OR($F312="",$G312=""),"",IF(AND(AV$5&lt;=$G312,AV$5+6&gt;=$F312),IF($H312="Complétée","F",IF(OR($H312="En cours",$H312="En revue"),"E",IF($H312="Bloquée","B","P"))),""))</f>
        <v/>
      </c>
      <c r="AW312" s="53">
        <f>IF(OR($F312="",$G312=""),"",IF(AND(AW$5&lt;=$G312,AW$5+6&gt;=$F312),IF($H312="Complétée","F",IF(OR($H312="En cours",$H312="En revue"),"E",IF($H312="Bloquée","B","P"))),""))</f>
        <v/>
      </c>
    </row>
    <row r="313">
      <c r="B313" s="50">
        <f>IF(Taches!B313="","",Taches!B313)</f>
        <v/>
      </c>
      <c r="C313" s="51">
        <f>IF(Taches!B313="","",Taches!F313)</f>
        <v/>
      </c>
      <c r="D313" s="50">
        <f>IF(Taches!B313="","",Taches!C313)</f>
        <v/>
      </c>
      <c r="E313" s="50">
        <f>IF(Taches!B313="","",Taches!D313)</f>
        <v/>
      </c>
      <c r="F313" s="52">
        <f>IF(Taches!P313="","",Taches!P313)</f>
        <v/>
      </c>
      <c r="G313" s="52">
        <f>IF(Taches!Q313="","",Taches!Q313)</f>
        <v/>
      </c>
      <c r="H313" s="50">
        <f>IF(Taches!B313="","",Taches!J313)</f>
        <v/>
      </c>
      <c r="I313" s="53">
        <f>IF(OR($F313="",$G313=""),"",IF(AND(I$5&lt;=$G313,I$5+6&gt;=$F313),IF($H313="Complétée","F",IF(OR($H313="En cours",$H313="En revue"),"E",IF($H313="Bloquée","B","P"))),""))</f>
        <v/>
      </c>
      <c r="J313" s="53">
        <f>IF(OR($F313="",$G313=""),"",IF(AND(J$5&lt;=$G313,J$5+6&gt;=$F313),IF($H313="Complétée","F",IF(OR($H313="En cours",$H313="En revue"),"E",IF($H313="Bloquée","B","P"))),""))</f>
        <v/>
      </c>
      <c r="K313" s="53">
        <f>IF(OR($F313="",$G313=""),"",IF(AND(K$5&lt;=$G313,K$5+6&gt;=$F313),IF($H313="Complétée","F",IF(OR($H313="En cours",$H313="En revue"),"E",IF($H313="Bloquée","B","P"))),""))</f>
        <v/>
      </c>
      <c r="L313" s="53">
        <f>IF(OR($F313="",$G313=""),"",IF(AND(L$5&lt;=$G313,L$5+6&gt;=$F313),IF($H313="Complétée","F",IF(OR($H313="En cours",$H313="En revue"),"E",IF($H313="Bloquée","B","P"))),""))</f>
        <v/>
      </c>
      <c r="M313" s="53">
        <f>IF(OR($F313="",$G313=""),"",IF(AND(M$5&lt;=$G313,M$5+6&gt;=$F313),IF($H313="Complétée","F",IF(OR($H313="En cours",$H313="En revue"),"E",IF($H313="Bloquée","B","P"))),""))</f>
        <v/>
      </c>
      <c r="N313" s="53">
        <f>IF(OR($F313="",$G313=""),"",IF(AND(N$5&lt;=$G313,N$5+6&gt;=$F313),IF($H313="Complétée","F",IF(OR($H313="En cours",$H313="En revue"),"E",IF($H313="Bloquée","B","P"))),""))</f>
        <v/>
      </c>
      <c r="O313" s="53">
        <f>IF(OR($F313="",$G313=""),"",IF(AND(O$5&lt;=$G313,O$5+6&gt;=$F313),IF($H313="Complétée","F",IF(OR($H313="En cours",$H313="En revue"),"E",IF($H313="Bloquée","B","P"))),""))</f>
        <v/>
      </c>
      <c r="P313" s="53">
        <f>IF(OR($F313="",$G313=""),"",IF(AND(P$5&lt;=$G313,P$5+6&gt;=$F313),IF($H313="Complétée","F",IF(OR($H313="En cours",$H313="En revue"),"E",IF($H313="Bloquée","B","P"))),""))</f>
        <v/>
      </c>
      <c r="Q313" s="53">
        <f>IF(OR($F313="",$G313=""),"",IF(AND(Q$5&lt;=$G313,Q$5+6&gt;=$F313),IF($H313="Complétée","F",IF(OR($H313="En cours",$H313="En revue"),"E",IF($H313="Bloquée","B","P"))),""))</f>
        <v/>
      </c>
      <c r="R313" s="53">
        <f>IF(OR($F313="",$G313=""),"",IF(AND(R$5&lt;=$G313,R$5+6&gt;=$F313),IF($H313="Complétée","F",IF(OR($H313="En cours",$H313="En revue"),"E",IF($H313="Bloquée","B","P"))),""))</f>
        <v/>
      </c>
      <c r="S313" s="53">
        <f>IF(OR($F313="",$G313=""),"",IF(AND(S$5&lt;=$G313,S$5+6&gt;=$F313),IF($H313="Complétée","F",IF(OR($H313="En cours",$H313="En revue"),"E",IF($H313="Bloquée","B","P"))),""))</f>
        <v/>
      </c>
      <c r="T313" s="53">
        <f>IF(OR($F313="",$G313=""),"",IF(AND(T$5&lt;=$G313,T$5+6&gt;=$F313),IF($H313="Complétée","F",IF(OR($H313="En cours",$H313="En revue"),"E",IF($H313="Bloquée","B","P"))),""))</f>
        <v/>
      </c>
      <c r="U313" s="53">
        <f>IF(OR($F313="",$G313=""),"",IF(AND(U$5&lt;=$G313,U$5+6&gt;=$F313),IF($H313="Complétée","F",IF(OR($H313="En cours",$H313="En revue"),"E",IF($H313="Bloquée","B","P"))),""))</f>
        <v/>
      </c>
      <c r="V313" s="53">
        <f>IF(OR($F313="",$G313=""),"",IF(AND(V$5&lt;=$G313,V$5+6&gt;=$F313),IF($H313="Complétée","F",IF(OR($H313="En cours",$H313="En revue"),"E",IF($H313="Bloquée","B","P"))),""))</f>
        <v/>
      </c>
      <c r="W313" s="53">
        <f>IF(OR($F313="",$G313=""),"",IF(AND(W$5&lt;=$G313,W$5+6&gt;=$F313),IF($H313="Complétée","F",IF(OR($H313="En cours",$H313="En revue"),"E",IF($H313="Bloquée","B","P"))),""))</f>
        <v/>
      </c>
      <c r="X313" s="53">
        <f>IF(OR($F313="",$G313=""),"",IF(AND(X$5&lt;=$G313,X$5+6&gt;=$F313),IF($H313="Complétée","F",IF(OR($H313="En cours",$H313="En revue"),"E",IF($H313="Bloquée","B","P"))),""))</f>
        <v/>
      </c>
      <c r="Y313" s="53">
        <f>IF(OR($F313="",$G313=""),"",IF(AND(Y$5&lt;=$G313,Y$5+6&gt;=$F313),IF($H313="Complétée","F",IF(OR($H313="En cours",$H313="En revue"),"E",IF($H313="Bloquée","B","P"))),""))</f>
        <v/>
      </c>
      <c r="Z313" s="53">
        <f>IF(OR($F313="",$G313=""),"",IF(AND(Z$5&lt;=$G313,Z$5+6&gt;=$F313),IF($H313="Complétée","F",IF(OR($H313="En cours",$H313="En revue"),"E",IF($H313="Bloquée","B","P"))),""))</f>
        <v/>
      </c>
      <c r="AA313" s="53">
        <f>IF(OR($F313="",$G313=""),"",IF(AND(AA$5&lt;=$G313,AA$5+6&gt;=$F313),IF($H313="Complétée","F",IF(OR($H313="En cours",$H313="En revue"),"E",IF($H313="Bloquée","B","P"))),""))</f>
        <v/>
      </c>
      <c r="AB313" s="53">
        <f>IF(OR($F313="",$G313=""),"",IF(AND(AB$5&lt;=$G313,AB$5+6&gt;=$F313),IF($H313="Complétée","F",IF(OR($H313="En cours",$H313="En revue"),"E",IF($H313="Bloquée","B","P"))),""))</f>
        <v/>
      </c>
      <c r="AC313" s="53">
        <f>IF(OR($F313="",$G313=""),"",IF(AND(AC$5&lt;=$G313,AC$5+6&gt;=$F313),IF($H313="Complétée","F",IF(OR($H313="En cours",$H313="En revue"),"E",IF($H313="Bloquée","B","P"))),""))</f>
        <v/>
      </c>
      <c r="AD313" s="53">
        <f>IF(OR($F313="",$G313=""),"",IF(AND(AD$5&lt;=$G313,AD$5+6&gt;=$F313),IF($H313="Complétée","F",IF(OR($H313="En cours",$H313="En revue"),"E",IF($H313="Bloquée","B","P"))),""))</f>
        <v/>
      </c>
      <c r="AE313" s="53">
        <f>IF(OR($F313="",$G313=""),"",IF(AND(AE$5&lt;=$G313,AE$5+6&gt;=$F313),IF($H313="Complétée","F",IF(OR($H313="En cours",$H313="En revue"),"E",IF($H313="Bloquée","B","P"))),""))</f>
        <v/>
      </c>
      <c r="AF313" s="53">
        <f>IF(OR($F313="",$G313=""),"",IF(AND(AF$5&lt;=$G313,AF$5+6&gt;=$F313),IF($H313="Complétée","F",IF(OR($H313="En cours",$H313="En revue"),"E",IF($H313="Bloquée","B","P"))),""))</f>
        <v/>
      </c>
      <c r="AG313" s="53">
        <f>IF(OR($F313="",$G313=""),"",IF(AND(AG$5&lt;=$G313,AG$5+6&gt;=$F313),IF($H313="Complétée","F",IF(OR($H313="En cours",$H313="En revue"),"E",IF($H313="Bloquée","B","P"))),""))</f>
        <v/>
      </c>
      <c r="AH313" s="53">
        <f>IF(OR($F313="",$G313=""),"",IF(AND(AH$5&lt;=$G313,AH$5+6&gt;=$F313),IF($H313="Complétée","F",IF(OR($H313="En cours",$H313="En revue"),"E",IF($H313="Bloquée","B","P"))),""))</f>
        <v/>
      </c>
      <c r="AI313" s="53">
        <f>IF(OR($F313="",$G313=""),"",IF(AND(AI$5&lt;=$G313,AI$5+6&gt;=$F313),IF($H313="Complétée","F",IF(OR($H313="En cours",$H313="En revue"),"E",IF($H313="Bloquée","B","P"))),""))</f>
        <v/>
      </c>
      <c r="AJ313" s="53">
        <f>IF(OR($F313="",$G313=""),"",IF(AND(AJ$5&lt;=$G313,AJ$5+6&gt;=$F313),IF($H313="Complétée","F",IF(OR($H313="En cours",$H313="En revue"),"E",IF($H313="Bloquée","B","P"))),""))</f>
        <v/>
      </c>
      <c r="AK313" s="53">
        <f>IF(OR($F313="",$G313=""),"",IF(AND(AK$5&lt;=$G313,AK$5+6&gt;=$F313),IF($H313="Complétée","F",IF(OR($H313="En cours",$H313="En revue"),"E",IF($H313="Bloquée","B","P"))),""))</f>
        <v/>
      </c>
      <c r="AL313" s="53">
        <f>IF(OR($F313="",$G313=""),"",IF(AND(AL$5&lt;=$G313,AL$5+6&gt;=$F313),IF($H313="Complétée","F",IF(OR($H313="En cours",$H313="En revue"),"E",IF($H313="Bloquée","B","P"))),""))</f>
        <v/>
      </c>
      <c r="AM313" s="53">
        <f>IF(OR($F313="",$G313=""),"",IF(AND(AM$5&lt;=$G313,AM$5+6&gt;=$F313),IF($H313="Complétée","F",IF(OR($H313="En cours",$H313="En revue"),"E",IF($H313="Bloquée","B","P"))),""))</f>
        <v/>
      </c>
      <c r="AN313" s="53">
        <f>IF(OR($F313="",$G313=""),"",IF(AND(AN$5&lt;=$G313,AN$5+6&gt;=$F313),IF($H313="Complétée","F",IF(OR($H313="En cours",$H313="En revue"),"E",IF($H313="Bloquée","B","P"))),""))</f>
        <v/>
      </c>
      <c r="AO313" s="53">
        <f>IF(OR($F313="",$G313=""),"",IF(AND(AO$5&lt;=$G313,AO$5+6&gt;=$F313),IF($H313="Complétée","F",IF(OR($H313="En cours",$H313="En revue"),"E",IF($H313="Bloquée","B","P"))),""))</f>
        <v/>
      </c>
      <c r="AP313" s="53">
        <f>IF(OR($F313="",$G313=""),"",IF(AND(AP$5&lt;=$G313,AP$5+6&gt;=$F313),IF($H313="Complétée","F",IF(OR($H313="En cours",$H313="En revue"),"E",IF($H313="Bloquée","B","P"))),""))</f>
        <v/>
      </c>
      <c r="AQ313" s="53">
        <f>IF(OR($F313="",$G313=""),"",IF(AND(AQ$5&lt;=$G313,AQ$5+6&gt;=$F313),IF($H313="Complétée","F",IF(OR($H313="En cours",$H313="En revue"),"E",IF($H313="Bloquée","B","P"))),""))</f>
        <v/>
      </c>
      <c r="AR313" s="53">
        <f>IF(OR($F313="",$G313=""),"",IF(AND(AR$5&lt;=$G313,AR$5+6&gt;=$F313),IF($H313="Complétée","F",IF(OR($H313="En cours",$H313="En revue"),"E",IF($H313="Bloquée","B","P"))),""))</f>
        <v/>
      </c>
      <c r="AS313" s="53">
        <f>IF(OR($F313="",$G313=""),"",IF(AND(AS$5&lt;=$G313,AS$5+6&gt;=$F313),IF($H313="Complétée","F",IF(OR($H313="En cours",$H313="En revue"),"E",IF($H313="Bloquée","B","P"))),""))</f>
        <v/>
      </c>
      <c r="AT313" s="53">
        <f>IF(OR($F313="",$G313=""),"",IF(AND(AT$5&lt;=$G313,AT$5+6&gt;=$F313),IF($H313="Complétée","F",IF(OR($H313="En cours",$H313="En revue"),"E",IF($H313="Bloquée","B","P"))),""))</f>
        <v/>
      </c>
      <c r="AU313" s="53">
        <f>IF(OR($F313="",$G313=""),"",IF(AND(AU$5&lt;=$G313,AU$5+6&gt;=$F313),IF($H313="Complétée","F",IF(OR($H313="En cours",$H313="En revue"),"E",IF($H313="Bloquée","B","P"))),""))</f>
        <v/>
      </c>
      <c r="AV313" s="53">
        <f>IF(OR($F313="",$G313=""),"",IF(AND(AV$5&lt;=$G313,AV$5+6&gt;=$F313),IF($H313="Complétée","F",IF(OR($H313="En cours",$H313="En revue"),"E",IF($H313="Bloquée","B","P"))),""))</f>
        <v/>
      </c>
      <c r="AW313" s="53">
        <f>IF(OR($F313="",$G313=""),"",IF(AND(AW$5&lt;=$G313,AW$5+6&gt;=$F313),IF($H313="Complétée","F",IF(OR($H313="En cours",$H313="En revue"),"E",IF($H313="Bloquée","B","P"))),""))</f>
        <v/>
      </c>
    </row>
    <row r="314">
      <c r="B314" s="50">
        <f>IF(Taches!B314="","",Taches!B314)</f>
        <v/>
      </c>
      <c r="C314" s="51">
        <f>IF(Taches!B314="","",Taches!F314)</f>
        <v/>
      </c>
      <c r="D314" s="50">
        <f>IF(Taches!B314="","",Taches!C314)</f>
        <v/>
      </c>
      <c r="E314" s="50">
        <f>IF(Taches!B314="","",Taches!D314)</f>
        <v/>
      </c>
      <c r="F314" s="52">
        <f>IF(Taches!P314="","",Taches!P314)</f>
        <v/>
      </c>
      <c r="G314" s="52">
        <f>IF(Taches!Q314="","",Taches!Q314)</f>
        <v/>
      </c>
      <c r="H314" s="50">
        <f>IF(Taches!B314="","",Taches!J314)</f>
        <v/>
      </c>
      <c r="I314" s="53">
        <f>IF(OR($F314="",$G314=""),"",IF(AND(I$5&lt;=$G314,I$5+6&gt;=$F314),IF($H314="Complétée","F",IF(OR($H314="En cours",$H314="En revue"),"E",IF($H314="Bloquée","B","P"))),""))</f>
        <v/>
      </c>
      <c r="J314" s="53">
        <f>IF(OR($F314="",$G314=""),"",IF(AND(J$5&lt;=$G314,J$5+6&gt;=$F314),IF($H314="Complétée","F",IF(OR($H314="En cours",$H314="En revue"),"E",IF($H314="Bloquée","B","P"))),""))</f>
        <v/>
      </c>
      <c r="K314" s="53">
        <f>IF(OR($F314="",$G314=""),"",IF(AND(K$5&lt;=$G314,K$5+6&gt;=$F314),IF($H314="Complétée","F",IF(OR($H314="En cours",$H314="En revue"),"E",IF($H314="Bloquée","B","P"))),""))</f>
        <v/>
      </c>
      <c r="L314" s="53">
        <f>IF(OR($F314="",$G314=""),"",IF(AND(L$5&lt;=$G314,L$5+6&gt;=$F314),IF($H314="Complétée","F",IF(OR($H314="En cours",$H314="En revue"),"E",IF($H314="Bloquée","B","P"))),""))</f>
        <v/>
      </c>
      <c r="M314" s="53">
        <f>IF(OR($F314="",$G314=""),"",IF(AND(M$5&lt;=$G314,M$5+6&gt;=$F314),IF($H314="Complétée","F",IF(OR($H314="En cours",$H314="En revue"),"E",IF($H314="Bloquée","B","P"))),""))</f>
        <v/>
      </c>
      <c r="N314" s="53">
        <f>IF(OR($F314="",$G314=""),"",IF(AND(N$5&lt;=$G314,N$5+6&gt;=$F314),IF($H314="Complétée","F",IF(OR($H314="En cours",$H314="En revue"),"E",IF($H314="Bloquée","B","P"))),""))</f>
        <v/>
      </c>
      <c r="O314" s="53">
        <f>IF(OR($F314="",$G314=""),"",IF(AND(O$5&lt;=$G314,O$5+6&gt;=$F314),IF($H314="Complétée","F",IF(OR($H314="En cours",$H314="En revue"),"E",IF($H314="Bloquée","B","P"))),""))</f>
        <v/>
      </c>
      <c r="P314" s="53">
        <f>IF(OR($F314="",$G314=""),"",IF(AND(P$5&lt;=$G314,P$5+6&gt;=$F314),IF($H314="Complétée","F",IF(OR($H314="En cours",$H314="En revue"),"E",IF($H314="Bloquée","B","P"))),""))</f>
        <v/>
      </c>
      <c r="Q314" s="53">
        <f>IF(OR($F314="",$G314=""),"",IF(AND(Q$5&lt;=$G314,Q$5+6&gt;=$F314),IF($H314="Complétée","F",IF(OR($H314="En cours",$H314="En revue"),"E",IF($H314="Bloquée","B","P"))),""))</f>
        <v/>
      </c>
      <c r="R314" s="53">
        <f>IF(OR($F314="",$G314=""),"",IF(AND(R$5&lt;=$G314,R$5+6&gt;=$F314),IF($H314="Complétée","F",IF(OR($H314="En cours",$H314="En revue"),"E",IF($H314="Bloquée","B","P"))),""))</f>
        <v/>
      </c>
      <c r="S314" s="53">
        <f>IF(OR($F314="",$G314=""),"",IF(AND(S$5&lt;=$G314,S$5+6&gt;=$F314),IF($H314="Complétée","F",IF(OR($H314="En cours",$H314="En revue"),"E",IF($H314="Bloquée","B","P"))),""))</f>
        <v/>
      </c>
      <c r="T314" s="53">
        <f>IF(OR($F314="",$G314=""),"",IF(AND(T$5&lt;=$G314,T$5+6&gt;=$F314),IF($H314="Complétée","F",IF(OR($H314="En cours",$H314="En revue"),"E",IF($H314="Bloquée","B","P"))),""))</f>
        <v/>
      </c>
      <c r="U314" s="53">
        <f>IF(OR($F314="",$G314=""),"",IF(AND(U$5&lt;=$G314,U$5+6&gt;=$F314),IF($H314="Complétée","F",IF(OR($H314="En cours",$H314="En revue"),"E",IF($H314="Bloquée","B","P"))),""))</f>
        <v/>
      </c>
      <c r="V314" s="53">
        <f>IF(OR($F314="",$G314=""),"",IF(AND(V$5&lt;=$G314,V$5+6&gt;=$F314),IF($H314="Complétée","F",IF(OR($H314="En cours",$H314="En revue"),"E",IF($H314="Bloquée","B","P"))),""))</f>
        <v/>
      </c>
      <c r="W314" s="53">
        <f>IF(OR($F314="",$G314=""),"",IF(AND(W$5&lt;=$G314,W$5+6&gt;=$F314),IF($H314="Complétée","F",IF(OR($H314="En cours",$H314="En revue"),"E",IF($H314="Bloquée","B","P"))),""))</f>
        <v/>
      </c>
      <c r="X314" s="53">
        <f>IF(OR($F314="",$G314=""),"",IF(AND(X$5&lt;=$G314,X$5+6&gt;=$F314),IF($H314="Complétée","F",IF(OR($H314="En cours",$H314="En revue"),"E",IF($H314="Bloquée","B","P"))),""))</f>
        <v/>
      </c>
      <c r="Y314" s="53">
        <f>IF(OR($F314="",$G314=""),"",IF(AND(Y$5&lt;=$G314,Y$5+6&gt;=$F314),IF($H314="Complétée","F",IF(OR($H314="En cours",$H314="En revue"),"E",IF($H314="Bloquée","B","P"))),""))</f>
        <v/>
      </c>
      <c r="Z314" s="53">
        <f>IF(OR($F314="",$G314=""),"",IF(AND(Z$5&lt;=$G314,Z$5+6&gt;=$F314),IF($H314="Complétée","F",IF(OR($H314="En cours",$H314="En revue"),"E",IF($H314="Bloquée","B","P"))),""))</f>
        <v/>
      </c>
      <c r="AA314" s="53">
        <f>IF(OR($F314="",$G314=""),"",IF(AND(AA$5&lt;=$G314,AA$5+6&gt;=$F314),IF($H314="Complétée","F",IF(OR($H314="En cours",$H314="En revue"),"E",IF($H314="Bloquée","B","P"))),""))</f>
        <v/>
      </c>
      <c r="AB314" s="53">
        <f>IF(OR($F314="",$G314=""),"",IF(AND(AB$5&lt;=$G314,AB$5+6&gt;=$F314),IF($H314="Complétée","F",IF(OR($H314="En cours",$H314="En revue"),"E",IF($H314="Bloquée","B","P"))),""))</f>
        <v/>
      </c>
      <c r="AC314" s="53">
        <f>IF(OR($F314="",$G314=""),"",IF(AND(AC$5&lt;=$G314,AC$5+6&gt;=$F314),IF($H314="Complétée","F",IF(OR($H314="En cours",$H314="En revue"),"E",IF($H314="Bloquée","B","P"))),""))</f>
        <v/>
      </c>
      <c r="AD314" s="53">
        <f>IF(OR($F314="",$G314=""),"",IF(AND(AD$5&lt;=$G314,AD$5+6&gt;=$F314),IF($H314="Complétée","F",IF(OR($H314="En cours",$H314="En revue"),"E",IF($H314="Bloquée","B","P"))),""))</f>
        <v/>
      </c>
      <c r="AE314" s="53">
        <f>IF(OR($F314="",$G314=""),"",IF(AND(AE$5&lt;=$G314,AE$5+6&gt;=$F314),IF($H314="Complétée","F",IF(OR($H314="En cours",$H314="En revue"),"E",IF($H314="Bloquée","B","P"))),""))</f>
        <v/>
      </c>
      <c r="AF314" s="53">
        <f>IF(OR($F314="",$G314=""),"",IF(AND(AF$5&lt;=$G314,AF$5+6&gt;=$F314),IF($H314="Complétée","F",IF(OR($H314="En cours",$H314="En revue"),"E",IF($H314="Bloquée","B","P"))),""))</f>
        <v/>
      </c>
      <c r="AG314" s="53">
        <f>IF(OR($F314="",$G314=""),"",IF(AND(AG$5&lt;=$G314,AG$5+6&gt;=$F314),IF($H314="Complétée","F",IF(OR($H314="En cours",$H314="En revue"),"E",IF($H314="Bloquée","B","P"))),""))</f>
        <v/>
      </c>
      <c r="AH314" s="53">
        <f>IF(OR($F314="",$G314=""),"",IF(AND(AH$5&lt;=$G314,AH$5+6&gt;=$F314),IF($H314="Complétée","F",IF(OR($H314="En cours",$H314="En revue"),"E",IF($H314="Bloquée","B","P"))),""))</f>
        <v/>
      </c>
      <c r="AI314" s="53">
        <f>IF(OR($F314="",$G314=""),"",IF(AND(AI$5&lt;=$G314,AI$5+6&gt;=$F314),IF($H314="Complétée","F",IF(OR($H314="En cours",$H314="En revue"),"E",IF($H314="Bloquée","B","P"))),""))</f>
        <v/>
      </c>
      <c r="AJ314" s="53">
        <f>IF(OR($F314="",$G314=""),"",IF(AND(AJ$5&lt;=$G314,AJ$5+6&gt;=$F314),IF($H314="Complétée","F",IF(OR($H314="En cours",$H314="En revue"),"E",IF($H314="Bloquée","B","P"))),""))</f>
        <v/>
      </c>
      <c r="AK314" s="53">
        <f>IF(OR($F314="",$G314=""),"",IF(AND(AK$5&lt;=$G314,AK$5+6&gt;=$F314),IF($H314="Complétée","F",IF(OR($H314="En cours",$H314="En revue"),"E",IF($H314="Bloquée","B","P"))),""))</f>
        <v/>
      </c>
      <c r="AL314" s="53">
        <f>IF(OR($F314="",$G314=""),"",IF(AND(AL$5&lt;=$G314,AL$5+6&gt;=$F314),IF($H314="Complétée","F",IF(OR($H314="En cours",$H314="En revue"),"E",IF($H314="Bloquée","B","P"))),""))</f>
        <v/>
      </c>
      <c r="AM314" s="53">
        <f>IF(OR($F314="",$G314=""),"",IF(AND(AM$5&lt;=$G314,AM$5+6&gt;=$F314),IF($H314="Complétée","F",IF(OR($H314="En cours",$H314="En revue"),"E",IF($H314="Bloquée","B","P"))),""))</f>
        <v/>
      </c>
      <c r="AN314" s="53">
        <f>IF(OR($F314="",$G314=""),"",IF(AND(AN$5&lt;=$G314,AN$5+6&gt;=$F314),IF($H314="Complétée","F",IF(OR($H314="En cours",$H314="En revue"),"E",IF($H314="Bloquée","B","P"))),""))</f>
        <v/>
      </c>
      <c r="AO314" s="53">
        <f>IF(OR($F314="",$G314=""),"",IF(AND(AO$5&lt;=$G314,AO$5+6&gt;=$F314),IF($H314="Complétée","F",IF(OR($H314="En cours",$H314="En revue"),"E",IF($H314="Bloquée","B","P"))),""))</f>
        <v/>
      </c>
      <c r="AP314" s="53">
        <f>IF(OR($F314="",$G314=""),"",IF(AND(AP$5&lt;=$G314,AP$5+6&gt;=$F314),IF($H314="Complétée","F",IF(OR($H314="En cours",$H314="En revue"),"E",IF($H314="Bloquée","B","P"))),""))</f>
        <v/>
      </c>
      <c r="AQ314" s="53">
        <f>IF(OR($F314="",$G314=""),"",IF(AND(AQ$5&lt;=$G314,AQ$5+6&gt;=$F314),IF($H314="Complétée","F",IF(OR($H314="En cours",$H314="En revue"),"E",IF($H314="Bloquée","B","P"))),""))</f>
        <v/>
      </c>
      <c r="AR314" s="53">
        <f>IF(OR($F314="",$G314=""),"",IF(AND(AR$5&lt;=$G314,AR$5+6&gt;=$F314),IF($H314="Complétée","F",IF(OR($H314="En cours",$H314="En revue"),"E",IF($H314="Bloquée","B","P"))),""))</f>
        <v/>
      </c>
      <c r="AS314" s="53">
        <f>IF(OR($F314="",$G314=""),"",IF(AND(AS$5&lt;=$G314,AS$5+6&gt;=$F314),IF($H314="Complétée","F",IF(OR($H314="En cours",$H314="En revue"),"E",IF($H314="Bloquée","B","P"))),""))</f>
        <v/>
      </c>
      <c r="AT314" s="53">
        <f>IF(OR($F314="",$G314=""),"",IF(AND(AT$5&lt;=$G314,AT$5+6&gt;=$F314),IF($H314="Complétée","F",IF(OR($H314="En cours",$H314="En revue"),"E",IF($H314="Bloquée","B","P"))),""))</f>
        <v/>
      </c>
      <c r="AU314" s="53">
        <f>IF(OR($F314="",$G314=""),"",IF(AND(AU$5&lt;=$G314,AU$5+6&gt;=$F314),IF($H314="Complétée","F",IF(OR($H314="En cours",$H314="En revue"),"E",IF($H314="Bloquée","B","P"))),""))</f>
        <v/>
      </c>
      <c r="AV314" s="53">
        <f>IF(OR($F314="",$G314=""),"",IF(AND(AV$5&lt;=$G314,AV$5+6&gt;=$F314),IF($H314="Complétée","F",IF(OR($H314="En cours",$H314="En revue"),"E",IF($H314="Bloquée","B","P"))),""))</f>
        <v/>
      </c>
      <c r="AW314" s="53">
        <f>IF(OR($F314="",$G314=""),"",IF(AND(AW$5&lt;=$G314,AW$5+6&gt;=$F314),IF($H314="Complétée","F",IF(OR($H314="En cours",$H314="En revue"),"E",IF($H314="Bloquée","B","P"))),""))</f>
        <v/>
      </c>
    </row>
    <row r="315">
      <c r="B315" s="50">
        <f>IF(Taches!B315="","",Taches!B315)</f>
        <v/>
      </c>
      <c r="C315" s="51">
        <f>IF(Taches!B315="","",Taches!F315)</f>
        <v/>
      </c>
      <c r="D315" s="50">
        <f>IF(Taches!B315="","",Taches!C315)</f>
        <v/>
      </c>
      <c r="E315" s="50">
        <f>IF(Taches!B315="","",Taches!D315)</f>
        <v/>
      </c>
      <c r="F315" s="52">
        <f>IF(Taches!P315="","",Taches!P315)</f>
        <v/>
      </c>
      <c r="G315" s="52">
        <f>IF(Taches!Q315="","",Taches!Q315)</f>
        <v/>
      </c>
      <c r="H315" s="50">
        <f>IF(Taches!B315="","",Taches!J315)</f>
        <v/>
      </c>
      <c r="I315" s="53">
        <f>IF(OR($F315="",$G315=""),"",IF(AND(I$5&lt;=$G315,I$5+6&gt;=$F315),IF($H315="Complétée","F",IF(OR($H315="En cours",$H315="En revue"),"E",IF($H315="Bloquée","B","P"))),""))</f>
        <v/>
      </c>
      <c r="J315" s="53">
        <f>IF(OR($F315="",$G315=""),"",IF(AND(J$5&lt;=$G315,J$5+6&gt;=$F315),IF($H315="Complétée","F",IF(OR($H315="En cours",$H315="En revue"),"E",IF($H315="Bloquée","B","P"))),""))</f>
        <v/>
      </c>
      <c r="K315" s="53">
        <f>IF(OR($F315="",$G315=""),"",IF(AND(K$5&lt;=$G315,K$5+6&gt;=$F315),IF($H315="Complétée","F",IF(OR($H315="En cours",$H315="En revue"),"E",IF($H315="Bloquée","B","P"))),""))</f>
        <v/>
      </c>
      <c r="L315" s="53">
        <f>IF(OR($F315="",$G315=""),"",IF(AND(L$5&lt;=$G315,L$5+6&gt;=$F315),IF($H315="Complétée","F",IF(OR($H315="En cours",$H315="En revue"),"E",IF($H315="Bloquée","B","P"))),""))</f>
        <v/>
      </c>
      <c r="M315" s="53">
        <f>IF(OR($F315="",$G315=""),"",IF(AND(M$5&lt;=$G315,M$5+6&gt;=$F315),IF($H315="Complétée","F",IF(OR($H315="En cours",$H315="En revue"),"E",IF($H315="Bloquée","B","P"))),""))</f>
        <v/>
      </c>
      <c r="N315" s="53">
        <f>IF(OR($F315="",$G315=""),"",IF(AND(N$5&lt;=$G315,N$5+6&gt;=$F315),IF($H315="Complétée","F",IF(OR($H315="En cours",$H315="En revue"),"E",IF($H315="Bloquée","B","P"))),""))</f>
        <v/>
      </c>
      <c r="O315" s="53">
        <f>IF(OR($F315="",$G315=""),"",IF(AND(O$5&lt;=$G315,O$5+6&gt;=$F315),IF($H315="Complétée","F",IF(OR($H315="En cours",$H315="En revue"),"E",IF($H315="Bloquée","B","P"))),""))</f>
        <v/>
      </c>
      <c r="P315" s="53">
        <f>IF(OR($F315="",$G315=""),"",IF(AND(P$5&lt;=$G315,P$5+6&gt;=$F315),IF($H315="Complétée","F",IF(OR($H315="En cours",$H315="En revue"),"E",IF($H315="Bloquée","B","P"))),""))</f>
        <v/>
      </c>
      <c r="Q315" s="53">
        <f>IF(OR($F315="",$G315=""),"",IF(AND(Q$5&lt;=$G315,Q$5+6&gt;=$F315),IF($H315="Complétée","F",IF(OR($H315="En cours",$H315="En revue"),"E",IF($H315="Bloquée","B","P"))),""))</f>
        <v/>
      </c>
      <c r="R315" s="53">
        <f>IF(OR($F315="",$G315=""),"",IF(AND(R$5&lt;=$G315,R$5+6&gt;=$F315),IF($H315="Complétée","F",IF(OR($H315="En cours",$H315="En revue"),"E",IF($H315="Bloquée","B","P"))),""))</f>
        <v/>
      </c>
      <c r="S315" s="53">
        <f>IF(OR($F315="",$G315=""),"",IF(AND(S$5&lt;=$G315,S$5+6&gt;=$F315),IF($H315="Complétée","F",IF(OR($H315="En cours",$H315="En revue"),"E",IF($H315="Bloquée","B","P"))),""))</f>
        <v/>
      </c>
      <c r="T315" s="53">
        <f>IF(OR($F315="",$G315=""),"",IF(AND(T$5&lt;=$G315,T$5+6&gt;=$F315),IF($H315="Complétée","F",IF(OR($H315="En cours",$H315="En revue"),"E",IF($H315="Bloquée","B","P"))),""))</f>
        <v/>
      </c>
      <c r="U315" s="53">
        <f>IF(OR($F315="",$G315=""),"",IF(AND(U$5&lt;=$G315,U$5+6&gt;=$F315),IF($H315="Complétée","F",IF(OR($H315="En cours",$H315="En revue"),"E",IF($H315="Bloquée","B","P"))),""))</f>
        <v/>
      </c>
      <c r="V315" s="53">
        <f>IF(OR($F315="",$G315=""),"",IF(AND(V$5&lt;=$G315,V$5+6&gt;=$F315),IF($H315="Complétée","F",IF(OR($H315="En cours",$H315="En revue"),"E",IF($H315="Bloquée","B","P"))),""))</f>
        <v/>
      </c>
      <c r="W315" s="53">
        <f>IF(OR($F315="",$G315=""),"",IF(AND(W$5&lt;=$G315,W$5+6&gt;=$F315),IF($H315="Complétée","F",IF(OR($H315="En cours",$H315="En revue"),"E",IF($H315="Bloquée","B","P"))),""))</f>
        <v/>
      </c>
      <c r="X315" s="53">
        <f>IF(OR($F315="",$G315=""),"",IF(AND(X$5&lt;=$G315,X$5+6&gt;=$F315),IF($H315="Complétée","F",IF(OR($H315="En cours",$H315="En revue"),"E",IF($H315="Bloquée","B","P"))),""))</f>
        <v/>
      </c>
      <c r="Y315" s="53">
        <f>IF(OR($F315="",$G315=""),"",IF(AND(Y$5&lt;=$G315,Y$5+6&gt;=$F315),IF($H315="Complétée","F",IF(OR($H315="En cours",$H315="En revue"),"E",IF($H315="Bloquée","B","P"))),""))</f>
        <v/>
      </c>
      <c r="Z315" s="53">
        <f>IF(OR($F315="",$G315=""),"",IF(AND(Z$5&lt;=$G315,Z$5+6&gt;=$F315),IF($H315="Complétée","F",IF(OR($H315="En cours",$H315="En revue"),"E",IF($H315="Bloquée","B","P"))),""))</f>
        <v/>
      </c>
      <c r="AA315" s="53">
        <f>IF(OR($F315="",$G315=""),"",IF(AND(AA$5&lt;=$G315,AA$5+6&gt;=$F315),IF($H315="Complétée","F",IF(OR($H315="En cours",$H315="En revue"),"E",IF($H315="Bloquée","B","P"))),""))</f>
        <v/>
      </c>
      <c r="AB315" s="53">
        <f>IF(OR($F315="",$G315=""),"",IF(AND(AB$5&lt;=$G315,AB$5+6&gt;=$F315),IF($H315="Complétée","F",IF(OR($H315="En cours",$H315="En revue"),"E",IF($H315="Bloquée","B","P"))),""))</f>
        <v/>
      </c>
      <c r="AC315" s="53">
        <f>IF(OR($F315="",$G315=""),"",IF(AND(AC$5&lt;=$G315,AC$5+6&gt;=$F315),IF($H315="Complétée","F",IF(OR($H315="En cours",$H315="En revue"),"E",IF($H315="Bloquée","B","P"))),""))</f>
        <v/>
      </c>
      <c r="AD315" s="53">
        <f>IF(OR($F315="",$G315=""),"",IF(AND(AD$5&lt;=$G315,AD$5+6&gt;=$F315),IF($H315="Complétée","F",IF(OR($H315="En cours",$H315="En revue"),"E",IF($H315="Bloquée","B","P"))),""))</f>
        <v/>
      </c>
      <c r="AE315" s="53">
        <f>IF(OR($F315="",$G315=""),"",IF(AND(AE$5&lt;=$G315,AE$5+6&gt;=$F315),IF($H315="Complétée","F",IF(OR($H315="En cours",$H315="En revue"),"E",IF($H315="Bloquée","B","P"))),""))</f>
        <v/>
      </c>
      <c r="AF315" s="53">
        <f>IF(OR($F315="",$G315=""),"",IF(AND(AF$5&lt;=$G315,AF$5+6&gt;=$F315),IF($H315="Complétée","F",IF(OR($H315="En cours",$H315="En revue"),"E",IF($H315="Bloquée","B","P"))),""))</f>
        <v/>
      </c>
      <c r="AG315" s="53">
        <f>IF(OR($F315="",$G315=""),"",IF(AND(AG$5&lt;=$G315,AG$5+6&gt;=$F315),IF($H315="Complétée","F",IF(OR($H315="En cours",$H315="En revue"),"E",IF($H315="Bloquée","B","P"))),""))</f>
        <v/>
      </c>
      <c r="AH315" s="53">
        <f>IF(OR($F315="",$G315=""),"",IF(AND(AH$5&lt;=$G315,AH$5+6&gt;=$F315),IF($H315="Complétée","F",IF(OR($H315="En cours",$H315="En revue"),"E",IF($H315="Bloquée","B","P"))),""))</f>
        <v/>
      </c>
      <c r="AI315" s="53">
        <f>IF(OR($F315="",$G315=""),"",IF(AND(AI$5&lt;=$G315,AI$5+6&gt;=$F315),IF($H315="Complétée","F",IF(OR($H315="En cours",$H315="En revue"),"E",IF($H315="Bloquée","B","P"))),""))</f>
        <v/>
      </c>
      <c r="AJ315" s="53">
        <f>IF(OR($F315="",$G315=""),"",IF(AND(AJ$5&lt;=$G315,AJ$5+6&gt;=$F315),IF($H315="Complétée","F",IF(OR($H315="En cours",$H315="En revue"),"E",IF($H315="Bloquée","B","P"))),""))</f>
        <v/>
      </c>
      <c r="AK315" s="53">
        <f>IF(OR($F315="",$G315=""),"",IF(AND(AK$5&lt;=$G315,AK$5+6&gt;=$F315),IF($H315="Complétée","F",IF(OR($H315="En cours",$H315="En revue"),"E",IF($H315="Bloquée","B","P"))),""))</f>
        <v/>
      </c>
      <c r="AL315" s="53">
        <f>IF(OR($F315="",$G315=""),"",IF(AND(AL$5&lt;=$G315,AL$5+6&gt;=$F315),IF($H315="Complétée","F",IF(OR($H315="En cours",$H315="En revue"),"E",IF($H315="Bloquée","B","P"))),""))</f>
        <v/>
      </c>
      <c r="AM315" s="53">
        <f>IF(OR($F315="",$G315=""),"",IF(AND(AM$5&lt;=$G315,AM$5+6&gt;=$F315),IF($H315="Complétée","F",IF(OR($H315="En cours",$H315="En revue"),"E",IF($H315="Bloquée","B","P"))),""))</f>
        <v/>
      </c>
      <c r="AN315" s="53">
        <f>IF(OR($F315="",$G315=""),"",IF(AND(AN$5&lt;=$G315,AN$5+6&gt;=$F315),IF($H315="Complétée","F",IF(OR($H315="En cours",$H315="En revue"),"E",IF($H315="Bloquée","B","P"))),""))</f>
        <v/>
      </c>
      <c r="AO315" s="53">
        <f>IF(OR($F315="",$G315=""),"",IF(AND(AO$5&lt;=$G315,AO$5+6&gt;=$F315),IF($H315="Complétée","F",IF(OR($H315="En cours",$H315="En revue"),"E",IF($H315="Bloquée","B","P"))),""))</f>
        <v/>
      </c>
      <c r="AP315" s="53">
        <f>IF(OR($F315="",$G315=""),"",IF(AND(AP$5&lt;=$G315,AP$5+6&gt;=$F315),IF($H315="Complétée","F",IF(OR($H315="En cours",$H315="En revue"),"E",IF($H315="Bloquée","B","P"))),""))</f>
        <v/>
      </c>
      <c r="AQ315" s="53">
        <f>IF(OR($F315="",$G315=""),"",IF(AND(AQ$5&lt;=$G315,AQ$5+6&gt;=$F315),IF($H315="Complétée","F",IF(OR($H315="En cours",$H315="En revue"),"E",IF($H315="Bloquée","B","P"))),""))</f>
        <v/>
      </c>
      <c r="AR315" s="53">
        <f>IF(OR($F315="",$G315=""),"",IF(AND(AR$5&lt;=$G315,AR$5+6&gt;=$F315),IF($H315="Complétée","F",IF(OR($H315="En cours",$H315="En revue"),"E",IF($H315="Bloquée","B","P"))),""))</f>
        <v/>
      </c>
      <c r="AS315" s="53">
        <f>IF(OR($F315="",$G315=""),"",IF(AND(AS$5&lt;=$G315,AS$5+6&gt;=$F315),IF($H315="Complétée","F",IF(OR($H315="En cours",$H315="En revue"),"E",IF($H315="Bloquée","B","P"))),""))</f>
        <v/>
      </c>
      <c r="AT315" s="53">
        <f>IF(OR($F315="",$G315=""),"",IF(AND(AT$5&lt;=$G315,AT$5+6&gt;=$F315),IF($H315="Complétée","F",IF(OR($H315="En cours",$H315="En revue"),"E",IF($H315="Bloquée","B","P"))),""))</f>
        <v/>
      </c>
      <c r="AU315" s="53">
        <f>IF(OR($F315="",$G315=""),"",IF(AND(AU$5&lt;=$G315,AU$5+6&gt;=$F315),IF($H315="Complétée","F",IF(OR($H315="En cours",$H315="En revue"),"E",IF($H315="Bloquée","B","P"))),""))</f>
        <v/>
      </c>
      <c r="AV315" s="53">
        <f>IF(OR($F315="",$G315=""),"",IF(AND(AV$5&lt;=$G315,AV$5+6&gt;=$F315),IF($H315="Complétée","F",IF(OR($H315="En cours",$H315="En revue"),"E",IF($H315="Bloquée","B","P"))),""))</f>
        <v/>
      </c>
      <c r="AW315" s="53">
        <f>IF(OR($F315="",$G315=""),"",IF(AND(AW$5&lt;=$G315,AW$5+6&gt;=$F315),IF($H315="Complétée","F",IF(OR($H315="En cours",$H315="En revue"),"E",IF($H315="Bloquée","B","P"))),""))</f>
        <v/>
      </c>
    </row>
    <row r="316">
      <c r="B316" s="50">
        <f>IF(Taches!B316="","",Taches!B316)</f>
        <v/>
      </c>
      <c r="C316" s="51">
        <f>IF(Taches!B316="","",Taches!F316)</f>
        <v/>
      </c>
      <c r="D316" s="50">
        <f>IF(Taches!B316="","",Taches!C316)</f>
        <v/>
      </c>
      <c r="E316" s="50">
        <f>IF(Taches!B316="","",Taches!D316)</f>
        <v/>
      </c>
      <c r="F316" s="52">
        <f>IF(Taches!P316="","",Taches!P316)</f>
        <v/>
      </c>
      <c r="G316" s="52">
        <f>IF(Taches!Q316="","",Taches!Q316)</f>
        <v/>
      </c>
      <c r="H316" s="50">
        <f>IF(Taches!B316="","",Taches!J316)</f>
        <v/>
      </c>
      <c r="I316" s="53">
        <f>IF(OR($F316="",$G316=""),"",IF(AND(I$5&lt;=$G316,I$5+6&gt;=$F316),IF($H316="Complétée","F",IF(OR($H316="En cours",$H316="En revue"),"E",IF($H316="Bloquée","B","P"))),""))</f>
        <v/>
      </c>
      <c r="J316" s="53">
        <f>IF(OR($F316="",$G316=""),"",IF(AND(J$5&lt;=$G316,J$5+6&gt;=$F316),IF($H316="Complétée","F",IF(OR($H316="En cours",$H316="En revue"),"E",IF($H316="Bloquée","B","P"))),""))</f>
        <v/>
      </c>
      <c r="K316" s="53">
        <f>IF(OR($F316="",$G316=""),"",IF(AND(K$5&lt;=$G316,K$5+6&gt;=$F316),IF($H316="Complétée","F",IF(OR($H316="En cours",$H316="En revue"),"E",IF($H316="Bloquée","B","P"))),""))</f>
        <v/>
      </c>
      <c r="L316" s="53">
        <f>IF(OR($F316="",$G316=""),"",IF(AND(L$5&lt;=$G316,L$5+6&gt;=$F316),IF($H316="Complétée","F",IF(OR($H316="En cours",$H316="En revue"),"E",IF($H316="Bloquée","B","P"))),""))</f>
        <v/>
      </c>
      <c r="M316" s="53">
        <f>IF(OR($F316="",$G316=""),"",IF(AND(M$5&lt;=$G316,M$5+6&gt;=$F316),IF($H316="Complétée","F",IF(OR($H316="En cours",$H316="En revue"),"E",IF($H316="Bloquée","B","P"))),""))</f>
        <v/>
      </c>
      <c r="N316" s="53">
        <f>IF(OR($F316="",$G316=""),"",IF(AND(N$5&lt;=$G316,N$5+6&gt;=$F316),IF($H316="Complétée","F",IF(OR($H316="En cours",$H316="En revue"),"E",IF($H316="Bloquée","B","P"))),""))</f>
        <v/>
      </c>
      <c r="O316" s="53">
        <f>IF(OR($F316="",$G316=""),"",IF(AND(O$5&lt;=$G316,O$5+6&gt;=$F316),IF($H316="Complétée","F",IF(OR($H316="En cours",$H316="En revue"),"E",IF($H316="Bloquée","B","P"))),""))</f>
        <v/>
      </c>
      <c r="P316" s="53">
        <f>IF(OR($F316="",$G316=""),"",IF(AND(P$5&lt;=$G316,P$5+6&gt;=$F316),IF($H316="Complétée","F",IF(OR($H316="En cours",$H316="En revue"),"E",IF($H316="Bloquée","B","P"))),""))</f>
        <v/>
      </c>
      <c r="Q316" s="53">
        <f>IF(OR($F316="",$G316=""),"",IF(AND(Q$5&lt;=$G316,Q$5+6&gt;=$F316),IF($H316="Complétée","F",IF(OR($H316="En cours",$H316="En revue"),"E",IF($H316="Bloquée","B","P"))),""))</f>
        <v/>
      </c>
      <c r="R316" s="53">
        <f>IF(OR($F316="",$G316=""),"",IF(AND(R$5&lt;=$G316,R$5+6&gt;=$F316),IF($H316="Complétée","F",IF(OR($H316="En cours",$H316="En revue"),"E",IF($H316="Bloquée","B","P"))),""))</f>
        <v/>
      </c>
      <c r="S316" s="53">
        <f>IF(OR($F316="",$G316=""),"",IF(AND(S$5&lt;=$G316,S$5+6&gt;=$F316),IF($H316="Complétée","F",IF(OR($H316="En cours",$H316="En revue"),"E",IF($H316="Bloquée","B","P"))),""))</f>
        <v/>
      </c>
      <c r="T316" s="53">
        <f>IF(OR($F316="",$G316=""),"",IF(AND(T$5&lt;=$G316,T$5+6&gt;=$F316),IF($H316="Complétée","F",IF(OR($H316="En cours",$H316="En revue"),"E",IF($H316="Bloquée","B","P"))),""))</f>
        <v/>
      </c>
      <c r="U316" s="53">
        <f>IF(OR($F316="",$G316=""),"",IF(AND(U$5&lt;=$G316,U$5+6&gt;=$F316),IF($H316="Complétée","F",IF(OR($H316="En cours",$H316="En revue"),"E",IF($H316="Bloquée","B","P"))),""))</f>
        <v/>
      </c>
      <c r="V316" s="53">
        <f>IF(OR($F316="",$G316=""),"",IF(AND(V$5&lt;=$G316,V$5+6&gt;=$F316),IF($H316="Complétée","F",IF(OR($H316="En cours",$H316="En revue"),"E",IF($H316="Bloquée","B","P"))),""))</f>
        <v/>
      </c>
      <c r="W316" s="53">
        <f>IF(OR($F316="",$G316=""),"",IF(AND(W$5&lt;=$G316,W$5+6&gt;=$F316),IF($H316="Complétée","F",IF(OR($H316="En cours",$H316="En revue"),"E",IF($H316="Bloquée","B","P"))),""))</f>
        <v/>
      </c>
      <c r="X316" s="53">
        <f>IF(OR($F316="",$G316=""),"",IF(AND(X$5&lt;=$G316,X$5+6&gt;=$F316),IF($H316="Complétée","F",IF(OR($H316="En cours",$H316="En revue"),"E",IF($H316="Bloquée","B","P"))),""))</f>
        <v/>
      </c>
      <c r="Y316" s="53">
        <f>IF(OR($F316="",$G316=""),"",IF(AND(Y$5&lt;=$G316,Y$5+6&gt;=$F316),IF($H316="Complétée","F",IF(OR($H316="En cours",$H316="En revue"),"E",IF($H316="Bloquée","B","P"))),""))</f>
        <v/>
      </c>
      <c r="Z316" s="53">
        <f>IF(OR($F316="",$G316=""),"",IF(AND(Z$5&lt;=$G316,Z$5+6&gt;=$F316),IF($H316="Complétée","F",IF(OR($H316="En cours",$H316="En revue"),"E",IF($H316="Bloquée","B","P"))),""))</f>
        <v/>
      </c>
      <c r="AA316" s="53">
        <f>IF(OR($F316="",$G316=""),"",IF(AND(AA$5&lt;=$G316,AA$5+6&gt;=$F316),IF($H316="Complétée","F",IF(OR($H316="En cours",$H316="En revue"),"E",IF($H316="Bloquée","B","P"))),""))</f>
        <v/>
      </c>
      <c r="AB316" s="53">
        <f>IF(OR($F316="",$G316=""),"",IF(AND(AB$5&lt;=$G316,AB$5+6&gt;=$F316),IF($H316="Complétée","F",IF(OR($H316="En cours",$H316="En revue"),"E",IF($H316="Bloquée","B","P"))),""))</f>
        <v/>
      </c>
      <c r="AC316" s="53">
        <f>IF(OR($F316="",$G316=""),"",IF(AND(AC$5&lt;=$G316,AC$5+6&gt;=$F316),IF($H316="Complétée","F",IF(OR($H316="En cours",$H316="En revue"),"E",IF($H316="Bloquée","B","P"))),""))</f>
        <v/>
      </c>
      <c r="AD316" s="53">
        <f>IF(OR($F316="",$G316=""),"",IF(AND(AD$5&lt;=$G316,AD$5+6&gt;=$F316),IF($H316="Complétée","F",IF(OR($H316="En cours",$H316="En revue"),"E",IF($H316="Bloquée","B","P"))),""))</f>
        <v/>
      </c>
      <c r="AE316" s="53">
        <f>IF(OR($F316="",$G316=""),"",IF(AND(AE$5&lt;=$G316,AE$5+6&gt;=$F316),IF($H316="Complétée","F",IF(OR($H316="En cours",$H316="En revue"),"E",IF($H316="Bloquée","B","P"))),""))</f>
        <v/>
      </c>
      <c r="AF316" s="53">
        <f>IF(OR($F316="",$G316=""),"",IF(AND(AF$5&lt;=$G316,AF$5+6&gt;=$F316),IF($H316="Complétée","F",IF(OR($H316="En cours",$H316="En revue"),"E",IF($H316="Bloquée","B","P"))),""))</f>
        <v/>
      </c>
      <c r="AG316" s="53">
        <f>IF(OR($F316="",$G316=""),"",IF(AND(AG$5&lt;=$G316,AG$5+6&gt;=$F316),IF($H316="Complétée","F",IF(OR($H316="En cours",$H316="En revue"),"E",IF($H316="Bloquée","B","P"))),""))</f>
        <v/>
      </c>
      <c r="AH316" s="53">
        <f>IF(OR($F316="",$G316=""),"",IF(AND(AH$5&lt;=$G316,AH$5+6&gt;=$F316),IF($H316="Complétée","F",IF(OR($H316="En cours",$H316="En revue"),"E",IF($H316="Bloquée","B","P"))),""))</f>
        <v/>
      </c>
      <c r="AI316" s="53">
        <f>IF(OR($F316="",$G316=""),"",IF(AND(AI$5&lt;=$G316,AI$5+6&gt;=$F316),IF($H316="Complétée","F",IF(OR($H316="En cours",$H316="En revue"),"E",IF($H316="Bloquée","B","P"))),""))</f>
        <v/>
      </c>
      <c r="AJ316" s="53">
        <f>IF(OR($F316="",$G316=""),"",IF(AND(AJ$5&lt;=$G316,AJ$5+6&gt;=$F316),IF($H316="Complétée","F",IF(OR($H316="En cours",$H316="En revue"),"E",IF($H316="Bloquée","B","P"))),""))</f>
        <v/>
      </c>
      <c r="AK316" s="53">
        <f>IF(OR($F316="",$G316=""),"",IF(AND(AK$5&lt;=$G316,AK$5+6&gt;=$F316),IF($H316="Complétée","F",IF(OR($H316="En cours",$H316="En revue"),"E",IF($H316="Bloquée","B","P"))),""))</f>
        <v/>
      </c>
      <c r="AL316" s="53">
        <f>IF(OR($F316="",$G316=""),"",IF(AND(AL$5&lt;=$G316,AL$5+6&gt;=$F316),IF($H316="Complétée","F",IF(OR($H316="En cours",$H316="En revue"),"E",IF($H316="Bloquée","B","P"))),""))</f>
        <v/>
      </c>
      <c r="AM316" s="53">
        <f>IF(OR($F316="",$G316=""),"",IF(AND(AM$5&lt;=$G316,AM$5+6&gt;=$F316),IF($H316="Complétée","F",IF(OR($H316="En cours",$H316="En revue"),"E",IF($H316="Bloquée","B","P"))),""))</f>
        <v/>
      </c>
      <c r="AN316" s="53">
        <f>IF(OR($F316="",$G316=""),"",IF(AND(AN$5&lt;=$G316,AN$5+6&gt;=$F316),IF($H316="Complétée","F",IF(OR($H316="En cours",$H316="En revue"),"E",IF($H316="Bloquée","B","P"))),""))</f>
        <v/>
      </c>
      <c r="AO316" s="53">
        <f>IF(OR($F316="",$G316=""),"",IF(AND(AO$5&lt;=$G316,AO$5+6&gt;=$F316),IF($H316="Complétée","F",IF(OR($H316="En cours",$H316="En revue"),"E",IF($H316="Bloquée","B","P"))),""))</f>
        <v/>
      </c>
      <c r="AP316" s="53">
        <f>IF(OR($F316="",$G316=""),"",IF(AND(AP$5&lt;=$G316,AP$5+6&gt;=$F316),IF($H316="Complétée","F",IF(OR($H316="En cours",$H316="En revue"),"E",IF($H316="Bloquée","B","P"))),""))</f>
        <v/>
      </c>
      <c r="AQ316" s="53">
        <f>IF(OR($F316="",$G316=""),"",IF(AND(AQ$5&lt;=$G316,AQ$5+6&gt;=$F316),IF($H316="Complétée","F",IF(OR($H316="En cours",$H316="En revue"),"E",IF($H316="Bloquée","B","P"))),""))</f>
        <v/>
      </c>
      <c r="AR316" s="53">
        <f>IF(OR($F316="",$G316=""),"",IF(AND(AR$5&lt;=$G316,AR$5+6&gt;=$F316),IF($H316="Complétée","F",IF(OR($H316="En cours",$H316="En revue"),"E",IF($H316="Bloquée","B","P"))),""))</f>
        <v/>
      </c>
      <c r="AS316" s="53">
        <f>IF(OR($F316="",$G316=""),"",IF(AND(AS$5&lt;=$G316,AS$5+6&gt;=$F316),IF($H316="Complétée","F",IF(OR($H316="En cours",$H316="En revue"),"E",IF($H316="Bloquée","B","P"))),""))</f>
        <v/>
      </c>
      <c r="AT316" s="53">
        <f>IF(OR($F316="",$G316=""),"",IF(AND(AT$5&lt;=$G316,AT$5+6&gt;=$F316),IF($H316="Complétée","F",IF(OR($H316="En cours",$H316="En revue"),"E",IF($H316="Bloquée","B","P"))),""))</f>
        <v/>
      </c>
      <c r="AU316" s="53">
        <f>IF(OR($F316="",$G316=""),"",IF(AND(AU$5&lt;=$G316,AU$5+6&gt;=$F316),IF($H316="Complétée","F",IF(OR($H316="En cours",$H316="En revue"),"E",IF($H316="Bloquée","B","P"))),""))</f>
        <v/>
      </c>
      <c r="AV316" s="53">
        <f>IF(OR($F316="",$G316=""),"",IF(AND(AV$5&lt;=$G316,AV$5+6&gt;=$F316),IF($H316="Complétée","F",IF(OR($H316="En cours",$H316="En revue"),"E",IF($H316="Bloquée","B","P"))),""))</f>
        <v/>
      </c>
      <c r="AW316" s="53">
        <f>IF(OR($F316="",$G316=""),"",IF(AND(AW$5&lt;=$G316,AW$5+6&gt;=$F316),IF($H316="Complétée","F",IF(OR($H316="En cours",$H316="En revue"),"E",IF($H316="Bloquée","B","P"))),""))</f>
        <v/>
      </c>
    </row>
    <row r="317">
      <c r="B317" s="50">
        <f>IF(Taches!B317="","",Taches!B317)</f>
        <v/>
      </c>
      <c r="C317" s="51">
        <f>IF(Taches!B317="","",Taches!F317)</f>
        <v/>
      </c>
      <c r="D317" s="50">
        <f>IF(Taches!B317="","",Taches!C317)</f>
        <v/>
      </c>
      <c r="E317" s="50">
        <f>IF(Taches!B317="","",Taches!D317)</f>
        <v/>
      </c>
      <c r="F317" s="52">
        <f>IF(Taches!P317="","",Taches!P317)</f>
        <v/>
      </c>
      <c r="G317" s="52">
        <f>IF(Taches!Q317="","",Taches!Q317)</f>
        <v/>
      </c>
      <c r="H317" s="50">
        <f>IF(Taches!B317="","",Taches!J317)</f>
        <v/>
      </c>
      <c r="I317" s="53">
        <f>IF(OR($F317="",$G317=""),"",IF(AND(I$5&lt;=$G317,I$5+6&gt;=$F317),IF($H317="Complétée","F",IF(OR($H317="En cours",$H317="En revue"),"E",IF($H317="Bloquée","B","P"))),""))</f>
        <v/>
      </c>
      <c r="J317" s="53">
        <f>IF(OR($F317="",$G317=""),"",IF(AND(J$5&lt;=$G317,J$5+6&gt;=$F317),IF($H317="Complétée","F",IF(OR($H317="En cours",$H317="En revue"),"E",IF($H317="Bloquée","B","P"))),""))</f>
        <v/>
      </c>
      <c r="K317" s="53">
        <f>IF(OR($F317="",$G317=""),"",IF(AND(K$5&lt;=$G317,K$5+6&gt;=$F317),IF($H317="Complétée","F",IF(OR($H317="En cours",$H317="En revue"),"E",IF($H317="Bloquée","B","P"))),""))</f>
        <v/>
      </c>
      <c r="L317" s="53">
        <f>IF(OR($F317="",$G317=""),"",IF(AND(L$5&lt;=$G317,L$5+6&gt;=$F317),IF($H317="Complétée","F",IF(OR($H317="En cours",$H317="En revue"),"E",IF($H317="Bloquée","B","P"))),""))</f>
        <v/>
      </c>
      <c r="M317" s="53">
        <f>IF(OR($F317="",$G317=""),"",IF(AND(M$5&lt;=$G317,M$5+6&gt;=$F317),IF($H317="Complétée","F",IF(OR($H317="En cours",$H317="En revue"),"E",IF($H317="Bloquée","B","P"))),""))</f>
        <v/>
      </c>
      <c r="N317" s="53">
        <f>IF(OR($F317="",$G317=""),"",IF(AND(N$5&lt;=$G317,N$5+6&gt;=$F317),IF($H317="Complétée","F",IF(OR($H317="En cours",$H317="En revue"),"E",IF($H317="Bloquée","B","P"))),""))</f>
        <v/>
      </c>
      <c r="O317" s="53">
        <f>IF(OR($F317="",$G317=""),"",IF(AND(O$5&lt;=$G317,O$5+6&gt;=$F317),IF($H317="Complétée","F",IF(OR($H317="En cours",$H317="En revue"),"E",IF($H317="Bloquée","B","P"))),""))</f>
        <v/>
      </c>
      <c r="P317" s="53">
        <f>IF(OR($F317="",$G317=""),"",IF(AND(P$5&lt;=$G317,P$5+6&gt;=$F317),IF($H317="Complétée","F",IF(OR($H317="En cours",$H317="En revue"),"E",IF($H317="Bloquée","B","P"))),""))</f>
        <v/>
      </c>
      <c r="Q317" s="53">
        <f>IF(OR($F317="",$G317=""),"",IF(AND(Q$5&lt;=$G317,Q$5+6&gt;=$F317),IF($H317="Complétée","F",IF(OR($H317="En cours",$H317="En revue"),"E",IF($H317="Bloquée","B","P"))),""))</f>
        <v/>
      </c>
      <c r="R317" s="53">
        <f>IF(OR($F317="",$G317=""),"",IF(AND(R$5&lt;=$G317,R$5+6&gt;=$F317),IF($H317="Complétée","F",IF(OR($H317="En cours",$H317="En revue"),"E",IF($H317="Bloquée","B","P"))),""))</f>
        <v/>
      </c>
      <c r="S317" s="53">
        <f>IF(OR($F317="",$G317=""),"",IF(AND(S$5&lt;=$G317,S$5+6&gt;=$F317),IF($H317="Complétée","F",IF(OR($H317="En cours",$H317="En revue"),"E",IF($H317="Bloquée","B","P"))),""))</f>
        <v/>
      </c>
      <c r="T317" s="53">
        <f>IF(OR($F317="",$G317=""),"",IF(AND(T$5&lt;=$G317,T$5+6&gt;=$F317),IF($H317="Complétée","F",IF(OR($H317="En cours",$H317="En revue"),"E",IF($H317="Bloquée","B","P"))),""))</f>
        <v/>
      </c>
      <c r="U317" s="53">
        <f>IF(OR($F317="",$G317=""),"",IF(AND(U$5&lt;=$G317,U$5+6&gt;=$F317),IF($H317="Complétée","F",IF(OR($H317="En cours",$H317="En revue"),"E",IF($H317="Bloquée","B","P"))),""))</f>
        <v/>
      </c>
      <c r="V317" s="53">
        <f>IF(OR($F317="",$G317=""),"",IF(AND(V$5&lt;=$G317,V$5+6&gt;=$F317),IF($H317="Complétée","F",IF(OR($H317="En cours",$H317="En revue"),"E",IF($H317="Bloquée","B","P"))),""))</f>
        <v/>
      </c>
      <c r="W317" s="53">
        <f>IF(OR($F317="",$G317=""),"",IF(AND(W$5&lt;=$G317,W$5+6&gt;=$F317),IF($H317="Complétée","F",IF(OR($H317="En cours",$H317="En revue"),"E",IF($H317="Bloquée","B","P"))),""))</f>
        <v/>
      </c>
      <c r="X317" s="53">
        <f>IF(OR($F317="",$G317=""),"",IF(AND(X$5&lt;=$G317,X$5+6&gt;=$F317),IF($H317="Complétée","F",IF(OR($H317="En cours",$H317="En revue"),"E",IF($H317="Bloquée","B","P"))),""))</f>
        <v/>
      </c>
      <c r="Y317" s="53">
        <f>IF(OR($F317="",$G317=""),"",IF(AND(Y$5&lt;=$G317,Y$5+6&gt;=$F317),IF($H317="Complétée","F",IF(OR($H317="En cours",$H317="En revue"),"E",IF($H317="Bloquée","B","P"))),""))</f>
        <v/>
      </c>
      <c r="Z317" s="53">
        <f>IF(OR($F317="",$G317=""),"",IF(AND(Z$5&lt;=$G317,Z$5+6&gt;=$F317),IF($H317="Complétée","F",IF(OR($H317="En cours",$H317="En revue"),"E",IF($H317="Bloquée","B","P"))),""))</f>
        <v/>
      </c>
      <c r="AA317" s="53">
        <f>IF(OR($F317="",$G317=""),"",IF(AND(AA$5&lt;=$G317,AA$5+6&gt;=$F317),IF($H317="Complétée","F",IF(OR($H317="En cours",$H317="En revue"),"E",IF($H317="Bloquée","B","P"))),""))</f>
        <v/>
      </c>
      <c r="AB317" s="53">
        <f>IF(OR($F317="",$G317=""),"",IF(AND(AB$5&lt;=$G317,AB$5+6&gt;=$F317),IF($H317="Complétée","F",IF(OR($H317="En cours",$H317="En revue"),"E",IF($H317="Bloquée","B","P"))),""))</f>
        <v/>
      </c>
      <c r="AC317" s="53">
        <f>IF(OR($F317="",$G317=""),"",IF(AND(AC$5&lt;=$G317,AC$5+6&gt;=$F317),IF($H317="Complétée","F",IF(OR($H317="En cours",$H317="En revue"),"E",IF($H317="Bloquée","B","P"))),""))</f>
        <v/>
      </c>
      <c r="AD317" s="53">
        <f>IF(OR($F317="",$G317=""),"",IF(AND(AD$5&lt;=$G317,AD$5+6&gt;=$F317),IF($H317="Complétée","F",IF(OR($H317="En cours",$H317="En revue"),"E",IF($H317="Bloquée","B","P"))),""))</f>
        <v/>
      </c>
      <c r="AE317" s="53">
        <f>IF(OR($F317="",$G317=""),"",IF(AND(AE$5&lt;=$G317,AE$5+6&gt;=$F317),IF($H317="Complétée","F",IF(OR($H317="En cours",$H317="En revue"),"E",IF($H317="Bloquée","B","P"))),""))</f>
        <v/>
      </c>
      <c r="AF317" s="53">
        <f>IF(OR($F317="",$G317=""),"",IF(AND(AF$5&lt;=$G317,AF$5+6&gt;=$F317),IF($H317="Complétée","F",IF(OR($H317="En cours",$H317="En revue"),"E",IF($H317="Bloquée","B","P"))),""))</f>
        <v/>
      </c>
      <c r="AG317" s="53">
        <f>IF(OR($F317="",$G317=""),"",IF(AND(AG$5&lt;=$G317,AG$5+6&gt;=$F317),IF($H317="Complétée","F",IF(OR($H317="En cours",$H317="En revue"),"E",IF($H317="Bloquée","B","P"))),""))</f>
        <v/>
      </c>
      <c r="AH317" s="53">
        <f>IF(OR($F317="",$G317=""),"",IF(AND(AH$5&lt;=$G317,AH$5+6&gt;=$F317),IF($H317="Complétée","F",IF(OR($H317="En cours",$H317="En revue"),"E",IF($H317="Bloquée","B","P"))),""))</f>
        <v/>
      </c>
      <c r="AI317" s="53">
        <f>IF(OR($F317="",$G317=""),"",IF(AND(AI$5&lt;=$G317,AI$5+6&gt;=$F317),IF($H317="Complétée","F",IF(OR($H317="En cours",$H317="En revue"),"E",IF($H317="Bloquée","B","P"))),""))</f>
        <v/>
      </c>
      <c r="AJ317" s="53">
        <f>IF(OR($F317="",$G317=""),"",IF(AND(AJ$5&lt;=$G317,AJ$5+6&gt;=$F317),IF($H317="Complétée","F",IF(OR($H317="En cours",$H317="En revue"),"E",IF($H317="Bloquée","B","P"))),""))</f>
        <v/>
      </c>
      <c r="AK317" s="53">
        <f>IF(OR($F317="",$G317=""),"",IF(AND(AK$5&lt;=$G317,AK$5+6&gt;=$F317),IF($H317="Complétée","F",IF(OR($H317="En cours",$H317="En revue"),"E",IF($H317="Bloquée","B","P"))),""))</f>
        <v/>
      </c>
      <c r="AL317" s="53">
        <f>IF(OR($F317="",$G317=""),"",IF(AND(AL$5&lt;=$G317,AL$5+6&gt;=$F317),IF($H317="Complétée","F",IF(OR($H317="En cours",$H317="En revue"),"E",IF($H317="Bloquée","B","P"))),""))</f>
        <v/>
      </c>
      <c r="AM317" s="53">
        <f>IF(OR($F317="",$G317=""),"",IF(AND(AM$5&lt;=$G317,AM$5+6&gt;=$F317),IF($H317="Complétée","F",IF(OR($H317="En cours",$H317="En revue"),"E",IF($H317="Bloquée","B","P"))),""))</f>
        <v/>
      </c>
      <c r="AN317" s="53">
        <f>IF(OR($F317="",$G317=""),"",IF(AND(AN$5&lt;=$G317,AN$5+6&gt;=$F317),IF($H317="Complétée","F",IF(OR($H317="En cours",$H317="En revue"),"E",IF($H317="Bloquée","B","P"))),""))</f>
        <v/>
      </c>
      <c r="AO317" s="53">
        <f>IF(OR($F317="",$G317=""),"",IF(AND(AO$5&lt;=$G317,AO$5+6&gt;=$F317),IF($H317="Complétée","F",IF(OR($H317="En cours",$H317="En revue"),"E",IF($H317="Bloquée","B","P"))),""))</f>
        <v/>
      </c>
      <c r="AP317" s="53">
        <f>IF(OR($F317="",$G317=""),"",IF(AND(AP$5&lt;=$G317,AP$5+6&gt;=$F317),IF($H317="Complétée","F",IF(OR($H317="En cours",$H317="En revue"),"E",IF($H317="Bloquée","B","P"))),""))</f>
        <v/>
      </c>
      <c r="AQ317" s="53">
        <f>IF(OR($F317="",$G317=""),"",IF(AND(AQ$5&lt;=$G317,AQ$5+6&gt;=$F317),IF($H317="Complétée","F",IF(OR($H317="En cours",$H317="En revue"),"E",IF($H317="Bloquée","B","P"))),""))</f>
        <v/>
      </c>
      <c r="AR317" s="53">
        <f>IF(OR($F317="",$G317=""),"",IF(AND(AR$5&lt;=$G317,AR$5+6&gt;=$F317),IF($H317="Complétée","F",IF(OR($H317="En cours",$H317="En revue"),"E",IF($H317="Bloquée","B","P"))),""))</f>
        <v/>
      </c>
      <c r="AS317" s="53">
        <f>IF(OR($F317="",$G317=""),"",IF(AND(AS$5&lt;=$G317,AS$5+6&gt;=$F317),IF($H317="Complétée","F",IF(OR($H317="En cours",$H317="En revue"),"E",IF($H317="Bloquée","B","P"))),""))</f>
        <v/>
      </c>
      <c r="AT317" s="53">
        <f>IF(OR($F317="",$G317=""),"",IF(AND(AT$5&lt;=$G317,AT$5+6&gt;=$F317),IF($H317="Complétée","F",IF(OR($H317="En cours",$H317="En revue"),"E",IF($H317="Bloquée","B","P"))),""))</f>
        <v/>
      </c>
      <c r="AU317" s="53">
        <f>IF(OR($F317="",$G317=""),"",IF(AND(AU$5&lt;=$G317,AU$5+6&gt;=$F317),IF($H317="Complétée","F",IF(OR($H317="En cours",$H317="En revue"),"E",IF($H317="Bloquée","B","P"))),""))</f>
        <v/>
      </c>
      <c r="AV317" s="53">
        <f>IF(OR($F317="",$G317=""),"",IF(AND(AV$5&lt;=$G317,AV$5+6&gt;=$F317),IF($H317="Complétée","F",IF(OR($H317="En cours",$H317="En revue"),"E",IF($H317="Bloquée","B","P"))),""))</f>
        <v/>
      </c>
      <c r="AW317" s="53">
        <f>IF(OR($F317="",$G317=""),"",IF(AND(AW$5&lt;=$G317,AW$5+6&gt;=$F317),IF($H317="Complétée","F",IF(OR($H317="En cours",$H317="En revue"),"E",IF($H317="Bloquée","B","P"))),""))</f>
        <v/>
      </c>
    </row>
    <row r="318">
      <c r="B318" s="50">
        <f>IF(Taches!B318="","",Taches!B318)</f>
        <v/>
      </c>
      <c r="C318" s="51">
        <f>IF(Taches!B318="","",Taches!F318)</f>
        <v/>
      </c>
      <c r="D318" s="50">
        <f>IF(Taches!B318="","",Taches!C318)</f>
        <v/>
      </c>
      <c r="E318" s="50">
        <f>IF(Taches!B318="","",Taches!D318)</f>
        <v/>
      </c>
      <c r="F318" s="52">
        <f>IF(Taches!P318="","",Taches!P318)</f>
        <v/>
      </c>
      <c r="G318" s="52">
        <f>IF(Taches!Q318="","",Taches!Q318)</f>
        <v/>
      </c>
      <c r="H318" s="50">
        <f>IF(Taches!B318="","",Taches!J318)</f>
        <v/>
      </c>
      <c r="I318" s="53">
        <f>IF(OR($F318="",$G318=""),"",IF(AND(I$5&lt;=$G318,I$5+6&gt;=$F318),IF($H318="Complétée","F",IF(OR($H318="En cours",$H318="En revue"),"E",IF($H318="Bloquée","B","P"))),""))</f>
        <v/>
      </c>
      <c r="J318" s="53">
        <f>IF(OR($F318="",$G318=""),"",IF(AND(J$5&lt;=$G318,J$5+6&gt;=$F318),IF($H318="Complétée","F",IF(OR($H318="En cours",$H318="En revue"),"E",IF($H318="Bloquée","B","P"))),""))</f>
        <v/>
      </c>
      <c r="K318" s="53">
        <f>IF(OR($F318="",$G318=""),"",IF(AND(K$5&lt;=$G318,K$5+6&gt;=$F318),IF($H318="Complétée","F",IF(OR($H318="En cours",$H318="En revue"),"E",IF($H318="Bloquée","B","P"))),""))</f>
        <v/>
      </c>
      <c r="L318" s="53">
        <f>IF(OR($F318="",$G318=""),"",IF(AND(L$5&lt;=$G318,L$5+6&gt;=$F318),IF($H318="Complétée","F",IF(OR($H318="En cours",$H318="En revue"),"E",IF($H318="Bloquée","B","P"))),""))</f>
        <v/>
      </c>
      <c r="M318" s="53">
        <f>IF(OR($F318="",$G318=""),"",IF(AND(M$5&lt;=$G318,M$5+6&gt;=$F318),IF($H318="Complétée","F",IF(OR($H318="En cours",$H318="En revue"),"E",IF($H318="Bloquée","B","P"))),""))</f>
        <v/>
      </c>
      <c r="N318" s="53">
        <f>IF(OR($F318="",$G318=""),"",IF(AND(N$5&lt;=$G318,N$5+6&gt;=$F318),IF($H318="Complétée","F",IF(OR($H318="En cours",$H318="En revue"),"E",IF($H318="Bloquée","B","P"))),""))</f>
        <v/>
      </c>
      <c r="O318" s="53">
        <f>IF(OR($F318="",$G318=""),"",IF(AND(O$5&lt;=$G318,O$5+6&gt;=$F318),IF($H318="Complétée","F",IF(OR($H318="En cours",$H318="En revue"),"E",IF($H318="Bloquée","B","P"))),""))</f>
        <v/>
      </c>
      <c r="P318" s="53">
        <f>IF(OR($F318="",$G318=""),"",IF(AND(P$5&lt;=$G318,P$5+6&gt;=$F318),IF($H318="Complétée","F",IF(OR($H318="En cours",$H318="En revue"),"E",IF($H318="Bloquée","B","P"))),""))</f>
        <v/>
      </c>
      <c r="Q318" s="53">
        <f>IF(OR($F318="",$G318=""),"",IF(AND(Q$5&lt;=$G318,Q$5+6&gt;=$F318),IF($H318="Complétée","F",IF(OR($H318="En cours",$H318="En revue"),"E",IF($H318="Bloquée","B","P"))),""))</f>
        <v/>
      </c>
      <c r="R318" s="53">
        <f>IF(OR($F318="",$G318=""),"",IF(AND(R$5&lt;=$G318,R$5+6&gt;=$F318),IF($H318="Complétée","F",IF(OR($H318="En cours",$H318="En revue"),"E",IF($H318="Bloquée","B","P"))),""))</f>
        <v/>
      </c>
      <c r="S318" s="53">
        <f>IF(OR($F318="",$G318=""),"",IF(AND(S$5&lt;=$G318,S$5+6&gt;=$F318),IF($H318="Complétée","F",IF(OR($H318="En cours",$H318="En revue"),"E",IF($H318="Bloquée","B","P"))),""))</f>
        <v/>
      </c>
      <c r="T318" s="53">
        <f>IF(OR($F318="",$G318=""),"",IF(AND(T$5&lt;=$G318,T$5+6&gt;=$F318),IF($H318="Complétée","F",IF(OR($H318="En cours",$H318="En revue"),"E",IF($H318="Bloquée","B","P"))),""))</f>
        <v/>
      </c>
      <c r="U318" s="53">
        <f>IF(OR($F318="",$G318=""),"",IF(AND(U$5&lt;=$G318,U$5+6&gt;=$F318),IF($H318="Complétée","F",IF(OR($H318="En cours",$H318="En revue"),"E",IF($H318="Bloquée","B","P"))),""))</f>
        <v/>
      </c>
      <c r="V318" s="53">
        <f>IF(OR($F318="",$G318=""),"",IF(AND(V$5&lt;=$G318,V$5+6&gt;=$F318),IF($H318="Complétée","F",IF(OR($H318="En cours",$H318="En revue"),"E",IF($H318="Bloquée","B","P"))),""))</f>
        <v/>
      </c>
      <c r="W318" s="53">
        <f>IF(OR($F318="",$G318=""),"",IF(AND(W$5&lt;=$G318,W$5+6&gt;=$F318),IF($H318="Complétée","F",IF(OR($H318="En cours",$H318="En revue"),"E",IF($H318="Bloquée","B","P"))),""))</f>
        <v/>
      </c>
      <c r="X318" s="53">
        <f>IF(OR($F318="",$G318=""),"",IF(AND(X$5&lt;=$G318,X$5+6&gt;=$F318),IF($H318="Complétée","F",IF(OR($H318="En cours",$H318="En revue"),"E",IF($H318="Bloquée","B","P"))),""))</f>
        <v/>
      </c>
      <c r="Y318" s="53">
        <f>IF(OR($F318="",$G318=""),"",IF(AND(Y$5&lt;=$G318,Y$5+6&gt;=$F318),IF($H318="Complétée","F",IF(OR($H318="En cours",$H318="En revue"),"E",IF($H318="Bloquée","B","P"))),""))</f>
        <v/>
      </c>
      <c r="Z318" s="53">
        <f>IF(OR($F318="",$G318=""),"",IF(AND(Z$5&lt;=$G318,Z$5+6&gt;=$F318),IF($H318="Complétée","F",IF(OR($H318="En cours",$H318="En revue"),"E",IF($H318="Bloquée","B","P"))),""))</f>
        <v/>
      </c>
      <c r="AA318" s="53">
        <f>IF(OR($F318="",$G318=""),"",IF(AND(AA$5&lt;=$G318,AA$5+6&gt;=$F318),IF($H318="Complétée","F",IF(OR($H318="En cours",$H318="En revue"),"E",IF($H318="Bloquée","B","P"))),""))</f>
        <v/>
      </c>
      <c r="AB318" s="53">
        <f>IF(OR($F318="",$G318=""),"",IF(AND(AB$5&lt;=$G318,AB$5+6&gt;=$F318),IF($H318="Complétée","F",IF(OR($H318="En cours",$H318="En revue"),"E",IF($H318="Bloquée","B","P"))),""))</f>
        <v/>
      </c>
      <c r="AC318" s="53">
        <f>IF(OR($F318="",$G318=""),"",IF(AND(AC$5&lt;=$G318,AC$5+6&gt;=$F318),IF($H318="Complétée","F",IF(OR($H318="En cours",$H318="En revue"),"E",IF($H318="Bloquée","B","P"))),""))</f>
        <v/>
      </c>
      <c r="AD318" s="53">
        <f>IF(OR($F318="",$G318=""),"",IF(AND(AD$5&lt;=$G318,AD$5+6&gt;=$F318),IF($H318="Complétée","F",IF(OR($H318="En cours",$H318="En revue"),"E",IF($H318="Bloquée","B","P"))),""))</f>
        <v/>
      </c>
      <c r="AE318" s="53">
        <f>IF(OR($F318="",$G318=""),"",IF(AND(AE$5&lt;=$G318,AE$5+6&gt;=$F318),IF($H318="Complétée","F",IF(OR($H318="En cours",$H318="En revue"),"E",IF($H318="Bloquée","B","P"))),""))</f>
        <v/>
      </c>
      <c r="AF318" s="53">
        <f>IF(OR($F318="",$G318=""),"",IF(AND(AF$5&lt;=$G318,AF$5+6&gt;=$F318),IF($H318="Complétée","F",IF(OR($H318="En cours",$H318="En revue"),"E",IF($H318="Bloquée","B","P"))),""))</f>
        <v/>
      </c>
      <c r="AG318" s="53">
        <f>IF(OR($F318="",$G318=""),"",IF(AND(AG$5&lt;=$G318,AG$5+6&gt;=$F318),IF($H318="Complétée","F",IF(OR($H318="En cours",$H318="En revue"),"E",IF($H318="Bloquée","B","P"))),""))</f>
        <v/>
      </c>
      <c r="AH318" s="53">
        <f>IF(OR($F318="",$G318=""),"",IF(AND(AH$5&lt;=$G318,AH$5+6&gt;=$F318),IF($H318="Complétée","F",IF(OR($H318="En cours",$H318="En revue"),"E",IF($H318="Bloquée","B","P"))),""))</f>
        <v/>
      </c>
      <c r="AI318" s="53">
        <f>IF(OR($F318="",$G318=""),"",IF(AND(AI$5&lt;=$G318,AI$5+6&gt;=$F318),IF($H318="Complétée","F",IF(OR($H318="En cours",$H318="En revue"),"E",IF($H318="Bloquée","B","P"))),""))</f>
        <v/>
      </c>
      <c r="AJ318" s="53">
        <f>IF(OR($F318="",$G318=""),"",IF(AND(AJ$5&lt;=$G318,AJ$5+6&gt;=$F318),IF($H318="Complétée","F",IF(OR($H318="En cours",$H318="En revue"),"E",IF($H318="Bloquée","B","P"))),""))</f>
        <v/>
      </c>
      <c r="AK318" s="53">
        <f>IF(OR($F318="",$G318=""),"",IF(AND(AK$5&lt;=$G318,AK$5+6&gt;=$F318),IF($H318="Complétée","F",IF(OR($H318="En cours",$H318="En revue"),"E",IF($H318="Bloquée","B","P"))),""))</f>
        <v/>
      </c>
      <c r="AL318" s="53">
        <f>IF(OR($F318="",$G318=""),"",IF(AND(AL$5&lt;=$G318,AL$5+6&gt;=$F318),IF($H318="Complétée","F",IF(OR($H318="En cours",$H318="En revue"),"E",IF($H318="Bloquée","B","P"))),""))</f>
        <v/>
      </c>
      <c r="AM318" s="53">
        <f>IF(OR($F318="",$G318=""),"",IF(AND(AM$5&lt;=$G318,AM$5+6&gt;=$F318),IF($H318="Complétée","F",IF(OR($H318="En cours",$H318="En revue"),"E",IF($H318="Bloquée","B","P"))),""))</f>
        <v/>
      </c>
      <c r="AN318" s="53">
        <f>IF(OR($F318="",$G318=""),"",IF(AND(AN$5&lt;=$G318,AN$5+6&gt;=$F318),IF($H318="Complétée","F",IF(OR($H318="En cours",$H318="En revue"),"E",IF($H318="Bloquée","B","P"))),""))</f>
        <v/>
      </c>
      <c r="AO318" s="53">
        <f>IF(OR($F318="",$G318=""),"",IF(AND(AO$5&lt;=$G318,AO$5+6&gt;=$F318),IF($H318="Complétée","F",IF(OR($H318="En cours",$H318="En revue"),"E",IF($H318="Bloquée","B","P"))),""))</f>
        <v/>
      </c>
      <c r="AP318" s="53">
        <f>IF(OR($F318="",$G318=""),"",IF(AND(AP$5&lt;=$G318,AP$5+6&gt;=$F318),IF($H318="Complétée","F",IF(OR($H318="En cours",$H318="En revue"),"E",IF($H318="Bloquée","B","P"))),""))</f>
        <v/>
      </c>
      <c r="AQ318" s="53">
        <f>IF(OR($F318="",$G318=""),"",IF(AND(AQ$5&lt;=$G318,AQ$5+6&gt;=$F318),IF($H318="Complétée","F",IF(OR($H318="En cours",$H318="En revue"),"E",IF($H318="Bloquée","B","P"))),""))</f>
        <v/>
      </c>
      <c r="AR318" s="53">
        <f>IF(OR($F318="",$G318=""),"",IF(AND(AR$5&lt;=$G318,AR$5+6&gt;=$F318),IF($H318="Complétée","F",IF(OR($H318="En cours",$H318="En revue"),"E",IF($H318="Bloquée","B","P"))),""))</f>
        <v/>
      </c>
      <c r="AS318" s="53">
        <f>IF(OR($F318="",$G318=""),"",IF(AND(AS$5&lt;=$G318,AS$5+6&gt;=$F318),IF($H318="Complétée","F",IF(OR($H318="En cours",$H318="En revue"),"E",IF($H318="Bloquée","B","P"))),""))</f>
        <v/>
      </c>
      <c r="AT318" s="53">
        <f>IF(OR($F318="",$G318=""),"",IF(AND(AT$5&lt;=$G318,AT$5+6&gt;=$F318),IF($H318="Complétée","F",IF(OR($H318="En cours",$H318="En revue"),"E",IF($H318="Bloquée","B","P"))),""))</f>
        <v/>
      </c>
      <c r="AU318" s="53">
        <f>IF(OR($F318="",$G318=""),"",IF(AND(AU$5&lt;=$G318,AU$5+6&gt;=$F318),IF($H318="Complétée","F",IF(OR($H318="En cours",$H318="En revue"),"E",IF($H318="Bloquée","B","P"))),""))</f>
        <v/>
      </c>
      <c r="AV318" s="53">
        <f>IF(OR($F318="",$G318=""),"",IF(AND(AV$5&lt;=$G318,AV$5+6&gt;=$F318),IF($H318="Complétée","F",IF(OR($H318="En cours",$H318="En revue"),"E",IF($H318="Bloquée","B","P"))),""))</f>
        <v/>
      </c>
      <c r="AW318" s="53">
        <f>IF(OR($F318="",$G318=""),"",IF(AND(AW$5&lt;=$G318,AW$5+6&gt;=$F318),IF($H318="Complétée","F",IF(OR($H318="En cours",$H318="En revue"),"E",IF($H318="Bloquée","B","P"))),""))</f>
        <v/>
      </c>
    </row>
    <row r="319">
      <c r="B319" s="50">
        <f>IF(Taches!B319="","",Taches!B319)</f>
        <v/>
      </c>
      <c r="C319" s="51">
        <f>IF(Taches!B319="","",Taches!F319)</f>
        <v/>
      </c>
      <c r="D319" s="50">
        <f>IF(Taches!B319="","",Taches!C319)</f>
        <v/>
      </c>
      <c r="E319" s="50">
        <f>IF(Taches!B319="","",Taches!D319)</f>
        <v/>
      </c>
      <c r="F319" s="52">
        <f>IF(Taches!P319="","",Taches!P319)</f>
        <v/>
      </c>
      <c r="G319" s="52">
        <f>IF(Taches!Q319="","",Taches!Q319)</f>
        <v/>
      </c>
      <c r="H319" s="50">
        <f>IF(Taches!B319="","",Taches!J319)</f>
        <v/>
      </c>
      <c r="I319" s="53">
        <f>IF(OR($F319="",$G319=""),"",IF(AND(I$5&lt;=$G319,I$5+6&gt;=$F319),IF($H319="Complétée","F",IF(OR($H319="En cours",$H319="En revue"),"E",IF($H319="Bloquée","B","P"))),""))</f>
        <v/>
      </c>
      <c r="J319" s="53">
        <f>IF(OR($F319="",$G319=""),"",IF(AND(J$5&lt;=$G319,J$5+6&gt;=$F319),IF($H319="Complétée","F",IF(OR($H319="En cours",$H319="En revue"),"E",IF($H319="Bloquée","B","P"))),""))</f>
        <v/>
      </c>
      <c r="K319" s="53">
        <f>IF(OR($F319="",$G319=""),"",IF(AND(K$5&lt;=$G319,K$5+6&gt;=$F319),IF($H319="Complétée","F",IF(OR($H319="En cours",$H319="En revue"),"E",IF($H319="Bloquée","B","P"))),""))</f>
        <v/>
      </c>
      <c r="L319" s="53">
        <f>IF(OR($F319="",$G319=""),"",IF(AND(L$5&lt;=$G319,L$5+6&gt;=$F319),IF($H319="Complétée","F",IF(OR($H319="En cours",$H319="En revue"),"E",IF($H319="Bloquée","B","P"))),""))</f>
        <v/>
      </c>
      <c r="M319" s="53">
        <f>IF(OR($F319="",$G319=""),"",IF(AND(M$5&lt;=$G319,M$5+6&gt;=$F319),IF($H319="Complétée","F",IF(OR($H319="En cours",$H319="En revue"),"E",IF($H319="Bloquée","B","P"))),""))</f>
        <v/>
      </c>
      <c r="N319" s="53">
        <f>IF(OR($F319="",$G319=""),"",IF(AND(N$5&lt;=$G319,N$5+6&gt;=$F319),IF($H319="Complétée","F",IF(OR($H319="En cours",$H319="En revue"),"E",IF($H319="Bloquée","B","P"))),""))</f>
        <v/>
      </c>
      <c r="O319" s="53">
        <f>IF(OR($F319="",$G319=""),"",IF(AND(O$5&lt;=$G319,O$5+6&gt;=$F319),IF($H319="Complétée","F",IF(OR($H319="En cours",$H319="En revue"),"E",IF($H319="Bloquée","B","P"))),""))</f>
        <v/>
      </c>
      <c r="P319" s="53">
        <f>IF(OR($F319="",$G319=""),"",IF(AND(P$5&lt;=$G319,P$5+6&gt;=$F319),IF($H319="Complétée","F",IF(OR($H319="En cours",$H319="En revue"),"E",IF($H319="Bloquée","B","P"))),""))</f>
        <v/>
      </c>
      <c r="Q319" s="53">
        <f>IF(OR($F319="",$G319=""),"",IF(AND(Q$5&lt;=$G319,Q$5+6&gt;=$F319),IF($H319="Complétée","F",IF(OR($H319="En cours",$H319="En revue"),"E",IF($H319="Bloquée","B","P"))),""))</f>
        <v/>
      </c>
      <c r="R319" s="53">
        <f>IF(OR($F319="",$G319=""),"",IF(AND(R$5&lt;=$G319,R$5+6&gt;=$F319),IF($H319="Complétée","F",IF(OR($H319="En cours",$H319="En revue"),"E",IF($H319="Bloquée","B","P"))),""))</f>
        <v/>
      </c>
      <c r="S319" s="53">
        <f>IF(OR($F319="",$G319=""),"",IF(AND(S$5&lt;=$G319,S$5+6&gt;=$F319),IF($H319="Complétée","F",IF(OR($H319="En cours",$H319="En revue"),"E",IF($H319="Bloquée","B","P"))),""))</f>
        <v/>
      </c>
      <c r="T319" s="53">
        <f>IF(OR($F319="",$G319=""),"",IF(AND(T$5&lt;=$G319,T$5+6&gt;=$F319),IF($H319="Complétée","F",IF(OR($H319="En cours",$H319="En revue"),"E",IF($H319="Bloquée","B","P"))),""))</f>
        <v/>
      </c>
      <c r="U319" s="53">
        <f>IF(OR($F319="",$G319=""),"",IF(AND(U$5&lt;=$G319,U$5+6&gt;=$F319),IF($H319="Complétée","F",IF(OR($H319="En cours",$H319="En revue"),"E",IF($H319="Bloquée","B","P"))),""))</f>
        <v/>
      </c>
      <c r="V319" s="53">
        <f>IF(OR($F319="",$G319=""),"",IF(AND(V$5&lt;=$G319,V$5+6&gt;=$F319),IF($H319="Complétée","F",IF(OR($H319="En cours",$H319="En revue"),"E",IF($H319="Bloquée","B","P"))),""))</f>
        <v/>
      </c>
      <c r="W319" s="53">
        <f>IF(OR($F319="",$G319=""),"",IF(AND(W$5&lt;=$G319,W$5+6&gt;=$F319),IF($H319="Complétée","F",IF(OR($H319="En cours",$H319="En revue"),"E",IF($H319="Bloquée","B","P"))),""))</f>
        <v/>
      </c>
      <c r="X319" s="53">
        <f>IF(OR($F319="",$G319=""),"",IF(AND(X$5&lt;=$G319,X$5+6&gt;=$F319),IF($H319="Complétée","F",IF(OR($H319="En cours",$H319="En revue"),"E",IF($H319="Bloquée","B","P"))),""))</f>
        <v/>
      </c>
      <c r="Y319" s="53">
        <f>IF(OR($F319="",$G319=""),"",IF(AND(Y$5&lt;=$G319,Y$5+6&gt;=$F319),IF($H319="Complétée","F",IF(OR($H319="En cours",$H319="En revue"),"E",IF($H319="Bloquée","B","P"))),""))</f>
        <v/>
      </c>
      <c r="Z319" s="53">
        <f>IF(OR($F319="",$G319=""),"",IF(AND(Z$5&lt;=$G319,Z$5+6&gt;=$F319),IF($H319="Complétée","F",IF(OR($H319="En cours",$H319="En revue"),"E",IF($H319="Bloquée","B","P"))),""))</f>
        <v/>
      </c>
      <c r="AA319" s="53">
        <f>IF(OR($F319="",$G319=""),"",IF(AND(AA$5&lt;=$G319,AA$5+6&gt;=$F319),IF($H319="Complétée","F",IF(OR($H319="En cours",$H319="En revue"),"E",IF($H319="Bloquée","B","P"))),""))</f>
        <v/>
      </c>
      <c r="AB319" s="53">
        <f>IF(OR($F319="",$G319=""),"",IF(AND(AB$5&lt;=$G319,AB$5+6&gt;=$F319),IF($H319="Complétée","F",IF(OR($H319="En cours",$H319="En revue"),"E",IF($H319="Bloquée","B","P"))),""))</f>
        <v/>
      </c>
      <c r="AC319" s="53">
        <f>IF(OR($F319="",$G319=""),"",IF(AND(AC$5&lt;=$G319,AC$5+6&gt;=$F319),IF($H319="Complétée","F",IF(OR($H319="En cours",$H319="En revue"),"E",IF($H319="Bloquée","B","P"))),""))</f>
        <v/>
      </c>
      <c r="AD319" s="53">
        <f>IF(OR($F319="",$G319=""),"",IF(AND(AD$5&lt;=$G319,AD$5+6&gt;=$F319),IF($H319="Complétée","F",IF(OR($H319="En cours",$H319="En revue"),"E",IF($H319="Bloquée","B","P"))),""))</f>
        <v/>
      </c>
      <c r="AE319" s="53">
        <f>IF(OR($F319="",$G319=""),"",IF(AND(AE$5&lt;=$G319,AE$5+6&gt;=$F319),IF($H319="Complétée","F",IF(OR($H319="En cours",$H319="En revue"),"E",IF($H319="Bloquée","B","P"))),""))</f>
        <v/>
      </c>
      <c r="AF319" s="53">
        <f>IF(OR($F319="",$G319=""),"",IF(AND(AF$5&lt;=$G319,AF$5+6&gt;=$F319),IF($H319="Complétée","F",IF(OR($H319="En cours",$H319="En revue"),"E",IF($H319="Bloquée","B","P"))),""))</f>
        <v/>
      </c>
      <c r="AG319" s="53">
        <f>IF(OR($F319="",$G319=""),"",IF(AND(AG$5&lt;=$G319,AG$5+6&gt;=$F319),IF($H319="Complétée","F",IF(OR($H319="En cours",$H319="En revue"),"E",IF($H319="Bloquée","B","P"))),""))</f>
        <v/>
      </c>
      <c r="AH319" s="53">
        <f>IF(OR($F319="",$G319=""),"",IF(AND(AH$5&lt;=$G319,AH$5+6&gt;=$F319),IF($H319="Complétée","F",IF(OR($H319="En cours",$H319="En revue"),"E",IF($H319="Bloquée","B","P"))),""))</f>
        <v/>
      </c>
      <c r="AI319" s="53">
        <f>IF(OR($F319="",$G319=""),"",IF(AND(AI$5&lt;=$G319,AI$5+6&gt;=$F319),IF($H319="Complétée","F",IF(OR($H319="En cours",$H319="En revue"),"E",IF($H319="Bloquée","B","P"))),""))</f>
        <v/>
      </c>
      <c r="AJ319" s="53">
        <f>IF(OR($F319="",$G319=""),"",IF(AND(AJ$5&lt;=$G319,AJ$5+6&gt;=$F319),IF($H319="Complétée","F",IF(OR($H319="En cours",$H319="En revue"),"E",IF($H319="Bloquée","B","P"))),""))</f>
        <v/>
      </c>
      <c r="AK319" s="53">
        <f>IF(OR($F319="",$G319=""),"",IF(AND(AK$5&lt;=$G319,AK$5+6&gt;=$F319),IF($H319="Complétée","F",IF(OR($H319="En cours",$H319="En revue"),"E",IF($H319="Bloquée","B","P"))),""))</f>
        <v/>
      </c>
      <c r="AL319" s="53">
        <f>IF(OR($F319="",$G319=""),"",IF(AND(AL$5&lt;=$G319,AL$5+6&gt;=$F319),IF($H319="Complétée","F",IF(OR($H319="En cours",$H319="En revue"),"E",IF($H319="Bloquée","B","P"))),""))</f>
        <v/>
      </c>
      <c r="AM319" s="53">
        <f>IF(OR($F319="",$G319=""),"",IF(AND(AM$5&lt;=$G319,AM$5+6&gt;=$F319),IF($H319="Complétée","F",IF(OR($H319="En cours",$H319="En revue"),"E",IF($H319="Bloquée","B","P"))),""))</f>
        <v/>
      </c>
      <c r="AN319" s="53">
        <f>IF(OR($F319="",$G319=""),"",IF(AND(AN$5&lt;=$G319,AN$5+6&gt;=$F319),IF($H319="Complétée","F",IF(OR($H319="En cours",$H319="En revue"),"E",IF($H319="Bloquée","B","P"))),""))</f>
        <v/>
      </c>
      <c r="AO319" s="53">
        <f>IF(OR($F319="",$G319=""),"",IF(AND(AO$5&lt;=$G319,AO$5+6&gt;=$F319),IF($H319="Complétée","F",IF(OR($H319="En cours",$H319="En revue"),"E",IF($H319="Bloquée","B","P"))),""))</f>
        <v/>
      </c>
      <c r="AP319" s="53">
        <f>IF(OR($F319="",$G319=""),"",IF(AND(AP$5&lt;=$G319,AP$5+6&gt;=$F319),IF($H319="Complétée","F",IF(OR($H319="En cours",$H319="En revue"),"E",IF($H319="Bloquée","B","P"))),""))</f>
        <v/>
      </c>
      <c r="AQ319" s="53">
        <f>IF(OR($F319="",$G319=""),"",IF(AND(AQ$5&lt;=$G319,AQ$5+6&gt;=$F319),IF($H319="Complétée","F",IF(OR($H319="En cours",$H319="En revue"),"E",IF($H319="Bloquée","B","P"))),""))</f>
        <v/>
      </c>
      <c r="AR319" s="53">
        <f>IF(OR($F319="",$G319=""),"",IF(AND(AR$5&lt;=$G319,AR$5+6&gt;=$F319),IF($H319="Complétée","F",IF(OR($H319="En cours",$H319="En revue"),"E",IF($H319="Bloquée","B","P"))),""))</f>
        <v/>
      </c>
      <c r="AS319" s="53">
        <f>IF(OR($F319="",$G319=""),"",IF(AND(AS$5&lt;=$G319,AS$5+6&gt;=$F319),IF($H319="Complétée","F",IF(OR($H319="En cours",$H319="En revue"),"E",IF($H319="Bloquée","B","P"))),""))</f>
        <v/>
      </c>
      <c r="AT319" s="53">
        <f>IF(OR($F319="",$G319=""),"",IF(AND(AT$5&lt;=$G319,AT$5+6&gt;=$F319),IF($H319="Complétée","F",IF(OR($H319="En cours",$H319="En revue"),"E",IF($H319="Bloquée","B","P"))),""))</f>
        <v/>
      </c>
      <c r="AU319" s="53">
        <f>IF(OR($F319="",$G319=""),"",IF(AND(AU$5&lt;=$G319,AU$5+6&gt;=$F319),IF($H319="Complétée","F",IF(OR($H319="En cours",$H319="En revue"),"E",IF($H319="Bloquée","B","P"))),""))</f>
        <v/>
      </c>
      <c r="AV319" s="53">
        <f>IF(OR($F319="",$G319=""),"",IF(AND(AV$5&lt;=$G319,AV$5+6&gt;=$F319),IF($H319="Complétée","F",IF(OR($H319="En cours",$H319="En revue"),"E",IF($H319="Bloquée","B","P"))),""))</f>
        <v/>
      </c>
      <c r="AW319" s="53">
        <f>IF(OR($F319="",$G319=""),"",IF(AND(AW$5&lt;=$G319,AW$5+6&gt;=$F319),IF($H319="Complétée","F",IF(OR($H319="En cours",$H319="En revue"),"E",IF($H319="Bloquée","B","P"))),""))</f>
        <v/>
      </c>
    </row>
    <row r="320">
      <c r="B320" s="50">
        <f>IF(Taches!B320="","",Taches!B320)</f>
        <v/>
      </c>
      <c r="C320" s="51">
        <f>IF(Taches!B320="","",Taches!F320)</f>
        <v/>
      </c>
      <c r="D320" s="50">
        <f>IF(Taches!B320="","",Taches!C320)</f>
        <v/>
      </c>
      <c r="E320" s="50">
        <f>IF(Taches!B320="","",Taches!D320)</f>
        <v/>
      </c>
      <c r="F320" s="52">
        <f>IF(Taches!P320="","",Taches!P320)</f>
        <v/>
      </c>
      <c r="G320" s="52">
        <f>IF(Taches!Q320="","",Taches!Q320)</f>
        <v/>
      </c>
      <c r="H320" s="50">
        <f>IF(Taches!B320="","",Taches!J320)</f>
        <v/>
      </c>
      <c r="I320" s="53">
        <f>IF(OR($F320="",$G320=""),"",IF(AND(I$5&lt;=$G320,I$5+6&gt;=$F320),IF($H320="Complétée","F",IF(OR($H320="En cours",$H320="En revue"),"E",IF($H320="Bloquée","B","P"))),""))</f>
        <v/>
      </c>
      <c r="J320" s="53">
        <f>IF(OR($F320="",$G320=""),"",IF(AND(J$5&lt;=$G320,J$5+6&gt;=$F320),IF($H320="Complétée","F",IF(OR($H320="En cours",$H320="En revue"),"E",IF($H320="Bloquée","B","P"))),""))</f>
        <v/>
      </c>
      <c r="K320" s="53">
        <f>IF(OR($F320="",$G320=""),"",IF(AND(K$5&lt;=$G320,K$5+6&gt;=$F320),IF($H320="Complétée","F",IF(OR($H320="En cours",$H320="En revue"),"E",IF($H320="Bloquée","B","P"))),""))</f>
        <v/>
      </c>
      <c r="L320" s="53">
        <f>IF(OR($F320="",$G320=""),"",IF(AND(L$5&lt;=$G320,L$5+6&gt;=$F320),IF($H320="Complétée","F",IF(OR($H320="En cours",$H320="En revue"),"E",IF($H320="Bloquée","B","P"))),""))</f>
        <v/>
      </c>
      <c r="M320" s="53">
        <f>IF(OR($F320="",$G320=""),"",IF(AND(M$5&lt;=$G320,M$5+6&gt;=$F320),IF($H320="Complétée","F",IF(OR($H320="En cours",$H320="En revue"),"E",IF($H320="Bloquée","B","P"))),""))</f>
        <v/>
      </c>
      <c r="N320" s="53">
        <f>IF(OR($F320="",$G320=""),"",IF(AND(N$5&lt;=$G320,N$5+6&gt;=$F320),IF($H320="Complétée","F",IF(OR($H320="En cours",$H320="En revue"),"E",IF($H320="Bloquée","B","P"))),""))</f>
        <v/>
      </c>
      <c r="O320" s="53">
        <f>IF(OR($F320="",$G320=""),"",IF(AND(O$5&lt;=$G320,O$5+6&gt;=$F320),IF($H320="Complétée","F",IF(OR($H320="En cours",$H320="En revue"),"E",IF($H320="Bloquée","B","P"))),""))</f>
        <v/>
      </c>
      <c r="P320" s="53">
        <f>IF(OR($F320="",$G320=""),"",IF(AND(P$5&lt;=$G320,P$5+6&gt;=$F320),IF($H320="Complétée","F",IF(OR($H320="En cours",$H320="En revue"),"E",IF($H320="Bloquée","B","P"))),""))</f>
        <v/>
      </c>
      <c r="Q320" s="53">
        <f>IF(OR($F320="",$G320=""),"",IF(AND(Q$5&lt;=$G320,Q$5+6&gt;=$F320),IF($H320="Complétée","F",IF(OR($H320="En cours",$H320="En revue"),"E",IF($H320="Bloquée","B","P"))),""))</f>
        <v/>
      </c>
      <c r="R320" s="53">
        <f>IF(OR($F320="",$G320=""),"",IF(AND(R$5&lt;=$G320,R$5+6&gt;=$F320),IF($H320="Complétée","F",IF(OR($H320="En cours",$H320="En revue"),"E",IF($H320="Bloquée","B","P"))),""))</f>
        <v/>
      </c>
      <c r="S320" s="53">
        <f>IF(OR($F320="",$G320=""),"",IF(AND(S$5&lt;=$G320,S$5+6&gt;=$F320),IF($H320="Complétée","F",IF(OR($H320="En cours",$H320="En revue"),"E",IF($H320="Bloquée","B","P"))),""))</f>
        <v/>
      </c>
      <c r="T320" s="53">
        <f>IF(OR($F320="",$G320=""),"",IF(AND(T$5&lt;=$G320,T$5+6&gt;=$F320),IF($H320="Complétée","F",IF(OR($H320="En cours",$H320="En revue"),"E",IF($H320="Bloquée","B","P"))),""))</f>
        <v/>
      </c>
      <c r="U320" s="53">
        <f>IF(OR($F320="",$G320=""),"",IF(AND(U$5&lt;=$G320,U$5+6&gt;=$F320),IF($H320="Complétée","F",IF(OR($H320="En cours",$H320="En revue"),"E",IF($H320="Bloquée","B","P"))),""))</f>
        <v/>
      </c>
      <c r="V320" s="53">
        <f>IF(OR($F320="",$G320=""),"",IF(AND(V$5&lt;=$G320,V$5+6&gt;=$F320),IF($H320="Complétée","F",IF(OR($H320="En cours",$H320="En revue"),"E",IF($H320="Bloquée","B","P"))),""))</f>
        <v/>
      </c>
      <c r="W320" s="53">
        <f>IF(OR($F320="",$G320=""),"",IF(AND(W$5&lt;=$G320,W$5+6&gt;=$F320),IF($H320="Complétée","F",IF(OR($H320="En cours",$H320="En revue"),"E",IF($H320="Bloquée","B","P"))),""))</f>
        <v/>
      </c>
      <c r="X320" s="53">
        <f>IF(OR($F320="",$G320=""),"",IF(AND(X$5&lt;=$G320,X$5+6&gt;=$F320),IF($H320="Complétée","F",IF(OR($H320="En cours",$H320="En revue"),"E",IF($H320="Bloquée","B","P"))),""))</f>
        <v/>
      </c>
      <c r="Y320" s="53">
        <f>IF(OR($F320="",$G320=""),"",IF(AND(Y$5&lt;=$G320,Y$5+6&gt;=$F320),IF($H320="Complétée","F",IF(OR($H320="En cours",$H320="En revue"),"E",IF($H320="Bloquée","B","P"))),""))</f>
        <v/>
      </c>
      <c r="Z320" s="53">
        <f>IF(OR($F320="",$G320=""),"",IF(AND(Z$5&lt;=$G320,Z$5+6&gt;=$F320),IF($H320="Complétée","F",IF(OR($H320="En cours",$H320="En revue"),"E",IF($H320="Bloquée","B","P"))),""))</f>
        <v/>
      </c>
      <c r="AA320" s="53">
        <f>IF(OR($F320="",$G320=""),"",IF(AND(AA$5&lt;=$G320,AA$5+6&gt;=$F320),IF($H320="Complétée","F",IF(OR($H320="En cours",$H320="En revue"),"E",IF($H320="Bloquée","B","P"))),""))</f>
        <v/>
      </c>
      <c r="AB320" s="53">
        <f>IF(OR($F320="",$G320=""),"",IF(AND(AB$5&lt;=$G320,AB$5+6&gt;=$F320),IF($H320="Complétée","F",IF(OR($H320="En cours",$H320="En revue"),"E",IF($H320="Bloquée","B","P"))),""))</f>
        <v/>
      </c>
      <c r="AC320" s="53">
        <f>IF(OR($F320="",$G320=""),"",IF(AND(AC$5&lt;=$G320,AC$5+6&gt;=$F320),IF($H320="Complétée","F",IF(OR($H320="En cours",$H320="En revue"),"E",IF($H320="Bloquée","B","P"))),""))</f>
        <v/>
      </c>
      <c r="AD320" s="53">
        <f>IF(OR($F320="",$G320=""),"",IF(AND(AD$5&lt;=$G320,AD$5+6&gt;=$F320),IF($H320="Complétée","F",IF(OR($H320="En cours",$H320="En revue"),"E",IF($H320="Bloquée","B","P"))),""))</f>
        <v/>
      </c>
      <c r="AE320" s="53">
        <f>IF(OR($F320="",$G320=""),"",IF(AND(AE$5&lt;=$G320,AE$5+6&gt;=$F320),IF($H320="Complétée","F",IF(OR($H320="En cours",$H320="En revue"),"E",IF($H320="Bloquée","B","P"))),""))</f>
        <v/>
      </c>
      <c r="AF320" s="53">
        <f>IF(OR($F320="",$G320=""),"",IF(AND(AF$5&lt;=$G320,AF$5+6&gt;=$F320),IF($H320="Complétée","F",IF(OR($H320="En cours",$H320="En revue"),"E",IF($H320="Bloquée","B","P"))),""))</f>
        <v/>
      </c>
      <c r="AG320" s="53">
        <f>IF(OR($F320="",$G320=""),"",IF(AND(AG$5&lt;=$G320,AG$5+6&gt;=$F320),IF($H320="Complétée","F",IF(OR($H320="En cours",$H320="En revue"),"E",IF($H320="Bloquée","B","P"))),""))</f>
        <v/>
      </c>
      <c r="AH320" s="53">
        <f>IF(OR($F320="",$G320=""),"",IF(AND(AH$5&lt;=$G320,AH$5+6&gt;=$F320),IF($H320="Complétée","F",IF(OR($H320="En cours",$H320="En revue"),"E",IF($H320="Bloquée","B","P"))),""))</f>
        <v/>
      </c>
      <c r="AI320" s="53">
        <f>IF(OR($F320="",$G320=""),"",IF(AND(AI$5&lt;=$G320,AI$5+6&gt;=$F320),IF($H320="Complétée","F",IF(OR($H320="En cours",$H320="En revue"),"E",IF($H320="Bloquée","B","P"))),""))</f>
        <v/>
      </c>
      <c r="AJ320" s="53">
        <f>IF(OR($F320="",$G320=""),"",IF(AND(AJ$5&lt;=$G320,AJ$5+6&gt;=$F320),IF($H320="Complétée","F",IF(OR($H320="En cours",$H320="En revue"),"E",IF($H320="Bloquée","B","P"))),""))</f>
        <v/>
      </c>
      <c r="AK320" s="53">
        <f>IF(OR($F320="",$G320=""),"",IF(AND(AK$5&lt;=$G320,AK$5+6&gt;=$F320),IF($H320="Complétée","F",IF(OR($H320="En cours",$H320="En revue"),"E",IF($H320="Bloquée","B","P"))),""))</f>
        <v/>
      </c>
      <c r="AL320" s="53">
        <f>IF(OR($F320="",$G320=""),"",IF(AND(AL$5&lt;=$G320,AL$5+6&gt;=$F320),IF($H320="Complétée","F",IF(OR($H320="En cours",$H320="En revue"),"E",IF($H320="Bloquée","B","P"))),""))</f>
        <v/>
      </c>
      <c r="AM320" s="53">
        <f>IF(OR($F320="",$G320=""),"",IF(AND(AM$5&lt;=$G320,AM$5+6&gt;=$F320),IF($H320="Complétée","F",IF(OR($H320="En cours",$H320="En revue"),"E",IF($H320="Bloquée","B","P"))),""))</f>
        <v/>
      </c>
      <c r="AN320" s="53">
        <f>IF(OR($F320="",$G320=""),"",IF(AND(AN$5&lt;=$G320,AN$5+6&gt;=$F320),IF($H320="Complétée","F",IF(OR($H320="En cours",$H320="En revue"),"E",IF($H320="Bloquée","B","P"))),""))</f>
        <v/>
      </c>
      <c r="AO320" s="53">
        <f>IF(OR($F320="",$G320=""),"",IF(AND(AO$5&lt;=$G320,AO$5+6&gt;=$F320),IF($H320="Complétée","F",IF(OR($H320="En cours",$H320="En revue"),"E",IF($H320="Bloquée","B","P"))),""))</f>
        <v/>
      </c>
      <c r="AP320" s="53">
        <f>IF(OR($F320="",$G320=""),"",IF(AND(AP$5&lt;=$G320,AP$5+6&gt;=$F320),IF($H320="Complétée","F",IF(OR($H320="En cours",$H320="En revue"),"E",IF($H320="Bloquée","B","P"))),""))</f>
        <v/>
      </c>
      <c r="AQ320" s="53">
        <f>IF(OR($F320="",$G320=""),"",IF(AND(AQ$5&lt;=$G320,AQ$5+6&gt;=$F320),IF($H320="Complétée","F",IF(OR($H320="En cours",$H320="En revue"),"E",IF($H320="Bloquée","B","P"))),""))</f>
        <v/>
      </c>
      <c r="AR320" s="53">
        <f>IF(OR($F320="",$G320=""),"",IF(AND(AR$5&lt;=$G320,AR$5+6&gt;=$F320),IF($H320="Complétée","F",IF(OR($H320="En cours",$H320="En revue"),"E",IF($H320="Bloquée","B","P"))),""))</f>
        <v/>
      </c>
      <c r="AS320" s="53">
        <f>IF(OR($F320="",$G320=""),"",IF(AND(AS$5&lt;=$G320,AS$5+6&gt;=$F320),IF($H320="Complétée","F",IF(OR($H320="En cours",$H320="En revue"),"E",IF($H320="Bloquée","B","P"))),""))</f>
        <v/>
      </c>
      <c r="AT320" s="53">
        <f>IF(OR($F320="",$G320=""),"",IF(AND(AT$5&lt;=$G320,AT$5+6&gt;=$F320),IF($H320="Complétée","F",IF(OR($H320="En cours",$H320="En revue"),"E",IF($H320="Bloquée","B","P"))),""))</f>
        <v/>
      </c>
      <c r="AU320" s="53">
        <f>IF(OR($F320="",$G320=""),"",IF(AND(AU$5&lt;=$G320,AU$5+6&gt;=$F320),IF($H320="Complétée","F",IF(OR($H320="En cours",$H320="En revue"),"E",IF($H320="Bloquée","B","P"))),""))</f>
        <v/>
      </c>
      <c r="AV320" s="53">
        <f>IF(OR($F320="",$G320=""),"",IF(AND(AV$5&lt;=$G320,AV$5+6&gt;=$F320),IF($H320="Complétée","F",IF(OR($H320="En cours",$H320="En revue"),"E",IF($H320="Bloquée","B","P"))),""))</f>
        <v/>
      </c>
      <c r="AW320" s="53">
        <f>IF(OR($F320="",$G320=""),"",IF(AND(AW$5&lt;=$G320,AW$5+6&gt;=$F320),IF($H320="Complétée","F",IF(OR($H320="En cours",$H320="En revue"),"E",IF($H320="Bloquée","B","P"))),""))</f>
        <v/>
      </c>
    </row>
    <row r="321">
      <c r="B321" s="50">
        <f>IF(Taches!B321="","",Taches!B321)</f>
        <v/>
      </c>
      <c r="C321" s="51">
        <f>IF(Taches!B321="","",Taches!F321)</f>
        <v/>
      </c>
      <c r="D321" s="50">
        <f>IF(Taches!B321="","",Taches!C321)</f>
        <v/>
      </c>
      <c r="E321" s="50">
        <f>IF(Taches!B321="","",Taches!D321)</f>
        <v/>
      </c>
      <c r="F321" s="52">
        <f>IF(Taches!P321="","",Taches!P321)</f>
        <v/>
      </c>
      <c r="G321" s="52">
        <f>IF(Taches!Q321="","",Taches!Q321)</f>
        <v/>
      </c>
      <c r="H321" s="50">
        <f>IF(Taches!B321="","",Taches!J321)</f>
        <v/>
      </c>
      <c r="I321" s="53">
        <f>IF(OR($F321="",$G321=""),"",IF(AND(I$5&lt;=$G321,I$5+6&gt;=$F321),IF($H321="Complétée","F",IF(OR($H321="En cours",$H321="En revue"),"E",IF($H321="Bloquée","B","P"))),""))</f>
        <v/>
      </c>
      <c r="J321" s="53">
        <f>IF(OR($F321="",$G321=""),"",IF(AND(J$5&lt;=$G321,J$5+6&gt;=$F321),IF($H321="Complétée","F",IF(OR($H321="En cours",$H321="En revue"),"E",IF($H321="Bloquée","B","P"))),""))</f>
        <v/>
      </c>
      <c r="K321" s="53">
        <f>IF(OR($F321="",$G321=""),"",IF(AND(K$5&lt;=$G321,K$5+6&gt;=$F321),IF($H321="Complétée","F",IF(OR($H321="En cours",$H321="En revue"),"E",IF($H321="Bloquée","B","P"))),""))</f>
        <v/>
      </c>
      <c r="L321" s="53">
        <f>IF(OR($F321="",$G321=""),"",IF(AND(L$5&lt;=$G321,L$5+6&gt;=$F321),IF($H321="Complétée","F",IF(OR($H321="En cours",$H321="En revue"),"E",IF($H321="Bloquée","B","P"))),""))</f>
        <v/>
      </c>
      <c r="M321" s="53">
        <f>IF(OR($F321="",$G321=""),"",IF(AND(M$5&lt;=$G321,M$5+6&gt;=$F321),IF($H321="Complétée","F",IF(OR($H321="En cours",$H321="En revue"),"E",IF($H321="Bloquée","B","P"))),""))</f>
        <v/>
      </c>
      <c r="N321" s="53">
        <f>IF(OR($F321="",$G321=""),"",IF(AND(N$5&lt;=$G321,N$5+6&gt;=$F321),IF($H321="Complétée","F",IF(OR($H321="En cours",$H321="En revue"),"E",IF($H321="Bloquée","B","P"))),""))</f>
        <v/>
      </c>
      <c r="O321" s="53">
        <f>IF(OR($F321="",$G321=""),"",IF(AND(O$5&lt;=$G321,O$5+6&gt;=$F321),IF($H321="Complétée","F",IF(OR($H321="En cours",$H321="En revue"),"E",IF($H321="Bloquée","B","P"))),""))</f>
        <v/>
      </c>
      <c r="P321" s="53">
        <f>IF(OR($F321="",$G321=""),"",IF(AND(P$5&lt;=$G321,P$5+6&gt;=$F321),IF($H321="Complétée","F",IF(OR($H321="En cours",$H321="En revue"),"E",IF($H321="Bloquée","B","P"))),""))</f>
        <v/>
      </c>
      <c r="Q321" s="53">
        <f>IF(OR($F321="",$G321=""),"",IF(AND(Q$5&lt;=$G321,Q$5+6&gt;=$F321),IF($H321="Complétée","F",IF(OR($H321="En cours",$H321="En revue"),"E",IF($H321="Bloquée","B","P"))),""))</f>
        <v/>
      </c>
      <c r="R321" s="53">
        <f>IF(OR($F321="",$G321=""),"",IF(AND(R$5&lt;=$G321,R$5+6&gt;=$F321),IF($H321="Complétée","F",IF(OR($H321="En cours",$H321="En revue"),"E",IF($H321="Bloquée","B","P"))),""))</f>
        <v/>
      </c>
      <c r="S321" s="53">
        <f>IF(OR($F321="",$G321=""),"",IF(AND(S$5&lt;=$G321,S$5+6&gt;=$F321),IF($H321="Complétée","F",IF(OR($H321="En cours",$H321="En revue"),"E",IF($H321="Bloquée","B","P"))),""))</f>
        <v/>
      </c>
      <c r="T321" s="53">
        <f>IF(OR($F321="",$G321=""),"",IF(AND(T$5&lt;=$G321,T$5+6&gt;=$F321),IF($H321="Complétée","F",IF(OR($H321="En cours",$H321="En revue"),"E",IF($H321="Bloquée","B","P"))),""))</f>
        <v/>
      </c>
      <c r="U321" s="53">
        <f>IF(OR($F321="",$G321=""),"",IF(AND(U$5&lt;=$G321,U$5+6&gt;=$F321),IF($H321="Complétée","F",IF(OR($H321="En cours",$H321="En revue"),"E",IF($H321="Bloquée","B","P"))),""))</f>
        <v/>
      </c>
      <c r="V321" s="53">
        <f>IF(OR($F321="",$G321=""),"",IF(AND(V$5&lt;=$G321,V$5+6&gt;=$F321),IF($H321="Complétée","F",IF(OR($H321="En cours",$H321="En revue"),"E",IF($H321="Bloquée","B","P"))),""))</f>
        <v/>
      </c>
      <c r="W321" s="53">
        <f>IF(OR($F321="",$G321=""),"",IF(AND(W$5&lt;=$G321,W$5+6&gt;=$F321),IF($H321="Complétée","F",IF(OR($H321="En cours",$H321="En revue"),"E",IF($H321="Bloquée","B","P"))),""))</f>
        <v/>
      </c>
      <c r="X321" s="53">
        <f>IF(OR($F321="",$G321=""),"",IF(AND(X$5&lt;=$G321,X$5+6&gt;=$F321),IF($H321="Complétée","F",IF(OR($H321="En cours",$H321="En revue"),"E",IF($H321="Bloquée","B","P"))),""))</f>
        <v/>
      </c>
      <c r="Y321" s="53">
        <f>IF(OR($F321="",$G321=""),"",IF(AND(Y$5&lt;=$G321,Y$5+6&gt;=$F321),IF($H321="Complétée","F",IF(OR($H321="En cours",$H321="En revue"),"E",IF($H321="Bloquée","B","P"))),""))</f>
        <v/>
      </c>
      <c r="Z321" s="53">
        <f>IF(OR($F321="",$G321=""),"",IF(AND(Z$5&lt;=$G321,Z$5+6&gt;=$F321),IF($H321="Complétée","F",IF(OR($H321="En cours",$H321="En revue"),"E",IF($H321="Bloquée","B","P"))),""))</f>
        <v/>
      </c>
      <c r="AA321" s="53">
        <f>IF(OR($F321="",$G321=""),"",IF(AND(AA$5&lt;=$G321,AA$5+6&gt;=$F321),IF($H321="Complétée","F",IF(OR($H321="En cours",$H321="En revue"),"E",IF($H321="Bloquée","B","P"))),""))</f>
        <v/>
      </c>
      <c r="AB321" s="53">
        <f>IF(OR($F321="",$G321=""),"",IF(AND(AB$5&lt;=$G321,AB$5+6&gt;=$F321),IF($H321="Complétée","F",IF(OR($H321="En cours",$H321="En revue"),"E",IF($H321="Bloquée","B","P"))),""))</f>
        <v/>
      </c>
      <c r="AC321" s="53">
        <f>IF(OR($F321="",$G321=""),"",IF(AND(AC$5&lt;=$G321,AC$5+6&gt;=$F321),IF($H321="Complétée","F",IF(OR($H321="En cours",$H321="En revue"),"E",IF($H321="Bloquée","B","P"))),""))</f>
        <v/>
      </c>
      <c r="AD321" s="53">
        <f>IF(OR($F321="",$G321=""),"",IF(AND(AD$5&lt;=$G321,AD$5+6&gt;=$F321),IF($H321="Complétée","F",IF(OR($H321="En cours",$H321="En revue"),"E",IF($H321="Bloquée","B","P"))),""))</f>
        <v/>
      </c>
      <c r="AE321" s="53">
        <f>IF(OR($F321="",$G321=""),"",IF(AND(AE$5&lt;=$G321,AE$5+6&gt;=$F321),IF($H321="Complétée","F",IF(OR($H321="En cours",$H321="En revue"),"E",IF($H321="Bloquée","B","P"))),""))</f>
        <v/>
      </c>
      <c r="AF321" s="53">
        <f>IF(OR($F321="",$G321=""),"",IF(AND(AF$5&lt;=$G321,AF$5+6&gt;=$F321),IF($H321="Complétée","F",IF(OR($H321="En cours",$H321="En revue"),"E",IF($H321="Bloquée","B","P"))),""))</f>
        <v/>
      </c>
      <c r="AG321" s="53">
        <f>IF(OR($F321="",$G321=""),"",IF(AND(AG$5&lt;=$G321,AG$5+6&gt;=$F321),IF($H321="Complétée","F",IF(OR($H321="En cours",$H321="En revue"),"E",IF($H321="Bloquée","B","P"))),""))</f>
        <v/>
      </c>
      <c r="AH321" s="53">
        <f>IF(OR($F321="",$G321=""),"",IF(AND(AH$5&lt;=$G321,AH$5+6&gt;=$F321),IF($H321="Complétée","F",IF(OR($H321="En cours",$H321="En revue"),"E",IF($H321="Bloquée","B","P"))),""))</f>
        <v/>
      </c>
      <c r="AI321" s="53">
        <f>IF(OR($F321="",$G321=""),"",IF(AND(AI$5&lt;=$G321,AI$5+6&gt;=$F321),IF($H321="Complétée","F",IF(OR($H321="En cours",$H321="En revue"),"E",IF($H321="Bloquée","B","P"))),""))</f>
        <v/>
      </c>
      <c r="AJ321" s="53">
        <f>IF(OR($F321="",$G321=""),"",IF(AND(AJ$5&lt;=$G321,AJ$5+6&gt;=$F321),IF($H321="Complétée","F",IF(OR($H321="En cours",$H321="En revue"),"E",IF($H321="Bloquée","B","P"))),""))</f>
        <v/>
      </c>
      <c r="AK321" s="53">
        <f>IF(OR($F321="",$G321=""),"",IF(AND(AK$5&lt;=$G321,AK$5+6&gt;=$F321),IF($H321="Complétée","F",IF(OR($H321="En cours",$H321="En revue"),"E",IF($H321="Bloquée","B","P"))),""))</f>
        <v/>
      </c>
      <c r="AL321" s="53">
        <f>IF(OR($F321="",$G321=""),"",IF(AND(AL$5&lt;=$G321,AL$5+6&gt;=$F321),IF($H321="Complétée","F",IF(OR($H321="En cours",$H321="En revue"),"E",IF($H321="Bloquée","B","P"))),""))</f>
        <v/>
      </c>
      <c r="AM321" s="53">
        <f>IF(OR($F321="",$G321=""),"",IF(AND(AM$5&lt;=$G321,AM$5+6&gt;=$F321),IF($H321="Complétée","F",IF(OR($H321="En cours",$H321="En revue"),"E",IF($H321="Bloquée","B","P"))),""))</f>
        <v/>
      </c>
      <c r="AN321" s="53">
        <f>IF(OR($F321="",$G321=""),"",IF(AND(AN$5&lt;=$G321,AN$5+6&gt;=$F321),IF($H321="Complétée","F",IF(OR($H321="En cours",$H321="En revue"),"E",IF($H321="Bloquée","B","P"))),""))</f>
        <v/>
      </c>
      <c r="AO321" s="53">
        <f>IF(OR($F321="",$G321=""),"",IF(AND(AO$5&lt;=$G321,AO$5+6&gt;=$F321),IF($H321="Complétée","F",IF(OR($H321="En cours",$H321="En revue"),"E",IF($H321="Bloquée","B","P"))),""))</f>
        <v/>
      </c>
      <c r="AP321" s="53">
        <f>IF(OR($F321="",$G321=""),"",IF(AND(AP$5&lt;=$G321,AP$5+6&gt;=$F321),IF($H321="Complétée","F",IF(OR($H321="En cours",$H321="En revue"),"E",IF($H321="Bloquée","B","P"))),""))</f>
        <v/>
      </c>
      <c r="AQ321" s="53">
        <f>IF(OR($F321="",$G321=""),"",IF(AND(AQ$5&lt;=$G321,AQ$5+6&gt;=$F321),IF($H321="Complétée","F",IF(OR($H321="En cours",$H321="En revue"),"E",IF($H321="Bloquée","B","P"))),""))</f>
        <v/>
      </c>
      <c r="AR321" s="53">
        <f>IF(OR($F321="",$G321=""),"",IF(AND(AR$5&lt;=$G321,AR$5+6&gt;=$F321),IF($H321="Complétée","F",IF(OR($H321="En cours",$H321="En revue"),"E",IF($H321="Bloquée","B","P"))),""))</f>
        <v/>
      </c>
      <c r="AS321" s="53">
        <f>IF(OR($F321="",$G321=""),"",IF(AND(AS$5&lt;=$G321,AS$5+6&gt;=$F321),IF($H321="Complétée","F",IF(OR($H321="En cours",$H321="En revue"),"E",IF($H321="Bloquée","B","P"))),""))</f>
        <v/>
      </c>
      <c r="AT321" s="53">
        <f>IF(OR($F321="",$G321=""),"",IF(AND(AT$5&lt;=$G321,AT$5+6&gt;=$F321),IF($H321="Complétée","F",IF(OR($H321="En cours",$H321="En revue"),"E",IF($H321="Bloquée","B","P"))),""))</f>
        <v/>
      </c>
      <c r="AU321" s="53">
        <f>IF(OR($F321="",$G321=""),"",IF(AND(AU$5&lt;=$G321,AU$5+6&gt;=$F321),IF($H321="Complétée","F",IF(OR($H321="En cours",$H321="En revue"),"E",IF($H321="Bloquée","B","P"))),""))</f>
        <v/>
      </c>
      <c r="AV321" s="53">
        <f>IF(OR($F321="",$G321=""),"",IF(AND(AV$5&lt;=$G321,AV$5+6&gt;=$F321),IF($H321="Complétée","F",IF(OR($H321="En cours",$H321="En revue"),"E",IF($H321="Bloquée","B","P"))),""))</f>
        <v/>
      </c>
      <c r="AW321" s="53">
        <f>IF(OR($F321="",$G321=""),"",IF(AND(AW$5&lt;=$G321,AW$5+6&gt;=$F321),IF($H321="Complétée","F",IF(OR($H321="En cours",$H321="En revue"),"E",IF($H321="Bloquée","B","P"))),""))</f>
        <v/>
      </c>
    </row>
    <row r="322">
      <c r="B322" s="50">
        <f>IF(Taches!B322="","",Taches!B322)</f>
        <v/>
      </c>
      <c r="C322" s="51">
        <f>IF(Taches!B322="","",Taches!F322)</f>
        <v/>
      </c>
      <c r="D322" s="50">
        <f>IF(Taches!B322="","",Taches!C322)</f>
        <v/>
      </c>
      <c r="E322" s="50">
        <f>IF(Taches!B322="","",Taches!D322)</f>
        <v/>
      </c>
      <c r="F322" s="52">
        <f>IF(Taches!P322="","",Taches!P322)</f>
        <v/>
      </c>
      <c r="G322" s="52">
        <f>IF(Taches!Q322="","",Taches!Q322)</f>
        <v/>
      </c>
      <c r="H322" s="50">
        <f>IF(Taches!B322="","",Taches!J322)</f>
        <v/>
      </c>
      <c r="I322" s="53">
        <f>IF(OR($F322="",$G322=""),"",IF(AND(I$5&lt;=$G322,I$5+6&gt;=$F322),IF($H322="Complétée","F",IF(OR($H322="En cours",$H322="En revue"),"E",IF($H322="Bloquée","B","P"))),""))</f>
        <v/>
      </c>
      <c r="J322" s="53">
        <f>IF(OR($F322="",$G322=""),"",IF(AND(J$5&lt;=$G322,J$5+6&gt;=$F322),IF($H322="Complétée","F",IF(OR($H322="En cours",$H322="En revue"),"E",IF($H322="Bloquée","B","P"))),""))</f>
        <v/>
      </c>
      <c r="K322" s="53">
        <f>IF(OR($F322="",$G322=""),"",IF(AND(K$5&lt;=$G322,K$5+6&gt;=$F322),IF($H322="Complétée","F",IF(OR($H322="En cours",$H322="En revue"),"E",IF($H322="Bloquée","B","P"))),""))</f>
        <v/>
      </c>
      <c r="L322" s="53">
        <f>IF(OR($F322="",$G322=""),"",IF(AND(L$5&lt;=$G322,L$5+6&gt;=$F322),IF($H322="Complétée","F",IF(OR($H322="En cours",$H322="En revue"),"E",IF($H322="Bloquée","B","P"))),""))</f>
        <v/>
      </c>
      <c r="M322" s="53">
        <f>IF(OR($F322="",$G322=""),"",IF(AND(M$5&lt;=$G322,M$5+6&gt;=$F322),IF($H322="Complétée","F",IF(OR($H322="En cours",$H322="En revue"),"E",IF($H322="Bloquée","B","P"))),""))</f>
        <v/>
      </c>
      <c r="N322" s="53">
        <f>IF(OR($F322="",$G322=""),"",IF(AND(N$5&lt;=$G322,N$5+6&gt;=$F322),IF($H322="Complétée","F",IF(OR($H322="En cours",$H322="En revue"),"E",IF($H322="Bloquée","B","P"))),""))</f>
        <v/>
      </c>
      <c r="O322" s="53">
        <f>IF(OR($F322="",$G322=""),"",IF(AND(O$5&lt;=$G322,O$5+6&gt;=$F322),IF($H322="Complétée","F",IF(OR($H322="En cours",$H322="En revue"),"E",IF($H322="Bloquée","B","P"))),""))</f>
        <v/>
      </c>
      <c r="P322" s="53">
        <f>IF(OR($F322="",$G322=""),"",IF(AND(P$5&lt;=$G322,P$5+6&gt;=$F322),IF($H322="Complétée","F",IF(OR($H322="En cours",$H322="En revue"),"E",IF($H322="Bloquée","B","P"))),""))</f>
        <v/>
      </c>
      <c r="Q322" s="53">
        <f>IF(OR($F322="",$G322=""),"",IF(AND(Q$5&lt;=$G322,Q$5+6&gt;=$F322),IF($H322="Complétée","F",IF(OR($H322="En cours",$H322="En revue"),"E",IF($H322="Bloquée","B","P"))),""))</f>
        <v/>
      </c>
      <c r="R322" s="53">
        <f>IF(OR($F322="",$G322=""),"",IF(AND(R$5&lt;=$G322,R$5+6&gt;=$F322),IF($H322="Complétée","F",IF(OR($H322="En cours",$H322="En revue"),"E",IF($H322="Bloquée","B","P"))),""))</f>
        <v/>
      </c>
      <c r="S322" s="53">
        <f>IF(OR($F322="",$G322=""),"",IF(AND(S$5&lt;=$G322,S$5+6&gt;=$F322),IF($H322="Complétée","F",IF(OR($H322="En cours",$H322="En revue"),"E",IF($H322="Bloquée","B","P"))),""))</f>
        <v/>
      </c>
      <c r="T322" s="53">
        <f>IF(OR($F322="",$G322=""),"",IF(AND(T$5&lt;=$G322,T$5+6&gt;=$F322),IF($H322="Complétée","F",IF(OR($H322="En cours",$H322="En revue"),"E",IF($H322="Bloquée","B","P"))),""))</f>
        <v/>
      </c>
      <c r="U322" s="53">
        <f>IF(OR($F322="",$G322=""),"",IF(AND(U$5&lt;=$G322,U$5+6&gt;=$F322),IF($H322="Complétée","F",IF(OR($H322="En cours",$H322="En revue"),"E",IF($H322="Bloquée","B","P"))),""))</f>
        <v/>
      </c>
      <c r="V322" s="53">
        <f>IF(OR($F322="",$G322=""),"",IF(AND(V$5&lt;=$G322,V$5+6&gt;=$F322),IF($H322="Complétée","F",IF(OR($H322="En cours",$H322="En revue"),"E",IF($H322="Bloquée","B","P"))),""))</f>
        <v/>
      </c>
      <c r="W322" s="53">
        <f>IF(OR($F322="",$G322=""),"",IF(AND(W$5&lt;=$G322,W$5+6&gt;=$F322),IF($H322="Complétée","F",IF(OR($H322="En cours",$H322="En revue"),"E",IF($H322="Bloquée","B","P"))),""))</f>
        <v/>
      </c>
      <c r="X322" s="53">
        <f>IF(OR($F322="",$G322=""),"",IF(AND(X$5&lt;=$G322,X$5+6&gt;=$F322),IF($H322="Complétée","F",IF(OR($H322="En cours",$H322="En revue"),"E",IF($H322="Bloquée","B","P"))),""))</f>
        <v/>
      </c>
      <c r="Y322" s="53">
        <f>IF(OR($F322="",$G322=""),"",IF(AND(Y$5&lt;=$G322,Y$5+6&gt;=$F322),IF($H322="Complétée","F",IF(OR($H322="En cours",$H322="En revue"),"E",IF($H322="Bloquée","B","P"))),""))</f>
        <v/>
      </c>
      <c r="Z322" s="53">
        <f>IF(OR($F322="",$G322=""),"",IF(AND(Z$5&lt;=$G322,Z$5+6&gt;=$F322),IF($H322="Complétée","F",IF(OR($H322="En cours",$H322="En revue"),"E",IF($H322="Bloquée","B","P"))),""))</f>
        <v/>
      </c>
      <c r="AA322" s="53">
        <f>IF(OR($F322="",$G322=""),"",IF(AND(AA$5&lt;=$G322,AA$5+6&gt;=$F322),IF($H322="Complétée","F",IF(OR($H322="En cours",$H322="En revue"),"E",IF($H322="Bloquée","B","P"))),""))</f>
        <v/>
      </c>
      <c r="AB322" s="53">
        <f>IF(OR($F322="",$G322=""),"",IF(AND(AB$5&lt;=$G322,AB$5+6&gt;=$F322),IF($H322="Complétée","F",IF(OR($H322="En cours",$H322="En revue"),"E",IF($H322="Bloquée","B","P"))),""))</f>
        <v/>
      </c>
      <c r="AC322" s="53">
        <f>IF(OR($F322="",$G322=""),"",IF(AND(AC$5&lt;=$G322,AC$5+6&gt;=$F322),IF($H322="Complétée","F",IF(OR($H322="En cours",$H322="En revue"),"E",IF($H322="Bloquée","B","P"))),""))</f>
        <v/>
      </c>
      <c r="AD322" s="53">
        <f>IF(OR($F322="",$G322=""),"",IF(AND(AD$5&lt;=$G322,AD$5+6&gt;=$F322),IF($H322="Complétée","F",IF(OR($H322="En cours",$H322="En revue"),"E",IF($H322="Bloquée","B","P"))),""))</f>
        <v/>
      </c>
      <c r="AE322" s="53">
        <f>IF(OR($F322="",$G322=""),"",IF(AND(AE$5&lt;=$G322,AE$5+6&gt;=$F322),IF($H322="Complétée","F",IF(OR($H322="En cours",$H322="En revue"),"E",IF($H322="Bloquée","B","P"))),""))</f>
        <v/>
      </c>
      <c r="AF322" s="53">
        <f>IF(OR($F322="",$G322=""),"",IF(AND(AF$5&lt;=$G322,AF$5+6&gt;=$F322),IF($H322="Complétée","F",IF(OR($H322="En cours",$H322="En revue"),"E",IF($H322="Bloquée","B","P"))),""))</f>
        <v/>
      </c>
      <c r="AG322" s="53">
        <f>IF(OR($F322="",$G322=""),"",IF(AND(AG$5&lt;=$G322,AG$5+6&gt;=$F322),IF($H322="Complétée","F",IF(OR($H322="En cours",$H322="En revue"),"E",IF($H322="Bloquée","B","P"))),""))</f>
        <v/>
      </c>
      <c r="AH322" s="53">
        <f>IF(OR($F322="",$G322=""),"",IF(AND(AH$5&lt;=$G322,AH$5+6&gt;=$F322),IF($H322="Complétée","F",IF(OR($H322="En cours",$H322="En revue"),"E",IF($H322="Bloquée","B","P"))),""))</f>
        <v/>
      </c>
      <c r="AI322" s="53">
        <f>IF(OR($F322="",$G322=""),"",IF(AND(AI$5&lt;=$G322,AI$5+6&gt;=$F322),IF($H322="Complétée","F",IF(OR($H322="En cours",$H322="En revue"),"E",IF($H322="Bloquée","B","P"))),""))</f>
        <v/>
      </c>
      <c r="AJ322" s="53">
        <f>IF(OR($F322="",$G322=""),"",IF(AND(AJ$5&lt;=$G322,AJ$5+6&gt;=$F322),IF($H322="Complétée","F",IF(OR($H322="En cours",$H322="En revue"),"E",IF($H322="Bloquée","B","P"))),""))</f>
        <v/>
      </c>
      <c r="AK322" s="53">
        <f>IF(OR($F322="",$G322=""),"",IF(AND(AK$5&lt;=$G322,AK$5+6&gt;=$F322),IF($H322="Complétée","F",IF(OR($H322="En cours",$H322="En revue"),"E",IF($H322="Bloquée","B","P"))),""))</f>
        <v/>
      </c>
      <c r="AL322" s="53">
        <f>IF(OR($F322="",$G322=""),"",IF(AND(AL$5&lt;=$G322,AL$5+6&gt;=$F322),IF($H322="Complétée","F",IF(OR($H322="En cours",$H322="En revue"),"E",IF($H322="Bloquée","B","P"))),""))</f>
        <v/>
      </c>
      <c r="AM322" s="53">
        <f>IF(OR($F322="",$G322=""),"",IF(AND(AM$5&lt;=$G322,AM$5+6&gt;=$F322),IF($H322="Complétée","F",IF(OR($H322="En cours",$H322="En revue"),"E",IF($H322="Bloquée","B","P"))),""))</f>
        <v/>
      </c>
      <c r="AN322" s="53">
        <f>IF(OR($F322="",$G322=""),"",IF(AND(AN$5&lt;=$G322,AN$5+6&gt;=$F322),IF($H322="Complétée","F",IF(OR($H322="En cours",$H322="En revue"),"E",IF($H322="Bloquée","B","P"))),""))</f>
        <v/>
      </c>
      <c r="AO322" s="53">
        <f>IF(OR($F322="",$G322=""),"",IF(AND(AO$5&lt;=$G322,AO$5+6&gt;=$F322),IF($H322="Complétée","F",IF(OR($H322="En cours",$H322="En revue"),"E",IF($H322="Bloquée","B","P"))),""))</f>
        <v/>
      </c>
      <c r="AP322" s="53">
        <f>IF(OR($F322="",$G322=""),"",IF(AND(AP$5&lt;=$G322,AP$5+6&gt;=$F322),IF($H322="Complétée","F",IF(OR($H322="En cours",$H322="En revue"),"E",IF($H322="Bloquée","B","P"))),""))</f>
        <v/>
      </c>
      <c r="AQ322" s="53">
        <f>IF(OR($F322="",$G322=""),"",IF(AND(AQ$5&lt;=$G322,AQ$5+6&gt;=$F322),IF($H322="Complétée","F",IF(OR($H322="En cours",$H322="En revue"),"E",IF($H322="Bloquée","B","P"))),""))</f>
        <v/>
      </c>
      <c r="AR322" s="53">
        <f>IF(OR($F322="",$G322=""),"",IF(AND(AR$5&lt;=$G322,AR$5+6&gt;=$F322),IF($H322="Complétée","F",IF(OR($H322="En cours",$H322="En revue"),"E",IF($H322="Bloquée","B","P"))),""))</f>
        <v/>
      </c>
      <c r="AS322" s="53">
        <f>IF(OR($F322="",$G322=""),"",IF(AND(AS$5&lt;=$G322,AS$5+6&gt;=$F322),IF($H322="Complétée","F",IF(OR($H322="En cours",$H322="En revue"),"E",IF($H322="Bloquée","B","P"))),""))</f>
        <v/>
      </c>
      <c r="AT322" s="53">
        <f>IF(OR($F322="",$G322=""),"",IF(AND(AT$5&lt;=$G322,AT$5+6&gt;=$F322),IF($H322="Complétée","F",IF(OR($H322="En cours",$H322="En revue"),"E",IF($H322="Bloquée","B","P"))),""))</f>
        <v/>
      </c>
      <c r="AU322" s="53">
        <f>IF(OR($F322="",$G322=""),"",IF(AND(AU$5&lt;=$G322,AU$5+6&gt;=$F322),IF($H322="Complétée","F",IF(OR($H322="En cours",$H322="En revue"),"E",IF($H322="Bloquée","B","P"))),""))</f>
        <v/>
      </c>
      <c r="AV322" s="53">
        <f>IF(OR($F322="",$G322=""),"",IF(AND(AV$5&lt;=$G322,AV$5+6&gt;=$F322),IF($H322="Complétée","F",IF(OR($H322="En cours",$H322="En revue"),"E",IF($H322="Bloquée","B","P"))),""))</f>
        <v/>
      </c>
      <c r="AW322" s="53">
        <f>IF(OR($F322="",$G322=""),"",IF(AND(AW$5&lt;=$G322,AW$5+6&gt;=$F322),IF($H322="Complétée","F",IF(OR($H322="En cours",$H322="En revue"),"E",IF($H322="Bloquée","B","P"))),""))</f>
        <v/>
      </c>
    </row>
    <row r="323">
      <c r="B323" s="50">
        <f>IF(Taches!B323="","",Taches!B323)</f>
        <v/>
      </c>
      <c r="C323" s="51">
        <f>IF(Taches!B323="","",Taches!F323)</f>
        <v/>
      </c>
      <c r="D323" s="50">
        <f>IF(Taches!B323="","",Taches!C323)</f>
        <v/>
      </c>
      <c r="E323" s="50">
        <f>IF(Taches!B323="","",Taches!D323)</f>
        <v/>
      </c>
      <c r="F323" s="52">
        <f>IF(Taches!P323="","",Taches!P323)</f>
        <v/>
      </c>
      <c r="G323" s="52">
        <f>IF(Taches!Q323="","",Taches!Q323)</f>
        <v/>
      </c>
      <c r="H323" s="50">
        <f>IF(Taches!B323="","",Taches!J323)</f>
        <v/>
      </c>
      <c r="I323" s="53">
        <f>IF(OR($F323="",$G323=""),"",IF(AND(I$5&lt;=$G323,I$5+6&gt;=$F323),IF($H323="Complétée","F",IF(OR($H323="En cours",$H323="En revue"),"E",IF($H323="Bloquée","B","P"))),""))</f>
        <v/>
      </c>
      <c r="J323" s="53">
        <f>IF(OR($F323="",$G323=""),"",IF(AND(J$5&lt;=$G323,J$5+6&gt;=$F323),IF($H323="Complétée","F",IF(OR($H323="En cours",$H323="En revue"),"E",IF($H323="Bloquée","B","P"))),""))</f>
        <v/>
      </c>
      <c r="K323" s="53">
        <f>IF(OR($F323="",$G323=""),"",IF(AND(K$5&lt;=$G323,K$5+6&gt;=$F323),IF($H323="Complétée","F",IF(OR($H323="En cours",$H323="En revue"),"E",IF($H323="Bloquée","B","P"))),""))</f>
        <v/>
      </c>
      <c r="L323" s="53">
        <f>IF(OR($F323="",$G323=""),"",IF(AND(L$5&lt;=$G323,L$5+6&gt;=$F323),IF($H323="Complétée","F",IF(OR($H323="En cours",$H323="En revue"),"E",IF($H323="Bloquée","B","P"))),""))</f>
        <v/>
      </c>
      <c r="M323" s="53">
        <f>IF(OR($F323="",$G323=""),"",IF(AND(M$5&lt;=$G323,M$5+6&gt;=$F323),IF($H323="Complétée","F",IF(OR($H323="En cours",$H323="En revue"),"E",IF($H323="Bloquée","B","P"))),""))</f>
        <v/>
      </c>
      <c r="N323" s="53">
        <f>IF(OR($F323="",$G323=""),"",IF(AND(N$5&lt;=$G323,N$5+6&gt;=$F323),IF($H323="Complétée","F",IF(OR($H323="En cours",$H323="En revue"),"E",IF($H323="Bloquée","B","P"))),""))</f>
        <v/>
      </c>
      <c r="O323" s="53">
        <f>IF(OR($F323="",$G323=""),"",IF(AND(O$5&lt;=$G323,O$5+6&gt;=$F323),IF($H323="Complétée","F",IF(OR($H323="En cours",$H323="En revue"),"E",IF($H323="Bloquée","B","P"))),""))</f>
        <v/>
      </c>
      <c r="P323" s="53">
        <f>IF(OR($F323="",$G323=""),"",IF(AND(P$5&lt;=$G323,P$5+6&gt;=$F323),IF($H323="Complétée","F",IF(OR($H323="En cours",$H323="En revue"),"E",IF($H323="Bloquée","B","P"))),""))</f>
        <v/>
      </c>
      <c r="Q323" s="53">
        <f>IF(OR($F323="",$G323=""),"",IF(AND(Q$5&lt;=$G323,Q$5+6&gt;=$F323),IF($H323="Complétée","F",IF(OR($H323="En cours",$H323="En revue"),"E",IF($H323="Bloquée","B","P"))),""))</f>
        <v/>
      </c>
      <c r="R323" s="53">
        <f>IF(OR($F323="",$G323=""),"",IF(AND(R$5&lt;=$G323,R$5+6&gt;=$F323),IF($H323="Complétée","F",IF(OR($H323="En cours",$H323="En revue"),"E",IF($H323="Bloquée","B","P"))),""))</f>
        <v/>
      </c>
      <c r="S323" s="53">
        <f>IF(OR($F323="",$G323=""),"",IF(AND(S$5&lt;=$G323,S$5+6&gt;=$F323),IF($H323="Complétée","F",IF(OR($H323="En cours",$H323="En revue"),"E",IF($H323="Bloquée","B","P"))),""))</f>
        <v/>
      </c>
      <c r="T323" s="53">
        <f>IF(OR($F323="",$G323=""),"",IF(AND(T$5&lt;=$G323,T$5+6&gt;=$F323),IF($H323="Complétée","F",IF(OR($H323="En cours",$H323="En revue"),"E",IF($H323="Bloquée","B","P"))),""))</f>
        <v/>
      </c>
      <c r="U323" s="53">
        <f>IF(OR($F323="",$G323=""),"",IF(AND(U$5&lt;=$G323,U$5+6&gt;=$F323),IF($H323="Complétée","F",IF(OR($H323="En cours",$H323="En revue"),"E",IF($H323="Bloquée","B","P"))),""))</f>
        <v/>
      </c>
      <c r="V323" s="53">
        <f>IF(OR($F323="",$G323=""),"",IF(AND(V$5&lt;=$G323,V$5+6&gt;=$F323),IF($H323="Complétée","F",IF(OR($H323="En cours",$H323="En revue"),"E",IF($H323="Bloquée","B","P"))),""))</f>
        <v/>
      </c>
      <c r="W323" s="53">
        <f>IF(OR($F323="",$G323=""),"",IF(AND(W$5&lt;=$G323,W$5+6&gt;=$F323),IF($H323="Complétée","F",IF(OR($H323="En cours",$H323="En revue"),"E",IF($H323="Bloquée","B","P"))),""))</f>
        <v/>
      </c>
      <c r="X323" s="53">
        <f>IF(OR($F323="",$G323=""),"",IF(AND(X$5&lt;=$G323,X$5+6&gt;=$F323),IF($H323="Complétée","F",IF(OR($H323="En cours",$H323="En revue"),"E",IF($H323="Bloquée","B","P"))),""))</f>
        <v/>
      </c>
      <c r="Y323" s="53">
        <f>IF(OR($F323="",$G323=""),"",IF(AND(Y$5&lt;=$G323,Y$5+6&gt;=$F323),IF($H323="Complétée","F",IF(OR($H323="En cours",$H323="En revue"),"E",IF($H323="Bloquée","B","P"))),""))</f>
        <v/>
      </c>
      <c r="Z323" s="53">
        <f>IF(OR($F323="",$G323=""),"",IF(AND(Z$5&lt;=$G323,Z$5+6&gt;=$F323),IF($H323="Complétée","F",IF(OR($H323="En cours",$H323="En revue"),"E",IF($H323="Bloquée","B","P"))),""))</f>
        <v/>
      </c>
      <c r="AA323" s="53">
        <f>IF(OR($F323="",$G323=""),"",IF(AND(AA$5&lt;=$G323,AA$5+6&gt;=$F323),IF($H323="Complétée","F",IF(OR($H323="En cours",$H323="En revue"),"E",IF($H323="Bloquée","B","P"))),""))</f>
        <v/>
      </c>
      <c r="AB323" s="53">
        <f>IF(OR($F323="",$G323=""),"",IF(AND(AB$5&lt;=$G323,AB$5+6&gt;=$F323),IF($H323="Complétée","F",IF(OR($H323="En cours",$H323="En revue"),"E",IF($H323="Bloquée","B","P"))),""))</f>
        <v/>
      </c>
      <c r="AC323" s="53">
        <f>IF(OR($F323="",$G323=""),"",IF(AND(AC$5&lt;=$G323,AC$5+6&gt;=$F323),IF($H323="Complétée","F",IF(OR($H323="En cours",$H323="En revue"),"E",IF($H323="Bloquée","B","P"))),""))</f>
        <v/>
      </c>
      <c r="AD323" s="53">
        <f>IF(OR($F323="",$G323=""),"",IF(AND(AD$5&lt;=$G323,AD$5+6&gt;=$F323),IF($H323="Complétée","F",IF(OR($H323="En cours",$H323="En revue"),"E",IF($H323="Bloquée","B","P"))),""))</f>
        <v/>
      </c>
      <c r="AE323" s="53">
        <f>IF(OR($F323="",$G323=""),"",IF(AND(AE$5&lt;=$G323,AE$5+6&gt;=$F323),IF($H323="Complétée","F",IF(OR($H323="En cours",$H323="En revue"),"E",IF($H323="Bloquée","B","P"))),""))</f>
        <v/>
      </c>
      <c r="AF323" s="53">
        <f>IF(OR($F323="",$G323=""),"",IF(AND(AF$5&lt;=$G323,AF$5+6&gt;=$F323),IF($H323="Complétée","F",IF(OR($H323="En cours",$H323="En revue"),"E",IF($H323="Bloquée","B","P"))),""))</f>
        <v/>
      </c>
      <c r="AG323" s="53">
        <f>IF(OR($F323="",$G323=""),"",IF(AND(AG$5&lt;=$G323,AG$5+6&gt;=$F323),IF($H323="Complétée","F",IF(OR($H323="En cours",$H323="En revue"),"E",IF($H323="Bloquée","B","P"))),""))</f>
        <v/>
      </c>
      <c r="AH323" s="53">
        <f>IF(OR($F323="",$G323=""),"",IF(AND(AH$5&lt;=$G323,AH$5+6&gt;=$F323),IF($H323="Complétée","F",IF(OR($H323="En cours",$H323="En revue"),"E",IF($H323="Bloquée","B","P"))),""))</f>
        <v/>
      </c>
      <c r="AI323" s="53">
        <f>IF(OR($F323="",$G323=""),"",IF(AND(AI$5&lt;=$G323,AI$5+6&gt;=$F323),IF($H323="Complétée","F",IF(OR($H323="En cours",$H323="En revue"),"E",IF($H323="Bloquée","B","P"))),""))</f>
        <v/>
      </c>
      <c r="AJ323" s="53">
        <f>IF(OR($F323="",$G323=""),"",IF(AND(AJ$5&lt;=$G323,AJ$5+6&gt;=$F323),IF($H323="Complétée","F",IF(OR($H323="En cours",$H323="En revue"),"E",IF($H323="Bloquée","B","P"))),""))</f>
        <v/>
      </c>
      <c r="AK323" s="53">
        <f>IF(OR($F323="",$G323=""),"",IF(AND(AK$5&lt;=$G323,AK$5+6&gt;=$F323),IF($H323="Complétée","F",IF(OR($H323="En cours",$H323="En revue"),"E",IF($H323="Bloquée","B","P"))),""))</f>
        <v/>
      </c>
      <c r="AL323" s="53">
        <f>IF(OR($F323="",$G323=""),"",IF(AND(AL$5&lt;=$G323,AL$5+6&gt;=$F323),IF($H323="Complétée","F",IF(OR($H323="En cours",$H323="En revue"),"E",IF($H323="Bloquée","B","P"))),""))</f>
        <v/>
      </c>
      <c r="AM323" s="53">
        <f>IF(OR($F323="",$G323=""),"",IF(AND(AM$5&lt;=$G323,AM$5+6&gt;=$F323),IF($H323="Complétée","F",IF(OR($H323="En cours",$H323="En revue"),"E",IF($H323="Bloquée","B","P"))),""))</f>
        <v/>
      </c>
      <c r="AN323" s="53">
        <f>IF(OR($F323="",$G323=""),"",IF(AND(AN$5&lt;=$G323,AN$5+6&gt;=$F323),IF($H323="Complétée","F",IF(OR($H323="En cours",$H323="En revue"),"E",IF($H323="Bloquée","B","P"))),""))</f>
        <v/>
      </c>
      <c r="AO323" s="53">
        <f>IF(OR($F323="",$G323=""),"",IF(AND(AO$5&lt;=$G323,AO$5+6&gt;=$F323),IF($H323="Complétée","F",IF(OR($H323="En cours",$H323="En revue"),"E",IF($H323="Bloquée","B","P"))),""))</f>
        <v/>
      </c>
      <c r="AP323" s="53">
        <f>IF(OR($F323="",$G323=""),"",IF(AND(AP$5&lt;=$G323,AP$5+6&gt;=$F323),IF($H323="Complétée","F",IF(OR($H323="En cours",$H323="En revue"),"E",IF($H323="Bloquée","B","P"))),""))</f>
        <v/>
      </c>
      <c r="AQ323" s="53">
        <f>IF(OR($F323="",$G323=""),"",IF(AND(AQ$5&lt;=$G323,AQ$5+6&gt;=$F323),IF($H323="Complétée","F",IF(OR($H323="En cours",$H323="En revue"),"E",IF($H323="Bloquée","B","P"))),""))</f>
        <v/>
      </c>
      <c r="AR323" s="53">
        <f>IF(OR($F323="",$G323=""),"",IF(AND(AR$5&lt;=$G323,AR$5+6&gt;=$F323),IF($H323="Complétée","F",IF(OR($H323="En cours",$H323="En revue"),"E",IF($H323="Bloquée","B","P"))),""))</f>
        <v/>
      </c>
      <c r="AS323" s="53">
        <f>IF(OR($F323="",$G323=""),"",IF(AND(AS$5&lt;=$G323,AS$5+6&gt;=$F323),IF($H323="Complétée","F",IF(OR($H323="En cours",$H323="En revue"),"E",IF($H323="Bloquée","B","P"))),""))</f>
        <v/>
      </c>
      <c r="AT323" s="53">
        <f>IF(OR($F323="",$G323=""),"",IF(AND(AT$5&lt;=$G323,AT$5+6&gt;=$F323),IF($H323="Complétée","F",IF(OR($H323="En cours",$H323="En revue"),"E",IF($H323="Bloquée","B","P"))),""))</f>
        <v/>
      </c>
      <c r="AU323" s="53">
        <f>IF(OR($F323="",$G323=""),"",IF(AND(AU$5&lt;=$G323,AU$5+6&gt;=$F323),IF($H323="Complétée","F",IF(OR($H323="En cours",$H323="En revue"),"E",IF($H323="Bloquée","B","P"))),""))</f>
        <v/>
      </c>
      <c r="AV323" s="53">
        <f>IF(OR($F323="",$G323=""),"",IF(AND(AV$5&lt;=$G323,AV$5+6&gt;=$F323),IF($H323="Complétée","F",IF(OR($H323="En cours",$H323="En revue"),"E",IF($H323="Bloquée","B","P"))),""))</f>
        <v/>
      </c>
      <c r="AW323" s="53">
        <f>IF(OR($F323="",$G323=""),"",IF(AND(AW$5&lt;=$G323,AW$5+6&gt;=$F323),IF($H323="Complétée","F",IF(OR($H323="En cours",$H323="En revue"),"E",IF($H323="Bloquée","B","P"))),""))</f>
        <v/>
      </c>
    </row>
    <row r="324">
      <c r="B324" s="50">
        <f>IF(Taches!B324="","",Taches!B324)</f>
        <v/>
      </c>
      <c r="C324" s="51">
        <f>IF(Taches!B324="","",Taches!F324)</f>
        <v/>
      </c>
      <c r="D324" s="50">
        <f>IF(Taches!B324="","",Taches!C324)</f>
        <v/>
      </c>
      <c r="E324" s="50">
        <f>IF(Taches!B324="","",Taches!D324)</f>
        <v/>
      </c>
      <c r="F324" s="52">
        <f>IF(Taches!P324="","",Taches!P324)</f>
        <v/>
      </c>
      <c r="G324" s="52">
        <f>IF(Taches!Q324="","",Taches!Q324)</f>
        <v/>
      </c>
      <c r="H324" s="50">
        <f>IF(Taches!B324="","",Taches!J324)</f>
        <v/>
      </c>
      <c r="I324" s="53">
        <f>IF(OR($F324="",$G324=""),"",IF(AND(I$5&lt;=$G324,I$5+6&gt;=$F324),IF($H324="Complétée","F",IF(OR($H324="En cours",$H324="En revue"),"E",IF($H324="Bloquée","B","P"))),""))</f>
        <v/>
      </c>
      <c r="J324" s="53">
        <f>IF(OR($F324="",$G324=""),"",IF(AND(J$5&lt;=$G324,J$5+6&gt;=$F324),IF($H324="Complétée","F",IF(OR($H324="En cours",$H324="En revue"),"E",IF($H324="Bloquée","B","P"))),""))</f>
        <v/>
      </c>
      <c r="K324" s="53">
        <f>IF(OR($F324="",$G324=""),"",IF(AND(K$5&lt;=$G324,K$5+6&gt;=$F324),IF($H324="Complétée","F",IF(OR($H324="En cours",$H324="En revue"),"E",IF($H324="Bloquée","B","P"))),""))</f>
        <v/>
      </c>
      <c r="L324" s="53">
        <f>IF(OR($F324="",$G324=""),"",IF(AND(L$5&lt;=$G324,L$5+6&gt;=$F324),IF($H324="Complétée","F",IF(OR($H324="En cours",$H324="En revue"),"E",IF($H324="Bloquée","B","P"))),""))</f>
        <v/>
      </c>
      <c r="M324" s="53">
        <f>IF(OR($F324="",$G324=""),"",IF(AND(M$5&lt;=$G324,M$5+6&gt;=$F324),IF($H324="Complétée","F",IF(OR($H324="En cours",$H324="En revue"),"E",IF($H324="Bloquée","B","P"))),""))</f>
        <v/>
      </c>
      <c r="N324" s="53">
        <f>IF(OR($F324="",$G324=""),"",IF(AND(N$5&lt;=$G324,N$5+6&gt;=$F324),IF($H324="Complétée","F",IF(OR($H324="En cours",$H324="En revue"),"E",IF($H324="Bloquée","B","P"))),""))</f>
        <v/>
      </c>
      <c r="O324" s="53">
        <f>IF(OR($F324="",$G324=""),"",IF(AND(O$5&lt;=$G324,O$5+6&gt;=$F324),IF($H324="Complétée","F",IF(OR($H324="En cours",$H324="En revue"),"E",IF($H324="Bloquée","B","P"))),""))</f>
        <v/>
      </c>
      <c r="P324" s="53">
        <f>IF(OR($F324="",$G324=""),"",IF(AND(P$5&lt;=$G324,P$5+6&gt;=$F324),IF($H324="Complétée","F",IF(OR($H324="En cours",$H324="En revue"),"E",IF($H324="Bloquée","B","P"))),""))</f>
        <v/>
      </c>
      <c r="Q324" s="53">
        <f>IF(OR($F324="",$G324=""),"",IF(AND(Q$5&lt;=$G324,Q$5+6&gt;=$F324),IF($H324="Complétée","F",IF(OR($H324="En cours",$H324="En revue"),"E",IF($H324="Bloquée","B","P"))),""))</f>
        <v/>
      </c>
      <c r="R324" s="53">
        <f>IF(OR($F324="",$G324=""),"",IF(AND(R$5&lt;=$G324,R$5+6&gt;=$F324),IF($H324="Complétée","F",IF(OR($H324="En cours",$H324="En revue"),"E",IF($H324="Bloquée","B","P"))),""))</f>
        <v/>
      </c>
      <c r="S324" s="53">
        <f>IF(OR($F324="",$G324=""),"",IF(AND(S$5&lt;=$G324,S$5+6&gt;=$F324),IF($H324="Complétée","F",IF(OR($H324="En cours",$H324="En revue"),"E",IF($H324="Bloquée","B","P"))),""))</f>
        <v/>
      </c>
      <c r="T324" s="53">
        <f>IF(OR($F324="",$G324=""),"",IF(AND(T$5&lt;=$G324,T$5+6&gt;=$F324),IF($H324="Complétée","F",IF(OR($H324="En cours",$H324="En revue"),"E",IF($H324="Bloquée","B","P"))),""))</f>
        <v/>
      </c>
      <c r="U324" s="53">
        <f>IF(OR($F324="",$G324=""),"",IF(AND(U$5&lt;=$G324,U$5+6&gt;=$F324),IF($H324="Complétée","F",IF(OR($H324="En cours",$H324="En revue"),"E",IF($H324="Bloquée","B","P"))),""))</f>
        <v/>
      </c>
      <c r="V324" s="53">
        <f>IF(OR($F324="",$G324=""),"",IF(AND(V$5&lt;=$G324,V$5+6&gt;=$F324),IF($H324="Complétée","F",IF(OR($H324="En cours",$H324="En revue"),"E",IF($H324="Bloquée","B","P"))),""))</f>
        <v/>
      </c>
      <c r="W324" s="53">
        <f>IF(OR($F324="",$G324=""),"",IF(AND(W$5&lt;=$G324,W$5+6&gt;=$F324),IF($H324="Complétée","F",IF(OR($H324="En cours",$H324="En revue"),"E",IF($H324="Bloquée","B","P"))),""))</f>
        <v/>
      </c>
      <c r="X324" s="53">
        <f>IF(OR($F324="",$G324=""),"",IF(AND(X$5&lt;=$G324,X$5+6&gt;=$F324),IF($H324="Complétée","F",IF(OR($H324="En cours",$H324="En revue"),"E",IF($H324="Bloquée","B","P"))),""))</f>
        <v/>
      </c>
      <c r="Y324" s="53">
        <f>IF(OR($F324="",$G324=""),"",IF(AND(Y$5&lt;=$G324,Y$5+6&gt;=$F324),IF($H324="Complétée","F",IF(OR($H324="En cours",$H324="En revue"),"E",IF($H324="Bloquée","B","P"))),""))</f>
        <v/>
      </c>
      <c r="Z324" s="53">
        <f>IF(OR($F324="",$G324=""),"",IF(AND(Z$5&lt;=$G324,Z$5+6&gt;=$F324),IF($H324="Complétée","F",IF(OR($H324="En cours",$H324="En revue"),"E",IF($H324="Bloquée","B","P"))),""))</f>
        <v/>
      </c>
      <c r="AA324" s="53">
        <f>IF(OR($F324="",$G324=""),"",IF(AND(AA$5&lt;=$G324,AA$5+6&gt;=$F324),IF($H324="Complétée","F",IF(OR($H324="En cours",$H324="En revue"),"E",IF($H324="Bloquée","B","P"))),""))</f>
        <v/>
      </c>
      <c r="AB324" s="53">
        <f>IF(OR($F324="",$G324=""),"",IF(AND(AB$5&lt;=$G324,AB$5+6&gt;=$F324),IF($H324="Complétée","F",IF(OR($H324="En cours",$H324="En revue"),"E",IF($H324="Bloquée","B","P"))),""))</f>
        <v/>
      </c>
      <c r="AC324" s="53">
        <f>IF(OR($F324="",$G324=""),"",IF(AND(AC$5&lt;=$G324,AC$5+6&gt;=$F324),IF($H324="Complétée","F",IF(OR($H324="En cours",$H324="En revue"),"E",IF($H324="Bloquée","B","P"))),""))</f>
        <v/>
      </c>
      <c r="AD324" s="53">
        <f>IF(OR($F324="",$G324=""),"",IF(AND(AD$5&lt;=$G324,AD$5+6&gt;=$F324),IF($H324="Complétée","F",IF(OR($H324="En cours",$H324="En revue"),"E",IF($H324="Bloquée","B","P"))),""))</f>
        <v/>
      </c>
      <c r="AE324" s="53">
        <f>IF(OR($F324="",$G324=""),"",IF(AND(AE$5&lt;=$G324,AE$5+6&gt;=$F324),IF($H324="Complétée","F",IF(OR($H324="En cours",$H324="En revue"),"E",IF($H324="Bloquée","B","P"))),""))</f>
        <v/>
      </c>
      <c r="AF324" s="53">
        <f>IF(OR($F324="",$G324=""),"",IF(AND(AF$5&lt;=$G324,AF$5+6&gt;=$F324),IF($H324="Complétée","F",IF(OR($H324="En cours",$H324="En revue"),"E",IF($H324="Bloquée","B","P"))),""))</f>
        <v/>
      </c>
      <c r="AG324" s="53">
        <f>IF(OR($F324="",$G324=""),"",IF(AND(AG$5&lt;=$G324,AG$5+6&gt;=$F324),IF($H324="Complétée","F",IF(OR($H324="En cours",$H324="En revue"),"E",IF($H324="Bloquée","B","P"))),""))</f>
        <v/>
      </c>
      <c r="AH324" s="53">
        <f>IF(OR($F324="",$G324=""),"",IF(AND(AH$5&lt;=$G324,AH$5+6&gt;=$F324),IF($H324="Complétée","F",IF(OR($H324="En cours",$H324="En revue"),"E",IF($H324="Bloquée","B","P"))),""))</f>
        <v/>
      </c>
      <c r="AI324" s="53">
        <f>IF(OR($F324="",$G324=""),"",IF(AND(AI$5&lt;=$G324,AI$5+6&gt;=$F324),IF($H324="Complétée","F",IF(OR($H324="En cours",$H324="En revue"),"E",IF($H324="Bloquée","B","P"))),""))</f>
        <v/>
      </c>
      <c r="AJ324" s="53">
        <f>IF(OR($F324="",$G324=""),"",IF(AND(AJ$5&lt;=$G324,AJ$5+6&gt;=$F324),IF($H324="Complétée","F",IF(OR($H324="En cours",$H324="En revue"),"E",IF($H324="Bloquée","B","P"))),""))</f>
        <v/>
      </c>
      <c r="AK324" s="53">
        <f>IF(OR($F324="",$G324=""),"",IF(AND(AK$5&lt;=$G324,AK$5+6&gt;=$F324),IF($H324="Complétée","F",IF(OR($H324="En cours",$H324="En revue"),"E",IF($H324="Bloquée","B","P"))),""))</f>
        <v/>
      </c>
      <c r="AL324" s="53">
        <f>IF(OR($F324="",$G324=""),"",IF(AND(AL$5&lt;=$G324,AL$5+6&gt;=$F324),IF($H324="Complétée","F",IF(OR($H324="En cours",$H324="En revue"),"E",IF($H324="Bloquée","B","P"))),""))</f>
        <v/>
      </c>
      <c r="AM324" s="53">
        <f>IF(OR($F324="",$G324=""),"",IF(AND(AM$5&lt;=$G324,AM$5+6&gt;=$F324),IF($H324="Complétée","F",IF(OR($H324="En cours",$H324="En revue"),"E",IF($H324="Bloquée","B","P"))),""))</f>
        <v/>
      </c>
      <c r="AN324" s="53">
        <f>IF(OR($F324="",$G324=""),"",IF(AND(AN$5&lt;=$G324,AN$5+6&gt;=$F324),IF($H324="Complétée","F",IF(OR($H324="En cours",$H324="En revue"),"E",IF($H324="Bloquée","B","P"))),""))</f>
        <v/>
      </c>
      <c r="AO324" s="53">
        <f>IF(OR($F324="",$G324=""),"",IF(AND(AO$5&lt;=$G324,AO$5+6&gt;=$F324),IF($H324="Complétée","F",IF(OR($H324="En cours",$H324="En revue"),"E",IF($H324="Bloquée","B","P"))),""))</f>
        <v/>
      </c>
      <c r="AP324" s="53">
        <f>IF(OR($F324="",$G324=""),"",IF(AND(AP$5&lt;=$G324,AP$5+6&gt;=$F324),IF($H324="Complétée","F",IF(OR($H324="En cours",$H324="En revue"),"E",IF($H324="Bloquée","B","P"))),""))</f>
        <v/>
      </c>
      <c r="AQ324" s="53">
        <f>IF(OR($F324="",$G324=""),"",IF(AND(AQ$5&lt;=$G324,AQ$5+6&gt;=$F324),IF($H324="Complétée","F",IF(OR($H324="En cours",$H324="En revue"),"E",IF($H324="Bloquée","B","P"))),""))</f>
        <v/>
      </c>
      <c r="AR324" s="53">
        <f>IF(OR($F324="",$G324=""),"",IF(AND(AR$5&lt;=$G324,AR$5+6&gt;=$F324),IF($H324="Complétée","F",IF(OR($H324="En cours",$H324="En revue"),"E",IF($H324="Bloquée","B","P"))),""))</f>
        <v/>
      </c>
      <c r="AS324" s="53">
        <f>IF(OR($F324="",$G324=""),"",IF(AND(AS$5&lt;=$G324,AS$5+6&gt;=$F324),IF($H324="Complétée","F",IF(OR($H324="En cours",$H324="En revue"),"E",IF($H324="Bloquée","B","P"))),""))</f>
        <v/>
      </c>
      <c r="AT324" s="53">
        <f>IF(OR($F324="",$G324=""),"",IF(AND(AT$5&lt;=$G324,AT$5+6&gt;=$F324),IF($H324="Complétée","F",IF(OR($H324="En cours",$H324="En revue"),"E",IF($H324="Bloquée","B","P"))),""))</f>
        <v/>
      </c>
      <c r="AU324" s="53">
        <f>IF(OR($F324="",$G324=""),"",IF(AND(AU$5&lt;=$G324,AU$5+6&gt;=$F324),IF($H324="Complétée","F",IF(OR($H324="En cours",$H324="En revue"),"E",IF($H324="Bloquée","B","P"))),""))</f>
        <v/>
      </c>
      <c r="AV324" s="53">
        <f>IF(OR($F324="",$G324=""),"",IF(AND(AV$5&lt;=$G324,AV$5+6&gt;=$F324),IF($H324="Complétée","F",IF(OR($H324="En cours",$H324="En revue"),"E",IF($H324="Bloquée","B","P"))),""))</f>
        <v/>
      </c>
      <c r="AW324" s="53">
        <f>IF(OR($F324="",$G324=""),"",IF(AND(AW$5&lt;=$G324,AW$5+6&gt;=$F324),IF($H324="Complétée","F",IF(OR($H324="En cours",$H324="En revue"),"E",IF($H324="Bloquée","B","P"))),""))</f>
        <v/>
      </c>
    </row>
    <row r="325">
      <c r="B325" s="50">
        <f>IF(Taches!B325="","",Taches!B325)</f>
        <v/>
      </c>
      <c r="C325" s="51">
        <f>IF(Taches!B325="","",Taches!F325)</f>
        <v/>
      </c>
      <c r="D325" s="50">
        <f>IF(Taches!B325="","",Taches!C325)</f>
        <v/>
      </c>
      <c r="E325" s="50">
        <f>IF(Taches!B325="","",Taches!D325)</f>
        <v/>
      </c>
      <c r="F325" s="52">
        <f>IF(Taches!P325="","",Taches!P325)</f>
        <v/>
      </c>
      <c r="G325" s="52">
        <f>IF(Taches!Q325="","",Taches!Q325)</f>
        <v/>
      </c>
      <c r="H325" s="50">
        <f>IF(Taches!B325="","",Taches!J325)</f>
        <v/>
      </c>
      <c r="I325" s="53">
        <f>IF(OR($F325="",$G325=""),"",IF(AND(I$5&lt;=$G325,I$5+6&gt;=$F325),IF($H325="Complétée","F",IF(OR($H325="En cours",$H325="En revue"),"E",IF($H325="Bloquée","B","P"))),""))</f>
        <v/>
      </c>
      <c r="J325" s="53">
        <f>IF(OR($F325="",$G325=""),"",IF(AND(J$5&lt;=$G325,J$5+6&gt;=$F325),IF($H325="Complétée","F",IF(OR($H325="En cours",$H325="En revue"),"E",IF($H325="Bloquée","B","P"))),""))</f>
        <v/>
      </c>
      <c r="K325" s="53">
        <f>IF(OR($F325="",$G325=""),"",IF(AND(K$5&lt;=$G325,K$5+6&gt;=$F325),IF($H325="Complétée","F",IF(OR($H325="En cours",$H325="En revue"),"E",IF($H325="Bloquée","B","P"))),""))</f>
        <v/>
      </c>
      <c r="L325" s="53">
        <f>IF(OR($F325="",$G325=""),"",IF(AND(L$5&lt;=$G325,L$5+6&gt;=$F325),IF($H325="Complétée","F",IF(OR($H325="En cours",$H325="En revue"),"E",IF($H325="Bloquée","B","P"))),""))</f>
        <v/>
      </c>
      <c r="M325" s="53">
        <f>IF(OR($F325="",$G325=""),"",IF(AND(M$5&lt;=$G325,M$5+6&gt;=$F325),IF($H325="Complétée","F",IF(OR($H325="En cours",$H325="En revue"),"E",IF($H325="Bloquée","B","P"))),""))</f>
        <v/>
      </c>
      <c r="N325" s="53">
        <f>IF(OR($F325="",$G325=""),"",IF(AND(N$5&lt;=$G325,N$5+6&gt;=$F325),IF($H325="Complétée","F",IF(OR($H325="En cours",$H325="En revue"),"E",IF($H325="Bloquée","B","P"))),""))</f>
        <v/>
      </c>
      <c r="O325" s="53">
        <f>IF(OR($F325="",$G325=""),"",IF(AND(O$5&lt;=$G325,O$5+6&gt;=$F325),IF($H325="Complétée","F",IF(OR($H325="En cours",$H325="En revue"),"E",IF($H325="Bloquée","B","P"))),""))</f>
        <v/>
      </c>
      <c r="P325" s="53">
        <f>IF(OR($F325="",$G325=""),"",IF(AND(P$5&lt;=$G325,P$5+6&gt;=$F325),IF($H325="Complétée","F",IF(OR($H325="En cours",$H325="En revue"),"E",IF($H325="Bloquée","B","P"))),""))</f>
        <v/>
      </c>
      <c r="Q325" s="53">
        <f>IF(OR($F325="",$G325=""),"",IF(AND(Q$5&lt;=$G325,Q$5+6&gt;=$F325),IF($H325="Complétée","F",IF(OR($H325="En cours",$H325="En revue"),"E",IF($H325="Bloquée","B","P"))),""))</f>
        <v/>
      </c>
      <c r="R325" s="53">
        <f>IF(OR($F325="",$G325=""),"",IF(AND(R$5&lt;=$G325,R$5+6&gt;=$F325),IF($H325="Complétée","F",IF(OR($H325="En cours",$H325="En revue"),"E",IF($H325="Bloquée","B","P"))),""))</f>
        <v/>
      </c>
      <c r="S325" s="53">
        <f>IF(OR($F325="",$G325=""),"",IF(AND(S$5&lt;=$G325,S$5+6&gt;=$F325),IF($H325="Complétée","F",IF(OR($H325="En cours",$H325="En revue"),"E",IF($H325="Bloquée","B","P"))),""))</f>
        <v/>
      </c>
      <c r="T325" s="53">
        <f>IF(OR($F325="",$G325=""),"",IF(AND(T$5&lt;=$G325,T$5+6&gt;=$F325),IF($H325="Complétée","F",IF(OR($H325="En cours",$H325="En revue"),"E",IF($H325="Bloquée","B","P"))),""))</f>
        <v/>
      </c>
      <c r="U325" s="53">
        <f>IF(OR($F325="",$G325=""),"",IF(AND(U$5&lt;=$G325,U$5+6&gt;=$F325),IF($H325="Complétée","F",IF(OR($H325="En cours",$H325="En revue"),"E",IF($H325="Bloquée","B","P"))),""))</f>
        <v/>
      </c>
      <c r="V325" s="53">
        <f>IF(OR($F325="",$G325=""),"",IF(AND(V$5&lt;=$G325,V$5+6&gt;=$F325),IF($H325="Complétée","F",IF(OR($H325="En cours",$H325="En revue"),"E",IF($H325="Bloquée","B","P"))),""))</f>
        <v/>
      </c>
      <c r="W325" s="53">
        <f>IF(OR($F325="",$G325=""),"",IF(AND(W$5&lt;=$G325,W$5+6&gt;=$F325),IF($H325="Complétée","F",IF(OR($H325="En cours",$H325="En revue"),"E",IF($H325="Bloquée","B","P"))),""))</f>
        <v/>
      </c>
      <c r="X325" s="53">
        <f>IF(OR($F325="",$G325=""),"",IF(AND(X$5&lt;=$G325,X$5+6&gt;=$F325),IF($H325="Complétée","F",IF(OR($H325="En cours",$H325="En revue"),"E",IF($H325="Bloquée","B","P"))),""))</f>
        <v/>
      </c>
      <c r="Y325" s="53">
        <f>IF(OR($F325="",$G325=""),"",IF(AND(Y$5&lt;=$G325,Y$5+6&gt;=$F325),IF($H325="Complétée","F",IF(OR($H325="En cours",$H325="En revue"),"E",IF($H325="Bloquée","B","P"))),""))</f>
        <v/>
      </c>
      <c r="Z325" s="53">
        <f>IF(OR($F325="",$G325=""),"",IF(AND(Z$5&lt;=$G325,Z$5+6&gt;=$F325),IF($H325="Complétée","F",IF(OR($H325="En cours",$H325="En revue"),"E",IF($H325="Bloquée","B","P"))),""))</f>
        <v/>
      </c>
      <c r="AA325" s="53">
        <f>IF(OR($F325="",$G325=""),"",IF(AND(AA$5&lt;=$G325,AA$5+6&gt;=$F325),IF($H325="Complétée","F",IF(OR($H325="En cours",$H325="En revue"),"E",IF($H325="Bloquée","B","P"))),""))</f>
        <v/>
      </c>
      <c r="AB325" s="53">
        <f>IF(OR($F325="",$G325=""),"",IF(AND(AB$5&lt;=$G325,AB$5+6&gt;=$F325),IF($H325="Complétée","F",IF(OR($H325="En cours",$H325="En revue"),"E",IF($H325="Bloquée","B","P"))),""))</f>
        <v/>
      </c>
      <c r="AC325" s="53">
        <f>IF(OR($F325="",$G325=""),"",IF(AND(AC$5&lt;=$G325,AC$5+6&gt;=$F325),IF($H325="Complétée","F",IF(OR($H325="En cours",$H325="En revue"),"E",IF($H325="Bloquée","B","P"))),""))</f>
        <v/>
      </c>
      <c r="AD325" s="53">
        <f>IF(OR($F325="",$G325=""),"",IF(AND(AD$5&lt;=$G325,AD$5+6&gt;=$F325),IF($H325="Complétée","F",IF(OR($H325="En cours",$H325="En revue"),"E",IF($H325="Bloquée","B","P"))),""))</f>
        <v/>
      </c>
      <c r="AE325" s="53">
        <f>IF(OR($F325="",$G325=""),"",IF(AND(AE$5&lt;=$G325,AE$5+6&gt;=$F325),IF($H325="Complétée","F",IF(OR($H325="En cours",$H325="En revue"),"E",IF($H325="Bloquée","B","P"))),""))</f>
        <v/>
      </c>
      <c r="AF325" s="53">
        <f>IF(OR($F325="",$G325=""),"",IF(AND(AF$5&lt;=$G325,AF$5+6&gt;=$F325),IF($H325="Complétée","F",IF(OR($H325="En cours",$H325="En revue"),"E",IF($H325="Bloquée","B","P"))),""))</f>
        <v/>
      </c>
      <c r="AG325" s="53">
        <f>IF(OR($F325="",$G325=""),"",IF(AND(AG$5&lt;=$G325,AG$5+6&gt;=$F325),IF($H325="Complétée","F",IF(OR($H325="En cours",$H325="En revue"),"E",IF($H325="Bloquée","B","P"))),""))</f>
        <v/>
      </c>
      <c r="AH325" s="53">
        <f>IF(OR($F325="",$G325=""),"",IF(AND(AH$5&lt;=$G325,AH$5+6&gt;=$F325),IF($H325="Complétée","F",IF(OR($H325="En cours",$H325="En revue"),"E",IF($H325="Bloquée","B","P"))),""))</f>
        <v/>
      </c>
      <c r="AI325" s="53">
        <f>IF(OR($F325="",$G325=""),"",IF(AND(AI$5&lt;=$G325,AI$5+6&gt;=$F325),IF($H325="Complétée","F",IF(OR($H325="En cours",$H325="En revue"),"E",IF($H325="Bloquée","B","P"))),""))</f>
        <v/>
      </c>
      <c r="AJ325" s="53">
        <f>IF(OR($F325="",$G325=""),"",IF(AND(AJ$5&lt;=$G325,AJ$5+6&gt;=$F325),IF($H325="Complétée","F",IF(OR($H325="En cours",$H325="En revue"),"E",IF($H325="Bloquée","B","P"))),""))</f>
        <v/>
      </c>
      <c r="AK325" s="53">
        <f>IF(OR($F325="",$G325=""),"",IF(AND(AK$5&lt;=$G325,AK$5+6&gt;=$F325),IF($H325="Complétée","F",IF(OR($H325="En cours",$H325="En revue"),"E",IF($H325="Bloquée","B","P"))),""))</f>
        <v/>
      </c>
      <c r="AL325" s="53">
        <f>IF(OR($F325="",$G325=""),"",IF(AND(AL$5&lt;=$G325,AL$5+6&gt;=$F325),IF($H325="Complétée","F",IF(OR($H325="En cours",$H325="En revue"),"E",IF($H325="Bloquée","B","P"))),""))</f>
        <v/>
      </c>
      <c r="AM325" s="53">
        <f>IF(OR($F325="",$G325=""),"",IF(AND(AM$5&lt;=$G325,AM$5+6&gt;=$F325),IF($H325="Complétée","F",IF(OR($H325="En cours",$H325="En revue"),"E",IF($H325="Bloquée","B","P"))),""))</f>
        <v/>
      </c>
      <c r="AN325" s="53">
        <f>IF(OR($F325="",$G325=""),"",IF(AND(AN$5&lt;=$G325,AN$5+6&gt;=$F325),IF($H325="Complétée","F",IF(OR($H325="En cours",$H325="En revue"),"E",IF($H325="Bloquée","B","P"))),""))</f>
        <v/>
      </c>
      <c r="AO325" s="53">
        <f>IF(OR($F325="",$G325=""),"",IF(AND(AO$5&lt;=$G325,AO$5+6&gt;=$F325),IF($H325="Complétée","F",IF(OR($H325="En cours",$H325="En revue"),"E",IF($H325="Bloquée","B","P"))),""))</f>
        <v/>
      </c>
      <c r="AP325" s="53">
        <f>IF(OR($F325="",$G325=""),"",IF(AND(AP$5&lt;=$G325,AP$5+6&gt;=$F325),IF($H325="Complétée","F",IF(OR($H325="En cours",$H325="En revue"),"E",IF($H325="Bloquée","B","P"))),""))</f>
        <v/>
      </c>
      <c r="AQ325" s="53">
        <f>IF(OR($F325="",$G325=""),"",IF(AND(AQ$5&lt;=$G325,AQ$5+6&gt;=$F325),IF($H325="Complétée","F",IF(OR($H325="En cours",$H325="En revue"),"E",IF($H325="Bloquée","B","P"))),""))</f>
        <v/>
      </c>
      <c r="AR325" s="53">
        <f>IF(OR($F325="",$G325=""),"",IF(AND(AR$5&lt;=$G325,AR$5+6&gt;=$F325),IF($H325="Complétée","F",IF(OR($H325="En cours",$H325="En revue"),"E",IF($H325="Bloquée","B","P"))),""))</f>
        <v/>
      </c>
      <c r="AS325" s="53">
        <f>IF(OR($F325="",$G325=""),"",IF(AND(AS$5&lt;=$G325,AS$5+6&gt;=$F325),IF($H325="Complétée","F",IF(OR($H325="En cours",$H325="En revue"),"E",IF($H325="Bloquée","B","P"))),""))</f>
        <v/>
      </c>
      <c r="AT325" s="53">
        <f>IF(OR($F325="",$G325=""),"",IF(AND(AT$5&lt;=$G325,AT$5+6&gt;=$F325),IF($H325="Complétée","F",IF(OR($H325="En cours",$H325="En revue"),"E",IF($H325="Bloquée","B","P"))),""))</f>
        <v/>
      </c>
      <c r="AU325" s="53">
        <f>IF(OR($F325="",$G325=""),"",IF(AND(AU$5&lt;=$G325,AU$5+6&gt;=$F325),IF($H325="Complétée","F",IF(OR($H325="En cours",$H325="En revue"),"E",IF($H325="Bloquée","B","P"))),""))</f>
        <v/>
      </c>
      <c r="AV325" s="53">
        <f>IF(OR($F325="",$G325=""),"",IF(AND(AV$5&lt;=$G325,AV$5+6&gt;=$F325),IF($H325="Complétée","F",IF(OR($H325="En cours",$H325="En revue"),"E",IF($H325="Bloquée","B","P"))),""))</f>
        <v/>
      </c>
      <c r="AW325" s="53">
        <f>IF(OR($F325="",$G325=""),"",IF(AND(AW$5&lt;=$G325,AW$5+6&gt;=$F325),IF($H325="Complétée","F",IF(OR($H325="En cours",$H325="En revue"),"E",IF($H325="Bloquée","B","P"))),""))</f>
        <v/>
      </c>
    </row>
  </sheetData>
  <conditionalFormatting sqref="I6:AW325">
    <cfRule type="expression" priority="1" dxfId="8">
      <formula>I6="F"</formula>
    </cfRule>
    <cfRule type="expression" priority="2" dxfId="9">
      <formula>I6="E"</formula>
    </cfRule>
    <cfRule type="expression" priority="3" dxfId="10">
      <formula>I6="B"</formula>
    </cfRule>
    <cfRule type="expression" priority="4" dxfId="11">
      <formula>I6="P"</formula>
    </cfRule>
    <cfRule type="expression" priority="5" dxfId="12">
      <formula>AND(I$5&lt;=TODAY(),I$5+6&gt;=TODAY())</formula>
    </cfRule>
  </conditionalFormatting>
  <conditionalFormatting sqref="I5:AW5">
    <cfRule type="expression" priority="6" dxfId="9">
      <formula>AND(I$5&lt;=TODAY(),I$5+6&gt;=TODAY())</formula>
    </cfRule>
  </conditionalFormatting>
  <pageMargins left="0.75" right="0.75" top="1" bottom="1" header="0.5" footer="0.5"/>
</worksheet>
</file>

<file path=xl/worksheets/sheet10.xml><?xml version="1.0" encoding="utf-8"?>
<worksheet xmlns="http://schemas.openxmlformats.org/spreadsheetml/2006/main">
  <sheetPr>
    <tabColor rgb="00B07A2B"/>
    <outlinePr summaryBelow="1" summaryRight="1"/>
    <pageSetUpPr/>
  </sheetPr>
  <dimension ref="B2:K22"/>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52" customWidth="1" min="3" max="3"/>
    <col width="9" customWidth="1" min="4" max="4"/>
    <col width="12" customWidth="1" min="5" max="5"/>
    <col width="12" customWidth="1" min="6" max="6"/>
    <col width="12" customWidth="1" min="7" max="7"/>
    <col width="14" customWidth="1" min="8" max="8"/>
    <col width="14" customWidth="1" min="9" max="9"/>
    <col hidden="1" width="12" customWidth="1" min="10" max="10"/>
    <col width="36" customWidth="1" min="11" max="11"/>
  </cols>
  <sheetData>
    <row r="2">
      <c r="B2" s="1" t="inlineStr">
        <is>
          <t>Jalons</t>
        </is>
      </c>
    </row>
    <row r="3">
      <c r="B3" s="17" t="inlineStr">
        <is>
          <t>Dates cibles et statut à saisir ; jours restants, avancement de la version et alerte de dépassement sont calculés.</t>
        </is>
      </c>
    </row>
    <row r="5" ht="30" customHeight="1">
      <c r="B5" s="11" t="inlineStr">
        <is>
          <t>ID</t>
        </is>
      </c>
      <c r="C5" s="11" t="inlineStr">
        <is>
          <t>Jalon</t>
        </is>
      </c>
      <c r="D5" s="11" t="inlineStr">
        <is>
          <t>Version</t>
        </is>
      </c>
      <c r="E5" s="11" t="inlineStr">
        <is>
          <t>Date cible</t>
        </is>
      </c>
      <c r="F5" s="11" t="inlineStr">
        <is>
          <t>Statut</t>
        </is>
      </c>
      <c r="G5" s="11" t="inlineStr">
        <is>
          <t>Jours restants</t>
        </is>
      </c>
      <c r="H5" s="11" t="inlineStr">
        <is>
          <t>Avancement version</t>
        </is>
      </c>
      <c r="I5" s="11" t="inlineStr">
        <is>
          <t>Alerte</t>
        </is>
      </c>
      <c r="J5" s="11" t="inlineStr">
        <is>
          <t>Prochain (calcul)</t>
        </is>
      </c>
      <c r="K5" s="11" t="inlineStr">
        <is>
          <t>Commentaire</t>
        </is>
      </c>
    </row>
    <row r="6">
      <c r="B6" s="54" t="inlineStr">
        <is>
          <t>J01</t>
        </is>
      </c>
      <c r="C6" s="20" t="inlineStr">
        <is>
          <t>Confirmation de l'équipe de développement par M. Bruno</t>
        </is>
      </c>
      <c r="D6" s="54" t="inlineStr">
        <is>
          <t>V1</t>
        </is>
      </c>
      <c r="E6" s="40" t="n">
        <v>46279</v>
      </c>
      <c r="F6" s="37" t="inlineStr">
        <is>
          <t>À venir</t>
        </is>
      </c>
      <c r="G6" s="12">
        <f>IF(F6="Atteint","",E6-TODAY())</f>
        <v/>
      </c>
      <c r="H6" s="16">
        <f>IFERROR(VLOOKUP($D6,Versions!$B$6:$P$10,9,FALSE),0)</f>
        <v/>
      </c>
      <c r="I6" s="12">
        <f>IF(AND(F6&lt;&gt;"Atteint",F6&lt;&gt;"Abandonné",TODAY()&gt;E6),"Dépassé",IF(AND(F6&lt;&gt;"Atteint",F6&lt;&gt;"Abandonné",E6-TODAY()&lt;=7),"Cette semaine",""))</f>
        <v/>
      </c>
      <c r="J6" s="14">
        <f>IF(AND(F6&lt;&gt;"Atteint",F6&lt;&gt;"Abandonné",E6&gt;=TODAY()),E6,"")</f>
        <v/>
      </c>
      <c r="K6" s="20" t="inlineStr">
        <is>
          <t>Conditionne la tenue du périmètre V1</t>
        </is>
      </c>
    </row>
    <row r="7">
      <c r="B7" s="54" t="inlineStr">
        <is>
          <t>J02</t>
        </is>
      </c>
      <c r="C7" s="20" t="inlineStr">
        <is>
          <t>Réponse sur la disponibilité d'une API CFE / RCCM</t>
        </is>
      </c>
      <c r="D7" s="54" t="inlineStr">
        <is>
          <t>V1</t>
        </is>
      </c>
      <c r="E7" s="40" t="n">
        <v>46281</v>
      </c>
      <c r="F7" s="37" t="inlineStr">
        <is>
          <t>À venir</t>
        </is>
      </c>
      <c r="G7" s="12">
        <f>IF(F7="Atteint","",E7-TODAY())</f>
        <v/>
      </c>
      <c r="H7" s="16">
        <f>IFERROR(VLOOKUP($D7,Versions!$B$6:$P$10,9,FALSE),0)</f>
        <v/>
      </c>
      <c r="I7" s="12">
        <f>IF(AND(F7&lt;&gt;"Atteint",F7&lt;&gt;"Abandonné",TODAY()&gt;E7),"Dépassé",IF(AND(F7&lt;&gt;"Atteint",F7&lt;&gt;"Abandonné",E7-TODAY()&lt;=7),"Cette semaine",""))</f>
        <v/>
      </c>
      <c r="J7" s="14">
        <f>IF(AND(F7&lt;&gt;"Atteint",F7&lt;&gt;"Abandonné",E7&gt;=TODAY()),E7,"")</f>
        <v/>
      </c>
      <c r="K7" s="20" t="inlineStr">
        <is>
          <t>Sinon saisie manuelle supervisée</t>
        </is>
      </c>
    </row>
    <row r="8">
      <c r="B8" s="54" t="inlineStr">
        <is>
          <t>J03</t>
        </is>
      </c>
      <c r="C8" s="20" t="inlineStr">
        <is>
          <t>Gel du périmètre V1</t>
        </is>
      </c>
      <c r="D8" s="54" t="inlineStr">
        <is>
          <t>V1</t>
        </is>
      </c>
      <c r="E8" s="40" t="n">
        <v>46283</v>
      </c>
      <c r="F8" s="37" t="inlineStr">
        <is>
          <t>À venir</t>
        </is>
      </c>
      <c r="G8" s="12">
        <f>IF(F8="Atteint","",E8-TODAY())</f>
        <v/>
      </c>
      <c r="H8" s="16">
        <f>IFERROR(VLOOKUP($D8,Versions!$B$6:$P$10,9,FALSE),0)</f>
        <v/>
      </c>
      <c r="I8" s="12">
        <f>IF(AND(F8&lt;&gt;"Atteint",F8&lt;&gt;"Abandonné",TODAY()&gt;E8),"Dépassé",IF(AND(F8&lt;&gt;"Atteint",F8&lt;&gt;"Abandonné",E8-TODAY()&lt;=7),"Cette semaine",""))</f>
        <v/>
      </c>
      <c r="J8" s="14">
        <f>IF(AND(F8&lt;&gt;"Atteint",F8&lt;&gt;"Abandonné",E8&gt;=TODAY()),E8,"")</f>
        <v/>
      </c>
      <c r="K8" s="20" t="inlineStr">
        <is>
          <t>Plus aucun ajout après cette date</t>
        </is>
      </c>
    </row>
    <row r="9">
      <c r="B9" s="54" t="inlineStr">
        <is>
          <t>J04</t>
        </is>
      </c>
      <c r="C9" s="20" t="inlineStr">
        <is>
          <t>Designer UI/UX confirmé</t>
        </is>
      </c>
      <c r="D9" s="54" t="inlineStr">
        <is>
          <t>V1</t>
        </is>
      </c>
      <c r="E9" s="40" t="n">
        <v>46283</v>
      </c>
      <c r="F9" s="37" t="inlineStr">
        <is>
          <t>À venir</t>
        </is>
      </c>
      <c r="G9" s="12">
        <f>IF(F9="Atteint","",E9-TODAY())</f>
        <v/>
      </c>
      <c r="H9" s="16">
        <f>IFERROR(VLOOKUP($D9,Versions!$B$6:$P$10,9,FALSE),0)</f>
        <v/>
      </c>
      <c r="I9" s="12">
        <f>IF(AND(F9&lt;&gt;"Atteint",F9&lt;&gt;"Abandonné",TODAY()&gt;E9),"Dépassé",IF(AND(F9&lt;&gt;"Atteint",F9&lt;&gt;"Abandonné",E9-TODAY()&lt;=7),"Cette semaine",""))</f>
        <v/>
      </c>
      <c r="J9" s="14">
        <f>IF(AND(F9&lt;&gt;"Atteint",F9&lt;&gt;"Abandonné",E9&gt;=TODAY()),E9,"")</f>
        <v/>
      </c>
      <c r="K9" s="20" t="inlineStr">
        <is>
          <t>Proposition Bouley à confirmer</t>
        </is>
      </c>
    </row>
    <row r="10">
      <c r="B10" s="54" t="inlineStr">
        <is>
          <t>J05</t>
        </is>
      </c>
      <c r="C10" s="20" t="inlineStr">
        <is>
          <t>Recette interne V1 terminée</t>
        </is>
      </c>
      <c r="D10" s="54" t="inlineStr">
        <is>
          <t>V1</t>
        </is>
      </c>
      <c r="E10" s="40" t="n">
        <v>46309</v>
      </c>
      <c r="F10" s="37" t="inlineStr">
        <is>
          <t>À venir</t>
        </is>
      </c>
      <c r="G10" s="12">
        <f>IF(F10="Atteint","",E10-TODAY())</f>
        <v/>
      </c>
      <c r="H10" s="16">
        <f>IFERROR(VLOOKUP($D10,Versions!$B$6:$P$10,9,FALSE),0)</f>
        <v/>
      </c>
      <c r="I10" s="12">
        <f>IF(AND(F10&lt;&gt;"Atteint",F10&lt;&gt;"Abandonné",TODAY()&gt;E10),"Dépassé",IF(AND(F10&lt;&gt;"Atteint",F10&lt;&gt;"Abandonné",E10-TODAY()&lt;=7),"Cette semaine",""))</f>
        <v/>
      </c>
      <c r="J10" s="14">
        <f>IF(AND(F10&lt;&gt;"Atteint",F10&lt;&gt;"Abandonné",E10&gt;=TODAY()),E10,"")</f>
        <v/>
      </c>
      <c r="K10" s="20" t="inlineStr">
        <is>
          <t>Zéro anomalie bloquante ; QA du 13 au 15/10</t>
        </is>
      </c>
    </row>
    <row r="11">
      <c r="B11" s="54" t="inlineStr">
        <is>
          <t>J06</t>
        </is>
      </c>
      <c r="C11" s="20" t="inlineStr">
        <is>
          <t>Fin de développement V1 (hors QA)</t>
        </is>
      </c>
      <c r="D11" s="54" t="inlineStr">
        <is>
          <t>V1</t>
        </is>
      </c>
      <c r="E11" s="40" t="n">
        <v>46307</v>
      </c>
      <c r="F11" s="37" t="inlineStr">
        <is>
          <t>À venir</t>
        </is>
      </c>
      <c r="G11" s="12">
        <f>IF(F11="Atteint","",E11-TODAY())</f>
        <v/>
      </c>
      <c r="H11" s="16">
        <f>IFERROR(VLOOKUP($D11,Versions!$B$6:$P$10,9,FALSE),0)</f>
        <v/>
      </c>
      <c r="I11" s="12">
        <f>IF(AND(F11&lt;&gt;"Atteint",F11&lt;&gt;"Abandonné",TODAY()&gt;E11),"Dépassé",IF(AND(F11&lt;&gt;"Atteint",F11&lt;&gt;"Abandonné",E11-TODAY()&lt;=7),"Cette semaine",""))</f>
        <v/>
      </c>
      <c r="J11" s="14">
        <f>IF(AND(F11&lt;&gt;"Atteint",F11&lt;&gt;"Abandonné",E11&gt;=TODAY()),E11,"")</f>
        <v/>
      </c>
      <c r="K11" s="20" t="inlineStr">
        <is>
          <t>Le développement s'arrête, la QA prend le relais du 13 au 15/10</t>
        </is>
      </c>
    </row>
    <row r="12">
      <c r="B12" s="54" t="inlineStr">
        <is>
          <t>J07</t>
        </is>
      </c>
      <c r="C12" s="20" t="inlineStr">
        <is>
          <t>Démonstration V1 à M. Bruno et à la CCI-Togo</t>
        </is>
      </c>
      <c r="D12" s="54" t="inlineStr">
        <is>
          <t>V1</t>
        </is>
      </c>
      <c r="E12" s="40" t="n">
        <v>46310</v>
      </c>
      <c r="F12" s="37" t="inlineStr">
        <is>
          <t>À venir</t>
        </is>
      </c>
      <c r="G12" s="12">
        <f>IF(F12="Atteint","",E12-TODAY())</f>
        <v/>
      </c>
      <c r="H12" s="16">
        <f>IFERROR(VLOOKUP($D12,Versions!$B$6:$P$10,9,FALSE),0)</f>
        <v/>
      </c>
      <c r="I12" s="12">
        <f>IF(AND(F12&lt;&gt;"Atteint",F12&lt;&gt;"Abandonné",TODAY()&gt;E12),"Dépassé",IF(AND(F12&lt;&gt;"Atteint",F12&lt;&gt;"Abandonné",E12-TODAY()&lt;=7),"Cette semaine",""))</f>
        <v/>
      </c>
      <c r="J12" s="14">
        <f>IF(AND(F12&lt;&gt;"Atteint",F12&lt;&gt;"Abandonné",E12&gt;=TODAY()),E12,"")</f>
        <v/>
      </c>
      <c r="K12" s="20" t="inlineStr">
        <is>
          <t>Échéance ferme</t>
        </is>
      </c>
    </row>
    <row r="13">
      <c r="B13" s="54" t="inlineStr">
        <is>
          <t>J08</t>
        </is>
      </c>
      <c r="C13" s="20" t="inlineStr">
        <is>
          <t>Contrat prestataire de signature qualifiée (PSC) signé</t>
        </is>
      </c>
      <c r="D13" s="54" t="inlineStr">
        <is>
          <t>V2</t>
        </is>
      </c>
      <c r="E13" s="40" t="n">
        <v>46325</v>
      </c>
      <c r="F13" s="37" t="inlineStr">
        <is>
          <t>À venir</t>
        </is>
      </c>
      <c r="G13" s="12">
        <f>IF(F13="Atteint","",E13-TODAY())</f>
        <v/>
      </c>
      <c r="H13" s="16">
        <f>IFERROR(VLOOKUP($D13,Versions!$B$6:$P$10,9,FALSE),0)</f>
        <v/>
      </c>
      <c r="I13" s="12">
        <f>IF(AND(F13&lt;&gt;"Atteint",F13&lt;&gt;"Abandonné",TODAY()&gt;E13),"Dépassé",IF(AND(F13&lt;&gt;"Atteint",F13&lt;&gt;"Abandonné",E13-TODAY()&lt;=7),"Cette semaine",""))</f>
        <v/>
      </c>
      <c r="J13" s="14">
        <f>IF(AND(F13&lt;&gt;"Atteint",F13&lt;&gt;"Abandonné",E13&gt;=TODAY()),E13,"")</f>
        <v/>
      </c>
      <c r="K13" s="20" t="inlineStr">
        <is>
          <t>Bloquant pour l'intégration NDA</t>
        </is>
      </c>
    </row>
    <row r="14">
      <c r="B14" s="54" t="inlineStr">
        <is>
          <t>J09</t>
        </is>
      </c>
      <c r="C14" s="20" t="inlineStr">
        <is>
          <t>Livraison V2</t>
        </is>
      </c>
      <c r="D14" s="54" t="inlineStr">
        <is>
          <t>V2</t>
        </is>
      </c>
      <c r="E14" s="40" t="n">
        <v>46366</v>
      </c>
      <c r="F14" s="37" t="inlineStr">
        <is>
          <t>À venir</t>
        </is>
      </c>
      <c r="G14" s="12">
        <f>IF(F14="Atteint","",E14-TODAY())</f>
        <v/>
      </c>
      <c r="H14" s="16">
        <f>IFERROR(VLOOKUP($D14,Versions!$B$6:$P$10,9,FALSE),0)</f>
        <v/>
      </c>
      <c r="I14" s="12">
        <f>IF(AND(F14&lt;&gt;"Atteint",F14&lt;&gt;"Abandonné",TODAY()&gt;E14),"Dépassé",IF(AND(F14&lt;&gt;"Atteint",F14&lt;&gt;"Abandonné",E14-TODAY()&lt;=7),"Cette semaine",""))</f>
        <v/>
      </c>
      <c r="J14" s="14">
        <f>IF(AND(F14&lt;&gt;"Atteint",F14&lt;&gt;"Abandonné",E14&gt;=TODAY()),E14,"")</f>
        <v/>
      </c>
      <c r="K14" s="20" t="inlineStr"/>
    </row>
    <row r="15">
      <c r="B15" s="54" t="inlineStr">
        <is>
          <t>J10</t>
        </is>
      </c>
      <c r="C15" s="20" t="inlineStr">
        <is>
          <t>Avis juridique écrit sur le RPS et le barème de frais</t>
        </is>
      </c>
      <c r="D15" s="54" t="inlineStr">
        <is>
          <t>V3</t>
        </is>
      </c>
      <c r="E15" s="40" t="n">
        <v>46402</v>
      </c>
      <c r="F15" s="37" t="inlineStr">
        <is>
          <t>À venir</t>
        </is>
      </c>
      <c r="G15" s="12">
        <f>IF(F15="Atteint","",E15-TODAY())</f>
        <v/>
      </c>
      <c r="H15" s="16">
        <f>IFERROR(VLOOKUP($D15,Versions!$B$6:$P$10,9,FALSE),0)</f>
        <v/>
      </c>
      <c r="I15" s="12">
        <f>IF(AND(F15&lt;&gt;"Atteint",F15&lt;&gt;"Abandonné",TODAY()&gt;E15),"Dépassé",IF(AND(F15&lt;&gt;"Atteint",F15&lt;&gt;"Abandonné",E15-TODAY()&lt;=7),"Cette semaine",""))</f>
        <v/>
      </c>
      <c r="J15" s="14">
        <f>IF(AND(F15&lt;&gt;"Atteint",F15&lt;&gt;"Abandonné",E15&gt;=TODAY()),E15,"")</f>
        <v/>
      </c>
      <c r="K15" s="20" t="inlineStr">
        <is>
          <t>Conditionne l'activation du barème</t>
        </is>
      </c>
    </row>
    <row r="16">
      <c r="B16" s="54" t="inlineStr">
        <is>
          <t>J11</t>
        </is>
      </c>
      <c r="C16" s="20" t="inlineStr">
        <is>
          <t>Pentest indépendant réalisé et remédié</t>
        </is>
      </c>
      <c r="D16" s="54" t="inlineStr">
        <is>
          <t>V3</t>
        </is>
      </c>
      <c r="E16" s="40" t="n">
        <v>46428</v>
      </c>
      <c r="F16" s="37" t="inlineStr">
        <is>
          <t>À venir</t>
        </is>
      </c>
      <c r="G16" s="12">
        <f>IF(F16="Atteint","",E16-TODAY())</f>
        <v/>
      </c>
      <c r="H16" s="16">
        <f>IFERROR(VLOOKUP($D16,Versions!$B$6:$P$10,9,FALSE),0)</f>
        <v/>
      </c>
      <c r="I16" s="12">
        <f>IF(AND(F16&lt;&gt;"Atteint",F16&lt;&gt;"Abandonné",TODAY()&gt;E16),"Dépassé",IF(AND(F16&lt;&gt;"Atteint",F16&lt;&gt;"Abandonné",E16-TODAY()&lt;=7),"Cette semaine",""))</f>
        <v/>
      </c>
      <c r="J16" s="14">
        <f>IF(AND(F16&lt;&gt;"Atteint",F16&lt;&gt;"Abandonné",E16&gt;=TODAY()),E16,"")</f>
        <v/>
      </c>
      <c r="K16" s="20" t="inlineStr">
        <is>
          <t>Porte G10</t>
        </is>
      </c>
    </row>
    <row r="17">
      <c r="B17" s="54" t="inlineStr">
        <is>
          <t>J12</t>
        </is>
      </c>
      <c r="C17" s="20" t="inlineStr">
        <is>
          <t>Portes de conformité G1 à G10 fermées</t>
        </is>
      </c>
      <c r="D17" s="54" t="inlineStr">
        <is>
          <t>V3</t>
        </is>
      </c>
      <c r="E17" s="40" t="n">
        <v>46430</v>
      </c>
      <c r="F17" s="37" t="inlineStr">
        <is>
          <t>À venir</t>
        </is>
      </c>
      <c r="G17" s="12">
        <f>IF(F17="Atteint","",E17-TODAY())</f>
        <v/>
      </c>
      <c r="H17" s="16">
        <f>IFERROR(VLOOKUP($D17,Versions!$B$6:$P$10,9,FALSE),0)</f>
        <v/>
      </c>
      <c r="I17" s="12">
        <f>IF(AND(F17&lt;&gt;"Atteint",F17&lt;&gt;"Abandonné",TODAY()&gt;E17),"Dépassé",IF(AND(F17&lt;&gt;"Atteint",F17&lt;&gt;"Abandonné",E17-TODAY()&lt;=7),"Cette semaine",""))</f>
        <v/>
      </c>
      <c r="J17" s="14">
        <f>IF(AND(F17&lt;&gt;"Atteint",F17&lt;&gt;"Abandonné",E17&gt;=TODAY()),E17,"")</f>
        <v/>
      </c>
      <c r="K17" s="20" t="inlineStr">
        <is>
          <t>Condition de lancement commercial</t>
        </is>
      </c>
    </row>
    <row r="18">
      <c r="B18" s="54" t="inlineStr">
        <is>
          <t>J13</t>
        </is>
      </c>
      <c r="C18" s="20" t="inlineStr">
        <is>
          <t>Livraison V3</t>
        </is>
      </c>
      <c r="D18" s="54" t="inlineStr">
        <is>
          <t>V3</t>
        </is>
      </c>
      <c r="E18" s="40" t="n">
        <v>46436</v>
      </c>
      <c r="F18" s="37" t="inlineStr">
        <is>
          <t>À venir</t>
        </is>
      </c>
      <c r="G18" s="12">
        <f>IF(F18="Atteint","",E18-TODAY())</f>
        <v/>
      </c>
      <c r="H18" s="16">
        <f>IFERROR(VLOOKUP($D18,Versions!$B$6:$P$10,9,FALSE),0)</f>
        <v/>
      </c>
      <c r="I18" s="12">
        <f>IF(AND(F18&lt;&gt;"Atteint",F18&lt;&gt;"Abandonné",TODAY()&gt;E18),"Dépassé",IF(AND(F18&lt;&gt;"Atteint",F18&lt;&gt;"Abandonné",E18-TODAY()&lt;=7),"Cette semaine",""))</f>
        <v/>
      </c>
      <c r="J18" s="14">
        <f>IF(AND(F18&lt;&gt;"Atteint",F18&lt;&gt;"Abandonné",E18&gt;=TODAY()),E18,"")</f>
        <v/>
      </c>
      <c r="K18" s="20" t="inlineStr"/>
    </row>
    <row r="19">
      <c r="B19" s="54" t="inlineStr">
        <is>
          <t>J14</t>
        </is>
      </c>
      <c r="C19" s="20" t="inlineStr">
        <is>
          <t>Cadrage de l'intégration Remo.co validé</t>
        </is>
      </c>
      <c r="D19" s="54" t="inlineStr">
        <is>
          <t>V1</t>
        </is>
      </c>
      <c r="E19" s="40" t="n">
        <v>46283</v>
      </c>
      <c r="F19" s="37" t="inlineStr">
        <is>
          <t>À venir</t>
        </is>
      </c>
      <c r="G19" s="12">
        <f>IF(F19="Atteint","",E19-TODAY())</f>
        <v/>
      </c>
      <c r="H19" s="16">
        <f>IFERROR(VLOOKUP($D19,Versions!$B$6:$P$10,9,FALSE),0)</f>
        <v/>
      </c>
      <c r="I19" s="12">
        <f>IF(AND(F19&lt;&gt;"Atteint",F19&lt;&gt;"Abandonné",TODAY()&gt;E19),"Dépassé",IF(AND(F19&lt;&gt;"Atteint",F19&lt;&gt;"Abandonné",E19-TODAY()&lt;=7),"Cette semaine",""))</f>
        <v/>
      </c>
      <c r="J19" s="14">
        <f>IF(AND(F19&lt;&gt;"Atteint",F19&lt;&gt;"Abandonné",E19&gt;=TODAY()),E19,"")</f>
        <v/>
      </c>
      <c r="K19" s="20" t="inlineStr">
        <is>
          <t>Bloque le connecteur Remo</t>
        </is>
      </c>
    </row>
    <row r="20">
      <c r="B20" s="54" t="inlineStr">
        <is>
          <t>J15</t>
        </is>
      </c>
      <c r="C20" s="20" t="inlineStr">
        <is>
          <t>Livraison V4</t>
        </is>
      </c>
      <c r="D20" s="54" t="inlineStr">
        <is>
          <t>V4</t>
        </is>
      </c>
      <c r="E20" s="40" t="n">
        <v>46478</v>
      </c>
      <c r="F20" s="37" t="inlineStr">
        <is>
          <t>À venir</t>
        </is>
      </c>
      <c r="G20" s="12">
        <f>IF(F20="Atteint","",E20-TODAY())</f>
        <v/>
      </c>
      <c r="H20" s="16">
        <f>IFERROR(VLOOKUP($D20,Versions!$B$6:$P$10,9,FALSE),0)</f>
        <v/>
      </c>
      <c r="I20" s="12">
        <f>IF(AND(F20&lt;&gt;"Atteint",F20&lt;&gt;"Abandonné",TODAY()&gt;E20),"Dépassé",IF(AND(F20&lt;&gt;"Atteint",F20&lt;&gt;"Abandonné",E20-TODAY()&lt;=7),"Cette semaine",""))</f>
        <v/>
      </c>
      <c r="J20" s="14">
        <f>IF(AND(F20&lt;&gt;"Atteint",F20&lt;&gt;"Abandonné",E20&gt;=TODAY()),E20,"")</f>
        <v/>
      </c>
      <c r="K20" s="20" t="inlineStr"/>
    </row>
    <row r="21">
      <c r="B21" s="54" t="inlineStr">
        <is>
          <t>J16</t>
        </is>
      </c>
      <c r="C21" s="20" t="inlineStr">
        <is>
          <t>Contrat fournisseur IA signé</t>
        </is>
      </c>
      <c r="D21" s="54" t="inlineStr">
        <is>
          <t>V5</t>
        </is>
      </c>
      <c r="E21" s="40" t="n">
        <v>46486</v>
      </c>
      <c r="F21" s="37" t="inlineStr">
        <is>
          <t>À venir</t>
        </is>
      </c>
      <c r="G21" s="12">
        <f>IF(F21="Atteint","",E21-TODAY())</f>
        <v/>
      </c>
      <c r="H21" s="16">
        <f>IFERROR(VLOOKUP($D21,Versions!$B$6:$P$10,9,FALSE),0)</f>
        <v/>
      </c>
      <c r="I21" s="12">
        <f>IF(AND(F21&lt;&gt;"Atteint",F21&lt;&gt;"Abandonné",TODAY()&gt;E21),"Dépassé",IF(AND(F21&lt;&gt;"Atteint",F21&lt;&gt;"Abandonné",E21-TODAY()&lt;=7),"Cette semaine",""))</f>
        <v/>
      </c>
      <c r="J21" s="14">
        <f>IF(AND(F21&lt;&gt;"Atteint",F21&lt;&gt;"Abandonné",E21&gt;=TODAY()),E21,"")</f>
        <v/>
      </c>
      <c r="K21" s="20" t="inlineStr">
        <is>
          <t>Bloquant pour DealLens</t>
        </is>
      </c>
    </row>
    <row r="22">
      <c r="B22" s="54" t="inlineStr">
        <is>
          <t>J17</t>
        </is>
      </c>
      <c r="C22" s="20" t="inlineStr">
        <is>
          <t>Livraison V5</t>
        </is>
      </c>
      <c r="D22" s="54" t="inlineStr">
        <is>
          <t>V5</t>
        </is>
      </c>
      <c r="E22" s="40" t="n">
        <v>46541</v>
      </c>
      <c r="F22" s="37" t="inlineStr">
        <is>
          <t>À venir</t>
        </is>
      </c>
      <c r="G22" s="12">
        <f>IF(F22="Atteint","",E22-TODAY())</f>
        <v/>
      </c>
      <c r="H22" s="16">
        <f>IFERROR(VLOOKUP($D22,Versions!$B$6:$P$10,9,FALSE),0)</f>
        <v/>
      </c>
      <c r="I22" s="12">
        <f>IF(AND(F22&lt;&gt;"Atteint",F22&lt;&gt;"Abandonné",TODAY()&gt;E22),"Dépassé",IF(AND(F22&lt;&gt;"Atteint",F22&lt;&gt;"Abandonné",E22-TODAY()&lt;=7),"Cette semaine",""))</f>
        <v/>
      </c>
      <c r="J22" s="14">
        <f>IF(AND(F22&lt;&gt;"Atteint",F22&lt;&gt;"Abandonné",E22&gt;=TODAY()),E22,"")</f>
        <v/>
      </c>
      <c r="K22" s="20" t="inlineStr"/>
    </row>
  </sheetData>
  <conditionalFormatting sqref="I6:I22">
    <cfRule type="expression" priority="1" dxfId="1">
      <formula>I6="Dépassé"</formula>
    </cfRule>
    <cfRule type="expression" priority="2" dxfId="5">
      <formula>I6="Cette semaine"</formula>
    </cfRule>
  </conditionalFormatting>
  <conditionalFormatting sqref="F6:F22">
    <cfRule type="expression" priority="3" dxfId="2">
      <formula>F6="Atteint"</formula>
    </cfRule>
    <cfRule type="expression" priority="4" dxfId="5">
      <formula>F6="En risque"</formula>
    </cfRule>
  </conditionalFormatting>
  <dataValidations count="2">
    <dataValidation sqref="F6:F22" showDropDown="0" showInputMessage="0" showErrorMessage="0" allowBlank="1" type="list">
      <formula1>=Parametres!$N$6:$N$9</formula1>
    </dataValidation>
    <dataValidation sqref="D6:D22" showDropDown="0" showInputMessage="0" showErrorMessage="0" allowBlank="1" type="list">
      <formula1>=Parametres!$H$6:$H$10</formula1>
    </dataValidation>
  </dataValidations>
  <pageMargins left="0.75" right="0.75" top="1" bottom="1" header="0.5" footer="0.5"/>
</worksheet>
</file>

<file path=xl/worksheets/sheet11.xml><?xml version="1.0" encoding="utf-8"?>
<worksheet xmlns="http://schemas.openxmlformats.org/spreadsheetml/2006/main">
  <sheetPr>
    <tabColor rgb="008C3A3A"/>
    <outlinePr summaryBelow="1" summaryRight="1"/>
    <pageSetUpPr/>
  </sheetPr>
  <dimension ref="B2:L18"/>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46" customWidth="1" min="3" max="3"/>
    <col width="18" customWidth="1" min="4" max="4"/>
    <col width="12" customWidth="1" min="5" max="5"/>
    <col width="11" customWidth="1" min="6" max="6"/>
    <col width="8" customWidth="1" min="7" max="7"/>
    <col width="10" customWidth="1" min="8" max="8"/>
    <col width="9" customWidth="1" min="9" max="9"/>
    <col width="22" customWidth="1" min="10" max="10"/>
    <col width="50" customWidth="1" min="11" max="11"/>
    <col width="11" customWidth="1" min="12" max="12"/>
  </cols>
  <sheetData>
    <row r="2">
      <c r="B2" s="1" t="inlineStr">
        <is>
          <t>Registre des risques</t>
        </is>
      </c>
    </row>
    <row r="3">
      <c r="B3" s="17" t="inlineStr">
        <is>
          <t>Score = probabilité x impact (1 à 5). Niveau et alerte calculés. Statut et mitigation à tenir à jour.</t>
        </is>
      </c>
    </row>
    <row r="5" ht="30" customHeight="1">
      <c r="B5" s="11" t="inlineStr">
        <is>
          <t>ID</t>
        </is>
      </c>
      <c r="C5" s="11" t="inlineStr">
        <is>
          <t>Risque</t>
        </is>
      </c>
      <c r="D5" s="11" t="inlineStr">
        <is>
          <t>Catégorie</t>
        </is>
      </c>
      <c r="E5" s="11" t="inlineStr">
        <is>
          <t>Probabilité (1-5)</t>
        </is>
      </c>
      <c r="F5" s="11" t="inlineStr">
        <is>
          <t>Impact (1-5)</t>
        </is>
      </c>
      <c r="G5" s="11" t="inlineStr">
        <is>
          <t>Score</t>
        </is>
      </c>
      <c r="H5" s="11" t="inlineStr">
        <is>
          <t>Niveau</t>
        </is>
      </c>
      <c r="I5" s="11" t="inlineStr">
        <is>
          <t>Version</t>
        </is>
      </c>
      <c r="J5" s="11" t="inlineStr">
        <is>
          <t>Responsable</t>
        </is>
      </c>
      <c r="K5" s="11" t="inlineStr">
        <is>
          <t>Mitigation</t>
        </is>
      </c>
      <c r="L5" s="11" t="inlineStr">
        <is>
          <t>Statut</t>
        </is>
      </c>
    </row>
    <row r="6">
      <c r="B6" s="54" t="inlineStr">
        <is>
          <t>R01</t>
        </is>
      </c>
      <c r="C6" s="20" t="inlineStr">
        <is>
          <t>Équipe de développement non confirmée ou sous-dimensionnée</t>
        </is>
      </c>
      <c r="D6" s="20" t="inlineStr">
        <is>
          <t>Organisation</t>
        </is>
      </c>
      <c r="E6" s="36" t="n">
        <v>4</v>
      </c>
      <c r="F6" s="36" t="n">
        <v>5</v>
      </c>
      <c r="G6" s="12">
        <f>E6*F6</f>
        <v/>
      </c>
      <c r="H6" s="12">
        <f>IF(G6&gt;=15,"Critique",IF(G6&gt;=8,"Élevé",IF(G6&gt;=4,"Moyen","Faible")))</f>
        <v/>
      </c>
      <c r="I6" s="54" t="inlineStr">
        <is>
          <t>V1</t>
        </is>
      </c>
      <c r="J6" s="20" t="inlineStr">
        <is>
          <t>Chef de projet</t>
        </is>
      </c>
      <c r="K6" s="20" t="inlineStr">
        <is>
          <t>Décision de M. Bruno avant J01 ; sinon retrait de la démo RPS puis du matching automatisé</t>
        </is>
      </c>
      <c r="L6" s="36" t="inlineStr">
        <is>
          <t>Ouvert</t>
        </is>
      </c>
    </row>
    <row r="7">
      <c r="B7" s="54" t="inlineStr">
        <is>
          <t>R02</t>
        </is>
      </c>
      <c r="C7" s="20" t="inlineStr">
        <is>
          <t>Aucune API CFE / RCCM disponible</t>
        </is>
      </c>
      <c r="D7" s="20" t="inlineStr">
        <is>
          <t>Dépendance externe</t>
        </is>
      </c>
      <c r="E7" s="36" t="n">
        <v>3</v>
      </c>
      <c r="F7" s="36" t="n">
        <v>4</v>
      </c>
      <c r="G7" s="12">
        <f>E7*F7</f>
        <v/>
      </c>
      <c r="H7" s="12">
        <f>IF(G7&gt;=15,"Critique",IF(G7&gt;=8,"Élevé",IF(G7&gt;=4,"Moyen","Faible")))</f>
        <v/>
      </c>
      <c r="I7" s="54" t="inlineStr">
        <is>
          <t>V1</t>
        </is>
      </c>
      <c r="J7" s="20" t="inlineStr">
        <is>
          <t>Chef de projet</t>
        </is>
      </c>
      <c r="K7" s="20" t="inlineStr">
        <is>
          <t>Adaptateur à double mode : API ou saisie manuelle supervisée</t>
        </is>
      </c>
      <c r="L7" s="36" t="inlineStr">
        <is>
          <t>Ouvert</t>
        </is>
      </c>
    </row>
    <row r="8">
      <c r="B8" s="54" t="inlineStr">
        <is>
          <t>R03</t>
        </is>
      </c>
      <c r="C8" s="20" t="inlineStr">
        <is>
          <t>Designer UI/UX non disponible de bout en bout</t>
        </is>
      </c>
      <c r="D8" s="20" t="inlineStr">
        <is>
          <t>Organisation</t>
        </is>
      </c>
      <c r="E8" s="36" t="n">
        <v>3</v>
      </c>
      <c r="F8" s="36" t="n">
        <v>3</v>
      </c>
      <c r="G8" s="12">
        <f>E8*F8</f>
        <v/>
      </c>
      <c r="H8" s="12">
        <f>IF(G8&gt;=15,"Critique",IF(G8&gt;=8,"Élevé",IF(G8&gt;=4,"Moyen","Faible")))</f>
        <v/>
      </c>
      <c r="I8" s="54" t="inlineStr">
        <is>
          <t>V1</t>
        </is>
      </c>
      <c r="J8" s="20" t="inlineStr">
        <is>
          <t>M. Bruno</t>
        </is>
      </c>
      <c r="K8" s="20" t="inlineStr">
        <is>
          <t>Confirmer la proposition Bouley avant J04</t>
        </is>
      </c>
      <c r="L8" s="36" t="inlineStr">
        <is>
          <t>Ouvert</t>
        </is>
      </c>
    </row>
    <row r="9">
      <c r="B9" s="54" t="inlineStr">
        <is>
          <t>R04</t>
        </is>
      </c>
      <c r="C9" s="20" t="inlineStr">
        <is>
          <t>Périmètre V1 qui s'élargit pendant le mois</t>
        </is>
      </c>
      <c r="D9" s="20" t="inlineStr">
        <is>
          <t>Périmètre</t>
        </is>
      </c>
      <c r="E9" s="36" t="n">
        <v>4</v>
      </c>
      <c r="F9" s="36" t="n">
        <v>4</v>
      </c>
      <c r="G9" s="12">
        <f>E9*F9</f>
        <v/>
      </c>
      <c r="H9" s="12">
        <f>IF(G9&gt;=15,"Critique",IF(G9&gt;=8,"Élevé",IF(G9&gt;=4,"Moyen","Faible")))</f>
        <v/>
      </c>
      <c r="I9" s="54" t="inlineStr">
        <is>
          <t>V1</t>
        </is>
      </c>
      <c r="J9" s="20" t="inlineStr">
        <is>
          <t>Chef de projet</t>
        </is>
      </c>
      <c r="K9" s="20" t="inlineStr">
        <is>
          <t>Gel du périmètre à J03, toute demande passe par l'onglet Decisions</t>
        </is>
      </c>
      <c r="L9" s="36" t="inlineStr">
        <is>
          <t>Ouvert</t>
        </is>
      </c>
    </row>
    <row r="10">
      <c r="B10" s="54" t="inlineStr">
        <is>
          <t>R05</t>
        </is>
      </c>
      <c r="C10" s="20" t="inlineStr">
        <is>
          <t>Démonstration perçue comme un produit fini (sur-promesse)</t>
        </is>
      </c>
      <c r="D10" s="20" t="inlineStr">
        <is>
          <t>Communication</t>
        </is>
      </c>
      <c r="E10" s="36" t="n">
        <v>3</v>
      </c>
      <c r="F10" s="36" t="n">
        <v>4</v>
      </c>
      <c r="G10" s="12">
        <f>E10*F10</f>
        <v/>
      </c>
      <c r="H10" s="12">
        <f>IF(G10&gt;=15,"Critique",IF(G10&gt;=8,"Élevé",IF(G10&gt;=4,"Moyen","Faible")))</f>
        <v/>
      </c>
      <c r="I10" s="54" t="inlineStr">
        <is>
          <t>V1</t>
        </is>
      </c>
      <c r="J10" s="20" t="inlineStr">
        <is>
          <t>M. Bruno</t>
        </is>
      </c>
      <c r="K10" s="20" t="inlineStr">
        <is>
          <t>Note de cadrage V1, étiquette 'démonstration synthétique' sur chaque écran</t>
        </is>
      </c>
      <c r="L10" s="36" t="inlineStr">
        <is>
          <t>Ouvert</t>
        </is>
      </c>
    </row>
    <row r="11">
      <c r="B11" s="54" t="inlineStr">
        <is>
          <t>R06</t>
        </is>
      </c>
      <c r="C11" s="20" t="inlineStr">
        <is>
          <t>Prestataire de signature qualifiée non contractualisé à temps</t>
        </is>
      </c>
      <c r="D11" s="20" t="inlineStr">
        <is>
          <t>Dépendance externe</t>
        </is>
      </c>
      <c r="E11" s="36" t="n">
        <v>3</v>
      </c>
      <c r="F11" s="36" t="n">
        <v>4</v>
      </c>
      <c r="G11" s="12">
        <f>E11*F11</f>
        <v/>
      </c>
      <c r="H11" s="12">
        <f>IF(G11&gt;=15,"Critique",IF(G11&gt;=8,"Élevé",IF(G11&gt;=4,"Moyen","Faible")))</f>
        <v/>
      </c>
      <c r="I11" s="54" t="inlineStr">
        <is>
          <t>V2</t>
        </is>
      </c>
      <c r="J11" s="20" t="inlineStr">
        <is>
          <t>M. Bruno</t>
        </is>
      </c>
      <c r="K11" s="20" t="inlineStr">
        <is>
          <t>Lancer la consultation des PSC accrédités dès la fin de V1</t>
        </is>
      </c>
      <c r="L11" s="36" t="inlineStr">
        <is>
          <t>Ouvert</t>
        </is>
      </c>
    </row>
    <row r="12">
      <c r="B12" s="54" t="inlineStr">
        <is>
          <t>R07</t>
        </is>
      </c>
      <c r="C12" s="20" t="inlineStr">
        <is>
          <t>Retard des portes de conformité (IPDCP, DPO, pentest)</t>
        </is>
      </c>
      <c r="D12" s="20" t="inlineStr">
        <is>
          <t>Réglementaire</t>
        </is>
      </c>
      <c r="E12" s="36" t="n">
        <v>3</v>
      </c>
      <c r="F12" s="36" t="n">
        <v>5</v>
      </c>
      <c r="G12" s="12">
        <f>E12*F12</f>
        <v/>
      </c>
      <c r="H12" s="12">
        <f>IF(G12&gt;=15,"Critique",IF(G12&gt;=8,"Élevé",IF(G12&gt;=4,"Moyen","Faible")))</f>
        <v/>
      </c>
      <c r="I12" s="54" t="inlineStr">
        <is>
          <t>V3</t>
        </is>
      </c>
      <c r="J12" s="20" t="inlineStr">
        <is>
          <t>Conseil juridique / DPO</t>
        </is>
      </c>
      <c r="K12" s="20" t="inlineStr">
        <is>
          <t>Démarrer les démarches IPDCP pendant V2</t>
        </is>
      </c>
      <c r="L12" s="36" t="inlineStr">
        <is>
          <t>Ouvert</t>
        </is>
      </c>
    </row>
    <row r="13">
      <c r="B13" s="54" t="inlineStr">
        <is>
          <t>R08</t>
        </is>
      </c>
      <c r="C13" s="20" t="inlineStr">
        <is>
          <t>Partenaire fiscal non identifié</t>
        </is>
      </c>
      <c r="D13" s="20" t="inlineStr">
        <is>
          <t>Dépendance externe</t>
        </is>
      </c>
      <c r="E13" s="36" t="n">
        <v>3</v>
      </c>
      <c r="F13" s="36" t="n">
        <v>2</v>
      </c>
      <c r="G13" s="12">
        <f>E13*F13</f>
        <v/>
      </c>
      <c r="H13" s="12">
        <f>IF(G13&gt;=15,"Critique",IF(G13&gt;=8,"Élevé",IF(G13&gt;=4,"Moyen","Faible")))</f>
        <v/>
      </c>
      <c r="I13" s="54" t="inlineStr">
        <is>
          <t>V3</t>
        </is>
      </c>
      <c r="J13" s="20" t="inlineStr">
        <is>
          <t>M. Bruno</t>
        </is>
      </c>
      <c r="K13" s="20" t="inlineStr">
        <is>
          <t>Confirmer TaxeFacile ou qualifier une alternative avant V3</t>
        </is>
      </c>
      <c r="L13" s="36" t="inlineStr">
        <is>
          <t>Ouvert</t>
        </is>
      </c>
    </row>
    <row r="14">
      <c r="B14" s="54" t="inlineStr">
        <is>
          <t>R09</t>
        </is>
      </c>
      <c r="C14" s="20" t="inlineStr">
        <is>
          <t>Périmètre de l'intégration Remo.co plus large que prévu</t>
        </is>
      </c>
      <c r="D14" s="20" t="inlineStr">
        <is>
          <t>Technique</t>
        </is>
      </c>
      <c r="E14" s="36" t="n">
        <v>2</v>
      </c>
      <c r="F14" s="36" t="n">
        <v>3</v>
      </c>
      <c r="G14" s="12">
        <f>E14*F14</f>
        <v/>
      </c>
      <c r="H14" s="12">
        <f>IF(G14&gt;=15,"Critique",IF(G14&gt;=8,"Élevé",IF(G14&gt;=4,"Moyen","Faible")))</f>
        <v/>
      </c>
      <c r="I14" s="54" t="inlineStr">
        <is>
          <t>V4</t>
        </is>
      </c>
      <c r="J14" s="20" t="inlineStr">
        <is>
          <t>Chef de projet</t>
        </is>
      </c>
      <c r="K14" s="20" t="inlineStr">
        <is>
          <t>Cadrage écrit avant chiffrage définitif (J14)</t>
        </is>
      </c>
      <c r="L14" s="36" t="inlineStr">
        <is>
          <t>Ouvert</t>
        </is>
      </c>
    </row>
    <row r="15">
      <c r="B15" s="54" t="inlineStr">
        <is>
          <t>R10</t>
        </is>
      </c>
      <c r="C15" s="20" t="inlineStr">
        <is>
          <t>Fournisseur IA sans clauses de confidentialité acceptables</t>
        </is>
      </c>
      <c r="D15" s="20" t="inlineStr">
        <is>
          <t>Dépendance externe</t>
        </is>
      </c>
      <c r="E15" s="36" t="n">
        <v>3</v>
      </c>
      <c r="F15" s="36" t="n">
        <v>5</v>
      </c>
      <c r="G15" s="12">
        <f>E15*F15</f>
        <v/>
      </c>
      <c r="H15" s="12">
        <f>IF(G15&gt;=15,"Critique",IF(G15&gt;=8,"Élevé",IF(G15&gt;=4,"Moyen","Faible")))</f>
        <v/>
      </c>
      <c r="I15" s="54" t="inlineStr">
        <is>
          <t>V5</t>
        </is>
      </c>
      <c r="J15" s="20" t="inlineStr">
        <is>
          <t>Conseil juridique</t>
        </is>
      </c>
      <c r="K15" s="20" t="inlineStr">
        <is>
          <t>Consultation dès V3, clauses de non-réutilisation des données</t>
        </is>
      </c>
      <c r="L15" s="36" t="inlineStr">
        <is>
          <t>Ouvert</t>
        </is>
      </c>
    </row>
    <row r="16">
      <c r="B16" s="54" t="inlineStr">
        <is>
          <t>R11</t>
        </is>
      </c>
      <c r="C16" s="20" t="inlineStr">
        <is>
          <t>Fuite de divulgation T0 / T1 sur un dossier titres en production</t>
        </is>
      </c>
      <c r="D16" s="20" t="inlineStr">
        <is>
          <t>Sécurité</t>
        </is>
      </c>
      <c r="E16" s="36" t="n">
        <v>2</v>
      </c>
      <c r="F16" s="36" t="n">
        <v>5</v>
      </c>
      <c r="G16" s="12">
        <f>E16*F16</f>
        <v/>
      </c>
      <c r="H16" s="12">
        <f>IF(G16&gt;=15,"Critique",IF(G16&gt;=8,"Élevé",IF(G16&gt;=4,"Moyen","Faible")))</f>
        <v/>
      </c>
      <c r="I16" s="54" t="inlineStr">
        <is>
          <t>V2</t>
        </is>
      </c>
      <c r="J16" s="20" t="inlineStr">
        <is>
          <t>Équipe de développement</t>
        </is>
      </c>
      <c r="K16" s="20" t="inlineStr">
        <is>
          <t>Allow-list serveur, tests DISCLOSURE_LEAK sur les 12 cas de référence</t>
        </is>
      </c>
      <c r="L16" s="36" t="inlineStr">
        <is>
          <t>Surveillé</t>
        </is>
      </c>
    </row>
    <row r="17">
      <c r="B17" s="54" t="inlineStr">
        <is>
          <t>R12</t>
        </is>
      </c>
      <c r="C17" s="20" t="inlineStr">
        <is>
          <t>Sur-ingénierie par rapport au plafond du pilote (2 000 comptes)</t>
        </is>
      </c>
      <c r="D17" s="20" t="inlineStr">
        <is>
          <t>Technique</t>
        </is>
      </c>
      <c r="E17" s="36" t="n">
        <v>2</v>
      </c>
      <c r="F17" s="36" t="n">
        <v>2</v>
      </c>
      <c r="G17" s="12">
        <f>E17*F17</f>
        <v/>
      </c>
      <c r="H17" s="12">
        <f>IF(G17&gt;=15,"Critique",IF(G17&gt;=8,"Élevé",IF(G17&gt;=4,"Moyen","Faible")))</f>
        <v/>
      </c>
      <c r="I17" s="54" t="inlineStr">
        <is>
          <t>V2</t>
        </is>
      </c>
      <c r="J17" s="20" t="inlineStr">
        <is>
          <t>Chef de projet</t>
        </is>
      </c>
      <c r="K17" s="20" t="inlineStr">
        <is>
          <t>Revue d'architecture à chaque version contre le plafond de capacité</t>
        </is>
      </c>
      <c r="L17" s="36" t="inlineStr">
        <is>
          <t>Surveillé</t>
        </is>
      </c>
    </row>
    <row r="18">
      <c r="B18" s="54" t="inlineStr">
        <is>
          <t>R13</t>
        </is>
      </c>
      <c r="C18" s="20" t="inlineStr">
        <is>
          <t>Pentest indépendant reporté en V3 : la démonstration V1 tourne sans audit externe</t>
        </is>
      </c>
      <c r="D18" s="20" t="inlineStr">
        <is>
          <t>Sécurité</t>
        </is>
      </c>
      <c r="E18" s="36" t="n">
        <v>3</v>
      </c>
      <c r="F18" s="36" t="n">
        <v>4</v>
      </c>
      <c r="G18" s="12">
        <f>E18*F18</f>
        <v/>
      </c>
      <c r="H18" s="12">
        <f>IF(G18&gt;=15,"Critique",IF(G18&gt;=8,"Élevé",IF(G18&gt;=4,"Moyen","Faible")))</f>
        <v/>
      </c>
      <c r="I18" s="54" t="inlineStr">
        <is>
          <t>V1</t>
        </is>
      </c>
      <c r="J18" s="20" t="inlineStr">
        <is>
          <t>Chef de projet</t>
        </is>
      </c>
      <c r="K18" s="20" t="inlineStr">
        <is>
          <t>Revue de sécurité interne et scan de dépendances en V1 (lot Sécurité) ; aucun environnement accessible publiquement avant V3 ; commander le pentest dès V2</t>
        </is>
      </c>
      <c r="L18" s="36" t="inlineStr">
        <is>
          <t>Ouvert</t>
        </is>
      </c>
    </row>
  </sheetData>
  <conditionalFormatting sqref="H6:H68">
    <cfRule type="expression" priority="1" dxfId="1">
      <formula>H6="Critique"</formula>
    </cfRule>
    <cfRule type="expression" priority="2" dxfId="5">
      <formula>H6="Élevé"</formula>
    </cfRule>
    <cfRule type="expression" priority="3" dxfId="6">
      <formula>H6="Moyen"</formula>
    </cfRule>
  </conditionalFormatting>
  <conditionalFormatting sqref="L6:L68">
    <cfRule type="expression" priority="4" dxfId="2">
      <formula>L6="Clos"</formula>
    </cfRule>
  </conditionalFormatting>
  <dataValidations count="2">
    <dataValidation sqref="E6:F68" showDropDown="0" showInputMessage="0" showErrorMessage="0" allowBlank="0" type="whole" operator="between">
      <formula1>1</formula1>
      <formula2>5</formula2>
    </dataValidation>
    <dataValidation sqref="L6:L68" showDropDown="0" showInputMessage="0" showErrorMessage="0" allowBlank="1" type="list">
      <formula1>=Parametres!$P$6:$P$8</formula1>
    </dataValidation>
  </dataValidations>
  <pageMargins left="0.75" right="0.75" top="1" bottom="1" header="0.5" footer="0.5"/>
</worksheet>
</file>

<file path=xl/worksheets/sheet12.xml><?xml version="1.0" encoding="utf-8"?>
<worksheet xmlns="http://schemas.openxmlformats.org/spreadsheetml/2006/main">
  <sheetPr>
    <tabColor rgb="008C3A3A"/>
    <outlinePr summaryBelow="1" summaryRight="1"/>
    <pageSetUpPr/>
  </sheetPr>
  <dimension ref="B2:J2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40" customWidth="1" min="3" max="3"/>
    <col width="34" customWidth="1" min="4" max="4"/>
    <col width="52" customWidth="1" min="5" max="5"/>
    <col width="10" customWidth="1" min="6" max="6"/>
    <col width="44" customWidth="1" min="7" max="7"/>
    <col width="14" customWidth="1" min="8" max="8"/>
    <col width="11" customWidth="1" min="9" max="9"/>
    <col width="24" customWidth="1" min="10" max="10"/>
  </cols>
  <sheetData>
    <row r="2">
      <c r="B2" s="1" t="inlineStr">
        <is>
          <t>Registre de sécurité</t>
        </is>
      </c>
    </row>
    <row r="3">
      <c r="B3" s="17" t="inlineStr">
        <is>
          <t>Chaque constat, son traitement, sa version cible et la tâche qui le porte. Le statut de la tâche est lu automatiquement dans l'onglet Taches.</t>
        </is>
      </c>
    </row>
    <row r="5" ht="30" customHeight="1">
      <c r="B5" s="11" t="inlineStr">
        <is>
          <t>ID</t>
        </is>
      </c>
      <c r="C5" s="11" t="inlineStr">
        <is>
          <t>Constat</t>
        </is>
      </c>
      <c r="D5" s="11" t="inlineStr">
        <is>
          <t>Risque si non traité</t>
        </is>
      </c>
      <c r="E5" s="11" t="inlineStr">
        <is>
          <t>Traitement et justification du calendrier</t>
        </is>
      </c>
      <c r="F5" s="11" t="inlineStr">
        <is>
          <t>Version cible</t>
        </is>
      </c>
      <c r="G5" s="11" t="inlineStr">
        <is>
          <t>Tâche liée (onglet Taches)</t>
        </is>
      </c>
      <c r="H5" s="11" t="inlineStr">
        <is>
          <t>Statut de la tâche</t>
        </is>
      </c>
      <c r="I5" s="11" t="inlineStr">
        <is>
          <t>Avancement</t>
        </is>
      </c>
      <c r="J5" s="11" t="inlineStr">
        <is>
          <t>Commentaire</t>
        </is>
      </c>
    </row>
    <row r="6" ht="58" customHeight="1">
      <c r="B6" s="54" t="inlineStr">
        <is>
          <t>S01</t>
        </is>
      </c>
      <c r="C6" s="20" t="inlineStr">
        <is>
          <t>L'API se connecte avec le rôle propriétaire de la base : les politiques RLS existent mais ne s'exercent pas</t>
        </is>
      </c>
      <c r="D6" s="20" t="inlineStr">
        <is>
          <t>Un défaut d'autorisation applicatif expose les dossiers d'un autre cédant</t>
        </is>
      </c>
      <c r="E6" s="20" t="inlineStr">
        <is>
          <t>Rôle dealpme_api sans contournement, contexte par transaction, test négatif</t>
        </is>
      </c>
      <c r="F6" s="54" t="inlineStr">
        <is>
          <t>V1</t>
        </is>
      </c>
      <c r="G6" s="20" t="inlineStr">
        <is>
          <t>RLS effective : rôle applicatif sans contournement, contexte app.organisation_id et app.roles par transaction</t>
        </is>
      </c>
      <c r="H6" s="12">
        <f>IF($G6="","Sans tâche",IFERROR(INDEX(Taches!$J$6:$J$325,MATCH($G6,Taches!$F$6:$F$325,0)),"À planifier"))</f>
        <v/>
      </c>
      <c r="I6" s="16">
        <f>IF($G6="","",IFERROR(INDEX(Taches!$L$6:$L$325,MATCH($G6,Taches!$F$6:$F$325,0)),0))</f>
        <v/>
      </c>
      <c r="J6" s="37" t="n"/>
    </row>
    <row r="7" ht="58" customHeight="1">
      <c r="B7" s="54" t="inlineStr">
        <is>
          <t>S02</t>
        </is>
      </c>
      <c r="C7" s="20" t="inlineStr">
        <is>
          <t>Aucune limitation de débit ni verrouillage après échecs de connexion</t>
        </is>
      </c>
      <c r="D7" s="20" t="inlineStr">
        <is>
          <t>Force brute sur /auth/login et sur les codes OTP</t>
        </is>
      </c>
      <c r="E7" s="20" t="inlineStr">
        <is>
          <t>Limitation par IP et par compte, verrouillage progressif, journal des échecs</t>
        </is>
      </c>
      <c r="F7" s="54" t="inlineStr">
        <is>
          <t>V1</t>
        </is>
      </c>
      <c r="G7" s="20" t="inlineStr">
        <is>
          <t>Anti-force-brute : limitation de débit par IP et par compte, verrouillage progressif, journal des échecs</t>
        </is>
      </c>
      <c r="H7" s="12">
        <f>IF($G7="","Sans tâche",IFERROR(INDEX(Taches!$J$6:$J$325,MATCH($G7,Taches!$F$6:$F$325,0)),"À planifier"))</f>
        <v/>
      </c>
      <c r="I7" s="16">
        <f>IF($G7="","",IFERROR(INDEX(Taches!$L$6:$L$325,MATCH($G7,Taches!$F$6:$F$325,0)),0))</f>
        <v/>
      </c>
      <c r="J7" s="37" t="n"/>
    </row>
    <row r="8" ht="58" customHeight="1">
      <c r="B8" s="54" t="inlineStr">
        <is>
          <t>S03</t>
        </is>
      </c>
      <c r="C8" s="20" t="inlineStr">
        <is>
          <t>Pas de vérification email ni de second facteur effectif</t>
        </is>
      </c>
      <c r="D8" s="20" t="inlineStr">
        <is>
          <t>Usurpation d'un compte officier ou administrateur</t>
        </is>
      </c>
      <c r="E8" s="20" t="inlineStr">
        <is>
          <t>Vérification email, MFA obligatoire pour les officiers CCI-Togo et les administrateurs</t>
        </is>
      </c>
      <c r="F8" s="54" t="inlineStr">
        <is>
          <t>V1</t>
        </is>
      </c>
      <c r="G8" s="20" t="inlineStr">
        <is>
          <t>Vérification email, MFA obligatoire pour les officiers CCI-Togo et les administrateurs, liaison OTP</t>
        </is>
      </c>
      <c r="H8" s="12">
        <f>IF($G8="","Sans tâche",IFERROR(INDEX(Taches!$J$6:$J$325,MATCH($G8,Taches!$F$6:$F$325,0)),"À planifier"))</f>
        <v/>
      </c>
      <c r="I8" s="16">
        <f>IF($G8="","",IFERROR(INDEX(Taches!$L$6:$L$325,MATCH($G8,Taches!$F$6:$F$325,0)),0))</f>
        <v/>
      </c>
      <c r="J8" s="37" t="n"/>
    </row>
    <row r="9" ht="58" customHeight="1">
      <c r="B9" s="54" t="inlineStr">
        <is>
          <t>S04</t>
        </is>
      </c>
      <c r="C9" s="20" t="inlineStr">
        <is>
          <t>Champs CONFIDENTIAL_DEAL (prix, valorisation) en clair en base</t>
        </is>
      </c>
      <c r="D9" s="20" t="inlineStr">
        <is>
          <t>Un dump de la base révèle les conditions des cessions</t>
        </is>
      </c>
      <c r="E9" s="20" t="inlineStr">
        <is>
          <t>Chiffrement applicatif, clé hors base, rotation documentée</t>
        </is>
      </c>
      <c r="F9" s="54" t="inlineStr">
        <is>
          <t>V1</t>
        </is>
      </c>
      <c r="G9" s="20" t="inlineStr">
        <is>
          <t>Chiffrement applicatif des champs CONFIDENTIAL_DEAL, clé gérée hors base, rotation documentée</t>
        </is>
      </c>
      <c r="H9" s="12">
        <f>IF($G9="","Sans tâche",IFERROR(INDEX(Taches!$J$6:$J$325,MATCH($G9,Taches!$F$6:$F$325,0)),"À planifier"))</f>
        <v/>
      </c>
      <c r="I9" s="16">
        <f>IF($G9="","",IFERROR(INDEX(Taches!$L$6:$L$325,MATCH($G9,Taches!$F$6:$F$325,0)),0))</f>
        <v/>
      </c>
      <c r="J9" s="37" t="n"/>
    </row>
    <row r="10" ht="58" customHeight="1">
      <c r="B10" s="54" t="inlineStr">
        <is>
          <t>S05</t>
        </is>
      </c>
      <c r="C10" s="20" t="inlineStr">
        <is>
          <t>Pas d'en-têtes de sécurité HTTP, pas de CORS explicite</t>
        </is>
      </c>
      <c r="D10" s="20" t="inlineStr">
        <is>
          <t>Injection de contenu, appels depuis des origines inconnues</t>
        </is>
      </c>
      <c r="E10" s="20" t="inlineStr">
        <is>
          <t>CSP, HSTS, CORS strict, cookies sécurisés, taille maximale des requêtes</t>
        </is>
      </c>
      <c r="F10" s="54" t="inlineStr">
        <is>
          <t>V1</t>
        </is>
      </c>
      <c r="G10" s="20" t="inlineStr">
        <is>
          <t>En-têtes de sécurité HTTP, CORS strict, cookies sécurisés, taille maximale des corps de requête</t>
        </is>
      </c>
      <c r="H10" s="12">
        <f>IF($G10="","Sans tâche",IFERROR(INDEX(Taches!$J$6:$J$325,MATCH($G10,Taches!$F$6:$F$325,0)),"À planifier"))</f>
        <v/>
      </c>
      <c r="I10" s="16">
        <f>IF($G10="","",IFERROR(INDEX(Taches!$L$6:$L$325,MATCH($G10,Taches!$F$6:$F$325,0)),0))</f>
        <v/>
      </c>
      <c r="J10" s="37" t="n"/>
    </row>
    <row r="11" ht="58" customHeight="1">
      <c r="B11" s="54" t="inlineStr">
        <is>
          <t>S06</t>
        </is>
      </c>
      <c r="C11" s="20" t="inlineStr">
        <is>
          <t>Idempotence en mémoire ; signatures de webhooks non vérifiées (faux connecteurs)</t>
        </is>
      </c>
      <c r="D11" s="20" t="inlineStr">
        <is>
          <t>Double effet sur rejeu ; webhook forgé accepté</t>
        </is>
      </c>
      <c r="E11" s="20" t="inlineStr">
        <is>
          <t>Idempotence en base, HMAC vérifié sur chaque webhook, test de rejeu</t>
        </is>
      </c>
      <c r="F11" s="54" t="inlineStr">
        <is>
          <t>V1</t>
        </is>
      </c>
      <c r="G11" s="20" t="inlineStr">
        <is>
          <t>Idempotence persistée en base et vérification de signature HMAC sur tous les webhooks</t>
        </is>
      </c>
      <c r="H11" s="12">
        <f>IF($G11="","Sans tâche",IFERROR(INDEX(Taches!$J$6:$J$325,MATCH($G11,Taches!$F$6:$F$325,0)),"À planifier"))</f>
        <v/>
      </c>
      <c r="I11" s="16">
        <f>IF($G11="","",IFERROR(INDEX(Taches!$L$6:$L$325,MATCH($G11,Taches!$F$6:$F$325,0)),0))</f>
        <v/>
      </c>
      <c r="J11" s="37" t="n"/>
    </row>
    <row r="12" ht="58" customHeight="1">
      <c r="B12" s="54" t="inlineStr">
        <is>
          <t>S07</t>
        </is>
      </c>
      <c r="C12" s="20" t="inlineStr">
        <is>
          <t>Mot de passe commun du jeu de démonstration</t>
        </is>
      </c>
      <c r="D12" s="20" t="inlineStr">
        <is>
          <t>Accès trivial si le jeu est chargé sur un environnement accessible</t>
        </is>
      </c>
      <c r="E12" s="20" t="inlineStr">
        <is>
          <t>Mots de passe uniques, chargement refusé hors développement</t>
        </is>
      </c>
      <c r="F12" s="54" t="inlineStr">
        <is>
          <t>V1</t>
        </is>
      </c>
      <c r="G12" s="20" t="inlineStr">
        <is>
          <t>Mots de passe de démonstration uniques par compte, jeu de démonstration interdit hors environnement local</t>
        </is>
      </c>
      <c r="H12" s="12">
        <f>IF($G12="","Sans tâche",IFERROR(INDEX(Taches!$J$6:$J$325,MATCH($G12,Taches!$F$6:$F$325,0)),"À planifier"))</f>
        <v/>
      </c>
      <c r="I12" s="16">
        <f>IF($G12="","",IFERROR(INDEX(Taches!$L$6:$L$325,MATCH($G12,Taches!$F$6:$F$325,0)),0))</f>
        <v/>
      </c>
      <c r="J12" s="37" t="n"/>
    </row>
    <row r="13" ht="58" customHeight="1">
      <c r="B13" s="54" t="inlineStr">
        <is>
          <t>S08</t>
        </is>
      </c>
      <c r="C13" s="20" t="inlineStr">
        <is>
          <t>Aucun scan de dépendances exécuté</t>
        </is>
      </c>
      <c r="D13" s="20" t="inlineStr">
        <is>
          <t>Vulnérabilité connue embarquée sans alerte</t>
        </is>
      </c>
      <c r="E13" s="20" t="inlineStr">
        <is>
          <t>Scan bloquant en CI sur vulnérabilité critique, revue interne selon la liste de contrôle v0</t>
        </is>
      </c>
      <c r="F13" s="54" t="inlineStr">
        <is>
          <t>V1</t>
        </is>
      </c>
      <c r="G13" s="20" t="inlineStr">
        <is>
          <t>Revue de sécurité interne (liste de contrôle v0 : paliers, URL pré-signées, compteur RPS) et scan de dépendances bloquant en CI</t>
        </is>
      </c>
      <c r="H13" s="12">
        <f>IF($G13="","Sans tâche",IFERROR(INDEX(Taches!$J$6:$J$325,MATCH($G13,Taches!$F$6:$F$325,0)),"À planifier"))</f>
        <v/>
      </c>
      <c r="I13" s="16">
        <f>IF($G13="","",IFERROR(INDEX(Taches!$L$6:$L$325,MATCH($G13,Taches!$F$6:$F$325,0)),0))</f>
        <v/>
      </c>
      <c r="J13" s="37" t="n"/>
    </row>
    <row r="14" ht="58" customHeight="1">
      <c r="B14" s="54" t="inlineStr">
        <is>
          <t>S09</t>
        </is>
      </c>
      <c r="C14" s="20" t="inlineStr">
        <is>
          <t>Aucun pentest indépendant</t>
        </is>
      </c>
      <c r="D14" s="20" t="inlineStr">
        <is>
          <t>Failles non détectées par l'équipe elle-même</t>
        </is>
      </c>
      <c r="E14" s="20" t="inlineStr">
        <is>
          <t>Reporté en V3 (porte G10) : exige un prestataire externe et un périmètre stabilisé ; mitigation V1 = revue interne S08, aucun environnement public avant V3 ; commander le pentest dès V2</t>
        </is>
      </c>
      <c r="F14" s="54" t="inlineStr">
        <is>
          <t>V3</t>
        </is>
      </c>
      <c r="G14" s="20" t="inlineStr">
        <is>
          <t>Pentest indépendant et remédiation des constats critiques et élevés (G10)</t>
        </is>
      </c>
      <c r="H14" s="12">
        <f>IF($G14="","Sans tâche",IFERROR(INDEX(Taches!$J$6:$J$325,MATCH($G14,Taches!$F$6:$F$325,0)),"À planifier"))</f>
        <v/>
      </c>
      <c r="I14" s="16">
        <f>IF($G14="","",IFERROR(INDEX(Taches!$L$6:$L$325,MATCH($G14,Taches!$F$6:$F$325,0)),0))</f>
        <v/>
      </c>
      <c r="J14" s="37" t="n"/>
    </row>
    <row r="15" ht="58" customHeight="1">
      <c r="B15" s="54" t="inlineStr">
        <is>
          <t>S10</t>
        </is>
      </c>
      <c r="C15" s="20" t="inlineStr">
        <is>
          <t>Documents servis sans rendu serveur ni filigrane (data room absente en V1)</t>
        </is>
      </c>
      <c r="D15" s="20" t="inlineStr">
        <is>
          <t>Fuite de documents confidentiels</t>
        </is>
      </c>
      <c r="E15" s="20" t="inlineStr">
        <is>
          <t>Reporté en V2 avec la data room : rendu serveur, filigrane, URL pré-signées courtes, révocation en moins de 60 s ; V1 ne stocke aucun document de data room</t>
        </is>
      </c>
      <c r="F15" s="54" t="inlineStr">
        <is>
          <t>V2</t>
        </is>
      </c>
      <c r="G15" s="20" t="inlineStr">
        <is>
          <t>Visualiseur rendu serveur, page à page, chargement progressif (3G)</t>
        </is>
      </c>
      <c r="H15" s="12">
        <f>IF($G15="","Sans tâche",IFERROR(INDEX(Taches!$J$6:$J$325,MATCH($G15,Taches!$F$6:$F$325,0)),"À planifier"))</f>
        <v/>
      </c>
      <c r="I15" s="16">
        <f>IF($G15="","",IFERROR(INDEX(Taches!$L$6:$L$325,MATCH($G15,Taches!$F$6:$F$325,0)),0))</f>
        <v/>
      </c>
      <c r="J15" s="37" t="n"/>
    </row>
    <row r="16" ht="58" customHeight="1">
      <c r="B16" s="54" t="inlineStr">
        <is>
          <t>S11</t>
        </is>
      </c>
      <c r="C16" s="20" t="inlineStr">
        <is>
          <t>Preuve de signature non qualifiée (pas de NDA en V1)</t>
        </is>
      </c>
      <c r="D16" s="20" t="inlineStr">
        <is>
          <t>NDA non opposable</t>
        </is>
      </c>
      <c r="E16" s="20" t="inlineStr">
        <is>
          <t>Reporté en V2 : prestataire PSC accrédité ARCEP, archivage PSAE ; V1 n'exécute aucun NDA</t>
        </is>
      </c>
      <c r="F16" s="54" t="inlineStr">
        <is>
          <t>V2</t>
        </is>
      </c>
      <c r="G16" s="20" t="inlineStr">
        <is>
          <t>Intégration API de signature qualifiée, webhooks à signature vérifiée</t>
        </is>
      </c>
      <c r="H16" s="12">
        <f>IF($G16="","Sans tâche",IFERROR(INDEX(Taches!$J$6:$J$325,MATCH($G16,Taches!$F$6:$F$325,0)),"À planifier"))</f>
        <v/>
      </c>
      <c r="I16" s="16">
        <f>IF($G16="","",IFERROR(INDEX(Taches!$L$6:$L$325,MATCH($G16,Taches!$F$6:$F$325,0)),0))</f>
        <v/>
      </c>
      <c r="J16" s="37" t="n"/>
    </row>
    <row r="17" ht="58" customHeight="1">
      <c r="B17" s="54" t="inlineStr">
        <is>
          <t>S12</t>
        </is>
      </c>
      <c r="C17" s="20" t="inlineStr">
        <is>
          <t>Accès administrateur non tracé par mode break-glass</t>
        </is>
      </c>
      <c r="D17" s="20" t="inlineStr">
        <is>
          <t>Accès silencieux à des dossiers confidentiels</t>
        </is>
      </c>
      <c r="E17" s="20" t="inlineStr">
        <is>
          <t>Reporté en V3 avec le module support ; V1 : journal d'audit persisté sur toute action sensible, aucun endpoint d'accès aux données confidentielles pour l'administrateur</t>
        </is>
      </c>
      <c r="F17" s="54" t="inlineStr">
        <is>
          <t>V3</t>
        </is>
      </c>
      <c r="G17" s="20" t="inlineStr">
        <is>
          <t>Mode 'break-glass' journalisé pour l'administration</t>
        </is>
      </c>
      <c r="H17" s="12">
        <f>IF($G17="","Sans tâche",IFERROR(INDEX(Taches!$J$6:$J$325,MATCH($G17,Taches!$F$6:$F$325,0)),"À planifier"))</f>
        <v/>
      </c>
      <c r="I17" s="16">
        <f>IF($G17="","",IFERROR(INDEX(Taches!$L$6:$L$325,MATCH($G17,Taches!$F$6:$F$325,0)),0))</f>
        <v/>
      </c>
      <c r="J17" s="37" t="n"/>
    </row>
    <row r="18" ht="58" customHeight="1">
      <c r="B18" s="54" t="inlineStr">
        <is>
          <t>S13</t>
        </is>
      </c>
      <c r="C18" s="20" t="inlineStr">
        <is>
          <t>Vérification d'identité documentaire sans biométrie</t>
        </is>
      </c>
      <c r="D18" s="20" t="inlineStr">
        <is>
          <t>Usurpation d'identité au-delà de ce que le document capture</t>
        </is>
      </c>
      <c r="E18" s="20" t="inlineStr">
        <is>
          <t>Voulu par le v0 : biométrie interdite sans autorisation IPDCP (drapeau FEATURE_BIOMETRIC_KYC fermé) ; revue humaine et recoupement RCCM en V1</t>
        </is>
      </c>
      <c r="F18" s="54" t="inlineStr">
        <is>
          <t>P2</t>
        </is>
      </c>
      <c r="G18" s="20" t="inlineStr"/>
      <c r="H18" s="12">
        <f>IF($G18="","Sans tâche",IFERROR(INDEX(Taches!$J$6:$J$325,MATCH($G18,Taches!$F$6:$F$325,0)),"À planifier"))</f>
        <v/>
      </c>
      <c r="I18" s="16">
        <f>IF($G18="","",IFERROR(INDEX(Taches!$L$6:$L$325,MATCH($G18,Taches!$F$6:$F$325,0)),0))</f>
        <v/>
      </c>
      <c r="J18" s="37" t="n"/>
    </row>
    <row r="19" ht="58" customHeight="1">
      <c r="B19" s="54" t="inlineStr">
        <is>
          <t>S14</t>
        </is>
      </c>
      <c r="C19" s="20" t="inlineStr">
        <is>
          <t>Portes de conformité G1 à G10 non fermées (IPDCP, DPO, avis juridiques)</t>
        </is>
      </c>
      <c r="D19" s="20" t="inlineStr">
        <is>
          <t>Lancement commercial juridiquement exposé</t>
        </is>
      </c>
      <c r="E19" s="20" t="inlineStr">
        <is>
          <t>Reporté en V3 : condition explicite de lancement ; V1 est une démonstration à données synthétiques, jamais un service public</t>
        </is>
      </c>
      <c r="F19" s="54" t="inlineStr">
        <is>
          <t>V3</t>
        </is>
      </c>
      <c r="G19" s="20" t="inlineStr">
        <is>
          <t>Déclaration IPDCP et autorisation de transfert transfrontalier (G1, G2)</t>
        </is>
      </c>
      <c r="H19" s="12">
        <f>IF($G19="","Sans tâche",IFERROR(INDEX(Taches!$J$6:$J$325,MATCH($G19,Taches!$F$6:$F$325,0)),"À planifier"))</f>
        <v/>
      </c>
      <c r="I19" s="16">
        <f>IF($G19="","",IFERROR(INDEX(Taches!$L$6:$L$325,MATCH($G19,Taches!$F$6:$F$325,0)),0))</f>
        <v/>
      </c>
      <c r="J19" s="37" t="n"/>
    </row>
    <row r="21" ht="32" customHeight="1">
      <c r="B21" s="3" t="inlineStr">
        <is>
          <t>Règle</t>
        </is>
      </c>
      <c r="C21" s="19" t="inlineStr">
        <is>
          <t>Aucune tâche ne passe en Complétée sans son test négatif. Tout report de sécurité doit figurer ici avec sa justification, sa mitigation intermédiaire et sa version cible ; un report sans mitigation est refusé.</t>
        </is>
      </c>
    </row>
  </sheetData>
  <mergeCells count="1">
    <mergeCell ref="C21:J21"/>
  </mergeCells>
  <conditionalFormatting sqref="H6:H19">
    <cfRule type="expression" priority="1" dxfId="2">
      <formula>H6="Complétée"</formula>
    </cfRule>
    <cfRule type="expression" priority="2" dxfId="5">
      <formula>H6="En cours"</formula>
    </cfRule>
    <cfRule type="expression" priority="3" dxfId="1">
      <formula>H6="Bloquée"</formula>
    </cfRule>
  </conditionalFormatting>
  <conditionalFormatting sqref="I6:I19">
    <cfRule type="dataBar" priority="4">
      <dataBar>
        <cfvo type="num" val="0"/>
        <cfvo type="num" val="1"/>
        <color rgb="006678F1"/>
      </dataBar>
    </cfRule>
  </conditionalFormatting>
  <conditionalFormatting sqref="F6:F19">
    <cfRule type="expression" priority="5" dxfId="3">
      <formula>F6&lt;&gt;"V1"</formula>
    </cfRule>
  </conditionalFormatting>
  <pageMargins left="0.75" right="0.75" top="1" bottom="1" header="0.5" footer="0.5"/>
</worksheet>
</file>

<file path=xl/worksheets/sheet13.xml><?xml version="1.0" encoding="utf-8"?>
<worksheet xmlns="http://schemas.openxmlformats.org/spreadsheetml/2006/main">
  <sheetPr>
    <tabColor rgb="00B07A2B"/>
    <outlinePr summaryBelow="1" summaryRight="1"/>
    <pageSetUpPr/>
  </sheetPr>
  <dimension ref="B2:J1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11" customWidth="1" min="3" max="3"/>
    <col width="24" customWidth="1" min="4" max="4"/>
    <col width="52" customWidth="1" min="5" max="5"/>
    <col width="12" customWidth="1" min="6" max="6"/>
    <col width="16" customWidth="1" min="7" max="7"/>
    <col width="34" customWidth="1" min="8" max="8"/>
    <col width="30" customWidth="1" min="9" max="9"/>
    <col width="11" customWidth="1" min="10" max="10"/>
  </cols>
  <sheetData>
    <row r="2">
      <c r="B2" s="1" t="inlineStr">
        <is>
          <t>Journal des décisions et arbitrages</t>
        </is>
      </c>
    </row>
    <row r="3">
      <c r="B3" s="17" t="inlineStr">
        <is>
          <t>Toute demande de changement de périmètre passe par ce journal. Statut à mettre à jour au fil des réponses.</t>
        </is>
      </c>
    </row>
    <row r="5" ht="30" customHeight="1">
      <c r="B5" s="11" t="inlineStr">
        <is>
          <t>ID</t>
        </is>
      </c>
      <c r="C5" s="11" t="inlineStr">
        <is>
          <t>Date</t>
        </is>
      </c>
      <c r="D5" s="11" t="inlineStr">
        <is>
          <t>Sujet</t>
        </is>
      </c>
      <c r="E5" s="11" t="inlineStr">
        <is>
          <t>Décision ou question</t>
        </is>
      </c>
      <c r="F5" s="11" t="inlineStr">
        <is>
          <t>Statut</t>
        </is>
      </c>
      <c r="G5" s="11" t="inlineStr">
        <is>
          <t>Décideur</t>
        </is>
      </c>
      <c r="H5" s="11" t="inlineStr">
        <is>
          <t>Impact</t>
        </is>
      </c>
      <c r="I5" s="11" t="inlineStr">
        <is>
          <t>Prochaine action</t>
        </is>
      </c>
      <c r="J5" s="11" t="inlineStr">
        <is>
          <t>Échéance</t>
        </is>
      </c>
    </row>
    <row r="6">
      <c r="B6" s="54" t="inlineStr">
        <is>
          <t>D01</t>
        </is>
      </c>
      <c r="C6" s="54" t="inlineStr">
        <is>
          <t>09/09/2026</t>
        </is>
      </c>
      <c r="D6" s="20" t="inlineStr">
        <is>
          <t>Périmètre cible</t>
        </is>
      </c>
      <c r="E6" s="20" t="inlineStr">
        <is>
          <t>Le cahier des charges v0 approuvé et le Référentiel P04-P25 sont retenus comme cible finale ; le blueprint v5 n'est pas retenu.</t>
        </is>
      </c>
      <c r="F6" s="36" t="inlineStr">
        <is>
          <t>Tranché</t>
        </is>
      </c>
      <c r="G6" s="20" t="inlineStr">
        <is>
          <t>M. Bruno</t>
        </is>
      </c>
      <c r="H6" s="20" t="inlineStr">
        <is>
          <t>Cadre toute la feuille de route</t>
        </is>
      </c>
      <c r="I6" s="20" t="inlineStr"/>
      <c r="J6" s="54" t="inlineStr"/>
    </row>
    <row r="7">
      <c r="B7" s="54" t="inlineStr">
        <is>
          <t>D02</t>
        </is>
      </c>
      <c r="C7" s="54" t="inlineStr">
        <is>
          <t>09/09/2026</t>
        </is>
      </c>
      <c r="D7" s="20" t="inlineStr">
        <is>
          <t>Deal-Connect / Guichet Diaspora</t>
        </is>
      </c>
      <c r="E7" s="20" t="inlineStr">
        <is>
          <t>Remo.co retenu comme connecteur externe pour les salons et rendez-vous virtuels.</t>
        </is>
      </c>
      <c r="F7" s="36" t="inlineStr">
        <is>
          <t>Tranché</t>
        </is>
      </c>
      <c r="G7" s="20" t="inlineStr">
        <is>
          <t>M. Bruno</t>
        </is>
      </c>
      <c r="H7" s="20" t="inlineStr">
        <is>
          <t>Intégration dès V1 ; périmètre d'intégration à cadrer</t>
        </is>
      </c>
      <c r="I7" s="20" t="inlineStr">
        <is>
          <t>Cadrage écrit sur la documentation API Remo</t>
        </is>
      </c>
      <c r="J7" s="54" t="inlineStr">
        <is>
          <t>18/09/2026</t>
        </is>
      </c>
    </row>
    <row r="8">
      <c r="B8" s="54" t="inlineStr">
        <is>
          <t>D04</t>
        </is>
      </c>
      <c r="C8" s="54" t="inlineStr">
        <is>
          <t>10/09/2026</t>
        </is>
      </c>
      <c r="D8" s="20" t="inlineStr">
        <is>
          <t>Lot Sécurité en V1</t>
        </is>
      </c>
      <c r="E8" s="20" t="inlineStr">
        <is>
          <t>Huit constats de sécurité traités avant la présentation (RLS effective, anti-force-brute, MFA, chiffrement applicatif, en-têtes, idempotence et signatures, revue interne, mots de passe de démonstration). Le pentest indépendant reste en V3 (porte G10).</t>
        </is>
      </c>
      <c r="F8" s="36" t="inlineStr">
        <is>
          <t>Tranché</t>
        </is>
      </c>
      <c r="G8" s="20" t="inlineStr">
        <is>
          <t>Chef de projet</t>
        </is>
      </c>
      <c r="H8" s="20" t="inlineStr">
        <is>
          <t>+19 j/p sur V1 (total 236) ; voir l'onglet Securite</t>
        </is>
      </c>
      <c r="I8" s="20" t="inlineStr">
        <is>
          <t>Commencer par la RLS effective</t>
        </is>
      </c>
      <c r="J8" s="54" t="inlineStr">
        <is>
          <t>18/09/2026</t>
        </is>
      </c>
    </row>
    <row r="9">
      <c r="B9" s="54" t="inlineStr">
        <is>
          <t>D03</t>
        </is>
      </c>
      <c r="C9" s="54" t="inlineStr">
        <is>
          <t>09/09/2026</t>
        </is>
      </c>
      <c r="D9" s="20" t="inlineStr">
        <is>
          <t>Démonstration RPS en V1</t>
        </is>
      </c>
      <c r="E9" s="20" t="inlineStr">
        <is>
          <t>V1 inclut une démonstration maquettée du blocage de publication d'une cession de titres ; le circuit réel reste en V2.</t>
        </is>
      </c>
      <c r="F9" s="36" t="inlineStr">
        <is>
          <t>Tranché</t>
        </is>
      </c>
      <c r="G9" s="20" t="inlineStr">
        <is>
          <t>Chef de projet</t>
        </is>
      </c>
      <c r="H9" s="20" t="inlineStr">
        <is>
          <t>+20 j/p sur V1</t>
        </is>
      </c>
      <c r="I9" s="20" t="inlineStr"/>
      <c r="J9" s="54" t="inlineStr"/>
    </row>
    <row r="10">
      <c r="B10" s="54" t="inlineStr">
        <is>
          <t>A01</t>
        </is>
      </c>
      <c r="C10" s="54" t="inlineStr">
        <is>
          <t>09/09/2026</t>
        </is>
      </c>
      <c r="D10" s="20" t="inlineStr">
        <is>
          <t>Équipe de développement</t>
        </is>
      </c>
      <c r="E10" s="20" t="inlineStr">
        <is>
          <t>Taille et séniorité de l'équipe disponible dès maintenant ?</t>
        </is>
      </c>
      <c r="F10" s="36" t="inlineStr">
        <is>
          <t>Ouvert</t>
        </is>
      </c>
      <c r="G10" s="20" t="inlineStr">
        <is>
          <t>M. Bruno</t>
        </is>
      </c>
      <c r="H10" s="20" t="inlineStr">
        <is>
          <t>Détermine si V1 tient en 5 semaines ou nécessite des coupes</t>
        </is>
      </c>
      <c r="I10" s="20" t="inlineStr">
        <is>
          <t>Réponse attendue avant J01</t>
        </is>
      </c>
      <c r="J10" s="54" t="inlineStr">
        <is>
          <t>14/09/2026</t>
        </is>
      </c>
    </row>
    <row r="11">
      <c r="B11" s="54" t="inlineStr">
        <is>
          <t>A02</t>
        </is>
      </c>
      <c r="C11" s="54" t="inlineStr">
        <is>
          <t>09/09/2026</t>
        </is>
      </c>
      <c r="D11" s="20" t="inlineStr">
        <is>
          <t>API CFE / RCCM</t>
        </is>
      </c>
      <c r="E11" s="20" t="inlineStr">
        <is>
          <t>Une API existe-t-elle, ou faut-il un échange de fichier supervisé ?</t>
        </is>
      </c>
      <c r="F11" s="36" t="inlineStr">
        <is>
          <t>Ouvert</t>
        </is>
      </c>
      <c r="G11" s="20" t="inlineStr">
        <is>
          <t>CCI-Togo</t>
        </is>
      </c>
      <c r="H11" s="20" t="inlineStr">
        <is>
          <t>Bloque le lot Espace CCI-Togo</t>
        </is>
      </c>
      <c r="I11" s="20" t="inlineStr">
        <is>
          <t>Vérifier avant le démarrage du lot</t>
        </is>
      </c>
      <c r="J11" s="54" t="inlineStr">
        <is>
          <t>16/09/2026</t>
        </is>
      </c>
    </row>
    <row r="12">
      <c r="B12" s="54" t="inlineStr">
        <is>
          <t>A03</t>
        </is>
      </c>
      <c r="C12" s="54" t="inlineStr">
        <is>
          <t>09/09/2026</t>
        </is>
      </c>
      <c r="D12" s="20" t="inlineStr">
        <is>
          <t>Designer UI/UX</t>
        </is>
      </c>
      <c r="E12" s="20" t="inlineStr">
        <is>
          <t>Confirmation d'un designer de bout en bout (proposition Bouley) ?</t>
        </is>
      </c>
      <c r="F12" s="36" t="inlineStr">
        <is>
          <t>Ouvert</t>
        </is>
      </c>
      <c r="G12" s="20" t="inlineStr">
        <is>
          <t>M. Bruno</t>
        </is>
      </c>
      <c r="H12" s="20" t="inlineStr">
        <is>
          <t>Sans lui, la charge frontend absorbe la conception</t>
        </is>
      </c>
      <c r="I12" s="20" t="inlineStr">
        <is>
          <t>Décision avant J04</t>
        </is>
      </c>
      <c r="J12" s="54" t="inlineStr">
        <is>
          <t>18/09/2026</t>
        </is>
      </c>
    </row>
    <row r="13">
      <c r="B13" s="54" t="inlineStr">
        <is>
          <t>A04</t>
        </is>
      </c>
      <c r="C13" s="54" t="inlineStr">
        <is>
          <t>09/09/2026</t>
        </is>
      </c>
      <c r="D13" s="20" t="inlineStr">
        <is>
          <t>Statut Deal-Experts (P13)</t>
        </is>
      </c>
      <c r="E13" s="20" t="inlineStr">
        <is>
          <t>Processus contractuel déjà opposable, ou cible future ?</t>
        </is>
      </c>
      <c r="F13" s="36" t="inlineStr">
        <is>
          <t>Ouvert</t>
        </is>
      </c>
      <c r="G13" s="20" t="inlineStr">
        <is>
          <t>CCI-Togo</t>
        </is>
      </c>
      <c r="H13" s="20" t="inlineStr">
        <is>
          <t>Change le dimensionnement du module EXP et sa version</t>
        </is>
      </c>
      <c r="I13" s="20" t="inlineStr">
        <is>
          <t>Clarifier avec la CCI-Togo avant V4</t>
        </is>
      </c>
      <c r="J13" s="54" t="inlineStr">
        <is>
          <t>31/01/2027</t>
        </is>
      </c>
    </row>
    <row r="14">
      <c r="B14" s="54" t="inlineStr">
        <is>
          <t>A05</t>
        </is>
      </c>
      <c r="C14" s="54" t="inlineStr">
        <is>
          <t>09/09/2026</t>
        </is>
      </c>
      <c r="D14" s="20" t="inlineStr">
        <is>
          <t>Numérotation P01-P03</t>
        </is>
      </c>
      <c r="E14" s="20" t="inlineStr">
        <is>
          <t>Processus manquants ou numérotation volontaire à partir de P04 ?</t>
        </is>
      </c>
      <c r="F14" s="36" t="inlineStr">
        <is>
          <t>Ouvert</t>
        </is>
      </c>
      <c r="G14" s="20" t="inlineStr">
        <is>
          <t>CCI-Togo</t>
        </is>
      </c>
      <c r="H14" s="20" t="inlineStr">
        <is>
          <t>Faible impact sur le plan</t>
        </is>
      </c>
      <c r="I14" s="20" t="inlineStr">
        <is>
          <t>Confirmer avec le juridique</t>
        </is>
      </c>
      <c r="J14" s="54" t="inlineStr"/>
    </row>
    <row r="15">
      <c r="B15" s="54" t="inlineStr">
        <is>
          <t>A06</t>
        </is>
      </c>
      <c r="C15" s="54" t="inlineStr">
        <is>
          <t>09/09/2026</t>
        </is>
      </c>
      <c r="D15" s="20" t="inlineStr">
        <is>
          <t>Partenaire fiscal</t>
        </is>
      </c>
      <c r="E15" s="20" t="inlineStr">
        <is>
          <t>'TaxeFacile' est-il le partenaire réel, ou faut-il en qualifier un ?</t>
        </is>
      </c>
      <c r="F15" s="36" t="inlineStr">
        <is>
          <t>Ouvert</t>
        </is>
      </c>
      <c r="G15" s="20" t="inlineStr">
        <is>
          <t>M. Bruno</t>
        </is>
      </c>
      <c r="H15" s="20" t="inlineStr">
        <is>
          <t>Impacte le lot Conformité fiscale de V3</t>
        </is>
      </c>
      <c r="I15" s="20" t="inlineStr">
        <is>
          <t>Qualifier avant V3</t>
        </is>
      </c>
      <c r="J15" s="54" t="inlineStr">
        <is>
          <t>30/11/2026</t>
        </is>
      </c>
    </row>
    <row r="16">
      <c r="B16" s="54" t="inlineStr">
        <is>
          <t>A07</t>
        </is>
      </c>
      <c r="C16" s="54" t="inlineStr">
        <is>
          <t>09/09/2026</t>
        </is>
      </c>
      <c r="D16" s="20" t="inlineStr">
        <is>
          <t>Charte du COPIL</t>
        </is>
      </c>
      <c r="E16" s="20" t="inlineStr">
        <is>
          <t>Composition, cadence exacte, règles de vote ?</t>
        </is>
      </c>
      <c r="F16" s="36" t="inlineStr">
        <is>
          <t>Ouvert</t>
        </is>
      </c>
      <c r="G16" s="20" t="inlineStr">
        <is>
          <t>CCI-Togo</t>
        </is>
      </c>
      <c r="H16" s="20" t="inlineStr">
        <is>
          <t>Gouvernance inter-version</t>
        </is>
      </c>
      <c r="I16" s="20" t="inlineStr">
        <is>
          <t>Récupérer l'annexe de la Convention</t>
        </is>
      </c>
      <c r="J16" s="54" t="inlineStr"/>
    </row>
    <row r="17">
      <c r="B17" s="54" t="inlineStr">
        <is>
          <t>A08</t>
        </is>
      </c>
      <c r="C17" s="54" t="inlineStr">
        <is>
          <t>09/09/2026</t>
        </is>
      </c>
      <c r="D17" s="20" t="inlineStr">
        <is>
          <t>Fournisseur IA (DealLens)</t>
        </is>
      </c>
      <c r="E17" s="20" t="inlineStr">
        <is>
          <t>Quel fournisseur, avec quelles clauses de confidentialité ?</t>
        </is>
      </c>
      <c r="F17" s="36" t="inlineStr">
        <is>
          <t>Ouvert</t>
        </is>
      </c>
      <c r="G17" s="20" t="inlineStr">
        <is>
          <t>Conseil juridique</t>
        </is>
      </c>
      <c r="H17" s="20" t="inlineStr">
        <is>
          <t>Bloque tout le lot V5</t>
        </is>
      </c>
      <c r="I17" s="20" t="inlineStr">
        <is>
          <t>Lancer la consultation dès V3</t>
        </is>
      </c>
      <c r="J17" s="54" t="inlineStr">
        <is>
          <t>09/04/2027</t>
        </is>
      </c>
    </row>
  </sheetData>
  <conditionalFormatting sqref="F6:F67">
    <cfRule type="expression" priority="1" dxfId="2">
      <formula>F6="Tranché"</formula>
    </cfRule>
    <cfRule type="expression" priority="2" dxfId="1">
      <formula>F6="Ouvert"</formula>
    </cfRule>
    <cfRule type="expression" priority="3" dxfId="3">
      <formula>F6="En discussion"</formula>
    </cfRule>
  </conditionalFormatting>
  <dataValidations count="1">
    <dataValidation sqref="F6:F67" showDropDown="0" showInputMessage="0" showErrorMessage="0" allowBlank="1" type="list">
      <formula1>=Parametres!$R$6:$R$8</formula1>
    </dataValidation>
  </dataValidations>
  <pageMargins left="0.75" right="0.75" top="1" bottom="1" header="0.5" footer="0.5"/>
</worksheet>
</file>

<file path=xl/worksheets/sheet14.xml><?xml version="1.0" encoding="utf-8"?>
<worksheet xmlns="http://schemas.openxmlformats.org/spreadsheetml/2006/main">
  <sheetPr>
    <tabColor rgb="005980A6"/>
    <outlinePr summaryBelow="1" summaryRight="1"/>
    <pageSetUpPr/>
  </sheetPr>
  <dimension ref="B2:I2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24" customWidth="1" min="3" max="3"/>
    <col width="52" customWidth="1" min="4" max="4"/>
    <col width="36" customWidth="1" min="5" max="5"/>
    <col width="12" customWidth="1" min="6" max="6"/>
    <col width="16" customWidth="1" min="7" max="7"/>
    <col width="12" customWidth="1" min="8" max="8"/>
    <col width="16" customWidth="1" min="9" max="9"/>
  </cols>
  <sheetData>
    <row r="2">
      <c r="B2" s="1" t="inlineStr">
        <is>
          <t>Référentiel de processus P04 à P25</t>
        </is>
      </c>
    </row>
    <row r="3">
      <c r="B3" s="17" t="inlineStr">
        <is>
          <t>Chaque processus contractuel est rattaché à son module principal ; l'avancement est hérité du module.</t>
        </is>
      </c>
    </row>
    <row r="5" ht="30" customHeight="1">
      <c r="B5" s="11" t="inlineStr">
        <is>
          <t>Code</t>
        </is>
      </c>
      <c r="C5" s="11" t="inlineStr">
        <is>
          <t>Bloc</t>
        </is>
      </c>
      <c r="D5" s="11" t="inlineStr">
        <is>
          <t>Processus</t>
        </is>
      </c>
      <c r="E5" s="11" t="inlineStr">
        <is>
          <t>Propriétaire (référentiel)</t>
        </is>
      </c>
      <c r="F5" s="11" t="inlineStr">
        <is>
          <t>Module principal</t>
        </is>
      </c>
      <c r="G5" s="11" t="inlineStr">
        <is>
          <t>Version cible</t>
        </is>
      </c>
      <c r="H5" s="11" t="inlineStr">
        <is>
          <t>Avancement module</t>
        </is>
      </c>
      <c r="I5" s="11" t="inlineStr">
        <is>
          <t>État module</t>
        </is>
      </c>
    </row>
    <row r="6">
      <c r="B6" s="54" t="inlineStr">
        <is>
          <t>P04</t>
        </is>
      </c>
      <c r="C6" s="20" t="inlineStr">
        <is>
          <t>A. Préparer la transmission</t>
        </is>
      </c>
      <c r="D6" s="20" t="inlineStr">
        <is>
          <t>Pass Transmission : constitution et qualification du dossier cédant</t>
        </is>
      </c>
      <c r="E6" s="20" t="inlineStr">
        <is>
          <t>Responsable Opérations DealPME</t>
        </is>
      </c>
      <c r="F6" s="54" t="inlineStr">
        <is>
          <t>MKT</t>
        </is>
      </c>
      <c r="G6" s="12">
        <f>IFERROR(VLOOKUP($F6,Modules!$B$6:$Q$25,5,FALSE),"")</f>
        <v/>
      </c>
      <c r="H6" s="16">
        <f>IFERROR(VLOOKUP($F6,Modules!$B$6:$Q$25,8,FALSE),0)</f>
        <v/>
      </c>
      <c r="I6" s="12">
        <f>IFERROR(VLOOKUP($F6,Modules!$B$6:$Q$25,14,FALSE),"")</f>
        <v/>
      </c>
    </row>
    <row r="7">
      <c r="B7" s="54" t="inlineStr">
        <is>
          <t>P05</t>
        </is>
      </c>
      <c r="C7" s="20" t="inlineStr">
        <is>
          <t>A. Préparer la transmission</t>
        </is>
      </c>
      <c r="D7" s="20" t="inlineStr">
        <is>
          <t>Évaluation financière sommaire et non opposable</t>
        </is>
      </c>
      <c r="E7" s="20" t="inlineStr">
        <is>
          <t>Responsable Produit DealPME</t>
        </is>
      </c>
      <c r="F7" s="54" t="inlineStr">
        <is>
          <t>MKT</t>
        </is>
      </c>
      <c r="G7" s="12">
        <f>IFERROR(VLOOKUP($F7,Modules!$B$6:$Q$25,5,FALSE),"")</f>
        <v/>
      </c>
      <c r="H7" s="16">
        <f>IFERROR(VLOOKUP($F7,Modules!$B$6:$Q$25,8,FALSE),0)</f>
        <v/>
      </c>
      <c r="I7" s="12">
        <f>IFERROR(VLOOKUP($F7,Modules!$B$6:$Q$25,14,FALSE),"")</f>
        <v/>
      </c>
    </row>
    <row r="8">
      <c r="B8" s="54" t="inlineStr">
        <is>
          <t>P06</t>
        </is>
      </c>
      <c r="C8" s="20" t="inlineStr">
        <is>
          <t>A. Préparer la transmission</t>
        </is>
      </c>
      <c r="D8" s="20" t="inlineStr">
        <is>
          <t>Deal-Ready : diagnostic, remédiation et certification CCI-Togo</t>
        </is>
      </c>
      <c r="E8" s="20" t="inlineStr">
        <is>
          <t>Responsable Institutionnel CCI-Togo</t>
        </is>
      </c>
      <c r="F8" s="54" t="inlineStr">
        <is>
          <t>CCI</t>
        </is>
      </c>
      <c r="G8" s="12">
        <f>IFERROR(VLOOKUP($F8,Modules!$B$6:$Q$25,5,FALSE),"")</f>
        <v/>
      </c>
      <c r="H8" s="16">
        <f>IFERROR(VLOOKUP($F8,Modules!$B$6:$Q$25,8,FALSE),0)</f>
        <v/>
      </c>
      <c r="I8" s="12">
        <f>IFERROR(VLOOKUP($F8,Modules!$B$6:$Q$25,14,FALSE),"")</f>
        <v/>
      </c>
    </row>
    <row r="9">
      <c r="B9" s="54" t="inlineStr">
        <is>
          <t>P07</t>
        </is>
      </c>
      <c r="C9" s="20" t="inlineStr">
        <is>
          <t>A. Préparer la transmission</t>
        </is>
      </c>
      <c r="D9" s="20" t="inlineStr">
        <is>
          <t>Qualification du mode de transmission et régime de confidentialité</t>
        </is>
      </c>
      <c r="E9" s="20" t="inlineStr">
        <is>
          <t>Responsable Conformité DealPME</t>
        </is>
      </c>
      <c r="F9" s="54" t="inlineStr">
        <is>
          <t>RPS</t>
        </is>
      </c>
      <c r="G9" s="12">
        <f>IFERROR(VLOOKUP($F9,Modules!$B$6:$Q$25,5,FALSE),"")</f>
        <v/>
      </c>
      <c r="H9" s="16">
        <f>IFERROR(VLOOKUP($F9,Modules!$B$6:$Q$25,8,FALSE),0)</f>
        <v/>
      </c>
      <c r="I9" s="12">
        <f>IFERROR(VLOOKUP($F9,Modules!$B$6:$Q$25,14,FALSE),"")</f>
        <v/>
      </c>
    </row>
    <row r="10">
      <c r="B10" s="54" t="inlineStr">
        <is>
          <t>P08</t>
        </is>
      </c>
      <c r="C10" s="20" t="inlineStr">
        <is>
          <t>B. Qualifier et connecter</t>
        </is>
      </c>
      <c r="D10" s="20" t="inlineStr">
        <is>
          <t>Qualification du repreneur / investisseur</t>
        </is>
      </c>
      <c r="E10" s="20" t="inlineStr">
        <is>
          <t>Responsable Conformité DealPME</t>
        </is>
      </c>
      <c r="F10" s="54" t="inlineStr">
        <is>
          <t>IDN</t>
        </is>
      </c>
      <c r="G10" s="12">
        <f>IFERROR(VLOOKUP($F10,Modules!$B$6:$Q$25,5,FALSE),"")</f>
        <v/>
      </c>
      <c r="H10" s="16">
        <f>IFERROR(VLOOKUP($F10,Modules!$B$6:$Q$25,8,FALSE),0)</f>
        <v/>
      </c>
      <c r="I10" s="12">
        <f>IFERROR(VLOOKUP($F10,Modules!$B$6:$Q$25,14,FALSE),"")</f>
        <v/>
      </c>
    </row>
    <row r="11">
      <c r="B11" s="54" t="inlineStr">
        <is>
          <t>P09</t>
        </is>
      </c>
      <c r="C11" s="20" t="inlineStr">
        <is>
          <t>B. Qualifier et connecter</t>
        </is>
      </c>
      <c r="D11" s="20" t="inlineStr">
        <is>
          <t>Recherche, matching et manifestation d'intérêt</t>
        </is>
      </c>
      <c r="E11" s="20" t="inlineStr">
        <is>
          <t>Responsable Produit DealPME</t>
        </is>
      </c>
      <c r="F11" s="54" t="inlineStr">
        <is>
          <t>MKT</t>
        </is>
      </c>
      <c r="G11" s="12">
        <f>IFERROR(VLOOKUP($F11,Modules!$B$6:$Q$25,5,FALSE),"")</f>
        <v/>
      </c>
      <c r="H11" s="16">
        <f>IFERROR(VLOOKUP($F11,Modules!$B$6:$Q$25,8,FALSE),0)</f>
        <v/>
      </c>
      <c r="I11" s="12">
        <f>IFERROR(VLOOKUP($F11,Modules!$B$6:$Q$25,14,FALSE),"")</f>
        <v/>
      </c>
    </row>
    <row r="12">
      <c r="B12" s="54" t="inlineStr">
        <is>
          <t>P10</t>
        </is>
      </c>
      <c r="C12" s="20" t="inlineStr">
        <is>
          <t>B. Qualifier et connecter</t>
        </is>
      </c>
      <c r="D12" s="20" t="inlineStr">
        <is>
          <t>Admission et divulgation contrôlée</t>
        </is>
      </c>
      <c r="E12" s="20" t="inlineStr">
        <is>
          <t>Responsable Conformité DealPME</t>
        </is>
      </c>
      <c r="F12" s="54" t="inlineStr">
        <is>
          <t>RPS</t>
        </is>
      </c>
      <c r="G12" s="12">
        <f>IFERROR(VLOOKUP($F12,Modules!$B$6:$Q$25,5,FALSE),"")</f>
        <v/>
      </c>
      <c r="H12" s="16">
        <f>IFERROR(VLOOKUP($F12,Modules!$B$6:$Q$25,8,FALSE),0)</f>
        <v/>
      </c>
      <c r="I12" s="12">
        <f>IFERROR(VLOOKUP($F12,Modules!$B$6:$Q$25,14,FALSE),"")</f>
        <v/>
      </c>
    </row>
    <row r="13">
      <c r="B13" s="54" t="inlineStr">
        <is>
          <t>P11</t>
        </is>
      </c>
      <c r="C13" s="20" t="inlineStr">
        <is>
          <t>B. Qualifier et connecter</t>
        </is>
      </c>
      <c r="D13" s="20" t="inlineStr">
        <is>
          <t>NDA, signature et constitution de la preuve</t>
        </is>
      </c>
      <c r="E13" s="20" t="inlineStr">
        <is>
          <t>Responsable Juridique et Conformité DealPME</t>
        </is>
      </c>
      <c r="F13" s="54" t="inlineStr">
        <is>
          <t>SIG</t>
        </is>
      </c>
      <c r="G13" s="12">
        <f>IFERROR(VLOOKUP($F13,Modules!$B$6:$Q$25,5,FALSE),"")</f>
        <v/>
      </c>
      <c r="H13" s="16">
        <f>IFERROR(VLOOKUP($F13,Modules!$B$6:$Q$25,8,FALSE),0)</f>
        <v/>
      </c>
      <c r="I13" s="12">
        <f>IFERROR(VLOOKUP($F13,Modules!$B$6:$Q$25,14,FALSE),"")</f>
        <v/>
      </c>
    </row>
    <row r="14">
      <c r="B14" s="54" t="inlineStr">
        <is>
          <t>P12</t>
        </is>
      </c>
      <c r="C14" s="20" t="inlineStr">
        <is>
          <t>B. Qualifier et connecter</t>
        </is>
      </c>
      <c r="D14" s="20" t="inlineStr">
        <is>
          <t>VDR, autorisation d'accès et questions-réponses</t>
        </is>
      </c>
      <c r="E14" s="20" t="inlineStr">
        <is>
          <t>Responsable Produit et Sécurité DealPME</t>
        </is>
      </c>
      <c r="F14" s="54" t="inlineStr">
        <is>
          <t>VDR</t>
        </is>
      </c>
      <c r="G14" s="12">
        <f>IFERROR(VLOOKUP($F14,Modules!$B$6:$Q$25,5,FALSE),"")</f>
        <v/>
      </c>
      <c r="H14" s="16">
        <f>IFERROR(VLOOKUP($F14,Modules!$B$6:$Q$25,8,FALSE),0)</f>
        <v/>
      </c>
      <c r="I14" s="12">
        <f>IFERROR(VLOOKUP($F14,Modules!$B$6:$Q$25,14,FALSE),"")</f>
        <v/>
      </c>
    </row>
    <row r="15">
      <c r="B15" s="54" t="inlineStr">
        <is>
          <t>P13</t>
        </is>
      </c>
      <c r="C15" s="20" t="inlineStr">
        <is>
          <t>B. Qualifier et connecter</t>
        </is>
      </c>
      <c r="D15" s="20" t="inlineStr">
        <is>
          <t>Mobilisation et gestion d'un expert indépendant</t>
        </is>
      </c>
      <c r="E15" s="20" t="inlineStr">
        <is>
          <t>Responsable Marketplace Services DealPME</t>
        </is>
      </c>
      <c r="F15" s="54" t="inlineStr">
        <is>
          <t>EXP</t>
        </is>
      </c>
      <c r="G15" s="12">
        <f>IFERROR(VLOOKUP($F15,Modules!$B$6:$Q$25,5,FALSE),"")</f>
        <v/>
      </c>
      <c r="H15" s="16">
        <f>IFERROR(VLOOKUP($F15,Modules!$B$6:$Q$25,8,FALSE),0)</f>
        <v/>
      </c>
      <c r="I15" s="12">
        <f>IFERROR(VLOOKUP($F15,Modules!$B$6:$Q$25,14,FALSE),"")</f>
        <v/>
      </c>
    </row>
    <row r="16">
      <c r="B16" s="54" t="inlineStr">
        <is>
          <t>P14</t>
        </is>
      </c>
      <c r="C16" s="20" t="inlineStr">
        <is>
          <t>C. Négocier et réaliser</t>
        </is>
      </c>
      <c r="D16" s="20" t="inlineStr">
        <is>
          <t>Offre, contre-offre, LOI et documentation</t>
        </is>
      </c>
      <c r="E16" s="20" t="inlineStr">
        <is>
          <t>Responsable Transaction Workflow DealPME</t>
        </is>
      </c>
      <c r="F16" s="54" t="inlineStr">
        <is>
          <t>NEG</t>
        </is>
      </c>
      <c r="G16" s="12">
        <f>IFERROR(VLOOKUP($F16,Modules!$B$6:$Q$25,5,FALSE),"")</f>
        <v/>
      </c>
      <c r="H16" s="16">
        <f>IFERROR(VLOOKUP($F16,Modules!$B$6:$Q$25,8,FALSE),0)</f>
        <v/>
      </c>
      <c r="I16" s="12">
        <f>IFERROR(VLOOKUP($F16,Modules!$B$6:$Q$25,14,FALSE),"")</f>
        <v/>
      </c>
    </row>
    <row r="17">
      <c r="B17" s="54" t="inlineStr">
        <is>
          <t>P15</t>
        </is>
      </c>
      <c r="C17" s="20" t="inlineStr">
        <is>
          <t>C. Négocier et réaliser</t>
        </is>
      </c>
      <c r="D17" s="20" t="inlineStr">
        <is>
          <t>Audit d'acquisition et résolution des points ouverts</t>
        </is>
      </c>
      <c r="E17" s="20" t="inlineStr">
        <is>
          <t>Responsable Transaction Workflow DealPME</t>
        </is>
      </c>
      <c r="F17" s="54" t="inlineStr">
        <is>
          <t>NEG</t>
        </is>
      </c>
      <c r="G17" s="12">
        <f>IFERROR(VLOOKUP($F17,Modules!$B$6:$Q$25,5,FALSE),"")</f>
        <v/>
      </c>
      <c r="H17" s="16">
        <f>IFERROR(VLOOKUP($F17,Modules!$B$6:$Q$25,8,FALSE),0)</f>
        <v/>
      </c>
      <c r="I17" s="12">
        <f>IFERROR(VLOOKUP($F17,Modules!$B$6:$Q$25,14,FALSE),"")</f>
        <v/>
      </c>
    </row>
    <row r="18">
      <c r="B18" s="54" t="inlineStr">
        <is>
          <t>P16</t>
        </is>
      </c>
      <c r="C18" s="20" t="inlineStr">
        <is>
          <t>C. Négocier et réaliser</t>
        </is>
      </c>
      <c r="D18" s="20" t="inlineStr">
        <is>
          <t>Réalisation de l'opération et traçabilité de la transmission</t>
        </is>
      </c>
      <c r="E18" s="20" t="inlineStr">
        <is>
          <t>Responsable Transaction Workflow DealPME</t>
        </is>
      </c>
      <c r="F18" s="54" t="inlineStr">
        <is>
          <t>REA</t>
        </is>
      </c>
      <c r="G18" s="12">
        <f>IFERROR(VLOOKUP($F18,Modules!$B$6:$Q$25,5,FALSE),"")</f>
        <v/>
      </c>
      <c r="H18" s="16">
        <f>IFERROR(VLOOKUP($F18,Modules!$B$6:$Q$25,8,FALSE),0)</f>
        <v/>
      </c>
      <c r="I18" s="12">
        <f>IFERROR(VLOOKUP($F18,Modules!$B$6:$Q$25,14,FALSE),"")</f>
        <v/>
      </c>
    </row>
    <row r="19">
      <c r="B19" s="54" t="inlineStr">
        <is>
          <t>P17</t>
        </is>
      </c>
      <c r="C19" s="20" t="inlineStr">
        <is>
          <t>D. Restructurer et servir</t>
        </is>
      </c>
      <c r="D19" s="20" t="inlineStr">
        <is>
          <t>Alerte &amp; Rebond : diagnostic, confidentialité et orientation</t>
        </is>
      </c>
      <c r="E19" s="20" t="inlineStr">
        <is>
          <t>Responsable Alerte &amp; Rebond DealPME</t>
        </is>
      </c>
      <c r="F19" s="54" t="inlineStr">
        <is>
          <t>REB</t>
        </is>
      </c>
      <c r="G19" s="12">
        <f>IFERROR(VLOOKUP($F19,Modules!$B$6:$Q$25,5,FALSE),"")</f>
        <v/>
      </c>
      <c r="H19" s="16">
        <f>IFERROR(VLOOKUP($F19,Modules!$B$6:$Q$25,8,FALSE),0)</f>
        <v/>
      </c>
      <c r="I19" s="12">
        <f>IFERROR(VLOOKUP($F19,Modules!$B$6:$Q$25,14,FALSE),"")</f>
        <v/>
      </c>
    </row>
    <row r="20">
      <c r="B20" s="54" t="inlineStr">
        <is>
          <t>P18</t>
        </is>
      </c>
      <c r="C20" s="20" t="inlineStr">
        <is>
          <t>D. Restructurer et servir</t>
        </is>
      </c>
      <c r="D20" s="20" t="inlineStr">
        <is>
          <t>Cession d'actifs d'entreprises en difficulté</t>
        </is>
      </c>
      <c r="E20" s="20" t="inlineStr">
        <is>
          <t>Responsable Alerte &amp; Rebond DealPME</t>
        </is>
      </c>
      <c r="F20" s="54" t="inlineStr">
        <is>
          <t>REB</t>
        </is>
      </c>
      <c r="G20" s="12">
        <f>IFERROR(VLOOKUP($F20,Modules!$B$6:$Q$25,5,FALSE),"")</f>
        <v/>
      </c>
      <c r="H20" s="16">
        <f>IFERROR(VLOOKUP($F20,Modules!$B$6:$Q$25,8,FALSE),0)</f>
        <v/>
      </c>
      <c r="I20" s="12">
        <f>IFERROR(VLOOKUP($F20,Modules!$B$6:$Q$25,14,FALSE),"")</f>
        <v/>
      </c>
    </row>
    <row r="21">
      <c r="B21" s="54" t="inlineStr">
        <is>
          <t>P19</t>
        </is>
      </c>
      <c r="C21" s="20" t="inlineStr">
        <is>
          <t>D. Restructurer et servir</t>
        </is>
      </c>
      <c r="D21" s="20" t="inlineStr">
        <is>
          <t>Legal-Tech OHADA et Conformité &amp; Fiscalité</t>
        </is>
      </c>
      <c r="E21" s="20" t="inlineStr">
        <is>
          <t>Responsable Modules Partenaires DealPME</t>
        </is>
      </c>
      <c r="F21" s="54" t="inlineStr">
        <is>
          <t>LEG</t>
        </is>
      </c>
      <c r="G21" s="12">
        <f>IFERROR(VLOOKUP($F21,Modules!$B$6:$Q$25,5,FALSE),"")</f>
        <v/>
      </c>
      <c r="H21" s="16">
        <f>IFERROR(VLOOKUP($F21,Modules!$B$6:$Q$25,8,FALSE),0)</f>
        <v/>
      </c>
      <c r="I21" s="12">
        <f>IFERROR(VLOOKUP($F21,Modules!$B$6:$Q$25,14,FALSE),"")</f>
        <v/>
      </c>
    </row>
    <row r="22">
      <c r="B22" s="54" t="inlineStr">
        <is>
          <t>P20</t>
        </is>
      </c>
      <c r="C22" s="20" t="inlineStr">
        <is>
          <t>D. Restructurer et servir</t>
        </is>
      </c>
      <c r="D22" s="20" t="inlineStr">
        <is>
          <t>Deal-Connect : conception et exécution d'un événement B2B</t>
        </is>
      </c>
      <c r="E22" s="20" t="inlineStr">
        <is>
          <t>Référent Opérationnel CCI-Togo</t>
        </is>
      </c>
      <c r="F22" s="54" t="inlineStr">
        <is>
          <t>CNX</t>
        </is>
      </c>
      <c r="G22" s="12">
        <f>IFERROR(VLOOKUP($F22,Modules!$B$6:$Q$25,5,FALSE),"")</f>
        <v/>
      </c>
      <c r="H22" s="16">
        <f>IFERROR(VLOOKUP($F22,Modules!$B$6:$Q$25,8,FALSE),0)</f>
        <v/>
      </c>
      <c r="I22" s="12">
        <f>IFERROR(VLOOKUP($F22,Modules!$B$6:$Q$25,14,FALSE),"")</f>
        <v/>
      </c>
    </row>
    <row r="23">
      <c r="B23" s="54" t="inlineStr">
        <is>
          <t>P21</t>
        </is>
      </c>
      <c r="C23" s="20" t="inlineStr">
        <is>
          <t>D. Restructurer et servir</t>
        </is>
      </c>
      <c r="D23" s="20" t="inlineStr">
        <is>
          <t>Guichet Diaspora et Investissement</t>
        </is>
      </c>
      <c r="E23" s="20" t="inlineStr">
        <is>
          <t>Responsable Guichet Diaspora DealPME</t>
        </is>
      </c>
      <c r="F23" s="54" t="inlineStr">
        <is>
          <t>DIA</t>
        </is>
      </c>
      <c r="G23" s="12">
        <f>IFERROR(VLOOKUP($F23,Modules!$B$6:$Q$25,5,FALSE),"")</f>
        <v/>
      </c>
      <c r="H23" s="16">
        <f>IFERROR(VLOOKUP($F23,Modules!$B$6:$Q$25,8,FALSE),0)</f>
        <v/>
      </c>
      <c r="I23" s="12">
        <f>IFERROR(VLOOKUP($F23,Modules!$B$6:$Q$25,14,FALSE),"")</f>
        <v/>
      </c>
    </row>
    <row r="24">
      <c r="B24" s="54" t="inlineStr">
        <is>
          <t>P22</t>
        </is>
      </c>
      <c r="C24" s="20" t="inlineStr">
        <is>
          <t>E. Gouverner et opérer</t>
        </is>
      </c>
      <c r="D24" s="20" t="inlineStr">
        <is>
          <t>Gouvernance institutionnelle CCI-Togo et certification</t>
        </is>
      </c>
      <c r="E24" s="20" t="inlineStr">
        <is>
          <t>Référent Décisionnel CCI-Togo</t>
        </is>
      </c>
      <c r="F24" s="54" t="inlineStr">
        <is>
          <t>GOV</t>
        </is>
      </c>
      <c r="G24" s="12">
        <f>IFERROR(VLOOKUP($F24,Modules!$B$6:$Q$25,5,FALSE),"")</f>
        <v/>
      </c>
      <c r="H24" s="16">
        <f>IFERROR(VLOOKUP($F24,Modules!$B$6:$Q$25,8,FALSE),0)</f>
        <v/>
      </c>
      <c r="I24" s="12">
        <f>IFERROR(VLOOKUP($F24,Modules!$B$6:$Q$25,14,FALSE),"")</f>
        <v/>
      </c>
    </row>
    <row r="25">
      <c r="B25" s="54" t="inlineStr">
        <is>
          <t>P23</t>
        </is>
      </c>
      <c r="C25" s="20" t="inlineStr">
        <is>
          <t>E. Gouverner et opérer</t>
        </is>
      </c>
      <c r="D25" s="20" t="inlineStr">
        <is>
          <t>Support, administration et accès privilégiés</t>
        </is>
      </c>
      <c r="E25" s="20" t="inlineStr">
        <is>
          <t>Responsable Support DealPME</t>
        </is>
      </c>
      <c r="F25" s="54" t="inlineStr">
        <is>
          <t>SUP</t>
        </is>
      </c>
      <c r="G25" s="12">
        <f>IFERROR(VLOOKUP($F25,Modules!$B$6:$Q$25,5,FALSE),"")</f>
        <v/>
      </c>
      <c r="H25" s="16">
        <f>IFERROR(VLOOKUP($F25,Modules!$B$6:$Q$25,8,FALSE),0)</f>
        <v/>
      </c>
      <c r="I25" s="12">
        <f>IFERROR(VLOOKUP($F25,Modules!$B$6:$Q$25,14,FALSE),"")</f>
        <v/>
      </c>
    </row>
    <row r="26">
      <c r="B26" s="54" t="inlineStr">
        <is>
          <t>P24</t>
        </is>
      </c>
      <c r="C26" s="20" t="inlineStr">
        <is>
          <t>E. Gouverner et opérer</t>
        </is>
      </c>
      <c r="D26" s="20" t="inlineStr">
        <is>
          <t>Résultat, facturation, rétrocession et contrôle financier</t>
        </is>
      </c>
      <c r="E26" s="20" t="inlineStr">
        <is>
          <t>Responsable Finance DealPME</t>
        </is>
      </c>
      <c r="F26" s="54" t="inlineStr">
        <is>
          <t>FIN</t>
        </is>
      </c>
      <c r="G26" s="12">
        <f>IFERROR(VLOOKUP($F26,Modules!$B$6:$Q$25,5,FALSE),"")</f>
        <v/>
      </c>
      <c r="H26" s="16">
        <f>IFERROR(VLOOKUP($F26,Modules!$B$6:$Q$25,8,FALSE),0)</f>
        <v/>
      </c>
      <c r="I26" s="12">
        <f>IFERROR(VLOOKUP($F26,Modules!$B$6:$Q$25,14,FALSE),"")</f>
        <v/>
      </c>
    </row>
    <row r="27">
      <c r="B27" s="54" t="inlineStr">
        <is>
          <t>P25</t>
        </is>
      </c>
      <c r="C27" s="20" t="inlineStr">
        <is>
          <t>E. Gouverner et opérer</t>
        </is>
      </c>
      <c r="D27" s="20" t="inlineStr">
        <is>
          <t>Exploitation, sécurité, incidents, continuité et SLA</t>
        </is>
      </c>
      <c r="E27" s="20" t="inlineStr">
        <is>
          <t>Responsable Technique DealPME</t>
        </is>
      </c>
      <c r="F27" s="54" t="inlineStr">
        <is>
          <t>OPS</t>
        </is>
      </c>
      <c r="G27" s="12">
        <f>IFERROR(VLOOKUP($F27,Modules!$B$6:$Q$25,5,FALSE),"")</f>
        <v/>
      </c>
      <c r="H27" s="16">
        <f>IFERROR(VLOOKUP($F27,Modules!$B$6:$Q$25,8,FALSE),0)</f>
        <v/>
      </c>
      <c r="I27" s="12">
        <f>IFERROR(VLOOKUP($F27,Modules!$B$6:$Q$25,14,FALSE),"")</f>
        <v/>
      </c>
    </row>
  </sheetData>
  <conditionalFormatting sqref="H6:H27">
    <cfRule type="dataBar" priority="1">
      <dataBar>
        <cfvo type="num" val="0"/>
        <cfvo type="num" val="1"/>
        <color rgb="006678F1"/>
      </dataBar>
    </cfRule>
  </conditionalFormatting>
  <pageMargins left="0.75" right="0.75" top="1" bottom="1" header="0.5" footer="0.5"/>
</worksheet>
</file>

<file path=xl/worksheets/sheet15.xml><?xml version="1.0" encoding="utf-8"?>
<worksheet xmlns="http://schemas.openxmlformats.org/spreadsheetml/2006/main">
  <sheetPr>
    <tabColor rgb="005980A6"/>
    <outlinePr summaryBelow="1" summaryRight="1"/>
    <pageSetUpPr/>
  </sheetPr>
  <dimension ref="B2:J37"/>
  <sheetViews>
    <sheetView showGridLines="0" workbookViewId="0">
      <selection activeCell="A1" sqref="A1"/>
    </sheetView>
  </sheetViews>
  <sheetFormatPr baseColWidth="8" defaultRowHeight="15"/>
  <cols>
    <col width="3" customWidth="1" min="1" max="1"/>
    <col width="44" customWidth="1" min="2" max="2"/>
    <col width="13" customWidth="1" min="3" max="3"/>
    <col width="16" customWidth="1" min="4" max="4"/>
    <col width="46" customWidth="1" min="5" max="5"/>
    <col width="14" customWidth="1" min="6" max="6"/>
    <col width="15" customWidth="1" min="7" max="7"/>
    <col width="13" customWidth="1" min="8" max="8"/>
    <col width="10" customWidth="1" min="9" max="9"/>
  </cols>
  <sheetData>
    <row r="2">
      <c r="B2" s="1" t="inlineStr">
        <is>
          <t>Acteurs et responsabilités (RACI)</t>
        </is>
      </c>
    </row>
    <row r="3">
      <c r="B3" s="17" t="inlineStr">
        <is>
          <t>R = réalise, A = approuve (un seul par module), C = consulté, I = informé. Dérivé du Référentiel de processus.</t>
        </is>
      </c>
    </row>
    <row r="5">
      <c r="B5" s="11" t="inlineStr">
        <is>
          <t>Rôle</t>
        </is>
      </c>
      <c r="C5" s="11" t="inlineStr">
        <is>
          <t>Organisation</t>
        </is>
      </c>
      <c r="D5" s="11" t="inlineStr">
        <is>
          <t>Personne / entité</t>
        </is>
      </c>
      <c r="E5" s="11" t="inlineStr">
        <is>
          <t>Responsabilités</t>
        </is>
      </c>
    </row>
    <row r="6">
      <c r="B6" s="20" t="inlineStr">
        <is>
          <t>Chef de projet / architecte</t>
        </is>
      </c>
      <c r="C6" s="20" t="inlineStr">
        <is>
          <t>DealPME</t>
        </is>
      </c>
      <c r="D6" s="37" t="inlineStr">
        <is>
          <t>Abdou-Raouf</t>
        </is>
      </c>
      <c r="E6" s="20" t="inlineStr">
        <is>
          <t>Pilotage, architecture, arbitrages techniques, tenue de ce classeur</t>
        </is>
      </c>
    </row>
    <row r="7">
      <c r="B7" s="20" t="inlineStr">
        <is>
          <t>Équipe de développement</t>
        </is>
      </c>
      <c r="C7" s="20" t="inlineStr">
        <is>
          <t>DealPME</t>
        </is>
      </c>
      <c r="D7" s="37" t="inlineStr">
        <is>
          <t>À confirmer</t>
        </is>
      </c>
      <c r="E7" s="20" t="inlineStr">
        <is>
          <t>Réalisation, tests, documentation</t>
        </is>
      </c>
    </row>
    <row r="8">
      <c r="B8" s="20" t="inlineStr">
        <is>
          <t>Propriétaire produit</t>
        </is>
      </c>
      <c r="C8" s="20" t="inlineStr">
        <is>
          <t>DealPME</t>
        </is>
      </c>
      <c r="D8" s="37" t="inlineStr">
        <is>
          <t>M. Bruno H.</t>
        </is>
      </c>
      <c r="E8" s="20" t="inlineStr">
        <is>
          <t>Priorisation, validation des livrables, décisions de périmètre</t>
        </is>
      </c>
    </row>
    <row r="9">
      <c r="B9" s="20" t="inlineStr">
        <is>
          <t>Référent institutionnel</t>
        </is>
      </c>
      <c r="C9" s="20" t="inlineStr">
        <is>
          <t>CCI-Togo</t>
        </is>
      </c>
      <c r="D9" s="37" t="inlineStr">
        <is>
          <t>À désigner</t>
        </is>
      </c>
      <c r="E9" s="20" t="inlineStr">
        <is>
          <t>Confirmation d'adhésion, certification Deal-Ready, promotion, COPIL</t>
        </is>
      </c>
    </row>
    <row r="10">
      <c r="B10" s="20" t="inlineStr">
        <is>
          <t>Designer UI/UX</t>
        </is>
      </c>
      <c r="C10" s="20" t="inlineStr">
        <is>
          <t>Externe</t>
        </is>
      </c>
      <c r="D10" s="37" t="inlineStr">
        <is>
          <t>À confirmer (proposition Bouley)</t>
        </is>
      </c>
      <c r="E10" s="20" t="inlineStr">
        <is>
          <t>Conception des écrans, revue visuelle</t>
        </is>
      </c>
    </row>
    <row r="11">
      <c r="B11" s="20" t="inlineStr">
        <is>
          <t>Conseil juridique / DPO</t>
        </is>
      </c>
      <c r="C11" s="20" t="inlineStr">
        <is>
          <t>Externe</t>
        </is>
      </c>
      <c r="D11" s="37" t="inlineStr">
        <is>
          <t>À désigner</t>
        </is>
      </c>
      <c r="E11" s="20" t="inlineStr">
        <is>
          <t>Avis RPS, revue des modèles, IPDCP, nomination DPO</t>
        </is>
      </c>
    </row>
    <row r="12">
      <c r="B12" s="20" t="inlineStr">
        <is>
          <t>Prestataires techniques</t>
        </is>
      </c>
      <c r="C12" s="20" t="inlineStr">
        <is>
          <t>Externe</t>
        </is>
      </c>
      <c r="D12" s="37" t="inlineStr">
        <is>
          <t>PSC signature, mobile money, PSAE, Remo.co, fournisseur IA</t>
        </is>
      </c>
      <c r="E12" s="20" t="inlineStr">
        <is>
          <t>Intégrations sous contrat</t>
        </is>
      </c>
    </row>
    <row r="13">
      <c r="B13" s="20" t="inlineStr">
        <is>
          <t>Experts indépendants</t>
        </is>
      </c>
      <c r="C13" s="20" t="inlineStr">
        <is>
          <t>Externe</t>
        </is>
      </c>
      <c r="D13" s="37" t="inlineStr">
        <is>
          <t>Registre à constituer</t>
        </is>
      </c>
      <c r="E13" s="20" t="inlineStr">
        <is>
          <t>Diagnostics Deal-Ready, missions d'expertise</t>
        </is>
      </c>
    </row>
    <row r="16">
      <c r="B16" s="3" t="inlineStr">
        <is>
          <t>Matrice RACI par module</t>
        </is>
      </c>
    </row>
    <row r="17" ht="30" customHeight="1">
      <c r="B17" s="11" t="inlineStr">
        <is>
          <t>Module</t>
        </is>
      </c>
      <c r="C17" s="11" t="inlineStr">
        <is>
          <t>Chef de projet</t>
        </is>
      </c>
      <c r="D17" s="11" t="inlineStr">
        <is>
          <t>Équipe dev</t>
        </is>
      </c>
      <c r="E17" s="11" t="inlineStr">
        <is>
          <t>Propriétaire produit</t>
        </is>
      </c>
      <c r="F17" s="11" t="inlineStr">
        <is>
          <t>CCI-Togo</t>
        </is>
      </c>
      <c r="G17" s="11" t="inlineStr">
        <is>
          <t>Designer UI/UX</t>
        </is>
      </c>
      <c r="H17" s="11" t="inlineStr">
        <is>
          <t>Juridique / DPO</t>
        </is>
      </c>
      <c r="I17" s="11" t="inlineStr">
        <is>
          <t>Prestataires</t>
        </is>
      </c>
      <c r="J17" s="11" t="inlineStr">
        <is>
          <t>Experts</t>
        </is>
      </c>
    </row>
    <row r="18">
      <c r="B18" s="20" t="inlineStr">
        <is>
          <t>FOND  Fondations : modèle de données et bifurcation actif / titre</t>
        </is>
      </c>
      <c r="C18" s="54" t="inlineStr">
        <is>
          <t>A</t>
        </is>
      </c>
      <c r="D18" s="54" t="inlineStr">
        <is>
          <t>R</t>
        </is>
      </c>
      <c r="E18" s="54" t="inlineStr">
        <is>
          <t>C</t>
        </is>
      </c>
      <c r="F18" s="54" t="inlineStr">
        <is>
          <t>I</t>
        </is>
      </c>
      <c r="G18" s="54" t="inlineStr"/>
      <c r="H18" s="54" t="inlineStr">
        <is>
          <t>C</t>
        </is>
      </c>
      <c r="I18" s="54" t="inlineStr"/>
      <c r="J18" s="54" t="inlineStr"/>
    </row>
    <row r="19">
      <c r="B19" s="20" t="inlineStr">
        <is>
          <t>TRV  Transverse technique : infra, CI, design system, QA</t>
        </is>
      </c>
      <c r="C19" s="54" t="inlineStr">
        <is>
          <t>A</t>
        </is>
      </c>
      <c r="D19" s="54" t="inlineStr">
        <is>
          <t>R</t>
        </is>
      </c>
      <c r="E19" s="54" t="inlineStr">
        <is>
          <t>I</t>
        </is>
      </c>
      <c r="F19" s="54" t="inlineStr"/>
      <c r="G19" s="54" t="inlineStr">
        <is>
          <t>C</t>
        </is>
      </c>
      <c r="H19" s="54" t="inlineStr"/>
      <c r="I19" s="54" t="inlineStr">
        <is>
          <t>C</t>
        </is>
      </c>
      <c r="J19" s="54" t="inlineStr"/>
    </row>
    <row r="20">
      <c r="B20" s="20" t="inlineStr">
        <is>
          <t>IDN  Identité, abonnement et facturation</t>
        </is>
      </c>
      <c r="C20" s="54" t="inlineStr">
        <is>
          <t>A</t>
        </is>
      </c>
      <c r="D20" s="54" t="inlineStr">
        <is>
          <t>R</t>
        </is>
      </c>
      <c r="E20" s="54" t="inlineStr">
        <is>
          <t>C</t>
        </is>
      </c>
      <c r="F20" s="54" t="inlineStr">
        <is>
          <t>I</t>
        </is>
      </c>
      <c r="G20" s="54" t="inlineStr">
        <is>
          <t>C</t>
        </is>
      </c>
      <c r="H20" s="54" t="inlineStr">
        <is>
          <t>C</t>
        </is>
      </c>
      <c r="I20" s="54" t="inlineStr">
        <is>
          <t>C</t>
        </is>
      </c>
      <c r="J20" s="54" t="inlineStr"/>
    </row>
    <row r="21">
      <c r="B21" s="20" t="inlineStr">
        <is>
          <t>GOV  Console institutionnelle CCI-Togo et gouvernance</t>
        </is>
      </c>
      <c r="C21" s="54" t="inlineStr">
        <is>
          <t>C</t>
        </is>
      </c>
      <c r="D21" s="54" t="inlineStr">
        <is>
          <t>R</t>
        </is>
      </c>
      <c r="E21" s="54" t="inlineStr">
        <is>
          <t>C</t>
        </is>
      </c>
      <c r="F21" s="54" t="inlineStr">
        <is>
          <t>A</t>
        </is>
      </c>
      <c r="G21" s="54" t="inlineStr"/>
      <c r="H21" s="54" t="inlineStr">
        <is>
          <t>C</t>
        </is>
      </c>
      <c r="I21" s="54" t="inlineStr"/>
      <c r="J21" s="54" t="inlineStr"/>
    </row>
    <row r="22">
      <c r="B22" s="20" t="inlineStr">
        <is>
          <t>CCI  Deal-Ready : certification CCI-Togo</t>
        </is>
      </c>
      <c r="C22" s="54" t="inlineStr">
        <is>
          <t>C</t>
        </is>
      </c>
      <c r="D22" s="54" t="inlineStr">
        <is>
          <t>R</t>
        </is>
      </c>
      <c r="E22" s="54" t="inlineStr">
        <is>
          <t>C</t>
        </is>
      </c>
      <c r="F22" s="54" t="inlineStr">
        <is>
          <t>A</t>
        </is>
      </c>
      <c r="G22" s="54" t="inlineStr"/>
      <c r="H22" s="54" t="inlineStr">
        <is>
          <t>C</t>
        </is>
      </c>
      <c r="I22" s="54" t="inlineStr"/>
      <c r="J22" s="54" t="inlineStr">
        <is>
          <t>C</t>
        </is>
      </c>
    </row>
    <row r="23">
      <c r="B23" s="20" t="inlineStr">
        <is>
          <t>MKT  Pass Transmission : dossier cédant, marketplace, évaluation indicative</t>
        </is>
      </c>
      <c r="C23" s="54" t="inlineStr">
        <is>
          <t>A</t>
        </is>
      </c>
      <c r="D23" s="54" t="inlineStr">
        <is>
          <t>R</t>
        </is>
      </c>
      <c r="E23" s="54" t="inlineStr">
        <is>
          <t>C</t>
        </is>
      </c>
      <c r="F23" s="54" t="inlineStr">
        <is>
          <t>I</t>
        </is>
      </c>
      <c r="G23" s="54" t="inlineStr">
        <is>
          <t>C</t>
        </is>
      </c>
      <c r="H23" s="54" t="inlineStr">
        <is>
          <t>C</t>
        </is>
      </c>
      <c r="I23" s="54" t="inlineStr"/>
      <c r="J23" s="54" t="inlineStr"/>
    </row>
    <row r="24">
      <c r="B24" s="20" t="inlineStr">
        <is>
          <t>RPS  Regulatory Perimeter Service : divulgation T0/T1/T2</t>
        </is>
      </c>
      <c r="C24" s="54" t="inlineStr">
        <is>
          <t>C</t>
        </is>
      </c>
      <c r="D24" s="54" t="inlineStr">
        <is>
          <t>R</t>
        </is>
      </c>
      <c r="E24" s="54" t="inlineStr">
        <is>
          <t>C</t>
        </is>
      </c>
      <c r="F24" s="54" t="inlineStr">
        <is>
          <t>I</t>
        </is>
      </c>
      <c r="G24" s="54" t="inlineStr"/>
      <c r="H24" s="54" t="inlineStr">
        <is>
          <t>A</t>
        </is>
      </c>
      <c r="I24" s="54" t="inlineStr"/>
      <c r="J24" s="54" t="inlineStr"/>
    </row>
    <row r="25">
      <c r="B25" s="20" t="inlineStr">
        <is>
          <t>SIG  Signature électronique et preuve</t>
        </is>
      </c>
      <c r="C25" s="54" t="inlineStr">
        <is>
          <t>A</t>
        </is>
      </c>
      <c r="D25" s="54" t="inlineStr">
        <is>
          <t>R</t>
        </is>
      </c>
      <c r="E25" s="54" t="inlineStr">
        <is>
          <t>C</t>
        </is>
      </c>
      <c r="F25" s="54" t="inlineStr">
        <is>
          <t>I</t>
        </is>
      </c>
      <c r="G25" s="54" t="inlineStr"/>
      <c r="H25" s="54" t="inlineStr">
        <is>
          <t>C</t>
        </is>
      </c>
      <c r="I25" s="54" t="inlineStr">
        <is>
          <t>R</t>
        </is>
      </c>
      <c r="J25" s="54" t="inlineStr"/>
    </row>
    <row r="26">
      <c r="B26" s="20" t="inlineStr">
        <is>
          <t>VDR  Data room et questions-réponses</t>
        </is>
      </c>
      <c r="C26" s="54" t="inlineStr">
        <is>
          <t>A</t>
        </is>
      </c>
      <c r="D26" s="54" t="inlineStr">
        <is>
          <t>R</t>
        </is>
      </c>
      <c r="E26" s="54" t="inlineStr">
        <is>
          <t>C</t>
        </is>
      </c>
      <c r="F26" s="54" t="inlineStr">
        <is>
          <t>I</t>
        </is>
      </c>
      <c r="G26" s="54" t="inlineStr">
        <is>
          <t>C</t>
        </is>
      </c>
      <c r="H26" s="54" t="inlineStr">
        <is>
          <t>C</t>
        </is>
      </c>
      <c r="I26" s="54" t="inlineStr"/>
      <c r="J26" s="54" t="inlineStr"/>
    </row>
    <row r="27">
      <c r="B27" s="20" t="inlineStr">
        <is>
          <t>NEG  Négociation : offre, LOI, audit d'acquisition</t>
        </is>
      </c>
      <c r="C27" s="54" t="inlineStr">
        <is>
          <t>A</t>
        </is>
      </c>
      <c r="D27" s="54" t="inlineStr">
        <is>
          <t>R</t>
        </is>
      </c>
      <c r="E27" s="54" t="inlineStr">
        <is>
          <t>C</t>
        </is>
      </c>
      <c r="F27" s="54" t="inlineStr">
        <is>
          <t>I</t>
        </is>
      </c>
      <c r="G27" s="54" t="inlineStr">
        <is>
          <t>C</t>
        </is>
      </c>
      <c r="H27" s="54" t="inlineStr">
        <is>
          <t>C</t>
        </is>
      </c>
      <c r="I27" s="54" t="inlineStr"/>
      <c r="J27" s="54" t="inlineStr"/>
    </row>
    <row r="28">
      <c r="B28" s="20" t="inlineStr">
        <is>
          <t>REA  Réalisation et traçabilité de la transmission</t>
        </is>
      </c>
      <c r="C28" s="54" t="inlineStr">
        <is>
          <t>A</t>
        </is>
      </c>
      <c r="D28" s="54" t="inlineStr">
        <is>
          <t>R</t>
        </is>
      </c>
      <c r="E28" s="54" t="inlineStr">
        <is>
          <t>C</t>
        </is>
      </c>
      <c r="F28" s="54" t="inlineStr">
        <is>
          <t>C</t>
        </is>
      </c>
      <c r="G28" s="54" t="inlineStr"/>
      <c r="H28" s="54" t="inlineStr">
        <is>
          <t>C</t>
        </is>
      </c>
      <c r="I28" s="54" t="inlineStr"/>
      <c r="J28" s="54" t="inlineStr"/>
    </row>
    <row r="29">
      <c r="B29" s="20" t="inlineStr">
        <is>
          <t>LEG  LegalTech OHADA et conformité fiscale</t>
        </is>
      </c>
      <c r="C29" s="54" t="inlineStr">
        <is>
          <t>C</t>
        </is>
      </c>
      <c r="D29" s="54" t="inlineStr">
        <is>
          <t>R</t>
        </is>
      </c>
      <c r="E29" s="54" t="inlineStr">
        <is>
          <t>C</t>
        </is>
      </c>
      <c r="F29" s="54" t="inlineStr">
        <is>
          <t>I</t>
        </is>
      </c>
      <c r="G29" s="54" t="inlineStr"/>
      <c r="H29" s="54" t="inlineStr">
        <is>
          <t>A</t>
        </is>
      </c>
      <c r="I29" s="54" t="inlineStr">
        <is>
          <t>R</t>
        </is>
      </c>
      <c r="J29" s="54" t="inlineStr"/>
    </row>
    <row r="30">
      <c r="B30" s="20" t="inlineStr">
        <is>
          <t>FIN  Finance : frais, rétrocession CCI, reporting</t>
        </is>
      </c>
      <c r="C30" s="54" t="inlineStr">
        <is>
          <t>C</t>
        </is>
      </c>
      <c r="D30" s="54" t="inlineStr">
        <is>
          <t>R</t>
        </is>
      </c>
      <c r="E30" s="54" t="inlineStr">
        <is>
          <t>A</t>
        </is>
      </c>
      <c r="F30" s="54" t="inlineStr">
        <is>
          <t>C</t>
        </is>
      </c>
      <c r="G30" s="54" t="inlineStr"/>
      <c r="H30" s="54" t="inlineStr">
        <is>
          <t>C</t>
        </is>
      </c>
      <c r="I30" s="54" t="inlineStr"/>
      <c r="J30" s="54" t="inlineStr"/>
    </row>
    <row r="31">
      <c r="B31" s="20" t="inlineStr">
        <is>
          <t>SUP  Support et accès privilégiés</t>
        </is>
      </c>
      <c r="C31" s="54" t="inlineStr">
        <is>
          <t>A</t>
        </is>
      </c>
      <c r="D31" s="54" t="inlineStr">
        <is>
          <t>R</t>
        </is>
      </c>
      <c r="E31" s="54" t="inlineStr">
        <is>
          <t>C</t>
        </is>
      </c>
      <c r="F31" s="54" t="inlineStr">
        <is>
          <t>I</t>
        </is>
      </c>
      <c r="G31" s="54" t="inlineStr"/>
      <c r="H31" s="54" t="inlineStr">
        <is>
          <t>C</t>
        </is>
      </c>
      <c r="I31" s="54" t="inlineStr"/>
      <c r="J31" s="54" t="inlineStr"/>
    </row>
    <row r="32">
      <c r="B32" s="20" t="inlineStr">
        <is>
          <t>OPS  Exploitation, sécurité, continuité (SLA 99,5 %)</t>
        </is>
      </c>
      <c r="C32" s="54" t="inlineStr">
        <is>
          <t>A</t>
        </is>
      </c>
      <c r="D32" s="54" t="inlineStr">
        <is>
          <t>R</t>
        </is>
      </c>
      <c r="E32" s="54" t="inlineStr">
        <is>
          <t>I</t>
        </is>
      </c>
      <c r="F32" s="54" t="inlineStr">
        <is>
          <t>C</t>
        </is>
      </c>
      <c r="G32" s="54" t="inlineStr"/>
      <c r="H32" s="54" t="inlineStr">
        <is>
          <t>C</t>
        </is>
      </c>
      <c r="I32" s="54" t="inlineStr">
        <is>
          <t>C</t>
        </is>
      </c>
      <c r="J32" s="54" t="inlineStr"/>
    </row>
    <row r="33">
      <c r="B33" s="20" t="inlineStr">
        <is>
          <t>REB  Alerte &amp; Rebond : entreprises en difficulté</t>
        </is>
      </c>
      <c r="C33" s="54" t="inlineStr">
        <is>
          <t>A</t>
        </is>
      </c>
      <c r="D33" s="54" t="inlineStr">
        <is>
          <t>R</t>
        </is>
      </c>
      <c r="E33" s="54" t="inlineStr">
        <is>
          <t>C</t>
        </is>
      </c>
      <c r="F33" s="54" t="inlineStr">
        <is>
          <t>C</t>
        </is>
      </c>
      <c r="G33" s="54" t="inlineStr"/>
      <c r="H33" s="54" t="inlineStr">
        <is>
          <t>C</t>
        </is>
      </c>
      <c r="I33" s="54" t="inlineStr"/>
      <c r="J33" s="54" t="inlineStr">
        <is>
          <t>C</t>
        </is>
      </c>
    </row>
    <row r="34">
      <c r="B34" s="20" t="inlineStr">
        <is>
          <t>CNX  Deal-Connect : événements B2B (Remo.co)</t>
        </is>
      </c>
      <c r="C34" s="54" t="inlineStr">
        <is>
          <t>C</t>
        </is>
      </c>
      <c r="D34" s="54" t="inlineStr">
        <is>
          <t>R</t>
        </is>
      </c>
      <c r="E34" s="54" t="inlineStr">
        <is>
          <t>C</t>
        </is>
      </c>
      <c r="F34" s="54" t="inlineStr">
        <is>
          <t>A</t>
        </is>
      </c>
      <c r="G34" s="54" t="inlineStr">
        <is>
          <t>C</t>
        </is>
      </c>
      <c r="H34" s="54" t="inlineStr"/>
      <c r="I34" s="54" t="inlineStr">
        <is>
          <t>R</t>
        </is>
      </c>
      <c r="J34" s="54" t="inlineStr"/>
    </row>
    <row r="35">
      <c r="B35" s="20" t="inlineStr">
        <is>
          <t>DIA  Guichet Diaspora et investissement</t>
        </is>
      </c>
      <c r="C35" s="54" t="inlineStr">
        <is>
          <t>A</t>
        </is>
      </c>
      <c r="D35" s="54" t="inlineStr">
        <is>
          <t>R</t>
        </is>
      </c>
      <c r="E35" s="54" t="inlineStr">
        <is>
          <t>C</t>
        </is>
      </c>
      <c r="F35" s="54" t="inlineStr">
        <is>
          <t>C</t>
        </is>
      </c>
      <c r="G35" s="54" t="inlineStr">
        <is>
          <t>C</t>
        </is>
      </c>
      <c r="H35" s="54" t="inlineStr">
        <is>
          <t>C</t>
        </is>
      </c>
      <c r="I35" s="54" t="inlineStr">
        <is>
          <t>R</t>
        </is>
      </c>
      <c r="J35" s="54" t="inlineStr"/>
    </row>
    <row r="36">
      <c r="B36" s="20" t="inlineStr">
        <is>
          <t>EXP  Deal-Experts : mobilisation d'expert indépendant</t>
        </is>
      </c>
      <c r="C36" s="54" t="inlineStr">
        <is>
          <t>A</t>
        </is>
      </c>
      <c r="D36" s="54" t="inlineStr">
        <is>
          <t>R</t>
        </is>
      </c>
      <c r="E36" s="54" t="inlineStr">
        <is>
          <t>C</t>
        </is>
      </c>
      <c r="F36" s="54" t="inlineStr">
        <is>
          <t>C</t>
        </is>
      </c>
      <c r="G36" s="54" t="inlineStr"/>
      <c r="H36" s="54" t="inlineStr">
        <is>
          <t>C</t>
        </is>
      </c>
      <c r="I36" s="54" t="inlineStr"/>
      <c r="J36" s="54" t="inlineStr">
        <is>
          <t>R</t>
        </is>
      </c>
    </row>
    <row r="37">
      <c r="B37" s="20" t="inlineStr">
        <is>
          <t>VDR-IA  VDR Intelligence : DealLens et surfaces de diligence</t>
        </is>
      </c>
      <c r="C37" s="54" t="inlineStr">
        <is>
          <t>A</t>
        </is>
      </c>
      <c r="D37" s="54" t="inlineStr">
        <is>
          <t>R</t>
        </is>
      </c>
      <c r="E37" s="54" t="inlineStr">
        <is>
          <t>C</t>
        </is>
      </c>
      <c r="F37" s="54" t="inlineStr">
        <is>
          <t>I</t>
        </is>
      </c>
      <c r="G37" s="54" t="inlineStr">
        <is>
          <t>C</t>
        </is>
      </c>
      <c r="H37" s="54" t="inlineStr">
        <is>
          <t>C</t>
        </is>
      </c>
      <c r="I37" s="54" t="inlineStr">
        <is>
          <t>R</t>
        </is>
      </c>
      <c r="J37" s="54" t="inlineStr"/>
    </row>
  </sheetData>
  <conditionalFormatting sqref="C18:J37">
    <cfRule type="expression" priority="1" dxfId="13">
      <formula>C18="A"</formula>
    </cfRule>
    <cfRule type="expression" priority="2" dxfId="2">
      <formula>C18="R"</formula>
    </cfRule>
    <cfRule type="expression" priority="3" dxfId="3">
      <formula>C18="C"</formula>
    </cfRule>
    <cfRule type="expression" priority="4" dxfId="14">
      <formula>C18="I"</formula>
    </cfRule>
  </conditionalFormatting>
  <pageMargins left="0.75" right="0.75" top="1" bottom="1" header="0.5" footer="0.5"/>
</worksheet>
</file>

<file path=xl/worksheets/sheet16.xml><?xml version="1.0" encoding="utf-8"?>
<worksheet xmlns="http://schemas.openxmlformats.org/spreadsheetml/2006/main">
  <sheetPr>
    <tabColor rgb="00AAAAAA"/>
    <outlinePr summaryBelow="1" summaryRight="1"/>
    <pageSetUpPr/>
  </sheetPr>
  <dimension ref="B2:R25"/>
  <sheetViews>
    <sheetView showGridLines="0" workbookViewId="0">
      <selection activeCell="A1" sqref="A1"/>
    </sheetView>
  </sheetViews>
  <sheetFormatPr baseColWidth="8" defaultRowHeight="15"/>
  <cols>
    <col width="3" customWidth="1" min="1" max="1"/>
    <col width="14" customWidth="1" min="2" max="2"/>
    <col width="20" customWidth="1" min="3" max="3"/>
    <col width="20" customWidth="1" min="4" max="4"/>
    <col width="3" customWidth="1" min="5" max="5"/>
    <col width="12" customWidth="1" min="6" max="6"/>
    <col width="3" customWidth="1" min="7" max="7"/>
    <col width="10" customWidth="1" min="8" max="8"/>
    <col width="3" customWidth="1" min="9" max="9"/>
    <col width="14" customWidth="1" min="10" max="10"/>
    <col width="3" customWidth="1" min="11" max="11"/>
    <col width="10" customWidth="1" min="12" max="12"/>
    <col width="3" customWidth="1" min="13" max="13"/>
    <col width="14" customWidth="1" min="14" max="14"/>
    <col width="3" customWidth="1" min="15" max="15"/>
    <col width="14" customWidth="1" min="16" max="16"/>
    <col width="3" customWidth="1" min="17" max="17"/>
    <col width="16" customWidth="1" min="18" max="18"/>
  </cols>
  <sheetData>
    <row r="2">
      <c r="B2" s="1" t="inlineStr">
        <is>
          <t>Paramètres et listes</t>
        </is>
      </c>
    </row>
    <row r="3">
      <c r="B3" s="17" t="inlineStr">
        <is>
          <t>Listes déroulantes et règles de calcul de l'avancement. Modifier ici pour changer les valeurs proposées.</t>
        </is>
      </c>
    </row>
    <row r="5">
      <c r="B5" s="11" t="inlineStr">
        <is>
          <t>Statut</t>
        </is>
      </c>
      <c r="C5" s="11" t="inlineStr">
        <is>
          <t>Avancement par défaut</t>
        </is>
      </c>
      <c r="D5" s="11" t="inlineStr">
        <is>
          <t>Compte dans la charge</t>
        </is>
      </c>
      <c r="F5" s="11" t="inlineStr">
        <is>
          <t>Priorité</t>
        </is>
      </c>
      <c r="H5" s="11" t="inlineStr">
        <is>
          <t>Version</t>
        </is>
      </c>
      <c r="J5" s="11" t="inlineStr">
        <is>
          <t>Module (code)</t>
        </is>
      </c>
      <c r="L5" s="11" t="inlineStr">
        <is>
          <t>Oui / Non</t>
        </is>
      </c>
      <c r="N5" s="11" t="inlineStr">
        <is>
          <t>Statut jalon</t>
        </is>
      </c>
      <c r="P5" s="11" t="inlineStr">
        <is>
          <t>Statut risque</t>
        </is>
      </c>
      <c r="R5" s="11" t="inlineStr">
        <is>
          <t>Statut décision</t>
        </is>
      </c>
    </row>
    <row r="6">
      <c r="B6" s="20" t="inlineStr">
        <is>
          <t>À faire</t>
        </is>
      </c>
      <c r="C6" s="55" t="n">
        <v>0</v>
      </c>
      <c r="D6" s="20" t="inlineStr">
        <is>
          <t>Oui</t>
        </is>
      </c>
      <c r="F6" s="20" t="inlineStr">
        <is>
          <t>Haute</t>
        </is>
      </c>
      <c r="H6" s="20" t="inlineStr">
        <is>
          <t>V1</t>
        </is>
      </c>
      <c r="J6" s="20" t="inlineStr">
        <is>
          <t>FOND</t>
        </is>
      </c>
      <c r="L6" s="20" t="inlineStr">
        <is>
          <t>Oui</t>
        </is>
      </c>
      <c r="N6" s="20" t="inlineStr">
        <is>
          <t>À venir</t>
        </is>
      </c>
      <c r="P6" s="20" t="inlineStr">
        <is>
          <t>Ouvert</t>
        </is>
      </c>
      <c r="R6" s="20" t="inlineStr">
        <is>
          <t>Ouvert</t>
        </is>
      </c>
    </row>
    <row r="7">
      <c r="B7" s="20" t="inlineStr">
        <is>
          <t>En cours</t>
        </is>
      </c>
      <c r="C7" s="55" t="n">
        <v>0.25</v>
      </c>
      <c r="D7" s="20" t="inlineStr">
        <is>
          <t>Oui</t>
        </is>
      </c>
      <c r="F7" s="20" t="inlineStr">
        <is>
          <t>Moyenne</t>
        </is>
      </c>
      <c r="H7" s="20" t="inlineStr">
        <is>
          <t>V2</t>
        </is>
      </c>
      <c r="J7" s="20" t="inlineStr">
        <is>
          <t>TRV</t>
        </is>
      </c>
      <c r="L7" s="20" t="inlineStr">
        <is>
          <t>Non</t>
        </is>
      </c>
      <c r="N7" s="20" t="inlineStr">
        <is>
          <t>En risque</t>
        </is>
      </c>
      <c r="P7" s="20" t="inlineStr">
        <is>
          <t>Surveillé</t>
        </is>
      </c>
      <c r="R7" s="20" t="inlineStr">
        <is>
          <t>En discussion</t>
        </is>
      </c>
    </row>
    <row r="8">
      <c r="B8" s="20" t="inlineStr">
        <is>
          <t>En revue</t>
        </is>
      </c>
      <c r="C8" s="55" t="n">
        <v>0.9</v>
      </c>
      <c r="D8" s="20" t="inlineStr">
        <is>
          <t>Oui</t>
        </is>
      </c>
      <c r="F8" s="20" t="inlineStr">
        <is>
          <t>Basse</t>
        </is>
      </c>
      <c r="H8" s="20" t="inlineStr">
        <is>
          <t>V3</t>
        </is>
      </c>
      <c r="J8" s="20" t="inlineStr">
        <is>
          <t>IDN</t>
        </is>
      </c>
      <c r="N8" s="20" t="inlineStr">
        <is>
          <t>Atteint</t>
        </is>
      </c>
      <c r="P8" s="20" t="inlineStr">
        <is>
          <t>Clos</t>
        </is>
      </c>
      <c r="R8" s="20" t="inlineStr">
        <is>
          <t>Tranché</t>
        </is>
      </c>
    </row>
    <row r="9">
      <c r="B9" s="20" t="inlineStr">
        <is>
          <t>Bloquée</t>
        </is>
      </c>
      <c r="C9" s="55" t="n">
        <v>0.25</v>
      </c>
      <c r="D9" s="20" t="inlineStr">
        <is>
          <t>Oui</t>
        </is>
      </c>
      <c r="H9" s="20" t="inlineStr">
        <is>
          <t>V4</t>
        </is>
      </c>
      <c r="J9" s="20" t="inlineStr">
        <is>
          <t>GOV</t>
        </is>
      </c>
      <c r="N9" s="20" t="inlineStr">
        <is>
          <t>Abandonné</t>
        </is>
      </c>
    </row>
    <row r="10">
      <c r="B10" s="20" t="inlineStr">
        <is>
          <t>Complétée</t>
        </is>
      </c>
      <c r="C10" s="55" t="n">
        <v>1</v>
      </c>
      <c r="D10" s="20" t="inlineStr">
        <is>
          <t>Oui</t>
        </is>
      </c>
      <c r="H10" s="20" t="inlineStr">
        <is>
          <t>V5</t>
        </is>
      </c>
      <c r="J10" s="20" t="inlineStr">
        <is>
          <t>CCI</t>
        </is>
      </c>
    </row>
    <row r="11">
      <c r="B11" s="20" t="inlineStr">
        <is>
          <t>Backlog</t>
        </is>
      </c>
      <c r="C11" s="55" t="n">
        <v>0</v>
      </c>
      <c r="D11" s="20" t="inlineStr">
        <is>
          <t>Oui</t>
        </is>
      </c>
      <c r="J11" s="20" t="inlineStr">
        <is>
          <t>MKT</t>
        </is>
      </c>
    </row>
    <row r="12">
      <c r="B12" s="20" t="inlineStr">
        <is>
          <t>Abandonnée</t>
        </is>
      </c>
      <c r="C12" s="55" t="n">
        <v>0</v>
      </c>
      <c r="D12" s="20" t="inlineStr">
        <is>
          <t>Non</t>
        </is>
      </c>
      <c r="J12" s="20" t="inlineStr">
        <is>
          <t>RPS</t>
        </is>
      </c>
    </row>
    <row r="13">
      <c r="J13" s="20" t="inlineStr">
        <is>
          <t>SIG</t>
        </is>
      </c>
    </row>
    <row r="14">
      <c r="J14" s="20" t="inlineStr">
        <is>
          <t>VDR</t>
        </is>
      </c>
    </row>
    <row r="15">
      <c r="B15" s="3" t="inlineStr">
        <is>
          <t>Règle d'avancement d'une tâche</t>
        </is>
      </c>
      <c r="J15" s="20" t="inlineStr">
        <is>
          <t>NEG</t>
        </is>
      </c>
    </row>
    <row r="16" ht="32" customHeight="1">
      <c r="B16" s="19" t="inlineStr">
        <is>
          <t>Si le statut est 'Complétée' : 100 %. Si un pourcentage est saisi dans la colonne '% saisi' de l'onglet Taches, il est utilisé. Sinon, l'avancement par défaut du statut ci-dessus s'applique.</t>
        </is>
      </c>
    </row>
    <row r="17" ht="32" customHeight="1">
      <c r="B17" s="19" t="inlineStr">
        <is>
          <t>Une tâche 'Abandonnée' sort des totaux de charge. La charge réalisée = charge retenue x avancement. Les modules, versions, processus et le tableau de bord sont calculés à partir de ces deux colonnes.</t>
        </is>
      </c>
    </row>
    <row r="18">
      <c r="J18" s="20" t="inlineStr">
        <is>
          <t>FIN</t>
        </is>
      </c>
    </row>
    <row r="19">
      <c r="J19" s="20" t="inlineStr">
        <is>
          <t>SUP</t>
        </is>
      </c>
    </row>
    <row r="20">
      <c r="J20" s="20" t="inlineStr">
        <is>
          <t>OPS</t>
        </is>
      </c>
    </row>
    <row r="21">
      <c r="J21" s="20" t="inlineStr">
        <is>
          <t>REB</t>
        </is>
      </c>
    </row>
    <row r="22">
      <c r="J22" s="20" t="inlineStr">
        <is>
          <t>CNX</t>
        </is>
      </c>
    </row>
    <row r="23">
      <c r="J23" s="20" t="inlineStr">
        <is>
          <t>DIA</t>
        </is>
      </c>
    </row>
    <row r="24">
      <c r="J24" s="20" t="inlineStr">
        <is>
          <t>EXP</t>
        </is>
      </c>
    </row>
    <row r="25">
      <c r="J25" s="20" t="inlineStr">
        <is>
          <t>VDR-IA</t>
        </is>
      </c>
    </row>
  </sheetData>
  <mergeCells count="2">
    <mergeCell ref="B16:R16"/>
    <mergeCell ref="B17:R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2026-09-10T01:44:28Z</dcterms:created>
  <dcterms:modified xsi:type="dcterms:W3CDTF">2026-09-10T01:44:29Z</dcterms:modified>
</cp:coreProperties>
</file>