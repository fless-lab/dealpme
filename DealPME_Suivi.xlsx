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lan_execution" sheetId="2" state="visible" r:id="rId2"/>
    <sheet name="Presentation" sheetId="3" state="visible" r:id="rId3"/>
    <sheet name="Feuille_de_route" sheetId="4" state="visible" r:id="rId4"/>
    <sheet name="Guide" sheetId="5" state="visible" r:id="rId5"/>
    <sheet name="Taches" sheetId="6" state="visible" r:id="rId6"/>
    <sheet name="Equipe" sheetId="7" state="visible" r:id="rId7"/>
    <sheet name="Modules" sheetId="8" state="visible" r:id="rId8"/>
    <sheet name="Versions" sheetId="9" state="visible" r:id="rId9"/>
    <sheet name="Gantt" sheetId="10" state="visible" r:id="rId10"/>
    <sheet name="Jalons" sheetId="11" state="visible" r:id="rId11"/>
    <sheet name="Risques" sheetId="12" state="visible" r:id="rId12"/>
    <sheet name="Securite" sheetId="13" state="visible" r:id="rId13"/>
    <sheet name="Decisions" sheetId="14" state="visible" r:id="rId14"/>
    <sheet name="Processus" sheetId="15" state="visible" r:id="rId15"/>
    <sheet name="Acteurs" sheetId="16" state="visible" r:id="rId16"/>
    <sheet name="Parametres" sheetId="17" state="visible" r:id="rId17"/>
  </sheets>
  <definedNames>
    <definedName name="_xlnm._FilterDatabase" localSheetId="1" hidden="1">'Plan_execution'!$B$5:$M$18</definedName>
    <definedName name="_xlnm._FilterDatabase" localSheetId="5"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4" fillId="0" borderId="1" applyAlignment="1" pivotButton="0" quotePrefix="0" xfId="0">
      <alignment vertical="top" wrapText="1"/>
    </xf>
    <xf numFmtId="0" fontId="9" fillId="2" borderId="0" pivotButton="0" quotePrefix="0" xfId="0"/>
    <xf numFmtId="0" fontId="4" fillId="0" borderId="0"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Avancement calculé depuis les tâches : réalisations conservées, compléments suivis séparément. Calendrier des versions maintenu. Source persistante : devX/build_suivi.py.</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COUNTIFS(Risques!$H$6:$H$74,"Critique",Risques!$L$6:$L$74,"&lt;&gt;Clos")+COUNTIFS(Risques!$H$6:$H$74,"Élevé",Risques!$L$6:$L$74,"&lt;&gt;Clos")</f>
        <v/>
      </c>
      <c r="I10" s="7" t="n"/>
      <c r="J10" s="9">
        <f>COUNTIF(Decisions!$F$6:$F$86,"Ouvert")+COUNTIF(Decisions!$F$6:$F$86,"En discussion")</f>
        <v/>
      </c>
      <c r="K10" s="7" t="n"/>
      <c r="L10" s="9">
        <f>COUNTIF(Jalons!$I$6:$I$24,"Dépassé")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COUNTIF(Risques!$L$6:$L$74,"Ouvert")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IFERROR(INDEX(Jalons!$C$6:$C$24,MATCH(MIN(Jalons!$J$6:$J$24),Jalons!$J$6:$J$24,0)),"Aucun")</f>
        <v/>
      </c>
      <c r="J49" s="4">
        <f>IFERROR(MIN(Jalons!$J$6:$J$24),"")</f>
        <v/>
      </c>
    </row>
    <row r="50">
      <c r="B50" s="3" t="inlineStr">
        <is>
          <t>Jalons des 30 prochains jours</t>
        </is>
      </c>
      <c r="D50" s="5">
        <f>COUNTIFS(Jalons!$E$6:$E$24,"&gt;="&amp;TODAY(),Jalons!$E$6:$E$24,"&lt;="&amp;(TODAY()+30),Jalons!$F$6:$F$24,"&lt;&gt;Atteint")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6678F1"/>
    <outlinePr summaryBelow="1" summaryRight="1"/>
    <pageSetUpPr/>
  </sheetPr>
  <dimension ref="B2:M18"/>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34" customWidth="1" min="3" max="3"/>
    <col width="9" customWidth="1" min="4" max="4"/>
    <col width="54" customWidth="1" min="5" max="5"/>
    <col width="46" customWidth="1" min="6" max="6"/>
    <col width="54" customWidth="1" min="7" max="7"/>
    <col width="12" customWidth="1" min="8" max="8"/>
    <col width="12" customWidth="1" min="9" max="9"/>
    <col width="12" customWidth="1" min="10" max="10"/>
    <col width="12" customWidth="1" min="11" max="11"/>
    <col width="14" customWidth="1" min="12" max="12"/>
    <col width="60" customWidth="1" min="13" max="13"/>
  </cols>
  <sheetData>
    <row r="2">
      <c r="B2" s="1" t="inlineStr">
        <is>
          <t>Plan d'exécution par lots</t>
        </is>
      </c>
    </row>
    <row r="3">
      <c r="B3" s="17" t="inlineStr">
        <is>
          <t>L01 et L02 clôturés ; prochain lot technique : L03. L00 coordonne les accès en parallèle. Avancement calculé depuis Taches ; détail : docs/PLAN_EXECUTION.md.</t>
        </is>
      </c>
    </row>
    <row r="5" ht="32" customHeight="1">
      <c r="B5" s="11" t="inlineStr">
        <is>
          <t>Lot</t>
        </is>
      </c>
      <c r="C5" s="11" t="inlineStr">
        <is>
          <t>Objet</t>
        </is>
      </c>
      <c r="D5" s="11" t="inlineStr">
        <is>
          <t>Version</t>
        </is>
      </c>
      <c r="E5" s="11" t="inlineStr">
        <is>
          <t>Tâches liées</t>
        </is>
      </c>
      <c r="F5" s="11" t="inlineStr">
        <is>
          <t>Prérequis / accès</t>
        </is>
      </c>
      <c r="G5" s="11" t="inlineStr">
        <is>
          <t>Résultat attendu</t>
        </is>
      </c>
      <c r="H5" s="11" t="inlineStr">
        <is>
          <t>Charge (j/p)</t>
        </is>
      </c>
      <c r="I5" s="11" t="inlineStr">
        <is>
          <t>Réalisé estimé</t>
        </is>
      </c>
      <c r="J5" s="11" t="inlineStr">
        <is>
          <t>Reste (j/p)</t>
        </is>
      </c>
      <c r="K5" s="11" t="inlineStr">
        <is>
          <t>Avancement</t>
        </is>
      </c>
      <c r="L5" s="11" t="inlineStr">
        <is>
          <t>État du lot</t>
        </is>
      </c>
      <c r="M5" s="11" t="inlineStr">
        <is>
          <t>Preuves attendues</t>
        </is>
      </c>
    </row>
    <row r="6" ht="80" customHeight="1">
      <c r="B6" s="18" t="inlineStr">
        <is>
          <t>L00</t>
        </is>
      </c>
      <c r="C6" s="18" t="inlineStr">
        <is>
          <t>Références, serveur et accès</t>
        </is>
      </c>
      <c r="D6" s="18" t="inlineStr">
        <is>
          <t>V1</t>
        </is>
      </c>
      <c r="E6" s="18" t="inlineStr">
        <is>
          <t>V1-067, V1-103, V1-108</t>
        </is>
      </c>
      <c r="F6" s="18" t="inlineStr">
        <is>
          <t>Coordination parallèle ; ne bloque pas L01</t>
        </is>
      </c>
      <c r="G6" s="18" t="inlineStr">
        <is>
          <t>Carte du corpus et demandes d'accès/serveur suivies</t>
        </is>
      </c>
      <c r="H6" s="15">
        <f>SUMIF(Taches!$B$6:$B$325,"V1-067",Taches!$M$6:$M$325)+SUMIF(Taches!$B$6:$B$325,"V1-103",Taches!$M$6:$M$325)+SUMIF(Taches!$B$6:$B$325,"V1-108",Taches!$M$6:$M$325)</f>
        <v/>
      </c>
      <c r="I6" s="15">
        <f>SUMIF(Taches!$B$6:$B$325,"V1-067",Taches!$N$6:$N$325)+SUMIF(Taches!$B$6:$B$325,"V1-103",Taches!$N$6:$N$325)+SUMIF(Taches!$B$6:$B$325,"V1-108",Taches!$N$6:$N$325)</f>
        <v/>
      </c>
      <c r="J6" s="15">
        <f>H6-I6</f>
        <v/>
      </c>
      <c r="K6" s="16">
        <f>IF(H6=0,0,I6/H6)</f>
        <v/>
      </c>
      <c r="L6" s="12">
        <f>IF(K6&gt;=0.999,"Terminé",IF(I6&gt;0,"Amorcé","À engager"))</f>
        <v/>
      </c>
      <c r="M6" s="18" t="inlineStr">
        <is>
          <t>docs/COMPTE_RENDU_DIRECTION_2026-09-12.md ; docs/DEMANDE_INFRA_ACCES.md</t>
        </is>
      </c>
    </row>
    <row r="7" ht="80" customHeight="1">
      <c r="B7" s="18" t="inlineStr">
        <is>
          <t>L01</t>
        </is>
      </c>
      <c r="C7" s="18" t="inlineStr">
        <is>
          <t>CI réellement bloquante</t>
        </is>
      </c>
      <c r="D7" s="18" t="inlineStr">
        <is>
          <t>V1</t>
        </is>
      </c>
      <c r="E7" s="18" t="inlineStr">
        <is>
          <t>V1-091</t>
        </is>
      </c>
      <c r="F7" s="18" t="inlineStr">
        <is>
          <t>Aucun accès fournisseur requis</t>
        </is>
      </c>
      <c r="G7" s="18" t="inlineStr">
        <is>
          <t>Lint, tests et tous les builds font échouer la CI en cas de défaut</t>
        </is>
      </c>
      <c r="H7" s="15">
        <f>SUMIF(Taches!$B$6:$B$325,"V1-091",Taches!$M$6:$M$325)</f>
        <v/>
      </c>
      <c r="I7" s="15">
        <f>SUMIF(Taches!$B$6:$B$325,"V1-091",Taches!$N$6:$N$325)</f>
        <v/>
      </c>
      <c r="J7" s="15">
        <f>H7-I7</f>
        <v/>
      </c>
      <c r="K7" s="16">
        <f>IF(H7=0,0,I7/H7)</f>
        <v/>
      </c>
      <c r="L7" s="12">
        <f>IF(K7&gt;=0.999,"Terminé",IF(I7&gt;0,"Amorcé","À engager"))</f>
        <v/>
      </c>
      <c r="M7" s="18" t="inlineStr">
        <is>
          <t>Rapport CI et échec contrôlé</t>
        </is>
      </c>
    </row>
    <row r="8" ht="80" customHeight="1">
      <c r="B8" s="18" t="inlineStr">
        <is>
          <t>L02</t>
        </is>
      </c>
      <c r="C8" s="18" t="inlineStr">
        <is>
          <t>Messagerie et audit durable</t>
        </is>
      </c>
      <c r="D8" s="18" t="inlineStr">
        <is>
          <t>V1</t>
        </is>
      </c>
      <c r="E8" s="18" t="inlineStr">
        <is>
          <t>V1-094, V1-095</t>
        </is>
      </c>
      <c r="F8" s="18" t="inlineStr">
        <is>
          <t>L01</t>
        </is>
      </c>
      <c r="G8" s="18" t="inlineStr">
        <is>
          <t>Échanges ciblés et traces persistées malgré les pannes</t>
        </is>
      </c>
      <c r="H8" s="15">
        <f>SUMIF(Taches!$B$6:$B$325,"V1-094",Taches!$M$6:$M$325)+SUMIF(Taches!$B$6:$B$325,"V1-095",Taches!$M$6:$M$325)</f>
        <v/>
      </c>
      <c r="I8" s="15">
        <f>SUMIF(Taches!$B$6:$B$325,"V1-094",Taches!$N$6:$N$325)+SUMIF(Taches!$B$6:$B$325,"V1-095",Taches!$N$6:$N$325)</f>
        <v/>
      </c>
      <c r="J8" s="15">
        <f>H8-I8</f>
        <v/>
      </c>
      <c r="K8" s="16">
        <f>IF(H8=0,0,I8/H8)</f>
        <v/>
      </c>
      <c r="L8" s="12">
        <f>IF(K8&gt;=0.999,"Terminé",IF(I8&gt;0,"Amorcé","À engager"))</f>
        <v/>
      </c>
      <c r="M8" s="18" t="inlineStr">
        <is>
          <t>Tests multi-repreneurs, transaction/outbox et panne</t>
        </is>
      </c>
    </row>
    <row r="9" ht="80" customHeight="1">
      <c r="B9" s="18" t="inlineStr">
        <is>
          <t>L03</t>
        </is>
      </c>
      <c r="C9" s="18" t="inlineStr">
        <is>
          <t>Email et SMS local/réel</t>
        </is>
      </c>
      <c r="D9" s="18" t="inlineStr">
        <is>
          <t>V1</t>
        </is>
      </c>
      <c r="E9" s="18" t="inlineStr">
        <is>
          <t>V1-093, V1-101, V1-102, V1-028</t>
        </is>
      </c>
      <c r="F9" s="18" t="inlineStr">
        <is>
          <t>L02 ; accès opérateur pour la sous-recette réelle seulement</t>
        </is>
      </c>
      <c r="G9" s="18" t="inlineStr">
        <is>
          <t>OTP reçu dans les boîtes, contrats testés puis activables chez le fournisseur</t>
        </is>
      </c>
      <c r="H9" s="15">
        <f>SUMIF(Taches!$B$6:$B$325,"V1-093",Taches!$M$6:$M$325)+SUMIF(Taches!$B$6:$B$325,"V1-101",Taches!$M$6:$M$325)+SUMIF(Taches!$B$6:$B$325,"V1-102",Taches!$M$6:$M$325)+SUMIF(Taches!$B$6:$B$325,"V1-028",Taches!$M$6:$M$325)</f>
        <v/>
      </c>
      <c r="I9" s="15">
        <f>SUMIF(Taches!$B$6:$B$325,"V1-093",Taches!$N$6:$N$325)+SUMIF(Taches!$B$6:$B$325,"V1-101",Taches!$N$6:$N$325)+SUMIF(Taches!$B$6:$B$325,"V1-102",Taches!$N$6:$N$325)+SUMIF(Taches!$B$6:$B$325,"V1-028",Taches!$N$6:$N$325)</f>
        <v/>
      </c>
      <c r="J9" s="15">
        <f>H9-I9</f>
        <v/>
      </c>
      <c r="K9" s="16">
        <f>IF(H9=0,0,I9/H9)</f>
        <v/>
      </c>
      <c r="L9" s="12">
        <f>IF(K9&gt;=0.999,"Terminé",IF(I9&gt;0,"Amorcé","À engager"))</f>
        <v/>
      </c>
      <c r="M9" s="18" t="inlineStr">
        <is>
          <t>Contrats transports, E2E sans devCode, preuve sandbox opérateur</t>
        </is>
      </c>
    </row>
    <row r="10" ht="80" customHeight="1">
      <c r="B10" s="18" t="inlineStr">
        <is>
          <t>L04</t>
        </is>
      </c>
      <c r="C10" s="18" t="inlineStr">
        <is>
          <t>CFE, alertes et exploitation</t>
        </is>
      </c>
      <c r="D10" s="18" t="inlineStr">
        <is>
          <t>V1</t>
        </is>
      </c>
      <c r="E10" s="18" t="inlineStr">
        <is>
          <t>V1-109, V1-035, V1-096, V1-097, V1-098, V1-009</t>
        </is>
      </c>
      <c r="F10" s="18" t="inlineStr">
        <is>
          <t>L03 ; A19 pour staging, A02 pour API CFE réelle</t>
        </is>
      </c>
      <c r="G10" s="18" t="inlineStr">
        <is>
          <t>CFE manuel/mock, notifications consenties et environnement reproductible</t>
        </is>
      </c>
      <c r="H10" s="15">
        <f>SUMIF(Taches!$B$6:$B$325,"V1-109",Taches!$M$6:$M$325)+SUMIF(Taches!$B$6:$B$325,"V1-035",Taches!$M$6:$M$325)+SUMIF(Taches!$B$6:$B$325,"V1-096",Taches!$M$6:$M$325)+SUMIF(Taches!$B$6:$B$325,"V1-097",Taches!$M$6:$M$325)+SUMIF(Taches!$B$6:$B$325,"V1-098",Taches!$M$6:$M$325)+SUMIF(Taches!$B$6:$B$325,"V1-009",Taches!$M$6:$M$325)</f>
        <v/>
      </c>
      <c r="I10" s="15">
        <f>SUMIF(Taches!$B$6:$B$325,"V1-109",Taches!$N$6:$N$325)+SUMIF(Taches!$B$6:$B$325,"V1-035",Taches!$N$6:$N$325)+SUMIF(Taches!$B$6:$B$325,"V1-096",Taches!$N$6:$N$325)+SUMIF(Taches!$B$6:$B$325,"V1-097",Taches!$N$6:$N$325)+SUMIF(Taches!$B$6:$B$325,"V1-098",Taches!$N$6:$N$325)+SUMIF(Taches!$B$6:$B$325,"V1-009",Taches!$N$6:$N$325)</f>
        <v/>
      </c>
      <c r="J10" s="15">
        <f>H10-I10</f>
        <v/>
      </c>
      <c r="K10" s="16">
        <f>IF(H10=0,0,I10/H10)</f>
        <v/>
      </c>
      <c r="L10" s="12">
        <f>IF(K10&gt;=0.999,"Terminé",IF(I10&gt;0,"Amorcé","À engager"))</f>
        <v/>
      </c>
      <c r="M10" s="18" t="inlineStr">
        <is>
          <t>Tests trois modes CFE, livraison, supervision et restauration</t>
        </is>
      </c>
    </row>
    <row r="11" ht="80" customHeight="1">
      <c r="B11" s="18" t="inlineStr">
        <is>
          <t>L05</t>
        </is>
      </c>
      <c r="C11" s="18" t="inlineStr">
        <is>
          <t>Événements et prototype de captation</t>
        </is>
      </c>
      <c r="D11" s="18" t="inlineStr">
        <is>
          <t>V1</t>
        </is>
      </c>
      <c r="E11" s="18" t="inlineStr">
        <is>
          <t>V1-007, V1-068, V1-071, V1-104, V1-105, V1-106, V1-107</t>
        </is>
      </c>
      <c r="F11" s="18" t="inlineStr">
        <is>
          <t>L03 ; A17/A18 ; code local possible avant accès</t>
        </is>
      </c>
      <c r="G11" s="18" t="inlineStr">
        <is>
          <t>Création depuis DealPME, quotas partagés et faisabilité captation démontrés</t>
        </is>
      </c>
      <c r="H11" s="15">
        <f>SUMIF(Taches!$B$6:$B$325,"V1-007",Taches!$M$6:$M$325)+SUMIF(Taches!$B$6:$B$325,"V1-068",Taches!$M$6:$M$325)+SUMIF(Taches!$B$6:$B$325,"V1-071",Taches!$M$6:$M$325)+SUMIF(Taches!$B$6:$B$325,"V1-104",Taches!$M$6:$M$325)+SUMIF(Taches!$B$6:$B$325,"V1-105",Taches!$M$6:$M$325)+SUMIF(Taches!$B$6:$B$325,"V1-106",Taches!$M$6:$M$325)+SUMIF(Taches!$B$6:$B$325,"V1-107",Taches!$M$6:$M$325)</f>
        <v/>
      </c>
      <c r="I11" s="15">
        <f>SUMIF(Taches!$B$6:$B$325,"V1-007",Taches!$N$6:$N$325)+SUMIF(Taches!$B$6:$B$325,"V1-068",Taches!$N$6:$N$325)+SUMIF(Taches!$B$6:$B$325,"V1-071",Taches!$N$6:$N$325)+SUMIF(Taches!$B$6:$B$325,"V1-104",Taches!$N$6:$N$325)+SUMIF(Taches!$B$6:$B$325,"V1-105",Taches!$N$6:$N$325)+SUMIF(Taches!$B$6:$B$325,"V1-106",Taches!$N$6:$N$325)+SUMIF(Taches!$B$6:$B$325,"V1-107",Taches!$N$6:$N$325)</f>
        <v/>
      </c>
      <c r="J11" s="15">
        <f>H11-I11</f>
        <v/>
      </c>
      <c r="K11" s="16">
        <f>IF(H11=0,0,I11/H11)</f>
        <v/>
      </c>
      <c r="L11" s="12">
        <f>IF(K11&gt;=0.999,"Terminé",IF(I11&gt;0,"Amorcé","À engager"))</f>
        <v/>
      </c>
      <c r="M11" s="18" t="inlineStr">
        <is>
          <t>Matrice fournisseur, scénario organisateur, réservation concurrente et enregistrement</t>
        </is>
      </c>
    </row>
    <row r="12" ht="80" customHeight="1">
      <c r="B12" s="18" t="inlineStr">
        <is>
          <t>L06</t>
        </is>
      </c>
      <c r="C12" s="18" t="inlineStr">
        <is>
          <t>Interface, accessibilité et fidélité</t>
        </is>
      </c>
      <c r="D12" s="18" t="inlineStr">
        <is>
          <t>V1</t>
        </is>
      </c>
      <c r="E12" s="18" t="inlineStr">
        <is>
          <t>V1-092, V1-099, V1-080, V1-081, V1-083, V1-086, V1-075</t>
        </is>
      </c>
      <c r="F12" s="18" t="inlineStr">
        <is>
          <t>Contrats dès L01 ; recette finale après L04/L05</t>
        </is>
      </c>
      <c r="G12" s="18" t="inlineStr">
        <is>
          <t>Surfaces cohérentes avec références et accessibles</t>
        </is>
      </c>
      <c r="H12" s="15">
        <f>SUMIF(Taches!$B$6:$B$325,"V1-092",Taches!$M$6:$M$325)+SUMIF(Taches!$B$6:$B$325,"V1-099",Taches!$M$6:$M$325)+SUMIF(Taches!$B$6:$B$325,"V1-080",Taches!$M$6:$M$325)+SUMIF(Taches!$B$6:$B$325,"V1-081",Taches!$M$6:$M$325)+SUMIF(Taches!$B$6:$B$325,"V1-083",Taches!$M$6:$M$325)+SUMIF(Taches!$B$6:$B$325,"V1-086",Taches!$M$6:$M$325)+SUMIF(Taches!$B$6:$B$325,"V1-075",Taches!$M$6:$M$325)</f>
        <v/>
      </c>
      <c r="I12" s="15">
        <f>SUMIF(Taches!$B$6:$B$325,"V1-092",Taches!$N$6:$N$325)+SUMIF(Taches!$B$6:$B$325,"V1-099",Taches!$N$6:$N$325)+SUMIF(Taches!$B$6:$B$325,"V1-080",Taches!$N$6:$N$325)+SUMIF(Taches!$B$6:$B$325,"V1-081",Taches!$N$6:$N$325)+SUMIF(Taches!$B$6:$B$325,"V1-083",Taches!$N$6:$N$325)+SUMIF(Taches!$B$6:$B$325,"V1-086",Taches!$N$6:$N$325)+SUMIF(Taches!$B$6:$B$325,"V1-075",Taches!$N$6:$N$325)</f>
        <v/>
      </c>
      <c r="J12" s="15">
        <f>H12-I12</f>
        <v/>
      </c>
      <c r="K12" s="16">
        <f>IF(H12=0,0,I12/H12)</f>
        <v/>
      </c>
      <c r="L12" s="12">
        <f>IF(K12&gt;=0.999,"Terminé",IF(I12&gt;0,"Amorcé","À engager"))</f>
        <v/>
      </c>
      <c r="M12" s="18" t="inlineStr">
        <is>
          <t>Registre, contrôles navigateur, captures et journal de fidélité</t>
        </is>
      </c>
    </row>
    <row r="13" ht="80" customHeight="1">
      <c r="B13" s="18" t="inlineStr">
        <is>
          <t>L07</t>
        </is>
      </c>
      <c r="C13" s="18" t="inlineStr">
        <is>
          <t>Recette et démonstration V1</t>
        </is>
      </c>
      <c r="D13" s="18" t="inlineStr">
        <is>
          <t>V1</t>
        </is>
      </c>
      <c r="E13" s="18" t="inlineStr">
        <is>
          <t>V1-100, V1-066, V1-088, V1-090</t>
        </is>
      </c>
      <c r="F13" s="18" t="inlineStr">
        <is>
          <t>L02 à L06 ; validation métier</t>
        </is>
      </c>
      <c r="G13" s="18" t="inlineStr">
        <is>
          <t>Parcours complet rejouable, validations et anomalies closes</t>
        </is>
      </c>
      <c r="H13" s="15">
        <f>SUMIF(Taches!$B$6:$B$325,"V1-100",Taches!$M$6:$M$325)+SUMIF(Taches!$B$6:$B$325,"V1-066",Taches!$M$6:$M$325)+SUMIF(Taches!$B$6:$B$325,"V1-088",Taches!$M$6:$M$325)+SUMIF(Taches!$B$6:$B$325,"V1-090",Taches!$M$6:$M$325)</f>
        <v/>
      </c>
      <c r="I13" s="15">
        <f>SUMIF(Taches!$B$6:$B$325,"V1-100",Taches!$N$6:$N$325)+SUMIF(Taches!$B$6:$B$325,"V1-066",Taches!$N$6:$N$325)+SUMIF(Taches!$B$6:$B$325,"V1-088",Taches!$N$6:$N$325)+SUMIF(Taches!$B$6:$B$325,"V1-090",Taches!$N$6:$N$325)</f>
        <v/>
      </c>
      <c r="J13" s="15">
        <f>H13-I13</f>
        <v/>
      </c>
      <c r="K13" s="16">
        <f>IF(H13=0,0,I13/H13)</f>
        <v/>
      </c>
      <c r="L13" s="12">
        <f>IF(K13&gt;=0.999,"Terminé",IF(I13&gt;0,"Amorcé","À engager"))</f>
        <v/>
      </c>
      <c r="M13" s="18" t="inlineStr">
        <is>
          <t>qa/e2e-results.json et compte rendu de recette</t>
        </is>
      </c>
    </row>
    <row r="14" ht="90" customHeight="1">
      <c r="B14" s="18" t="inlineStr">
        <is>
          <t>L08</t>
        </is>
      </c>
      <c r="C14" s="18" t="inlineStr">
        <is>
          <t>Cœur V2 : RPS, NDA et VDR</t>
        </is>
      </c>
      <c r="D14" s="18" t="inlineStr">
        <is>
          <t>V2</t>
        </is>
      </c>
      <c r="E14" s="18" t="inlineStr">
        <is>
          <t>V2-001, V2-002, V2-003, V2-004, V2-005, V2-006, V2-007, V2-008, V2-009, V2-010, V2-011, V2-012, V2-013, V2-014, V2-015, V2-016, V2-017, V2-018, V2-019, V2-020, V2-021, V2-022, V2-023, V2-024, V2-025, V2-026, V2-027, V2-028, V2-029, V2-030, V2-031, V2-032, V2-033, V2-034, V2-035, V2-036, V2-037, V2-038, V2-039, V2-040, V2-041, V2-042, V2-044, V2-045, V2-046</t>
        </is>
      </c>
      <c r="F14" s="18" t="inlineStr">
        <is>
          <t>L07 ; PSC/PSAE pour signature réelle</t>
        </is>
      </c>
      <c r="G14" s="18" t="inlineStr">
        <is>
          <t>Qualification &gt; admission &gt; NDA &gt; T2 &gt; document &gt; révocation &gt; Q&amp;R</t>
        </is>
      </c>
      <c r="H14" s="15">
        <f>SUMIF(Taches!$B$6:$B$325,"V2-001",Taches!$M$6:$M$325)+SUMIF(Taches!$B$6:$B$325,"V2-002",Taches!$M$6:$M$325)+SUMIF(Taches!$B$6:$B$325,"V2-003",Taches!$M$6:$M$325)+SUMIF(Taches!$B$6:$B$325,"V2-004",Taches!$M$6:$M$325)+SUMIF(Taches!$B$6:$B$325,"V2-005",Taches!$M$6:$M$325)+SUMIF(Taches!$B$6:$B$325,"V2-006",Taches!$M$6:$M$325)+SUMIF(Taches!$B$6:$B$325,"V2-007",Taches!$M$6:$M$325)+SUMIF(Taches!$B$6:$B$325,"V2-008",Taches!$M$6:$M$325)+SUMIF(Taches!$B$6:$B$325,"V2-009",Taches!$M$6:$M$325)+SUMIF(Taches!$B$6:$B$325,"V2-010",Taches!$M$6:$M$325)+SUMIF(Taches!$B$6:$B$325,"V2-011",Taches!$M$6:$M$325)+SUMIF(Taches!$B$6:$B$325,"V2-012",Taches!$M$6:$M$325)+SUMIF(Taches!$B$6:$B$325,"V2-013",Taches!$M$6:$M$325)+SUMIF(Taches!$B$6:$B$325,"V2-014",Taches!$M$6:$M$325)+SUMIF(Taches!$B$6:$B$325,"V2-015",Taches!$M$6:$M$325)+SUMIF(Taches!$B$6:$B$325,"V2-016",Taches!$M$6:$M$325)+SUMIF(Taches!$B$6:$B$325,"V2-017",Taches!$M$6:$M$325)+SUMIF(Taches!$B$6:$B$325,"V2-018",Taches!$M$6:$M$325)+SUMIF(Taches!$B$6:$B$325,"V2-019",Taches!$M$6:$M$325)+SUMIF(Taches!$B$6:$B$325,"V2-020",Taches!$M$6:$M$325)+SUMIF(Taches!$B$6:$B$325,"V2-021",Taches!$M$6:$M$325)+SUMIF(Taches!$B$6:$B$325,"V2-022",Taches!$M$6:$M$325)+SUMIF(Taches!$B$6:$B$325,"V2-023",Taches!$M$6:$M$325)+SUMIF(Taches!$B$6:$B$325,"V2-024",Taches!$M$6:$M$325)+SUMIF(Taches!$B$6:$B$325,"V2-025",Taches!$M$6:$M$325)+SUMIF(Taches!$B$6:$B$325,"V2-026",Taches!$M$6:$M$325)+SUMIF(Taches!$B$6:$B$325,"V2-027",Taches!$M$6:$M$325)+SUMIF(Taches!$B$6:$B$325,"V2-028",Taches!$M$6:$M$325)+SUMIF(Taches!$B$6:$B$325,"V2-029",Taches!$M$6:$M$325)+SUMIF(Taches!$B$6:$B$325,"V2-030",Taches!$M$6:$M$325)+SUMIF(Taches!$B$6:$B$325,"V2-031",Taches!$M$6:$M$325)+SUMIF(Taches!$B$6:$B$325,"V2-032",Taches!$M$6:$M$325)+SUMIF(Taches!$B$6:$B$325,"V2-033",Taches!$M$6:$M$325)+SUMIF(Taches!$B$6:$B$325,"V2-034",Taches!$M$6:$M$325)+SUMIF(Taches!$B$6:$B$325,"V2-035",Taches!$M$6:$M$325)+SUMIF(Taches!$B$6:$B$325,"V2-036",Taches!$M$6:$M$325)+SUMIF(Taches!$B$6:$B$325,"V2-037",Taches!$M$6:$M$325)+SUMIF(Taches!$B$6:$B$325,"V2-038",Taches!$M$6:$M$325)+SUMIF(Taches!$B$6:$B$325,"V2-039",Taches!$M$6:$M$325)+SUMIF(Taches!$B$6:$B$325,"V2-040",Taches!$M$6:$M$325)+SUMIF(Taches!$B$6:$B$325,"V2-041",Taches!$M$6:$M$325)+SUMIF(Taches!$B$6:$B$325,"V2-042",Taches!$M$6:$M$325)+SUMIF(Taches!$B$6:$B$325,"V2-044",Taches!$M$6:$M$325)+SUMIF(Taches!$B$6:$B$325,"V2-045",Taches!$M$6:$M$325)+SUMIF(Taches!$B$6:$B$325,"V2-046",Taches!$M$6:$M$325)</f>
        <v/>
      </c>
      <c r="I14" s="15">
        <f>SUMIF(Taches!$B$6:$B$325,"V2-001",Taches!$N$6:$N$325)+SUMIF(Taches!$B$6:$B$325,"V2-002",Taches!$N$6:$N$325)+SUMIF(Taches!$B$6:$B$325,"V2-003",Taches!$N$6:$N$325)+SUMIF(Taches!$B$6:$B$325,"V2-004",Taches!$N$6:$N$325)+SUMIF(Taches!$B$6:$B$325,"V2-005",Taches!$N$6:$N$325)+SUMIF(Taches!$B$6:$B$325,"V2-006",Taches!$N$6:$N$325)+SUMIF(Taches!$B$6:$B$325,"V2-007",Taches!$N$6:$N$325)+SUMIF(Taches!$B$6:$B$325,"V2-008",Taches!$N$6:$N$325)+SUMIF(Taches!$B$6:$B$325,"V2-009",Taches!$N$6:$N$325)+SUMIF(Taches!$B$6:$B$325,"V2-010",Taches!$N$6:$N$325)+SUMIF(Taches!$B$6:$B$325,"V2-011",Taches!$N$6:$N$325)+SUMIF(Taches!$B$6:$B$325,"V2-012",Taches!$N$6:$N$325)+SUMIF(Taches!$B$6:$B$325,"V2-013",Taches!$N$6:$N$325)+SUMIF(Taches!$B$6:$B$325,"V2-014",Taches!$N$6:$N$325)+SUMIF(Taches!$B$6:$B$325,"V2-015",Taches!$N$6:$N$325)+SUMIF(Taches!$B$6:$B$325,"V2-016",Taches!$N$6:$N$325)+SUMIF(Taches!$B$6:$B$325,"V2-017",Taches!$N$6:$N$325)+SUMIF(Taches!$B$6:$B$325,"V2-018",Taches!$N$6:$N$325)+SUMIF(Taches!$B$6:$B$325,"V2-019",Taches!$N$6:$N$325)+SUMIF(Taches!$B$6:$B$325,"V2-020",Taches!$N$6:$N$325)+SUMIF(Taches!$B$6:$B$325,"V2-021",Taches!$N$6:$N$325)+SUMIF(Taches!$B$6:$B$325,"V2-022",Taches!$N$6:$N$325)+SUMIF(Taches!$B$6:$B$325,"V2-023",Taches!$N$6:$N$325)+SUMIF(Taches!$B$6:$B$325,"V2-024",Taches!$N$6:$N$325)+SUMIF(Taches!$B$6:$B$325,"V2-025",Taches!$N$6:$N$325)+SUMIF(Taches!$B$6:$B$325,"V2-026",Taches!$N$6:$N$325)+SUMIF(Taches!$B$6:$B$325,"V2-027",Taches!$N$6:$N$325)+SUMIF(Taches!$B$6:$B$325,"V2-028",Taches!$N$6:$N$325)+SUMIF(Taches!$B$6:$B$325,"V2-029",Taches!$N$6:$N$325)+SUMIF(Taches!$B$6:$B$325,"V2-030",Taches!$N$6:$N$325)+SUMIF(Taches!$B$6:$B$325,"V2-031",Taches!$N$6:$N$325)+SUMIF(Taches!$B$6:$B$325,"V2-032",Taches!$N$6:$N$325)+SUMIF(Taches!$B$6:$B$325,"V2-033",Taches!$N$6:$N$325)+SUMIF(Taches!$B$6:$B$325,"V2-034",Taches!$N$6:$N$325)+SUMIF(Taches!$B$6:$B$325,"V2-035",Taches!$N$6:$N$325)+SUMIF(Taches!$B$6:$B$325,"V2-036",Taches!$N$6:$N$325)+SUMIF(Taches!$B$6:$B$325,"V2-037",Taches!$N$6:$N$325)+SUMIF(Taches!$B$6:$B$325,"V2-038",Taches!$N$6:$N$325)+SUMIF(Taches!$B$6:$B$325,"V2-039",Taches!$N$6:$N$325)+SUMIF(Taches!$B$6:$B$325,"V2-040",Taches!$N$6:$N$325)+SUMIF(Taches!$B$6:$B$325,"V2-041",Taches!$N$6:$N$325)+SUMIF(Taches!$B$6:$B$325,"V2-042",Taches!$N$6:$N$325)+SUMIF(Taches!$B$6:$B$325,"V2-044",Taches!$N$6:$N$325)+SUMIF(Taches!$B$6:$B$325,"V2-045",Taches!$N$6:$N$325)+SUMIF(Taches!$B$6:$B$325,"V2-046",Taches!$N$6:$N$325)</f>
        <v/>
      </c>
      <c r="J14" s="15">
        <f>H14-I14</f>
        <v/>
      </c>
      <c r="K14" s="16">
        <f>IF(H14=0,0,I14/H14)</f>
        <v/>
      </c>
      <c r="L14" s="12">
        <f>IF(K14&gt;=0.999,"Terminé",IF(I14&gt;0,"Amorcé","À engager"))</f>
        <v/>
      </c>
      <c r="M14" s="18" t="inlineStr">
        <is>
          <t>Paliers, concurrence RPS, viewer, preuves et 12 cas du corpus</t>
        </is>
      </c>
    </row>
    <row r="15" ht="80" customHeight="1">
      <c r="B15" s="18" t="inlineStr">
        <is>
          <t>L09</t>
        </is>
      </c>
      <c r="C15" s="18" t="inlineStr">
        <is>
          <t>Mini-réunions, rapports et recette V2</t>
        </is>
      </c>
      <c r="D15" s="18" t="inlineStr">
        <is>
          <t>V2</t>
        </is>
      </c>
      <c r="E15" s="18" t="inlineStr">
        <is>
          <t>V2-047, V2-048, V2-049, V2-050, V2-043</t>
        </is>
      </c>
      <c r="F15" s="18" t="inlineStr">
        <is>
          <t>L08 pour accès dossiers ; L05 et A21 pour captation</t>
        </is>
      </c>
      <c r="G15" s="18" t="inlineStr">
        <is>
          <t>Réunions privées, rapports sourcés et permissions éprouvées</t>
        </is>
      </c>
      <c r="H15" s="15">
        <f>SUMIF(Taches!$B$6:$B$325,"V2-047",Taches!$M$6:$M$325)+SUMIF(Taches!$B$6:$B$325,"V2-048",Taches!$M$6:$M$325)+SUMIF(Taches!$B$6:$B$325,"V2-049",Taches!$M$6:$M$325)+SUMIF(Taches!$B$6:$B$325,"V2-050",Taches!$M$6:$M$325)+SUMIF(Taches!$B$6:$B$325,"V2-043",Taches!$M$6:$M$325)</f>
        <v/>
      </c>
      <c r="I15" s="15">
        <f>SUMIF(Taches!$B$6:$B$325,"V2-047",Taches!$N$6:$N$325)+SUMIF(Taches!$B$6:$B$325,"V2-048",Taches!$N$6:$N$325)+SUMIF(Taches!$B$6:$B$325,"V2-049",Taches!$N$6:$N$325)+SUMIF(Taches!$B$6:$B$325,"V2-050",Taches!$N$6:$N$325)+SUMIF(Taches!$B$6:$B$325,"V2-043",Taches!$N$6:$N$325)</f>
        <v/>
      </c>
      <c r="J15" s="15">
        <f>H15-I15</f>
        <v/>
      </c>
      <c r="K15" s="16">
        <f>IF(H15=0,0,I15/H15)</f>
        <v/>
      </c>
      <c r="L15" s="12">
        <f>IF(K15&gt;=0.999,"Terminé",IF(I15&gt;0,"Amorcé","À engager"))</f>
        <v/>
      </c>
      <c r="M15" s="18" t="inlineStr">
        <is>
          <t>Tests de captation, injection, révocation et recette V2 intégrée</t>
        </is>
      </c>
    </row>
    <row r="16" ht="105" customHeight="1">
      <c r="B16" s="18" t="inlineStr">
        <is>
          <t>L10</t>
        </is>
      </c>
      <c r="C16" s="18" t="inlineStr">
        <is>
          <t>V3 : transaction, services et exploitation</t>
        </is>
      </c>
      <c r="D16" s="18" t="inlineStr">
        <is>
          <t>V3</t>
        </is>
      </c>
      <c r="E16" s="18" t="inlineStr">
        <is>
          <t>V3-001, V3-002, V3-003, V3-004, V3-005, V3-006, V3-007, V3-008, V3-009, V3-010, V3-011, V3-012, V3-013, V3-014, V3-015, V3-016, V3-017, V3-018, V3-019, V3-020, V3-021, V3-022, V3-023, V3-024, V3-025, V3-026, V3-027, V3-028, V3-029, V3-030, V3-031, V3-032, V3-033, V3-034, V3-035, V3-036, V3-037, V3-038, V3-039, V3-040, V3-041, V3-042, V3-043, V3-044, V3-045, V3-046, V3-047, V3-048, V3-049, V3-050</t>
        </is>
      </c>
      <c r="F16" s="18" t="inlineStr">
        <is>
          <t>L09 ; A20, paiement et portes de conformité</t>
        </is>
      </c>
      <c r="G16" s="18" t="inlineStr">
        <is>
          <t>TaxeFacile/prestataires, transaction, facturation et exploitation intégrés</t>
        </is>
      </c>
      <c r="H16" s="15">
        <f>SUMIF(Taches!$B$6:$B$325,"V3-001",Taches!$M$6:$M$325)+SUMIF(Taches!$B$6:$B$325,"V3-002",Taches!$M$6:$M$325)+SUMIF(Taches!$B$6:$B$325,"V3-003",Taches!$M$6:$M$325)+SUMIF(Taches!$B$6:$B$325,"V3-004",Taches!$M$6:$M$325)+SUMIF(Taches!$B$6:$B$325,"V3-005",Taches!$M$6:$M$325)+SUMIF(Taches!$B$6:$B$325,"V3-006",Taches!$M$6:$M$325)+SUMIF(Taches!$B$6:$B$325,"V3-007",Taches!$M$6:$M$325)+SUMIF(Taches!$B$6:$B$325,"V3-008",Taches!$M$6:$M$325)+SUMIF(Taches!$B$6:$B$325,"V3-009",Taches!$M$6:$M$325)+SUMIF(Taches!$B$6:$B$325,"V3-010",Taches!$M$6:$M$325)+SUMIF(Taches!$B$6:$B$325,"V3-011",Taches!$M$6:$M$325)+SUMIF(Taches!$B$6:$B$325,"V3-012",Taches!$M$6:$M$325)+SUMIF(Taches!$B$6:$B$325,"V3-013",Taches!$M$6:$M$325)+SUMIF(Taches!$B$6:$B$325,"V3-014",Taches!$M$6:$M$325)+SUMIF(Taches!$B$6:$B$325,"V3-015",Taches!$M$6:$M$325)+SUMIF(Taches!$B$6:$B$325,"V3-016",Taches!$M$6:$M$325)+SUMIF(Taches!$B$6:$B$325,"V3-017",Taches!$M$6:$M$325)+SUMIF(Taches!$B$6:$B$325,"V3-018",Taches!$M$6:$M$325)+SUMIF(Taches!$B$6:$B$325,"V3-019",Taches!$M$6:$M$325)+SUMIF(Taches!$B$6:$B$325,"V3-020",Taches!$M$6:$M$325)+SUMIF(Taches!$B$6:$B$325,"V3-021",Taches!$M$6:$M$325)+SUMIF(Taches!$B$6:$B$325,"V3-022",Taches!$M$6:$M$325)+SUMIF(Taches!$B$6:$B$325,"V3-023",Taches!$M$6:$M$325)+SUMIF(Taches!$B$6:$B$325,"V3-024",Taches!$M$6:$M$325)+SUMIF(Taches!$B$6:$B$325,"V3-025",Taches!$M$6:$M$325)+SUMIF(Taches!$B$6:$B$325,"V3-026",Taches!$M$6:$M$325)+SUMIF(Taches!$B$6:$B$325,"V3-027",Taches!$M$6:$M$325)+SUMIF(Taches!$B$6:$B$325,"V3-028",Taches!$M$6:$M$325)+SUMIF(Taches!$B$6:$B$325,"V3-029",Taches!$M$6:$M$325)+SUMIF(Taches!$B$6:$B$325,"V3-030",Taches!$M$6:$M$325)+SUMIF(Taches!$B$6:$B$325,"V3-031",Taches!$M$6:$M$325)+SUMIF(Taches!$B$6:$B$325,"V3-032",Taches!$M$6:$M$325)+SUMIF(Taches!$B$6:$B$325,"V3-033",Taches!$M$6:$M$325)+SUMIF(Taches!$B$6:$B$325,"V3-034",Taches!$M$6:$M$325)+SUMIF(Taches!$B$6:$B$325,"V3-035",Taches!$M$6:$M$325)+SUMIF(Taches!$B$6:$B$325,"V3-036",Taches!$M$6:$M$325)+SUMIF(Taches!$B$6:$B$325,"V3-037",Taches!$M$6:$M$325)+SUMIF(Taches!$B$6:$B$325,"V3-038",Taches!$M$6:$M$325)+SUMIF(Taches!$B$6:$B$325,"V3-039",Taches!$M$6:$M$325)+SUMIF(Taches!$B$6:$B$325,"V3-040",Taches!$M$6:$M$325)+SUMIF(Taches!$B$6:$B$325,"V3-041",Taches!$M$6:$M$325)+SUMIF(Taches!$B$6:$B$325,"V3-042",Taches!$M$6:$M$325)+SUMIF(Taches!$B$6:$B$325,"V3-043",Taches!$M$6:$M$325)+SUMIF(Taches!$B$6:$B$325,"V3-044",Taches!$M$6:$M$325)+SUMIF(Taches!$B$6:$B$325,"V3-045",Taches!$M$6:$M$325)+SUMIF(Taches!$B$6:$B$325,"V3-046",Taches!$M$6:$M$325)+SUMIF(Taches!$B$6:$B$325,"V3-047",Taches!$M$6:$M$325)+SUMIF(Taches!$B$6:$B$325,"V3-048",Taches!$M$6:$M$325)+SUMIF(Taches!$B$6:$B$325,"V3-049",Taches!$M$6:$M$325)+SUMIF(Taches!$B$6:$B$325,"V3-050",Taches!$M$6:$M$325)</f>
        <v/>
      </c>
      <c r="I16" s="15">
        <f>SUMIF(Taches!$B$6:$B$325,"V3-001",Taches!$N$6:$N$325)+SUMIF(Taches!$B$6:$B$325,"V3-002",Taches!$N$6:$N$325)+SUMIF(Taches!$B$6:$B$325,"V3-003",Taches!$N$6:$N$325)+SUMIF(Taches!$B$6:$B$325,"V3-004",Taches!$N$6:$N$325)+SUMIF(Taches!$B$6:$B$325,"V3-005",Taches!$N$6:$N$325)+SUMIF(Taches!$B$6:$B$325,"V3-006",Taches!$N$6:$N$325)+SUMIF(Taches!$B$6:$B$325,"V3-007",Taches!$N$6:$N$325)+SUMIF(Taches!$B$6:$B$325,"V3-008",Taches!$N$6:$N$325)+SUMIF(Taches!$B$6:$B$325,"V3-009",Taches!$N$6:$N$325)+SUMIF(Taches!$B$6:$B$325,"V3-010",Taches!$N$6:$N$325)+SUMIF(Taches!$B$6:$B$325,"V3-011",Taches!$N$6:$N$325)+SUMIF(Taches!$B$6:$B$325,"V3-012",Taches!$N$6:$N$325)+SUMIF(Taches!$B$6:$B$325,"V3-013",Taches!$N$6:$N$325)+SUMIF(Taches!$B$6:$B$325,"V3-014",Taches!$N$6:$N$325)+SUMIF(Taches!$B$6:$B$325,"V3-015",Taches!$N$6:$N$325)+SUMIF(Taches!$B$6:$B$325,"V3-016",Taches!$N$6:$N$325)+SUMIF(Taches!$B$6:$B$325,"V3-017",Taches!$N$6:$N$325)+SUMIF(Taches!$B$6:$B$325,"V3-018",Taches!$N$6:$N$325)+SUMIF(Taches!$B$6:$B$325,"V3-019",Taches!$N$6:$N$325)+SUMIF(Taches!$B$6:$B$325,"V3-020",Taches!$N$6:$N$325)+SUMIF(Taches!$B$6:$B$325,"V3-021",Taches!$N$6:$N$325)+SUMIF(Taches!$B$6:$B$325,"V3-022",Taches!$N$6:$N$325)+SUMIF(Taches!$B$6:$B$325,"V3-023",Taches!$N$6:$N$325)+SUMIF(Taches!$B$6:$B$325,"V3-024",Taches!$N$6:$N$325)+SUMIF(Taches!$B$6:$B$325,"V3-025",Taches!$N$6:$N$325)+SUMIF(Taches!$B$6:$B$325,"V3-026",Taches!$N$6:$N$325)+SUMIF(Taches!$B$6:$B$325,"V3-027",Taches!$N$6:$N$325)+SUMIF(Taches!$B$6:$B$325,"V3-028",Taches!$N$6:$N$325)+SUMIF(Taches!$B$6:$B$325,"V3-029",Taches!$N$6:$N$325)+SUMIF(Taches!$B$6:$B$325,"V3-030",Taches!$N$6:$N$325)+SUMIF(Taches!$B$6:$B$325,"V3-031",Taches!$N$6:$N$325)+SUMIF(Taches!$B$6:$B$325,"V3-032",Taches!$N$6:$N$325)+SUMIF(Taches!$B$6:$B$325,"V3-033",Taches!$N$6:$N$325)+SUMIF(Taches!$B$6:$B$325,"V3-034",Taches!$N$6:$N$325)+SUMIF(Taches!$B$6:$B$325,"V3-035",Taches!$N$6:$N$325)+SUMIF(Taches!$B$6:$B$325,"V3-036",Taches!$N$6:$N$325)+SUMIF(Taches!$B$6:$B$325,"V3-037",Taches!$N$6:$N$325)+SUMIF(Taches!$B$6:$B$325,"V3-038",Taches!$N$6:$N$325)+SUMIF(Taches!$B$6:$B$325,"V3-039",Taches!$N$6:$N$325)+SUMIF(Taches!$B$6:$B$325,"V3-040",Taches!$N$6:$N$325)+SUMIF(Taches!$B$6:$B$325,"V3-041",Taches!$N$6:$N$325)+SUMIF(Taches!$B$6:$B$325,"V3-042",Taches!$N$6:$N$325)+SUMIF(Taches!$B$6:$B$325,"V3-043",Taches!$N$6:$N$325)+SUMIF(Taches!$B$6:$B$325,"V3-044",Taches!$N$6:$N$325)+SUMIF(Taches!$B$6:$B$325,"V3-045",Taches!$N$6:$N$325)+SUMIF(Taches!$B$6:$B$325,"V3-046",Taches!$N$6:$N$325)+SUMIF(Taches!$B$6:$B$325,"V3-047",Taches!$N$6:$N$325)+SUMIF(Taches!$B$6:$B$325,"V3-048",Taches!$N$6:$N$325)+SUMIF(Taches!$B$6:$B$325,"V3-049",Taches!$N$6:$N$325)+SUMIF(Taches!$B$6:$B$325,"V3-050",Taches!$N$6:$N$325)</f>
        <v/>
      </c>
      <c r="J16" s="15">
        <f>H16-I16</f>
        <v/>
      </c>
      <c r="K16" s="16">
        <f>IF(H16=0,0,I16/H16)</f>
        <v/>
      </c>
      <c r="L16" s="12">
        <f>IF(K16&gt;=0.999,"Terminé",IF(I16&gt;0,"Amorcé","À engager"))</f>
        <v/>
      </c>
      <c r="M16" s="18" t="inlineStr">
        <is>
          <t>Recette V3, rapprochements et preuves G1–G10</t>
        </is>
      </c>
    </row>
    <row r="17" ht="80" customHeight="1">
      <c r="B17" s="18" t="inlineStr">
        <is>
          <t>L11</t>
        </is>
      </c>
      <c r="C17" s="18" t="inlineStr">
        <is>
          <t>V4 : services étendus et salons</t>
        </is>
      </c>
      <c r="D17" s="18" t="inlineStr">
        <is>
          <t>V4</t>
        </is>
      </c>
      <c r="E17" s="18" t="inlineStr">
        <is>
          <t>V4-001, V4-002, V4-003, V4-004, V4-005, V4-006, V4-007, V4-008, V4-009, V4-010, V4-011, V4-012, V4-013, V4-014, V4-015, V4-016, V4-017, V4-018, V4-019, V4-020, V4-021, V4-022, V4-023, V4-024, V4-025, V4-026</t>
        </is>
      </c>
      <c r="F17" s="18" t="inlineStr">
        <is>
          <t>L10 ; captation par session qualifiée</t>
        </is>
      </c>
      <c r="G17" s="18" t="inlineStr">
        <is>
          <t>Rebond, Diaspora, Experts et rapports multi-sessions</t>
        </is>
      </c>
      <c r="H17" s="15">
        <f>SUMIF(Taches!$B$6:$B$325,"V4-001",Taches!$M$6:$M$325)+SUMIF(Taches!$B$6:$B$325,"V4-002",Taches!$M$6:$M$325)+SUMIF(Taches!$B$6:$B$325,"V4-003",Taches!$M$6:$M$325)+SUMIF(Taches!$B$6:$B$325,"V4-004",Taches!$M$6:$M$325)+SUMIF(Taches!$B$6:$B$325,"V4-005",Taches!$M$6:$M$325)+SUMIF(Taches!$B$6:$B$325,"V4-006",Taches!$M$6:$M$325)+SUMIF(Taches!$B$6:$B$325,"V4-007",Taches!$M$6:$M$325)+SUMIF(Taches!$B$6:$B$325,"V4-008",Taches!$M$6:$M$325)+SUMIF(Taches!$B$6:$B$325,"V4-009",Taches!$M$6:$M$325)+SUMIF(Taches!$B$6:$B$325,"V4-010",Taches!$M$6:$M$325)+SUMIF(Taches!$B$6:$B$325,"V4-011",Taches!$M$6:$M$325)+SUMIF(Taches!$B$6:$B$325,"V4-012",Taches!$M$6:$M$325)+SUMIF(Taches!$B$6:$B$325,"V4-013",Taches!$M$6:$M$325)+SUMIF(Taches!$B$6:$B$325,"V4-014",Taches!$M$6:$M$325)+SUMIF(Taches!$B$6:$B$325,"V4-015",Taches!$M$6:$M$325)+SUMIF(Taches!$B$6:$B$325,"V4-016",Taches!$M$6:$M$325)+SUMIF(Taches!$B$6:$B$325,"V4-017",Taches!$M$6:$M$325)+SUMIF(Taches!$B$6:$B$325,"V4-018",Taches!$M$6:$M$325)+SUMIF(Taches!$B$6:$B$325,"V4-019",Taches!$M$6:$M$325)+SUMIF(Taches!$B$6:$B$325,"V4-020",Taches!$M$6:$M$325)+SUMIF(Taches!$B$6:$B$325,"V4-021",Taches!$M$6:$M$325)+SUMIF(Taches!$B$6:$B$325,"V4-022",Taches!$M$6:$M$325)+SUMIF(Taches!$B$6:$B$325,"V4-023",Taches!$M$6:$M$325)+SUMIF(Taches!$B$6:$B$325,"V4-024",Taches!$M$6:$M$325)+SUMIF(Taches!$B$6:$B$325,"V4-025",Taches!$M$6:$M$325)+SUMIF(Taches!$B$6:$B$325,"V4-026",Taches!$M$6:$M$325)</f>
        <v/>
      </c>
      <c r="I17" s="15">
        <f>SUMIF(Taches!$B$6:$B$325,"V4-001",Taches!$N$6:$N$325)+SUMIF(Taches!$B$6:$B$325,"V4-002",Taches!$N$6:$N$325)+SUMIF(Taches!$B$6:$B$325,"V4-003",Taches!$N$6:$N$325)+SUMIF(Taches!$B$6:$B$325,"V4-004",Taches!$N$6:$N$325)+SUMIF(Taches!$B$6:$B$325,"V4-005",Taches!$N$6:$N$325)+SUMIF(Taches!$B$6:$B$325,"V4-006",Taches!$N$6:$N$325)+SUMIF(Taches!$B$6:$B$325,"V4-007",Taches!$N$6:$N$325)+SUMIF(Taches!$B$6:$B$325,"V4-008",Taches!$N$6:$N$325)+SUMIF(Taches!$B$6:$B$325,"V4-009",Taches!$N$6:$N$325)+SUMIF(Taches!$B$6:$B$325,"V4-010",Taches!$N$6:$N$325)+SUMIF(Taches!$B$6:$B$325,"V4-011",Taches!$N$6:$N$325)+SUMIF(Taches!$B$6:$B$325,"V4-012",Taches!$N$6:$N$325)+SUMIF(Taches!$B$6:$B$325,"V4-013",Taches!$N$6:$N$325)+SUMIF(Taches!$B$6:$B$325,"V4-014",Taches!$N$6:$N$325)+SUMIF(Taches!$B$6:$B$325,"V4-015",Taches!$N$6:$N$325)+SUMIF(Taches!$B$6:$B$325,"V4-016",Taches!$N$6:$N$325)+SUMIF(Taches!$B$6:$B$325,"V4-017",Taches!$N$6:$N$325)+SUMIF(Taches!$B$6:$B$325,"V4-018",Taches!$N$6:$N$325)+SUMIF(Taches!$B$6:$B$325,"V4-019",Taches!$N$6:$N$325)+SUMIF(Taches!$B$6:$B$325,"V4-020",Taches!$N$6:$N$325)+SUMIF(Taches!$B$6:$B$325,"V4-021",Taches!$N$6:$N$325)+SUMIF(Taches!$B$6:$B$325,"V4-022",Taches!$N$6:$N$325)+SUMIF(Taches!$B$6:$B$325,"V4-023",Taches!$N$6:$N$325)+SUMIF(Taches!$B$6:$B$325,"V4-024",Taches!$N$6:$N$325)+SUMIF(Taches!$B$6:$B$325,"V4-025",Taches!$N$6:$N$325)+SUMIF(Taches!$B$6:$B$325,"V4-026",Taches!$N$6:$N$325)</f>
        <v/>
      </c>
      <c r="J17" s="15">
        <f>H17-I17</f>
        <v/>
      </c>
      <c r="K17" s="16">
        <f>IF(H17=0,0,I17/H17)</f>
        <v/>
      </c>
      <c r="L17" s="12">
        <f>IF(K17&gt;=0.999,"Terminé",IF(I17&gt;0,"Amorcé","À engager"))</f>
        <v/>
      </c>
      <c r="M17" s="18" t="inlineStr">
        <is>
          <t>Recette V4 et distribution ciblée par session</t>
        </is>
      </c>
    </row>
    <row r="18" ht="80" customHeight="1">
      <c r="B18" s="18" t="inlineStr">
        <is>
          <t>L12</t>
        </is>
      </c>
      <c r="C18" s="18" t="inlineStr">
        <is>
          <t>V5 : DealLens et intelligence VDR</t>
        </is>
      </c>
      <c r="D18" s="18" t="inlineStr">
        <is>
          <t>V5</t>
        </is>
      </c>
      <c r="E18" s="18" t="inlineStr">
        <is>
          <t>V5-001, V5-002, V5-003, V5-004, V5-005, V5-006, V5-007, V5-008, V5-009, V5-010, V5-011, V5-012, V5-013, V5-014, V5-015, V5-016, V5-017, V5-018, V5-019, V5-020, V5-021, V5-022, V5-023, V5-024</t>
        </is>
      </c>
      <c r="F18" s="18" t="inlineStr">
        <is>
          <t>L08/L11 ; contrat IA J16</t>
        </is>
      </c>
      <c r="G18" s="18" t="inlineStr">
        <is>
          <t>IA documentaire fondée sur les preuves et permissions</t>
        </is>
      </c>
      <c r="H18" s="15">
        <f>SUMIF(Taches!$B$6:$B$325,"V5-001",Taches!$M$6:$M$325)+SUMIF(Taches!$B$6:$B$325,"V5-002",Taches!$M$6:$M$325)+SUMIF(Taches!$B$6:$B$325,"V5-003",Taches!$M$6:$M$325)+SUMIF(Taches!$B$6:$B$325,"V5-004",Taches!$M$6:$M$325)+SUMIF(Taches!$B$6:$B$325,"V5-005",Taches!$M$6:$M$325)+SUMIF(Taches!$B$6:$B$325,"V5-006",Taches!$M$6:$M$325)+SUMIF(Taches!$B$6:$B$325,"V5-007",Taches!$M$6:$M$325)+SUMIF(Taches!$B$6:$B$325,"V5-008",Taches!$M$6:$M$325)+SUMIF(Taches!$B$6:$B$325,"V5-009",Taches!$M$6:$M$325)+SUMIF(Taches!$B$6:$B$325,"V5-010",Taches!$M$6:$M$325)+SUMIF(Taches!$B$6:$B$325,"V5-011",Taches!$M$6:$M$325)+SUMIF(Taches!$B$6:$B$325,"V5-012",Taches!$M$6:$M$325)+SUMIF(Taches!$B$6:$B$325,"V5-013",Taches!$M$6:$M$325)+SUMIF(Taches!$B$6:$B$325,"V5-014",Taches!$M$6:$M$325)+SUMIF(Taches!$B$6:$B$325,"V5-015",Taches!$M$6:$M$325)+SUMIF(Taches!$B$6:$B$325,"V5-016",Taches!$M$6:$M$325)+SUMIF(Taches!$B$6:$B$325,"V5-017",Taches!$M$6:$M$325)+SUMIF(Taches!$B$6:$B$325,"V5-018",Taches!$M$6:$M$325)+SUMIF(Taches!$B$6:$B$325,"V5-019",Taches!$M$6:$M$325)+SUMIF(Taches!$B$6:$B$325,"V5-020",Taches!$M$6:$M$325)+SUMIF(Taches!$B$6:$B$325,"V5-021",Taches!$M$6:$M$325)+SUMIF(Taches!$B$6:$B$325,"V5-022",Taches!$M$6:$M$325)+SUMIF(Taches!$B$6:$B$325,"V5-023",Taches!$M$6:$M$325)+SUMIF(Taches!$B$6:$B$325,"V5-024",Taches!$M$6:$M$325)</f>
        <v/>
      </c>
      <c r="I18" s="15">
        <f>SUMIF(Taches!$B$6:$B$325,"V5-001",Taches!$N$6:$N$325)+SUMIF(Taches!$B$6:$B$325,"V5-002",Taches!$N$6:$N$325)+SUMIF(Taches!$B$6:$B$325,"V5-003",Taches!$N$6:$N$325)+SUMIF(Taches!$B$6:$B$325,"V5-004",Taches!$N$6:$N$325)+SUMIF(Taches!$B$6:$B$325,"V5-005",Taches!$N$6:$N$325)+SUMIF(Taches!$B$6:$B$325,"V5-006",Taches!$N$6:$N$325)+SUMIF(Taches!$B$6:$B$325,"V5-007",Taches!$N$6:$N$325)+SUMIF(Taches!$B$6:$B$325,"V5-008",Taches!$N$6:$N$325)+SUMIF(Taches!$B$6:$B$325,"V5-009",Taches!$N$6:$N$325)+SUMIF(Taches!$B$6:$B$325,"V5-010",Taches!$N$6:$N$325)+SUMIF(Taches!$B$6:$B$325,"V5-011",Taches!$N$6:$N$325)+SUMIF(Taches!$B$6:$B$325,"V5-012",Taches!$N$6:$N$325)+SUMIF(Taches!$B$6:$B$325,"V5-013",Taches!$N$6:$N$325)+SUMIF(Taches!$B$6:$B$325,"V5-014",Taches!$N$6:$N$325)+SUMIF(Taches!$B$6:$B$325,"V5-015",Taches!$N$6:$N$325)+SUMIF(Taches!$B$6:$B$325,"V5-016",Taches!$N$6:$N$325)+SUMIF(Taches!$B$6:$B$325,"V5-017",Taches!$N$6:$N$325)+SUMIF(Taches!$B$6:$B$325,"V5-018",Taches!$N$6:$N$325)+SUMIF(Taches!$B$6:$B$325,"V5-019",Taches!$N$6:$N$325)+SUMIF(Taches!$B$6:$B$325,"V5-020",Taches!$N$6:$N$325)+SUMIF(Taches!$B$6:$B$325,"V5-021",Taches!$N$6:$N$325)+SUMIF(Taches!$B$6:$B$325,"V5-022",Taches!$N$6:$N$325)+SUMIF(Taches!$B$6:$B$325,"V5-023",Taches!$N$6:$N$325)+SUMIF(Taches!$B$6:$B$325,"V5-024",Taches!$N$6:$N$325)</f>
        <v/>
      </c>
      <c r="J18" s="15">
        <f>H18-I18</f>
        <v/>
      </c>
      <c r="K18" s="16">
        <f>IF(H18=0,0,I18/H18)</f>
        <v/>
      </c>
      <c r="L18" s="12">
        <f>IF(K18&gt;=0.999,"Terminé",IF(I18&gt;0,"Amorcé","À engager"))</f>
        <v/>
      </c>
      <c r="M18" s="18" t="inlineStr">
        <is>
          <t>AI-01 à AI-06, DOC-01 à DOC-03, Q&amp;A-01, UI-01 et recette finale</t>
        </is>
      </c>
    </row>
  </sheetData>
  <autoFilter ref="B5:M18"/>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9" t="inlineStr">
        <is>
          <t>1. Le projet en quelques lignes</t>
        </is>
      </c>
    </row>
    <row r="6" ht="70" customHeight="1">
      <c r="B6" s="20"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9" t="inlineStr">
        <is>
          <t>2. Documents de référence et autorité</t>
        </is>
      </c>
    </row>
    <row r="10" ht="24" customHeight="1">
      <c r="B10" s="11" t="inlineStr">
        <is>
          <t>Document</t>
        </is>
      </c>
      <c r="C10" s="11" t="inlineStr">
        <is>
          <t>Rôle</t>
        </is>
      </c>
      <c r="D10" s="11" t="inlineStr">
        <is>
          <t>Statut retenu</t>
        </is>
      </c>
    </row>
    <row r="11" ht="30" customHeight="1">
      <c r="B11" s="18" t="inlineStr">
        <is>
          <t>Cahier des charges v0 approuvé (54 p., 25/06/2026)</t>
        </is>
      </c>
      <c r="C11" s="18" t="inlineStr">
        <is>
          <t>Spécification technique et juridique, ancrée AUSCGIE / AUDCG / AUPCAP, vendeurs locaux réels</t>
        </is>
      </c>
      <c r="D11" s="18" t="inlineStr">
        <is>
          <t>Autorité principale</t>
        </is>
      </c>
    </row>
    <row r="12" ht="30" customHeight="1">
      <c r="B12" s="18" t="inlineStr">
        <is>
          <t>Référentiel de processus P04 à P25 (50 p., v1.0, contractuel CCI-Togo)</t>
        </is>
      </c>
      <c r="C12" s="18" t="inlineStr">
        <is>
          <t>22 processus opposables, RACI, contrôles, indicateurs ; dérive directement du v0</t>
        </is>
      </c>
      <c r="D12" s="18" t="inlineStr">
        <is>
          <t>Autorité opérationnelle</t>
        </is>
      </c>
    </row>
    <row r="13" ht="30" customHeight="1">
      <c r="B13" s="18" t="inlineStr">
        <is>
          <t>Note investisseurs et partenaires (28 p., 26/06/2026)</t>
        </is>
      </c>
      <c r="C13" s="18" t="inlineStr">
        <is>
          <t>Thèse, marché, monétisation, feuille de route</t>
        </is>
      </c>
      <c r="D13" s="18" t="inlineStr">
        <is>
          <t>Contexte stratégique</t>
        </is>
      </c>
    </row>
    <row r="14" ht="30" customHeight="1">
      <c r="B14" s="18" t="inlineStr">
        <is>
          <t>Services Blueprint v5.0</t>
        </is>
      </c>
      <c r="C14" s="18" t="inlineStr">
        <is>
          <t>Vision générique (escrow, valorisation automatique, KYC biométrique, hub courtiers) non retrouvée dans le v0 ni le référentiel</t>
        </is>
      </c>
      <c r="D14" s="18" t="inlineStr">
        <is>
          <t>Non retenu</t>
        </is>
      </c>
    </row>
    <row r="15" ht="30" customHeight="1">
      <c r="B15" s="18" t="inlineStr">
        <is>
          <t>Master Developer Handoff V3.1 (12 cas, 24 scénarios, 6 Skills)</t>
        </is>
      </c>
      <c r="C15" s="18" t="inlineStr">
        <is>
          <t>Corpus de référence exécutable : maquettes et fixtures servant d'oracle de test, pas de code de production</t>
        </is>
      </c>
      <c r="D15" s="18" t="inlineStr">
        <is>
          <t>Socle de conception à porter en production</t>
        </is>
      </c>
    </row>
    <row r="17" ht="22" customHeight="1">
      <c r="B17" s="19" t="inlineStr">
        <is>
          <t>3. Socle réglementaire qui gouverne tout le reste</t>
        </is>
      </c>
    </row>
    <row r="18" ht="44" customHeight="1">
      <c r="B18" s="20"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20"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20"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9"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9" t="inlineStr">
        <is>
          <t>5. Intégrations réelles retenues par le v0</t>
        </is>
      </c>
    </row>
    <row r="24" ht="24" customHeight="1">
      <c r="B24" s="11" t="inlineStr">
        <is>
          <t>Besoin</t>
        </is>
      </c>
      <c r="C24" s="11" t="inlineStr">
        <is>
          <t>Vendeurs retenus</t>
        </is>
      </c>
      <c r="D24" s="11" t="inlineStr">
        <is>
          <t>Note</t>
        </is>
      </c>
    </row>
    <row r="25" ht="30" customHeight="1">
      <c r="B25" s="18" t="inlineStr">
        <is>
          <t>Mobile money</t>
        </is>
      </c>
      <c r="C25" s="18" t="inlineStr">
        <is>
          <t>CinetPay, PayDunya, Hub2, PayGate Global, Gozem Pay</t>
        </is>
      </c>
      <c r="D25" s="18" t="inlineStr">
        <is>
          <t>Rails réels : T-Money, Flooz, Gozem Money ; pas de carte bancaire par défaut</t>
        </is>
      </c>
    </row>
    <row r="26" ht="30" customHeight="1">
      <c r="B26" s="18" t="inlineStr">
        <is>
          <t>Signature électronique</t>
        </is>
      </c>
      <c r="C26" s="18" t="inlineStr">
        <is>
          <t>Prestataire togolais accrédité ARCEP (PSC)</t>
        </is>
      </c>
      <c r="D26" s="18" t="inlineStr">
        <is>
          <t>Présomption légale de fiabilité, critère décisif</t>
        </is>
      </c>
    </row>
    <row r="27" ht="30" customHeight="1">
      <c r="B27" s="18" t="inlineStr">
        <is>
          <t>Vérification d'identité</t>
        </is>
      </c>
      <c r="C27" s="18" t="inlineStr">
        <is>
          <t>Capture documentaire, revue humaine, OTP</t>
        </is>
      </c>
      <c r="D27" s="18" t="inlineStr">
        <is>
          <t>Aucune biométrie en v0</t>
        </is>
      </c>
    </row>
    <row r="28" ht="30" customHeight="1">
      <c r="B28" s="18" t="inlineStr">
        <is>
          <t>Registre des entreprises</t>
        </is>
      </c>
      <c r="C28" s="18" t="inlineStr">
        <is>
          <t>CFE / RCCM</t>
        </is>
      </c>
      <c r="D28" s="18" t="inlineStr">
        <is>
          <t>Si aucune API : échange de fichier supervisé</t>
        </is>
      </c>
    </row>
    <row r="29" ht="30" customHeight="1">
      <c r="B29" s="18" t="inlineStr">
        <is>
          <t>Archivage de preuve</t>
        </is>
      </c>
      <c r="C29" s="18" t="inlineStr">
        <is>
          <t>PSAE accrédité</t>
        </is>
      </c>
      <c r="D29" s="18" t="inlineStr">
        <is>
          <t>Valeur probante du NDA</t>
        </is>
      </c>
    </row>
    <row r="30" ht="30" customHeight="1">
      <c r="B30" s="18" t="inlineStr">
        <is>
          <t>Événements et rendez-vous virtuels</t>
        </is>
      </c>
      <c r="C30" s="18" t="inlineStr">
        <is>
          <t>Remo.co</t>
        </is>
      </c>
      <c r="D30" s="18" t="inlineStr">
        <is>
          <t>Connecteur externe pour Deal-Connect et Guichet Diaspora</t>
        </is>
      </c>
    </row>
    <row r="31" ht="30" customHeight="1">
      <c r="B31" s="18" t="inlineStr">
        <is>
          <t>Fiscalité</t>
        </is>
      </c>
      <c r="C31" s="18" t="inlineStr">
        <is>
          <t>TaxeFacile, confirmé en réunion</t>
        </is>
      </c>
      <c r="D31" s="18" t="inlineStr">
        <is>
          <t>Service du catalogue ; intégration et responsabilités à préciser (A20)</t>
        </is>
      </c>
    </row>
    <row r="33" ht="22" customHeight="1">
      <c r="B33" s="19" t="inlineStr">
        <is>
          <t>6. Exigences transverses</t>
        </is>
      </c>
    </row>
    <row r="34" ht="24" customHeight="1">
      <c r="B34" s="11" t="inlineStr">
        <is>
          <t>Domaine</t>
        </is>
      </c>
      <c r="C34" s="11" t="inlineStr">
        <is>
          <t>Exigence</t>
        </is>
      </c>
    </row>
    <row r="35" ht="30" customHeight="1">
      <c r="B35" s="18" t="inlineStr">
        <is>
          <t>Disponibilité</t>
        </is>
      </c>
      <c r="C35" s="18" t="inlineStr">
        <is>
          <t>99,5 % mensuel, obligation de résultat contractuelle ; RPO 1 h, RTO 4 h ; priorités P1 à P4 avec délais</t>
        </is>
      </c>
    </row>
    <row r="36" ht="30" customHeight="1">
      <c r="B36" s="18" t="inlineStr">
        <is>
          <t>Capacité pilote</t>
        </is>
      </c>
      <c r="C36" s="18" t="inlineStr">
        <is>
          <t>2 000 comptes, 300 sessions concurrentes, 200 deals actifs, 20 000 documents ; test de charge à 2x ; ne pas sur-construire</t>
        </is>
      </c>
    </row>
    <row r="37" ht="30" customHeight="1">
      <c r="B37" s="18" t="inlineStr">
        <is>
          <t>Sécurité</t>
        </is>
      </c>
      <c r="C37" s="18" t="inlineStr">
        <is>
          <t>TLS 1.3, AES-256, chiffrement applicatif des champs CONFIDENTIAL_DEAL, séparation VDR / marketplace, idempotence des webhooks, pentest</t>
        </is>
      </c>
    </row>
    <row r="38" ht="30" customHeight="1">
      <c r="B38" s="18" t="inlineStr">
        <is>
          <t>Localisation</t>
        </is>
      </c>
      <c r="C38" s="18" t="inlineStr">
        <is>
          <t>Français langue source, formats FCFA sans décimale, termes OHADA jamais traduits, dates DD/MM/YYYY</t>
        </is>
      </c>
    </row>
    <row r="39" ht="30" customHeight="1">
      <c r="B39" s="18" t="inlineStr">
        <is>
          <t>Ingénierie</t>
        </is>
      </c>
      <c r="C39" s="18" t="inlineStr">
        <is>
          <t>Monorepo apps/ et packages/, RPS déployé séparément, REST /v1, UUIDv7, montants en entier XOF, pagination par curseur</t>
        </is>
      </c>
    </row>
    <row r="41" ht="22" customHeight="1">
      <c r="B41" s="19" t="inlineStr">
        <is>
          <t>7. Hors périmètre v0 (à ne pas construire maintenant)</t>
        </is>
      </c>
    </row>
    <row r="42" ht="24" customHeight="1">
      <c r="B42" s="11" t="inlineStr">
        <is>
          <t>Élément</t>
        </is>
      </c>
      <c r="C42" s="11" t="inlineStr">
        <is>
          <t>Statut</t>
        </is>
      </c>
      <c r="D42" s="11" t="inlineStr">
        <is>
          <t>Raison</t>
        </is>
      </c>
    </row>
    <row r="43" ht="30" customHeight="1">
      <c r="B43" s="18" t="inlineStr">
        <is>
          <t>Deal-Pay et séquestre (escrow)</t>
        </is>
      </c>
      <c r="C43" s="18" t="inlineStr">
        <is>
          <t>Hors périmètre v0</t>
        </is>
      </c>
      <c r="D43" s="18" t="inlineStr">
        <is>
          <t>Frontière d'intégration partenaire licencié désactivée ; avenant requis</t>
        </is>
      </c>
    </row>
    <row r="44" ht="30" customHeight="1">
      <c r="B44" s="18" t="inlineStr">
        <is>
          <t>Valorisation algorithmique automatique</t>
        </is>
      </c>
      <c r="C44" s="18" t="inlineStr">
        <is>
          <t>Hors périmètre v0</t>
        </is>
      </c>
      <c r="D44" s="18" t="inlineStr">
        <is>
          <t>Le v0 interdit toute fourchette présentée comme un avis DealPME</t>
        </is>
      </c>
    </row>
    <row r="45" ht="30" customHeight="1">
      <c r="B45" s="18" t="inlineStr">
        <is>
          <t>Certification automatique / score de readiness</t>
        </is>
      </c>
      <c r="C45" s="18" t="inlineStr">
        <is>
          <t>Hors périmètre v0</t>
        </is>
      </c>
      <c r="D45" s="18" t="inlineStr">
        <is>
          <t>Décision nominative CCI-Togo obligatoire</t>
        </is>
      </c>
    </row>
    <row r="46" ht="30" customHeight="1">
      <c r="B46" s="18" t="inlineStr">
        <is>
          <t>KYC biométrique</t>
        </is>
      </c>
      <c r="C46" s="18" t="inlineStr">
        <is>
          <t>Différé (P2)</t>
        </is>
      </c>
      <c r="D46" s="18" t="inlineStr">
        <is>
          <t>Activable après autorisation IPDCP, sous drapeau fonctionnel</t>
        </is>
      </c>
    </row>
    <row r="47" ht="30" customHeight="1">
      <c r="B47" s="18" t="inlineStr">
        <is>
          <t>Broker Agency Hub multi-tenant</t>
        </is>
      </c>
      <c r="C47" s="18" t="inlineStr">
        <is>
          <t>Hors périmètre v0</t>
        </is>
      </c>
      <c r="D47" s="18" t="inlineStr">
        <is>
          <t>Pas de compte maître de cabinet M&amp;A dans le v0</t>
        </is>
      </c>
    </row>
    <row r="48" ht="30" customHeight="1">
      <c r="B48" s="18" t="inlineStr">
        <is>
          <t>Marques globales génériques (Stripe, DocuSign, SumSub, Ecobank)</t>
        </is>
      </c>
      <c r="C48" s="18" t="inlineStr">
        <is>
          <t>Hors périmètre v0</t>
        </is>
      </c>
      <c r="D48" s="18" t="inlineStr">
        <is>
          <t>Remplacées par des vendeurs locaux réels</t>
        </is>
      </c>
    </row>
    <row r="50" ht="22" customHeight="1">
      <c r="B50" s="19" t="inlineStr">
        <is>
          <t>8. Décisions actées</t>
        </is>
      </c>
    </row>
    <row r="51" ht="18" customHeight="1">
      <c r="B51" s="20" t="inlineStr">
        <is>
          <t>- Le cahier des charges v0 et le Référentiel P04 à P25 sont la cible finale ; le blueprint v5 n'est pas retenu.</t>
        </is>
      </c>
    </row>
    <row r="52" ht="18" customHeight="1">
      <c r="B52" s="20" t="inlineStr">
        <is>
          <t>- Remo.co est retenu comme connecteur externe pour les salons et rendez-vous virtuels ; intégration dès V1, billetterie et sponsoring en V4.</t>
        </is>
      </c>
    </row>
    <row r="53" ht="18" customHeight="1">
      <c r="B53" s="20"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4.xml><?xml version="1.0" encoding="utf-8"?>
<worksheet xmlns="http://schemas.openxmlformats.org/spreadsheetml/2006/main">
  <sheetPr>
    <tabColor rgb="001C2751"/>
    <outlinePr summaryBelow="1" summaryRight="1"/>
    <pageSetUpPr/>
  </sheetPr>
  <dimension ref="B2:I16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20"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20" t="inlineStr">
        <is>
          <t>+ Authentification et rôles : cédant, investisseur, agent CCI-Togo, administrateur</t>
        </is>
      </c>
      <c r="F10" s="29" t="inlineStr">
        <is>
          <t>- Circuit RPS réel : admission humaine, compteur, plafond, journal réglementaire (V2)</t>
        </is>
      </c>
    </row>
    <row r="11" ht="30" customHeight="1">
      <c r="B11" s="20" t="inlineStr">
        <is>
          <t>+ Espace CCI-Togo : confirmation d'adhésion, vérification RCCM/CFE, décision de certification nominative</t>
        </is>
      </c>
      <c r="F11" s="29" t="inlineStr">
        <is>
          <t>- Data room chiffrée, filigranée, révocable et Q&amp;R (V2)</t>
        </is>
      </c>
    </row>
    <row r="12" ht="30" customHeight="1">
      <c r="B12" s="20" t="inlineStr">
        <is>
          <t>+ Pass Transmission : constitution du dossier cédant</t>
        </is>
      </c>
      <c r="F12" s="29" t="inlineStr">
        <is>
          <t>- Moteur d'honoraires et rétrocession CCI (V3)</t>
        </is>
      </c>
    </row>
    <row r="13" ht="30" customHeight="1">
      <c r="B13" s="20"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20" t="inlineStr">
        <is>
          <t>+ Évaluation financière sommaire et indicative</t>
        </is>
      </c>
    </row>
    <row r="15" ht="30" customHeight="1">
      <c r="B15" s="20" t="inlineStr">
        <is>
          <t>+ Badge Deal-Ready affiché, workflow porté par la CCI-Togo</t>
        </is>
      </c>
    </row>
    <row r="16" ht="30" customHeight="1">
      <c r="B16" s="20" t="inlineStr">
        <is>
          <t>+ Démonstration maquettée du blocage RPS (bannière de nullité, scénario scripté)</t>
        </is>
      </c>
    </row>
    <row r="17" ht="30" customHeight="1">
      <c r="B17" s="20" t="inlineStr">
        <is>
          <t>+ Deal-Connect via Remo.co : événements, inscriptions avec consentement, lien d'accès unique, présence par webhook</t>
        </is>
      </c>
    </row>
    <row r="18" ht="30" customHeight="1">
      <c r="B18" s="20" t="inlineStr">
        <is>
          <t>+ Console organisateur, branding par événement et réservation du compte partagé ; qualification des limites et prototype de captation</t>
        </is>
      </c>
    </row>
    <row r="19" ht="30" customHeight="1">
      <c r="B19" s="20" t="inlineStr">
        <is>
          <t>+ Email Mailpit, boîte SMS et mock CFE locaux ; mode CFE manuel quand l'API est désactivée</t>
        </is>
      </c>
    </row>
    <row r="20" ht="30" customHeight="1">
      <c r="B20" s="20" t="inlineStr">
        <is>
          <t>+ Guichet Diaspora léger : demande de rendez-vous avec avis transfrontalier, entretien vidéo Remo après confirmation humaine</t>
        </is>
      </c>
    </row>
    <row r="21" ht="30" customHeight="1">
      <c r="B21" s="20" t="inlineStr">
        <is>
          <t>+ Lot Sécurité : RLS effective, anti-force-brute, MFA officiers et administrateurs, chiffrement applicatif, en-têtes, idempotence et signatures de webhooks, revue interne</t>
        </is>
      </c>
    </row>
    <row r="23" ht="24" customHeight="1">
      <c r="B23" s="11" t="inlineStr">
        <is>
          <t>Lot</t>
        </is>
      </c>
      <c r="C23" s="11" t="inlineStr">
        <is>
          <t>Charge (j/p)</t>
        </is>
      </c>
      <c r="D23" s="11" t="inlineStr">
        <is>
          <t>Réalisé (j/p)</t>
        </is>
      </c>
      <c r="E23" s="11" t="inlineStr">
        <is>
          <t>Avancement</t>
        </is>
      </c>
      <c r="F23" s="11" t="inlineStr">
        <is>
          <t>Tâches</t>
        </is>
      </c>
      <c r="G23" s="11" t="inlineStr">
        <is>
          <t>Complétées</t>
        </is>
      </c>
      <c r="H23" s="11" t="inlineStr">
        <is>
          <t>Bloquées</t>
        </is>
      </c>
      <c r="I23" s="11" t="inlineStr">
        <is>
          <t>En retard</t>
        </is>
      </c>
    </row>
    <row r="24">
      <c r="B24" s="13" t="inlineStr">
        <is>
          <t>Conception</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Fondations</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Auth et rôles</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Espace CCI-Togo</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Deal-Ready</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Dossier cédant</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Marketplace actifs</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Évaluation indicative</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13" t="inlineStr">
        <is>
          <t>Démonstration RPS</t>
        </is>
      </c>
      <c r="C32" s="12">
        <f>SUMIFS(Taches!$M$6:$M$325,Taches!$C$6:$C$325,"V1",Taches!$E$6:$E$325,$B32)</f>
        <v/>
      </c>
      <c r="D32" s="15">
        <f>SUMIFS(Taches!$N$6:$N$325,Taches!$C$6:$C$325,"V1",Taches!$E$6:$E$325,$B32)</f>
        <v/>
      </c>
      <c r="E32" s="16">
        <f>IF(C32=0,0,D32/C32)</f>
        <v/>
      </c>
      <c r="F32" s="12">
        <f>COUNTIFS(Taches!$C$6:$C$325,"V1",Taches!$E$6:$E$325,$B32,Taches!$J$6:$J$325,"&lt;&gt;Abandonnée",Taches!$B$6:$B$325,"&lt;&gt;")</f>
        <v/>
      </c>
      <c r="G32" s="12">
        <f>COUNTIFS(Taches!$C$6:$C$325,"V1",Taches!$E$6:$E$325,$B32,Taches!$J$6:$J$325,"Complétée")</f>
        <v/>
      </c>
      <c r="H32" s="12">
        <f>COUNTIFS(Taches!$C$6:$C$325,"V1",Taches!$E$6:$E$325,$B32,Taches!$J$6:$J$325,"Bloquée")</f>
        <v/>
      </c>
      <c r="I32" s="12">
        <f>COUNTIFS(Taches!$C$6:$C$325,"V1",Taches!$E$6:$E$325,$B32,Taches!$U$6:$U$325,"En retard")</f>
        <v/>
      </c>
    </row>
    <row r="33">
      <c r="B33" s="13" t="inlineStr">
        <is>
          <t>Deal-Connect (Remo)</t>
        </is>
      </c>
      <c r="C33" s="12">
        <f>SUMIFS(Taches!$M$6:$M$325,Taches!$C$6:$C$325,"V1",Taches!$E$6:$E$325,$B33)</f>
        <v/>
      </c>
      <c r="D33" s="15">
        <f>SUMIFS(Taches!$N$6:$N$325,Taches!$C$6:$C$325,"V1",Taches!$E$6:$E$325,$B33)</f>
        <v/>
      </c>
      <c r="E33" s="16">
        <f>IF(C33=0,0,D33/C33)</f>
        <v/>
      </c>
      <c r="F33" s="12">
        <f>COUNTIFS(Taches!$C$6:$C$325,"V1",Taches!$E$6:$E$325,$B33,Taches!$J$6:$J$325,"&lt;&gt;Abandonnée",Taches!$B$6:$B$325,"&lt;&gt;")</f>
        <v/>
      </c>
      <c r="G33" s="12">
        <f>COUNTIFS(Taches!$C$6:$C$325,"V1",Taches!$E$6:$E$325,$B33,Taches!$J$6:$J$325,"Complétée")</f>
        <v/>
      </c>
      <c r="H33" s="12">
        <f>COUNTIFS(Taches!$C$6:$C$325,"V1",Taches!$E$6:$E$325,$B33,Taches!$J$6:$J$325,"Bloquée")</f>
        <v/>
      </c>
      <c r="I33" s="12">
        <f>COUNTIFS(Taches!$C$6:$C$325,"V1",Taches!$E$6:$E$325,$B33,Taches!$U$6:$U$325,"En retard")</f>
        <v/>
      </c>
    </row>
    <row r="34">
      <c r="B34" s="13" t="inlineStr">
        <is>
          <t>Sécurité</t>
        </is>
      </c>
      <c r="C34" s="12">
        <f>SUMIFS(Taches!$M$6:$M$325,Taches!$C$6:$C$325,"V1",Taches!$E$6:$E$325,$B34)</f>
        <v/>
      </c>
      <c r="D34" s="15">
        <f>SUMIFS(Taches!$N$6:$N$325,Taches!$C$6:$C$325,"V1",Taches!$E$6:$E$325,$B34)</f>
        <v/>
      </c>
      <c r="E34" s="16">
        <f>IF(C34=0,0,D34/C34)</f>
        <v/>
      </c>
      <c r="F34" s="12">
        <f>COUNTIFS(Taches!$C$6:$C$325,"V1",Taches!$E$6:$E$325,$B34,Taches!$J$6:$J$325,"&lt;&gt;Abandonnée",Taches!$B$6:$B$325,"&lt;&gt;")</f>
        <v/>
      </c>
      <c r="G34" s="12">
        <f>COUNTIFS(Taches!$C$6:$C$325,"V1",Taches!$E$6:$E$325,$B34,Taches!$J$6:$J$325,"Complétée")</f>
        <v/>
      </c>
      <c r="H34" s="12">
        <f>COUNTIFS(Taches!$C$6:$C$325,"V1",Taches!$E$6:$E$325,$B34,Taches!$J$6:$J$325,"Bloquée")</f>
        <v/>
      </c>
      <c r="I34" s="12">
        <f>COUNTIFS(Taches!$C$6:$C$325,"V1",Taches!$E$6:$E$325,$B34,Taches!$U$6:$U$325,"En retard")</f>
        <v/>
      </c>
    </row>
    <row r="35">
      <c r="B35" s="13" t="inlineStr">
        <is>
          <t>Frontend et design</t>
        </is>
      </c>
      <c r="C35" s="12">
        <f>SUMIFS(Taches!$M$6:$M$325,Taches!$C$6:$C$325,"V1",Taches!$E$6:$E$325,$B35)</f>
        <v/>
      </c>
      <c r="D35" s="15">
        <f>SUMIFS(Taches!$N$6:$N$325,Taches!$C$6:$C$325,"V1",Taches!$E$6:$E$325,$B35)</f>
        <v/>
      </c>
      <c r="E35" s="16">
        <f>IF(C35=0,0,D35/C35)</f>
        <v/>
      </c>
      <c r="F35" s="12">
        <f>COUNTIFS(Taches!$C$6:$C$325,"V1",Taches!$E$6:$E$325,$B35,Taches!$J$6:$J$325,"&lt;&gt;Abandonnée",Taches!$B$6:$B$325,"&lt;&gt;")</f>
        <v/>
      </c>
      <c r="G35" s="12">
        <f>COUNTIFS(Taches!$C$6:$C$325,"V1",Taches!$E$6:$E$325,$B35,Taches!$J$6:$J$325,"Complétée")</f>
        <v/>
      </c>
      <c r="H35" s="12">
        <f>COUNTIFS(Taches!$C$6:$C$325,"V1",Taches!$E$6:$E$325,$B35,Taches!$J$6:$J$325,"Bloquée")</f>
        <v/>
      </c>
      <c r="I35" s="12">
        <f>COUNTIFS(Taches!$C$6:$C$325,"V1",Taches!$E$6:$E$325,$B35,Taches!$U$6:$U$325,"En retard")</f>
        <v/>
      </c>
    </row>
    <row r="36">
      <c r="B36" s="13" t="inlineStr">
        <is>
          <t>Finition frontend</t>
        </is>
      </c>
      <c r="C36" s="12">
        <f>SUMIFS(Taches!$M$6:$M$325,Taches!$C$6:$C$325,"V1",Taches!$E$6:$E$325,$B36)</f>
        <v/>
      </c>
      <c r="D36" s="15">
        <f>SUMIFS(Taches!$N$6:$N$325,Taches!$C$6:$C$325,"V1",Taches!$E$6:$E$325,$B36)</f>
        <v/>
      </c>
      <c r="E36" s="16">
        <f>IF(C36=0,0,D36/C36)</f>
        <v/>
      </c>
      <c r="F36" s="12">
        <f>COUNTIFS(Taches!$C$6:$C$325,"V1",Taches!$E$6:$E$325,$B36,Taches!$J$6:$J$325,"&lt;&gt;Abandonnée",Taches!$B$6:$B$325,"&lt;&gt;")</f>
        <v/>
      </c>
      <c r="G36" s="12">
        <f>COUNTIFS(Taches!$C$6:$C$325,"V1",Taches!$E$6:$E$325,$B36,Taches!$J$6:$J$325,"Complétée")</f>
        <v/>
      </c>
      <c r="H36" s="12">
        <f>COUNTIFS(Taches!$C$6:$C$325,"V1",Taches!$E$6:$E$325,$B36,Taches!$J$6:$J$325,"Bloquée")</f>
        <v/>
      </c>
      <c r="I36" s="12">
        <f>COUNTIFS(Taches!$C$6:$C$325,"V1",Taches!$E$6:$E$325,$B36,Taches!$U$6:$U$325,"En retard")</f>
        <v/>
      </c>
    </row>
    <row r="37">
      <c r="B37" s="13" t="inlineStr">
        <is>
          <t>QA et livraison</t>
        </is>
      </c>
      <c r="C37" s="12">
        <f>SUMIFS(Taches!$M$6:$M$325,Taches!$C$6:$C$325,"V1",Taches!$E$6:$E$325,$B37)</f>
        <v/>
      </c>
      <c r="D37" s="15">
        <f>SUMIFS(Taches!$N$6:$N$325,Taches!$C$6:$C$325,"V1",Taches!$E$6:$E$325,$B37)</f>
        <v/>
      </c>
      <c r="E37" s="16">
        <f>IF(C37=0,0,D37/C37)</f>
        <v/>
      </c>
      <c r="F37" s="12">
        <f>COUNTIFS(Taches!$C$6:$C$325,"V1",Taches!$E$6:$E$325,$B37,Taches!$J$6:$J$325,"&lt;&gt;Abandonnée",Taches!$B$6:$B$325,"&lt;&gt;")</f>
        <v/>
      </c>
      <c r="G37" s="12">
        <f>COUNTIFS(Taches!$C$6:$C$325,"V1",Taches!$E$6:$E$325,$B37,Taches!$J$6:$J$325,"Complétée")</f>
        <v/>
      </c>
      <c r="H37" s="12">
        <f>COUNTIFS(Taches!$C$6:$C$325,"V1",Taches!$E$6:$E$325,$B37,Taches!$J$6:$J$325,"Bloquée")</f>
        <v/>
      </c>
      <c r="I37" s="12">
        <f>COUNTIFS(Taches!$C$6:$C$325,"V1",Taches!$E$6:$E$325,$B37,Taches!$U$6:$U$325,"En retard")</f>
        <v/>
      </c>
    </row>
    <row r="38">
      <c r="B38" s="30" t="inlineStr">
        <is>
          <t>Total V1</t>
        </is>
      </c>
      <c r="C38" s="30">
        <f>SUM(C24:C37)</f>
        <v/>
      </c>
      <c r="D38" s="31">
        <f>SUM(D24:D37)</f>
        <v/>
      </c>
      <c r="E38" s="32">
        <f>IF(C38=0,0,D38/C38)</f>
        <v/>
      </c>
      <c r="F38" s="30">
        <f>SUM(F24:F37)</f>
        <v/>
      </c>
      <c r="G38" s="30">
        <f>SUM(G24:G37)</f>
        <v/>
      </c>
      <c r="H38" s="30">
        <f>SUM(H24:H37)</f>
        <v/>
      </c>
      <c r="I38" s="30">
        <f>SUM(I24:I37)</f>
        <v/>
      </c>
    </row>
    <row r="40">
      <c r="B40" s="3" t="inlineStr">
        <is>
          <t>Prérequis</t>
        </is>
      </c>
    </row>
    <row r="41" ht="30" customHeight="1">
      <c r="B41" s="20" t="inlineStr">
        <is>
          <t>Capacité et responsables ; mocks locaux pour avancer ; accès fournisseur pour les recettes réelles ; références de design disponibles, revue ciblée du designer ; serveur à confirmer.</t>
        </is>
      </c>
    </row>
    <row r="42">
      <c r="B42" s="3" t="inlineStr">
        <is>
          <t>Décision ou règle</t>
        </is>
      </c>
    </row>
    <row r="43" ht="36" customHeight="1">
      <c r="B43" s="33" t="inlineStr">
        <is>
          <t>Conserver la démo RPS déjà implémentée. Priorité à la messagerie bidirectionnelle, l'audit durable, aux notifications, à la CI et aux preuves navigateur ; validation métier avant le 15/10.</t>
        </is>
      </c>
      <c r="C43" s="34" t="n"/>
      <c r="D43" s="34" t="n"/>
      <c r="E43" s="34" t="n"/>
      <c r="F43" s="34" t="n"/>
      <c r="G43" s="34" t="n"/>
      <c r="H43" s="34" t="n"/>
      <c r="I43" s="34" t="n"/>
    </row>
    <row r="46" ht="26" customHeight="1">
      <c r="B46" s="22" t="inlineStr">
        <is>
          <t>V2  Cession de titres en cercle restreint (RPS réel), signature électronique, data room et Q&amp;R</t>
        </is>
      </c>
    </row>
    <row r="47" ht="28" customHeight="1">
      <c r="B47" s="23" t="inlineStr">
        <is>
          <t>Début prévu</t>
        </is>
      </c>
      <c r="C47" s="23" t="inlineStr">
        <is>
          <t>Fin prévue</t>
        </is>
      </c>
      <c r="D47" s="23" t="inlineStr">
        <is>
          <t>Charge (j/p)</t>
        </is>
      </c>
      <c r="E47" s="23" t="inlineStr">
        <is>
          <t>Charge (sem.-pers.)</t>
        </is>
      </c>
      <c r="F47" s="23" t="inlineStr">
        <is>
          <t>Avancement</t>
        </is>
      </c>
      <c r="G47" s="23" t="inlineStr">
        <is>
          <t>État</t>
        </is>
      </c>
      <c r="H47" s="23" t="inlineStr">
        <is>
          <t>Semaines calendaires</t>
        </is>
      </c>
      <c r="I47" s="23" t="inlineStr">
        <is>
          <t>ETP requis à pleine cadence</t>
        </is>
      </c>
    </row>
    <row r="48">
      <c r="B48" s="24">
        <f>Versions!D7</f>
        <v/>
      </c>
      <c r="C48" s="24">
        <f>Versions!E7</f>
        <v/>
      </c>
      <c r="D48" s="25">
        <f>Versions!G7</f>
        <v/>
      </c>
      <c r="E48" s="26">
        <f>Versions!H7</f>
        <v/>
      </c>
      <c r="F48" s="27">
        <f>Versions!J7</f>
        <v/>
      </c>
      <c r="G48" s="28">
        <f>Versions!P7</f>
        <v/>
      </c>
      <c r="H48" s="26">
        <f>ROUND((Versions!E7-Versions!D7)/7,1)</f>
        <v/>
      </c>
      <c r="I48" s="26">
        <f>IFERROR(ROUND(Versions!H7/((Versions!E7-Versions!D7)/7),1),0)</f>
        <v/>
      </c>
    </row>
    <row r="49" ht="48" customHeight="1">
      <c r="B49" s="20" t="inlineStr">
        <is>
          <t>Le cœur du différenciateur produit : le moteur RPS complet pour les cessions de titres et la data room. Prérequis à toute diligence réelle.</t>
        </is>
      </c>
    </row>
    <row r="50">
      <c r="B50" s="3" t="inlineStr">
        <is>
          <t>Inclus</t>
        </is>
      </c>
      <c r="F50" s="3" t="inlineStr">
        <is>
          <t>Exclu ou reporté</t>
        </is>
      </c>
    </row>
    <row r="51" ht="30" customHeight="1">
      <c r="B51" s="20" t="inlineStr">
        <is>
          <t>+ Circuit RPS complet : admission humaine, plafond de cercle (défaut 50), journal réglementaire haché</t>
        </is>
      </c>
      <c r="F51" s="29" t="inlineStr">
        <is>
          <t>- Négociation, LOI, audit d'acquisition et réalisation (V3)</t>
        </is>
      </c>
    </row>
    <row r="52" ht="30" customHeight="1">
      <c r="B52" s="20" t="inlineStr">
        <is>
          <t>+ Signature électronique et preuve : prestataire PSC togolais, repli papier, archivage PSAE</t>
        </is>
      </c>
      <c r="F52" s="29" t="inlineStr">
        <is>
          <t>- Génération documentaire LegalTech (V3)</t>
        </is>
      </c>
    </row>
    <row r="53" ht="30" customHeight="1">
      <c r="B53" s="20" t="inlineStr">
        <is>
          <t>+ Data room : arborescence OHADA, rendu serveur, filigrane dynamique, téléchargement contrôlé, révocation en moins de 60 s</t>
        </is>
      </c>
    </row>
    <row r="54" ht="30" customHeight="1">
      <c r="B54" s="20" t="inlineStr">
        <is>
          <t>+ Fils de questions-réponses par document</t>
        </is>
      </c>
    </row>
    <row r="55" ht="30" customHeight="1">
      <c r="B55" s="20" t="inlineStr">
        <is>
          <t>+ Mini-réunions privées depuis les dossiers ; socle réutilisable captation/transcription/rapports, sous capacités vérifiées</t>
        </is>
      </c>
    </row>
    <row r="57" ht="24" customHeight="1">
      <c r="B57" s="11" t="inlineStr">
        <is>
          <t>Lot</t>
        </is>
      </c>
      <c r="C57" s="11" t="inlineStr">
        <is>
          <t>Charge (j/p)</t>
        </is>
      </c>
      <c r="D57" s="11" t="inlineStr">
        <is>
          <t>Réalisé (j/p)</t>
        </is>
      </c>
      <c r="E57" s="11" t="inlineStr">
        <is>
          <t>Avancement</t>
        </is>
      </c>
      <c r="F57" s="11" t="inlineStr">
        <is>
          <t>Tâches</t>
        </is>
      </c>
      <c r="G57" s="11" t="inlineStr">
        <is>
          <t>Complétées</t>
        </is>
      </c>
      <c r="H57" s="11" t="inlineStr">
        <is>
          <t>Bloquées</t>
        </is>
      </c>
      <c r="I57" s="11" t="inlineStr">
        <is>
          <t>En retard</t>
        </is>
      </c>
    </row>
    <row r="58">
      <c r="B58" s="13" t="inlineStr">
        <is>
          <t>Conception</t>
        </is>
      </c>
      <c r="C58" s="12">
        <f>SUMIFS(Taches!$M$6:$M$325,Taches!$C$6:$C$325,"V2",Taches!$E$6:$E$325,$B58)</f>
        <v/>
      </c>
      <c r="D58" s="15">
        <f>SUMIFS(Taches!$N$6:$N$325,Taches!$C$6:$C$325,"V2",Taches!$E$6:$E$325,$B58)</f>
        <v/>
      </c>
      <c r="E58" s="16">
        <f>IF(C58=0,0,D58/C58)</f>
        <v/>
      </c>
      <c r="F58" s="12">
        <f>COUNTIFS(Taches!$C$6:$C$325,"V2",Taches!$E$6:$E$325,$B58,Taches!$J$6:$J$325,"&lt;&gt;Abandonnée",Taches!$B$6:$B$325,"&lt;&gt;")</f>
        <v/>
      </c>
      <c r="G58" s="12">
        <f>COUNTIFS(Taches!$C$6:$C$325,"V2",Taches!$E$6:$E$325,$B58,Taches!$J$6:$J$325,"Complétée")</f>
        <v/>
      </c>
      <c r="H58" s="12">
        <f>COUNTIFS(Taches!$C$6:$C$325,"V2",Taches!$E$6:$E$325,$B58,Taches!$J$6:$J$325,"Bloquée")</f>
        <v/>
      </c>
      <c r="I58" s="12">
        <f>COUNTIFS(Taches!$C$6:$C$325,"V2",Taches!$E$6:$E$325,$B58,Taches!$U$6:$U$325,"En retard")</f>
        <v/>
      </c>
    </row>
    <row r="59">
      <c r="B59" s="13" t="inlineStr">
        <is>
          <t>Mise en relation</t>
        </is>
      </c>
      <c r="C59" s="12">
        <f>SUMIFS(Taches!$M$6:$M$325,Taches!$C$6:$C$325,"V2",Taches!$E$6:$E$325,$B59)</f>
        <v/>
      </c>
      <c r="D59" s="15">
        <f>SUMIFS(Taches!$N$6:$N$325,Taches!$C$6:$C$325,"V2",Taches!$E$6:$E$325,$B59)</f>
        <v/>
      </c>
      <c r="E59" s="16">
        <f>IF(C59=0,0,D59/C59)</f>
        <v/>
      </c>
      <c r="F59" s="12">
        <f>COUNTIFS(Taches!$C$6:$C$325,"V2",Taches!$E$6:$E$325,$B59,Taches!$J$6:$J$325,"&lt;&gt;Abandonnée",Taches!$B$6:$B$325,"&lt;&gt;")</f>
        <v/>
      </c>
      <c r="G59" s="12">
        <f>COUNTIFS(Taches!$C$6:$C$325,"V2",Taches!$E$6:$E$325,$B59,Taches!$J$6:$J$325,"Complétée")</f>
        <v/>
      </c>
      <c r="H59" s="12">
        <f>COUNTIFS(Taches!$C$6:$C$325,"V2",Taches!$E$6:$E$325,$B59,Taches!$J$6:$J$325,"Bloquée")</f>
        <v/>
      </c>
      <c r="I59" s="12">
        <f>COUNTIFS(Taches!$C$6:$C$325,"V2",Taches!$E$6:$E$325,$B59,Taches!$U$6:$U$325,"En retard")</f>
        <v/>
      </c>
    </row>
    <row r="60">
      <c r="B60" s="13" t="inlineStr">
        <is>
          <t>Circuit RPS réel</t>
        </is>
      </c>
      <c r="C60" s="12">
        <f>SUMIFS(Taches!$M$6:$M$325,Taches!$C$6:$C$325,"V2",Taches!$E$6:$E$325,$B60)</f>
        <v/>
      </c>
      <c r="D60" s="15">
        <f>SUMIFS(Taches!$N$6:$N$325,Taches!$C$6:$C$325,"V2",Taches!$E$6:$E$325,$B60)</f>
        <v/>
      </c>
      <c r="E60" s="16">
        <f>IF(C60=0,0,D60/C60)</f>
        <v/>
      </c>
      <c r="F60" s="12">
        <f>COUNTIFS(Taches!$C$6:$C$325,"V2",Taches!$E$6:$E$325,$B60,Taches!$J$6:$J$325,"&lt;&gt;Abandonnée",Taches!$B$6:$B$325,"&lt;&gt;")</f>
        <v/>
      </c>
      <c r="G60" s="12">
        <f>COUNTIFS(Taches!$C$6:$C$325,"V2",Taches!$E$6:$E$325,$B60,Taches!$J$6:$J$325,"Complétée")</f>
        <v/>
      </c>
      <c r="H60" s="12">
        <f>COUNTIFS(Taches!$C$6:$C$325,"V2",Taches!$E$6:$E$325,$B60,Taches!$J$6:$J$325,"Bloquée")</f>
        <v/>
      </c>
      <c r="I60" s="12">
        <f>COUNTIFS(Taches!$C$6:$C$325,"V2",Taches!$E$6:$E$325,$B60,Taches!$U$6:$U$325,"En retard")</f>
        <v/>
      </c>
    </row>
    <row r="61">
      <c r="B61" s="13" t="inlineStr">
        <is>
          <t>Signature électronique</t>
        </is>
      </c>
      <c r="C61" s="12">
        <f>SUMIFS(Taches!$M$6:$M$325,Taches!$C$6:$C$325,"V2",Taches!$E$6:$E$325,$B61)</f>
        <v/>
      </c>
      <c r="D61" s="15">
        <f>SUMIFS(Taches!$N$6:$N$325,Taches!$C$6:$C$325,"V2",Taches!$E$6:$E$325,$B61)</f>
        <v/>
      </c>
      <c r="E61" s="16">
        <f>IF(C61=0,0,D61/C61)</f>
        <v/>
      </c>
      <c r="F61" s="12">
        <f>COUNTIFS(Taches!$C$6:$C$325,"V2",Taches!$E$6:$E$325,$B61,Taches!$J$6:$J$325,"&lt;&gt;Abandonnée",Taches!$B$6:$B$325,"&lt;&gt;")</f>
        <v/>
      </c>
      <c r="G61" s="12">
        <f>COUNTIFS(Taches!$C$6:$C$325,"V2",Taches!$E$6:$E$325,$B61,Taches!$J$6:$J$325,"Complétée")</f>
        <v/>
      </c>
      <c r="H61" s="12">
        <f>COUNTIFS(Taches!$C$6:$C$325,"V2",Taches!$E$6:$E$325,$B61,Taches!$J$6:$J$325,"Bloquée")</f>
        <v/>
      </c>
      <c r="I61" s="12">
        <f>COUNTIFS(Taches!$C$6:$C$325,"V2",Taches!$E$6:$E$325,$B61,Taches!$U$6:$U$325,"En retard")</f>
        <v/>
      </c>
    </row>
    <row r="62">
      <c r="B62" s="13" t="inlineStr">
        <is>
          <t>Data room</t>
        </is>
      </c>
      <c r="C62" s="12">
        <f>SUMIFS(Taches!$M$6:$M$325,Taches!$C$6:$C$325,"V2",Taches!$E$6:$E$325,$B62)</f>
        <v/>
      </c>
      <c r="D62" s="15">
        <f>SUMIFS(Taches!$N$6:$N$325,Taches!$C$6:$C$325,"V2",Taches!$E$6:$E$325,$B62)</f>
        <v/>
      </c>
      <c r="E62" s="16">
        <f>IF(C62=0,0,D62/C62)</f>
        <v/>
      </c>
      <c r="F62" s="12">
        <f>COUNTIFS(Taches!$C$6:$C$325,"V2",Taches!$E$6:$E$325,$B62,Taches!$J$6:$J$325,"&lt;&gt;Abandonnée",Taches!$B$6:$B$325,"&lt;&gt;")</f>
        <v/>
      </c>
      <c r="G62" s="12">
        <f>COUNTIFS(Taches!$C$6:$C$325,"V2",Taches!$E$6:$E$325,$B62,Taches!$J$6:$J$325,"Complétée")</f>
        <v/>
      </c>
      <c r="H62" s="12">
        <f>COUNTIFS(Taches!$C$6:$C$325,"V2",Taches!$E$6:$E$325,$B62,Taches!$J$6:$J$325,"Bloquée")</f>
        <v/>
      </c>
      <c r="I62" s="12">
        <f>COUNTIFS(Taches!$C$6:$C$325,"V2",Taches!$E$6:$E$325,$B62,Taches!$U$6:$U$325,"En retard")</f>
        <v/>
      </c>
    </row>
    <row r="63">
      <c r="B63" s="13" t="inlineStr">
        <is>
          <t>Questions-réponses</t>
        </is>
      </c>
      <c r="C63" s="12">
        <f>SUMIFS(Taches!$M$6:$M$325,Taches!$C$6:$C$325,"V2",Taches!$E$6:$E$325,$B63)</f>
        <v/>
      </c>
      <c r="D63" s="15">
        <f>SUMIFS(Taches!$N$6:$N$325,Taches!$C$6:$C$325,"V2",Taches!$E$6:$E$325,$B63)</f>
        <v/>
      </c>
      <c r="E63" s="16">
        <f>IF(C63=0,0,D63/C63)</f>
        <v/>
      </c>
      <c r="F63" s="12">
        <f>COUNTIFS(Taches!$C$6:$C$325,"V2",Taches!$E$6:$E$325,$B63,Taches!$J$6:$J$325,"&lt;&gt;Abandonnée",Taches!$B$6:$B$325,"&lt;&gt;")</f>
        <v/>
      </c>
      <c r="G63" s="12">
        <f>COUNTIFS(Taches!$C$6:$C$325,"V2",Taches!$E$6:$E$325,$B63,Taches!$J$6:$J$325,"Complétée")</f>
        <v/>
      </c>
      <c r="H63" s="12">
        <f>COUNTIFS(Taches!$C$6:$C$325,"V2",Taches!$E$6:$E$325,$B63,Taches!$J$6:$J$325,"Bloquée")</f>
        <v/>
      </c>
      <c r="I63" s="12">
        <f>COUNTIFS(Taches!$C$6:$C$325,"V2",Taches!$E$6:$E$325,$B63,Taches!$U$6:$U$325,"En retard")</f>
        <v/>
      </c>
    </row>
    <row r="64">
      <c r="B64" s="13" t="inlineStr">
        <is>
          <t>Réunions et comptes rendus</t>
        </is>
      </c>
      <c r="C64" s="12">
        <f>SUMIFS(Taches!$M$6:$M$325,Taches!$C$6:$C$325,"V2",Taches!$E$6:$E$325,$B64)</f>
        <v/>
      </c>
      <c r="D64" s="15">
        <f>SUMIFS(Taches!$N$6:$N$325,Taches!$C$6:$C$325,"V2",Taches!$E$6:$E$325,$B64)</f>
        <v/>
      </c>
      <c r="E64" s="16">
        <f>IF(C64=0,0,D64/C64)</f>
        <v/>
      </c>
      <c r="F64" s="12">
        <f>COUNTIFS(Taches!$C$6:$C$325,"V2",Taches!$E$6:$E$325,$B64,Taches!$J$6:$J$325,"&lt;&gt;Abandonnée",Taches!$B$6:$B$325,"&lt;&gt;")</f>
        <v/>
      </c>
      <c r="G64" s="12">
        <f>COUNTIFS(Taches!$C$6:$C$325,"V2",Taches!$E$6:$E$325,$B64,Taches!$J$6:$J$325,"Complétée")</f>
        <v/>
      </c>
      <c r="H64" s="12">
        <f>COUNTIFS(Taches!$C$6:$C$325,"V2",Taches!$E$6:$E$325,$B64,Taches!$J$6:$J$325,"Bloquée")</f>
        <v/>
      </c>
      <c r="I64" s="12">
        <f>COUNTIFS(Taches!$C$6:$C$325,"V2",Taches!$E$6:$E$325,$B64,Taches!$U$6:$U$325,"En retard")</f>
        <v/>
      </c>
    </row>
    <row r="65">
      <c r="B65" s="13" t="inlineStr">
        <is>
          <t>QA et sécurité</t>
        </is>
      </c>
      <c r="C65" s="12">
        <f>SUMIFS(Taches!$M$6:$M$325,Taches!$C$6:$C$325,"V2",Taches!$E$6:$E$325,$B65)</f>
        <v/>
      </c>
      <c r="D65" s="15">
        <f>SUMIFS(Taches!$N$6:$N$325,Taches!$C$6:$C$325,"V2",Taches!$E$6:$E$325,$B65)</f>
        <v/>
      </c>
      <c r="E65" s="16">
        <f>IF(C65=0,0,D65/C65)</f>
        <v/>
      </c>
      <c r="F65" s="12">
        <f>COUNTIFS(Taches!$C$6:$C$325,"V2",Taches!$E$6:$E$325,$B65,Taches!$J$6:$J$325,"&lt;&gt;Abandonnée",Taches!$B$6:$B$325,"&lt;&gt;")</f>
        <v/>
      </c>
      <c r="G65" s="12">
        <f>COUNTIFS(Taches!$C$6:$C$325,"V2",Taches!$E$6:$E$325,$B65,Taches!$J$6:$J$325,"Complétée")</f>
        <v/>
      </c>
      <c r="H65" s="12">
        <f>COUNTIFS(Taches!$C$6:$C$325,"V2",Taches!$E$6:$E$325,$B65,Taches!$J$6:$J$325,"Bloquée")</f>
        <v/>
      </c>
      <c r="I65" s="12">
        <f>COUNTIFS(Taches!$C$6:$C$325,"V2",Taches!$E$6:$E$325,$B65,Taches!$U$6:$U$325,"En retard")</f>
        <v/>
      </c>
    </row>
    <row r="66">
      <c r="B66" s="30" t="inlineStr">
        <is>
          <t>Total V2</t>
        </is>
      </c>
      <c r="C66" s="30">
        <f>SUM(C58:C65)</f>
        <v/>
      </c>
      <c r="D66" s="31">
        <f>SUM(D58:D65)</f>
        <v/>
      </c>
      <c r="E66" s="32">
        <f>IF(C66=0,0,D66/C66)</f>
        <v/>
      </c>
      <c r="F66" s="30">
        <f>SUM(F58:F65)</f>
        <v/>
      </c>
      <c r="G66" s="30">
        <f>SUM(G58:G65)</f>
        <v/>
      </c>
      <c r="H66" s="30">
        <f>SUM(H58:H65)</f>
        <v/>
      </c>
      <c r="I66" s="30">
        <f>SUM(I58:I65)</f>
        <v/>
      </c>
    </row>
    <row r="68">
      <c r="B68" s="3" t="inlineStr">
        <is>
          <t>Prérequis</t>
        </is>
      </c>
    </row>
    <row r="69" ht="30" customHeight="1">
      <c r="B69" s="20" t="inlineStr">
        <is>
          <t>V1 stabilisée ; identité documentaire et qualification ; RPS durci puis branché ; contrat PSC/PSAE et NDA revu juridiquement en V2.</t>
        </is>
      </c>
    </row>
    <row r="70">
      <c r="B70" s="3" t="inlineStr">
        <is>
          <t>Décision ou règle</t>
        </is>
      </c>
    </row>
    <row r="71" ht="36" customHeight="1">
      <c r="B71" s="33" t="inlineStr">
        <is>
          <t>Construire une tranche complète qualification &gt; admission &gt; NDA &gt; T2 &gt; document &gt; révocation. Les tests IA exécutables restent en V5 ; leurs contrats sont préparés en V2.</t>
        </is>
      </c>
      <c r="C71" s="34" t="n"/>
      <c r="D71" s="34" t="n"/>
      <c r="E71" s="34" t="n"/>
      <c r="F71" s="34" t="n"/>
      <c r="G71" s="34" t="n"/>
      <c r="H71" s="34" t="n"/>
      <c r="I71" s="34" t="n"/>
    </row>
    <row r="74" ht="26" customHeight="1">
      <c r="B74" s="22" t="inlineStr">
        <is>
          <t>V3  Négociation et réalisation, LegalTech OHADA, Finance et rétrocession, support, fermeture des portes de conformité</t>
        </is>
      </c>
    </row>
    <row r="75" ht="28" customHeight="1">
      <c r="B75" s="23" t="inlineStr">
        <is>
          <t>Début prévu</t>
        </is>
      </c>
      <c r="C75" s="23" t="inlineStr">
        <is>
          <t>Fin prévue</t>
        </is>
      </c>
      <c r="D75" s="23" t="inlineStr">
        <is>
          <t>Charge (j/p)</t>
        </is>
      </c>
      <c r="E75" s="23" t="inlineStr">
        <is>
          <t>Charge (sem.-pers.)</t>
        </is>
      </c>
      <c r="F75" s="23" t="inlineStr">
        <is>
          <t>Avancement</t>
        </is>
      </c>
      <c r="G75" s="23" t="inlineStr">
        <is>
          <t>État</t>
        </is>
      </c>
      <c r="H75" s="23" t="inlineStr">
        <is>
          <t>Semaines calendaires</t>
        </is>
      </c>
      <c r="I75" s="23" t="inlineStr">
        <is>
          <t>ETP requis à pleine cadence</t>
        </is>
      </c>
    </row>
    <row r="76">
      <c r="B76" s="24">
        <f>Versions!D8</f>
        <v/>
      </c>
      <c r="C76" s="24">
        <f>Versions!E8</f>
        <v/>
      </c>
      <c r="D76" s="25">
        <f>Versions!G8</f>
        <v/>
      </c>
      <c r="E76" s="26">
        <f>Versions!H8</f>
        <v/>
      </c>
      <c r="F76" s="27">
        <f>Versions!J8</f>
        <v/>
      </c>
      <c r="G76" s="28">
        <f>Versions!P8</f>
        <v/>
      </c>
      <c r="H76" s="26">
        <f>ROUND((Versions!E8-Versions!D8)/7,1)</f>
        <v/>
      </c>
      <c r="I76" s="26">
        <f>IFERROR(ROUND(Versions!H8/((Versions!E8-Versions!D8)/7),1),0)</f>
        <v/>
      </c>
    </row>
    <row r="77" ht="48" customHeight="1">
      <c r="B77" s="20" t="inlineStr">
        <is>
          <t>Ce qui rend une transaction réelle facturable et légalement défendable : négociation et réalisation, LegalTech OHADA, moteur de frais et rétrocession, support, fermeture des dix portes de conformité et durcissement de l'exploitation.</t>
        </is>
      </c>
    </row>
    <row r="78">
      <c r="B78" s="3" t="inlineStr">
        <is>
          <t>Inclus</t>
        </is>
      </c>
      <c r="F78" s="3" t="inlineStr">
        <is>
          <t>Exclu ou reporté</t>
        </is>
      </c>
    </row>
    <row r="79" ht="30" customHeight="1">
      <c r="B79" s="20" t="inlineStr">
        <is>
          <t>+ Offre, contre-offre, LOI et registre des points ouverts d'audit d'acquisition</t>
        </is>
      </c>
      <c r="F79" s="29" t="inlineStr">
        <is>
          <t>- Module Deal-Experts complet (V4 ; articulation des missions antérieures en A04)</t>
        </is>
      </c>
    </row>
    <row r="80" ht="30" customHeight="1">
      <c r="B80" s="20" t="inlineStr">
        <is>
          <t>+ Réalisation documentée sans Deal-Pay natif, création automatique du FeeEvent</t>
        </is>
      </c>
      <c r="F80" s="29" t="inlineStr">
        <is>
          <t>- Modules réseau : Alerte &amp; Rebond, Deal-Connect, Guichet Diaspora (V4)</t>
        </is>
      </c>
    </row>
    <row r="81" ht="30" customHeight="1">
      <c r="B81" s="20" t="inlineStr">
        <is>
          <t>+ LegalTech OHADA : NDA, LOI, pacte simplifié, SPA, cession d'actifs, contrat de travail (droit togolais)</t>
        </is>
      </c>
    </row>
    <row r="82" ht="30" customHeight="1">
      <c r="B82" s="20" t="inlineStr">
        <is>
          <t>+ Finance : barème de frais sous drapeau juridique, rétrocession CCI, journal de calcul recalculable, rapport trimestriel</t>
        </is>
      </c>
    </row>
    <row r="83" ht="30" customHeight="1">
      <c r="B83" s="20" t="inlineStr">
        <is>
          <t>+ Abonnements prépayés, grâce, factures NIF, paiements des services et rapprochement par rail (sans séquestre de cession)</t>
        </is>
      </c>
    </row>
    <row r="84" ht="30" customHeight="1">
      <c r="B84" s="20" t="inlineStr">
        <is>
          <t>+ Catalogue de services, référentiel prestataires commun et parcours TaxeFacile</t>
        </is>
      </c>
    </row>
    <row r="85" ht="30" customHeight="1">
      <c r="B85" s="20" t="inlineStr">
        <is>
          <t>+ Support et accès privilégiés, mode break-glass journalisé</t>
        </is>
      </c>
    </row>
    <row r="86" ht="30" customHeight="1">
      <c r="B86" s="20" t="inlineStr">
        <is>
          <t>+ Portes de conformité G1 à G10 : IPDCP, revues juridiques, DPO, pentest indépendant</t>
        </is>
      </c>
    </row>
    <row r="87" ht="30" customHeight="1">
      <c r="B87" s="20" t="inlineStr">
        <is>
          <t>+ Exploitation : supervision SLA 99,5 %, sauvegardes testées, procédure d'incident</t>
        </is>
      </c>
    </row>
    <row r="89" ht="24" customHeight="1">
      <c r="B89" s="11" t="inlineStr">
        <is>
          <t>Lot</t>
        </is>
      </c>
      <c r="C89" s="11" t="inlineStr">
        <is>
          <t>Charge (j/p)</t>
        </is>
      </c>
      <c r="D89" s="11" t="inlineStr">
        <is>
          <t>Réalisé (j/p)</t>
        </is>
      </c>
      <c r="E89" s="11" t="inlineStr">
        <is>
          <t>Avancement</t>
        </is>
      </c>
      <c r="F89" s="11" t="inlineStr">
        <is>
          <t>Tâches</t>
        </is>
      </c>
      <c r="G89" s="11" t="inlineStr">
        <is>
          <t>Complétées</t>
        </is>
      </c>
      <c r="H89" s="11" t="inlineStr">
        <is>
          <t>Bloquées</t>
        </is>
      </c>
      <c r="I89" s="11" t="inlineStr">
        <is>
          <t>En retard</t>
        </is>
      </c>
    </row>
    <row r="90">
      <c r="B90" s="13" t="inlineStr">
        <is>
          <t>Conception</t>
        </is>
      </c>
      <c r="C90" s="12">
        <f>SUMIFS(Taches!$M$6:$M$325,Taches!$C$6:$C$325,"V3",Taches!$E$6:$E$325,$B90)</f>
        <v/>
      </c>
      <c r="D90" s="15">
        <f>SUMIFS(Taches!$N$6:$N$325,Taches!$C$6:$C$325,"V3",Taches!$E$6:$E$325,$B90)</f>
        <v/>
      </c>
      <c r="E90" s="16">
        <f>IF(C90=0,0,D90/C90)</f>
        <v/>
      </c>
      <c r="F90" s="12">
        <f>COUNTIFS(Taches!$C$6:$C$325,"V3",Taches!$E$6:$E$325,$B90,Taches!$J$6:$J$325,"&lt;&gt;Abandonnée",Taches!$B$6:$B$325,"&lt;&gt;")</f>
        <v/>
      </c>
      <c r="G90" s="12">
        <f>COUNTIFS(Taches!$C$6:$C$325,"V3",Taches!$E$6:$E$325,$B90,Taches!$J$6:$J$325,"Complétée")</f>
        <v/>
      </c>
      <c r="H90" s="12">
        <f>COUNTIFS(Taches!$C$6:$C$325,"V3",Taches!$E$6:$E$325,$B90,Taches!$J$6:$J$325,"Bloquée")</f>
        <v/>
      </c>
      <c r="I90" s="12">
        <f>COUNTIFS(Taches!$C$6:$C$325,"V3",Taches!$E$6:$E$325,$B90,Taches!$U$6:$U$325,"En retard")</f>
        <v/>
      </c>
    </row>
    <row r="91">
      <c r="B91" s="13" t="inlineStr">
        <is>
          <t>LegalTech OHADA</t>
        </is>
      </c>
      <c r="C91" s="12">
        <f>SUMIFS(Taches!$M$6:$M$325,Taches!$C$6:$C$325,"V3",Taches!$E$6:$E$325,$B91)</f>
        <v/>
      </c>
      <c r="D91" s="15">
        <f>SUMIFS(Taches!$N$6:$N$325,Taches!$C$6:$C$325,"V3",Taches!$E$6:$E$325,$B91)</f>
        <v/>
      </c>
      <c r="E91" s="16">
        <f>IF(C91=0,0,D91/C91)</f>
        <v/>
      </c>
      <c r="F91" s="12">
        <f>COUNTIFS(Taches!$C$6:$C$325,"V3",Taches!$E$6:$E$325,$B91,Taches!$J$6:$J$325,"&lt;&gt;Abandonnée",Taches!$B$6:$B$325,"&lt;&gt;")</f>
        <v/>
      </c>
      <c r="G91" s="12">
        <f>COUNTIFS(Taches!$C$6:$C$325,"V3",Taches!$E$6:$E$325,$B91,Taches!$J$6:$J$325,"Complétée")</f>
        <v/>
      </c>
      <c r="H91" s="12">
        <f>COUNTIFS(Taches!$C$6:$C$325,"V3",Taches!$E$6:$E$325,$B91,Taches!$J$6:$J$325,"Bloquée")</f>
        <v/>
      </c>
      <c r="I91" s="12">
        <f>COUNTIFS(Taches!$C$6:$C$325,"V3",Taches!$E$6:$E$325,$B91,Taches!$U$6:$U$325,"En retard")</f>
        <v/>
      </c>
    </row>
    <row r="92">
      <c r="B92" s="13" t="inlineStr">
        <is>
          <t>Conformité fiscale</t>
        </is>
      </c>
      <c r="C92" s="12">
        <f>SUMIFS(Taches!$M$6:$M$325,Taches!$C$6:$C$325,"V3",Taches!$E$6:$E$325,$B92)</f>
        <v/>
      </c>
      <c r="D92" s="15">
        <f>SUMIFS(Taches!$N$6:$N$325,Taches!$C$6:$C$325,"V3",Taches!$E$6:$E$325,$B92)</f>
        <v/>
      </c>
      <c r="E92" s="16">
        <f>IF(C92=0,0,D92/C92)</f>
        <v/>
      </c>
      <c r="F92" s="12">
        <f>COUNTIFS(Taches!$C$6:$C$325,"V3",Taches!$E$6:$E$325,$B92,Taches!$J$6:$J$325,"&lt;&gt;Abandonnée",Taches!$B$6:$B$325,"&lt;&gt;")</f>
        <v/>
      </c>
      <c r="G92" s="12">
        <f>COUNTIFS(Taches!$C$6:$C$325,"V3",Taches!$E$6:$E$325,$B92,Taches!$J$6:$J$325,"Complétée")</f>
        <v/>
      </c>
      <c r="H92" s="12">
        <f>COUNTIFS(Taches!$C$6:$C$325,"V3",Taches!$E$6:$E$325,$B92,Taches!$J$6:$J$325,"Bloquée")</f>
        <v/>
      </c>
      <c r="I92" s="12">
        <f>COUNTIFS(Taches!$C$6:$C$325,"V3",Taches!$E$6:$E$325,$B92,Taches!$U$6:$U$325,"En retard")</f>
        <v/>
      </c>
    </row>
    <row r="93">
      <c r="B93" s="13" t="inlineStr">
        <is>
          <t>Catalogue de services</t>
        </is>
      </c>
      <c r="C93" s="12">
        <f>SUMIFS(Taches!$M$6:$M$325,Taches!$C$6:$C$325,"V3",Taches!$E$6:$E$325,$B93)</f>
        <v/>
      </c>
      <c r="D93" s="15">
        <f>SUMIFS(Taches!$N$6:$N$325,Taches!$C$6:$C$325,"V3",Taches!$E$6:$E$325,$B93)</f>
        <v/>
      </c>
      <c r="E93" s="16">
        <f>IF(C93=0,0,D93/C93)</f>
        <v/>
      </c>
      <c r="F93" s="12">
        <f>COUNTIFS(Taches!$C$6:$C$325,"V3",Taches!$E$6:$E$325,$B93,Taches!$J$6:$J$325,"&lt;&gt;Abandonnée",Taches!$B$6:$B$325,"&lt;&gt;")</f>
        <v/>
      </c>
      <c r="G93" s="12">
        <f>COUNTIFS(Taches!$C$6:$C$325,"V3",Taches!$E$6:$E$325,$B93,Taches!$J$6:$J$325,"Complétée")</f>
        <v/>
      </c>
      <c r="H93" s="12">
        <f>COUNTIFS(Taches!$C$6:$C$325,"V3",Taches!$E$6:$E$325,$B93,Taches!$J$6:$J$325,"Bloquée")</f>
        <v/>
      </c>
      <c r="I93" s="12">
        <f>COUNTIFS(Taches!$C$6:$C$325,"V3",Taches!$E$6:$E$325,$B93,Taches!$U$6:$U$325,"En retard")</f>
        <v/>
      </c>
    </row>
    <row r="94">
      <c r="B94" s="13" t="inlineStr">
        <is>
          <t>Négociation</t>
        </is>
      </c>
      <c r="C94" s="12">
        <f>SUMIFS(Taches!$M$6:$M$325,Taches!$C$6:$C$325,"V3",Taches!$E$6:$E$325,$B94)</f>
        <v/>
      </c>
      <c r="D94" s="15">
        <f>SUMIFS(Taches!$N$6:$N$325,Taches!$C$6:$C$325,"V3",Taches!$E$6:$E$325,$B94)</f>
        <v/>
      </c>
      <c r="E94" s="16">
        <f>IF(C94=0,0,D94/C94)</f>
        <v/>
      </c>
      <c r="F94" s="12">
        <f>COUNTIFS(Taches!$C$6:$C$325,"V3",Taches!$E$6:$E$325,$B94,Taches!$J$6:$J$325,"&lt;&gt;Abandonnée",Taches!$B$6:$B$325,"&lt;&gt;")</f>
        <v/>
      </c>
      <c r="G94" s="12">
        <f>COUNTIFS(Taches!$C$6:$C$325,"V3",Taches!$E$6:$E$325,$B94,Taches!$J$6:$J$325,"Complétée")</f>
        <v/>
      </c>
      <c r="H94" s="12">
        <f>COUNTIFS(Taches!$C$6:$C$325,"V3",Taches!$E$6:$E$325,$B94,Taches!$J$6:$J$325,"Bloquée")</f>
        <v/>
      </c>
      <c r="I94" s="12">
        <f>COUNTIFS(Taches!$C$6:$C$325,"V3",Taches!$E$6:$E$325,$B94,Taches!$U$6:$U$325,"En retard")</f>
        <v/>
      </c>
    </row>
    <row r="95">
      <c r="B95" s="13" t="inlineStr">
        <is>
          <t>Audit d'acquisition</t>
        </is>
      </c>
      <c r="C95" s="12">
        <f>SUMIFS(Taches!$M$6:$M$325,Taches!$C$6:$C$325,"V3",Taches!$E$6:$E$325,$B95)</f>
        <v/>
      </c>
      <c r="D95" s="15">
        <f>SUMIFS(Taches!$N$6:$N$325,Taches!$C$6:$C$325,"V3",Taches!$E$6:$E$325,$B95)</f>
        <v/>
      </c>
      <c r="E95" s="16">
        <f>IF(C95=0,0,D95/C95)</f>
        <v/>
      </c>
      <c r="F95" s="12">
        <f>COUNTIFS(Taches!$C$6:$C$325,"V3",Taches!$E$6:$E$325,$B95,Taches!$J$6:$J$325,"&lt;&gt;Abandonnée",Taches!$B$6:$B$325,"&lt;&gt;")</f>
        <v/>
      </c>
      <c r="G95" s="12">
        <f>COUNTIFS(Taches!$C$6:$C$325,"V3",Taches!$E$6:$E$325,$B95,Taches!$J$6:$J$325,"Complétée")</f>
        <v/>
      </c>
      <c r="H95" s="12">
        <f>COUNTIFS(Taches!$C$6:$C$325,"V3",Taches!$E$6:$E$325,$B95,Taches!$J$6:$J$325,"Bloquée")</f>
        <v/>
      </c>
      <c r="I95" s="12">
        <f>COUNTIFS(Taches!$C$6:$C$325,"V3",Taches!$E$6:$E$325,$B95,Taches!$U$6:$U$325,"En retard")</f>
        <v/>
      </c>
    </row>
    <row r="96">
      <c r="B96" s="13" t="inlineStr">
        <is>
          <t>Réalisation</t>
        </is>
      </c>
      <c r="C96" s="12">
        <f>SUMIFS(Taches!$M$6:$M$325,Taches!$C$6:$C$325,"V3",Taches!$E$6:$E$325,$B96)</f>
        <v/>
      </c>
      <c r="D96" s="15">
        <f>SUMIFS(Taches!$N$6:$N$325,Taches!$C$6:$C$325,"V3",Taches!$E$6:$E$325,$B96)</f>
        <v/>
      </c>
      <c r="E96" s="16">
        <f>IF(C96=0,0,D96/C96)</f>
        <v/>
      </c>
      <c r="F96" s="12">
        <f>COUNTIFS(Taches!$C$6:$C$325,"V3",Taches!$E$6:$E$325,$B96,Taches!$J$6:$J$325,"&lt;&gt;Abandonnée",Taches!$B$6:$B$325,"&lt;&gt;")</f>
        <v/>
      </c>
      <c r="G96" s="12">
        <f>COUNTIFS(Taches!$C$6:$C$325,"V3",Taches!$E$6:$E$325,$B96,Taches!$J$6:$J$325,"Complétée")</f>
        <v/>
      </c>
      <c r="H96" s="12">
        <f>COUNTIFS(Taches!$C$6:$C$325,"V3",Taches!$E$6:$E$325,$B96,Taches!$J$6:$J$325,"Bloquée")</f>
        <v/>
      </c>
      <c r="I96" s="12">
        <f>COUNTIFS(Taches!$C$6:$C$325,"V3",Taches!$E$6:$E$325,$B96,Taches!$U$6:$U$325,"En retard")</f>
        <v/>
      </c>
    </row>
    <row r="97">
      <c r="B97" s="13" t="inlineStr">
        <is>
          <t>Finance</t>
        </is>
      </c>
      <c r="C97" s="12">
        <f>SUMIFS(Taches!$M$6:$M$325,Taches!$C$6:$C$325,"V3",Taches!$E$6:$E$325,$B97)</f>
        <v/>
      </c>
      <c r="D97" s="15">
        <f>SUMIFS(Taches!$N$6:$N$325,Taches!$C$6:$C$325,"V3",Taches!$E$6:$E$325,$B97)</f>
        <v/>
      </c>
      <c r="E97" s="16">
        <f>IF(C97=0,0,D97/C97)</f>
        <v/>
      </c>
      <c r="F97" s="12">
        <f>COUNTIFS(Taches!$C$6:$C$325,"V3",Taches!$E$6:$E$325,$B97,Taches!$J$6:$J$325,"&lt;&gt;Abandonnée",Taches!$B$6:$B$325,"&lt;&gt;")</f>
        <v/>
      </c>
      <c r="G97" s="12">
        <f>COUNTIFS(Taches!$C$6:$C$325,"V3",Taches!$E$6:$E$325,$B97,Taches!$J$6:$J$325,"Complétée")</f>
        <v/>
      </c>
      <c r="H97" s="12">
        <f>COUNTIFS(Taches!$C$6:$C$325,"V3",Taches!$E$6:$E$325,$B97,Taches!$J$6:$J$325,"Bloquée")</f>
        <v/>
      </c>
      <c r="I97" s="12">
        <f>COUNTIFS(Taches!$C$6:$C$325,"V3",Taches!$E$6:$E$325,$B97,Taches!$U$6:$U$325,"En retard")</f>
        <v/>
      </c>
    </row>
    <row r="98">
      <c r="B98" s="13" t="inlineStr">
        <is>
          <t>Facturation abonnements</t>
        </is>
      </c>
      <c r="C98" s="12">
        <f>SUMIFS(Taches!$M$6:$M$325,Taches!$C$6:$C$325,"V3",Taches!$E$6:$E$325,$B98)</f>
        <v/>
      </c>
      <c r="D98" s="15">
        <f>SUMIFS(Taches!$N$6:$N$325,Taches!$C$6:$C$325,"V3",Taches!$E$6:$E$325,$B98)</f>
        <v/>
      </c>
      <c r="E98" s="16">
        <f>IF(C98=0,0,D98/C98)</f>
        <v/>
      </c>
      <c r="F98" s="12">
        <f>COUNTIFS(Taches!$C$6:$C$325,"V3",Taches!$E$6:$E$325,$B98,Taches!$J$6:$J$325,"&lt;&gt;Abandonnée",Taches!$B$6:$B$325,"&lt;&gt;")</f>
        <v/>
      </c>
      <c r="G98" s="12">
        <f>COUNTIFS(Taches!$C$6:$C$325,"V3",Taches!$E$6:$E$325,$B98,Taches!$J$6:$J$325,"Complétée")</f>
        <v/>
      </c>
      <c r="H98" s="12">
        <f>COUNTIFS(Taches!$C$6:$C$325,"V3",Taches!$E$6:$E$325,$B98,Taches!$J$6:$J$325,"Bloquée")</f>
        <v/>
      </c>
      <c r="I98" s="12">
        <f>COUNTIFS(Taches!$C$6:$C$325,"V3",Taches!$E$6:$E$325,$B98,Taches!$U$6:$U$325,"En retard")</f>
        <v/>
      </c>
    </row>
    <row r="99">
      <c r="B99" s="13" t="inlineStr">
        <is>
          <t>Support</t>
        </is>
      </c>
      <c r="C99" s="12">
        <f>SUMIFS(Taches!$M$6:$M$325,Taches!$C$6:$C$325,"V3",Taches!$E$6:$E$325,$B99)</f>
        <v/>
      </c>
      <c r="D99" s="15">
        <f>SUMIFS(Taches!$N$6:$N$325,Taches!$C$6:$C$325,"V3",Taches!$E$6:$E$325,$B99)</f>
        <v/>
      </c>
      <c r="E99" s="16">
        <f>IF(C99=0,0,D99/C99)</f>
        <v/>
      </c>
      <c r="F99" s="12">
        <f>COUNTIFS(Taches!$C$6:$C$325,"V3",Taches!$E$6:$E$325,$B99,Taches!$J$6:$J$325,"&lt;&gt;Abandonnée",Taches!$B$6:$B$325,"&lt;&gt;")</f>
        <v/>
      </c>
      <c r="G99" s="12">
        <f>COUNTIFS(Taches!$C$6:$C$325,"V3",Taches!$E$6:$E$325,$B99,Taches!$J$6:$J$325,"Complétée")</f>
        <v/>
      </c>
      <c r="H99" s="12">
        <f>COUNTIFS(Taches!$C$6:$C$325,"V3",Taches!$E$6:$E$325,$B99,Taches!$J$6:$J$325,"Bloquée")</f>
        <v/>
      </c>
      <c r="I99" s="12">
        <f>COUNTIFS(Taches!$C$6:$C$325,"V3",Taches!$E$6:$E$325,$B99,Taches!$U$6:$U$325,"En retard")</f>
        <v/>
      </c>
    </row>
    <row r="100">
      <c r="B100" s="13" t="inlineStr">
        <is>
          <t>Portes de conformité</t>
        </is>
      </c>
      <c r="C100" s="12">
        <f>SUMIFS(Taches!$M$6:$M$325,Taches!$C$6:$C$325,"V3",Taches!$E$6:$E$325,$B100)</f>
        <v/>
      </c>
      <c r="D100" s="15">
        <f>SUMIFS(Taches!$N$6:$N$325,Taches!$C$6:$C$325,"V3",Taches!$E$6:$E$325,$B100)</f>
        <v/>
      </c>
      <c r="E100" s="16">
        <f>IF(C100=0,0,D100/C100)</f>
        <v/>
      </c>
      <c r="F100" s="12">
        <f>COUNTIFS(Taches!$C$6:$C$325,"V3",Taches!$E$6:$E$325,$B100,Taches!$J$6:$J$325,"&lt;&gt;Abandonnée",Taches!$B$6:$B$325,"&lt;&gt;")</f>
        <v/>
      </c>
      <c r="G100" s="12">
        <f>COUNTIFS(Taches!$C$6:$C$325,"V3",Taches!$E$6:$E$325,$B100,Taches!$J$6:$J$325,"Complétée")</f>
        <v/>
      </c>
      <c r="H100" s="12">
        <f>COUNTIFS(Taches!$C$6:$C$325,"V3",Taches!$E$6:$E$325,$B100,Taches!$J$6:$J$325,"Bloquée")</f>
        <v/>
      </c>
      <c r="I100" s="12">
        <f>COUNTIFS(Taches!$C$6:$C$325,"V3",Taches!$E$6:$E$325,$B100,Taches!$U$6:$U$325,"En retard")</f>
        <v/>
      </c>
    </row>
    <row r="101">
      <c r="B101" s="13" t="inlineStr">
        <is>
          <t>Exploitation</t>
        </is>
      </c>
      <c r="C101" s="12">
        <f>SUMIFS(Taches!$M$6:$M$325,Taches!$C$6:$C$325,"V3",Taches!$E$6:$E$325,$B101)</f>
        <v/>
      </c>
      <c r="D101" s="15">
        <f>SUMIFS(Taches!$N$6:$N$325,Taches!$C$6:$C$325,"V3",Taches!$E$6:$E$325,$B101)</f>
        <v/>
      </c>
      <c r="E101" s="16">
        <f>IF(C101=0,0,D101/C101)</f>
        <v/>
      </c>
      <c r="F101" s="12">
        <f>COUNTIFS(Taches!$C$6:$C$325,"V3",Taches!$E$6:$E$325,$B101,Taches!$J$6:$J$325,"&lt;&gt;Abandonnée",Taches!$B$6:$B$325,"&lt;&gt;")</f>
        <v/>
      </c>
      <c r="G101" s="12">
        <f>COUNTIFS(Taches!$C$6:$C$325,"V3",Taches!$E$6:$E$325,$B101,Taches!$J$6:$J$325,"Complétée")</f>
        <v/>
      </c>
      <c r="H101" s="12">
        <f>COUNTIFS(Taches!$C$6:$C$325,"V3",Taches!$E$6:$E$325,$B101,Taches!$J$6:$J$325,"Bloquée")</f>
        <v/>
      </c>
      <c r="I101" s="12">
        <f>COUNTIFS(Taches!$C$6:$C$325,"V3",Taches!$E$6:$E$325,$B101,Taches!$U$6:$U$325,"En retard")</f>
        <v/>
      </c>
    </row>
    <row r="102">
      <c r="B102" s="13" t="inlineStr">
        <is>
          <t>QA et livraison</t>
        </is>
      </c>
      <c r="C102" s="12">
        <f>SUMIFS(Taches!$M$6:$M$325,Taches!$C$6:$C$325,"V3",Taches!$E$6:$E$325,$B102)</f>
        <v/>
      </c>
      <c r="D102" s="15">
        <f>SUMIFS(Taches!$N$6:$N$325,Taches!$C$6:$C$325,"V3",Taches!$E$6:$E$325,$B102)</f>
        <v/>
      </c>
      <c r="E102" s="16">
        <f>IF(C102=0,0,D102/C102)</f>
        <v/>
      </c>
      <c r="F102" s="12">
        <f>COUNTIFS(Taches!$C$6:$C$325,"V3",Taches!$E$6:$E$325,$B102,Taches!$J$6:$J$325,"&lt;&gt;Abandonnée",Taches!$B$6:$B$325,"&lt;&gt;")</f>
        <v/>
      </c>
      <c r="G102" s="12">
        <f>COUNTIFS(Taches!$C$6:$C$325,"V3",Taches!$E$6:$E$325,$B102,Taches!$J$6:$J$325,"Complétée")</f>
        <v/>
      </c>
      <c r="H102" s="12">
        <f>COUNTIFS(Taches!$C$6:$C$325,"V3",Taches!$E$6:$E$325,$B102,Taches!$J$6:$J$325,"Bloquée")</f>
        <v/>
      </c>
      <c r="I102" s="12">
        <f>COUNTIFS(Taches!$C$6:$C$325,"V3",Taches!$E$6:$E$325,$B102,Taches!$U$6:$U$325,"En retard")</f>
        <v/>
      </c>
    </row>
    <row r="103">
      <c r="B103" s="30" t="inlineStr">
        <is>
          <t>Total V3</t>
        </is>
      </c>
      <c r="C103" s="30">
        <f>SUM(C90:C102)</f>
        <v/>
      </c>
      <c r="D103" s="31">
        <f>SUM(D90:D102)</f>
        <v/>
      </c>
      <c r="E103" s="32">
        <f>IF(C103=0,0,D103/C103)</f>
        <v/>
      </c>
      <c r="F103" s="30">
        <f>SUM(F90:F102)</f>
        <v/>
      </c>
      <c r="G103" s="30">
        <f>SUM(G90:G102)</f>
        <v/>
      </c>
      <c r="H103" s="30">
        <f>SUM(H90:H102)</f>
        <v/>
      </c>
      <c r="I103" s="30">
        <f>SUM(I90:I102)</f>
        <v/>
      </c>
    </row>
    <row r="105">
      <c r="B105" s="3" t="inlineStr">
        <is>
          <t>Prérequis</t>
        </is>
      </c>
    </row>
    <row r="106" ht="30" customHeight="1">
      <c r="B106" s="20" t="inlineStr">
        <is>
          <t>Qualification, NDA, T2 et data room validés en V2 ; contractualisation paiement ; avis juridique écrit sur le barème. CLOSED_REPORTED est réalisé dans V3, pas un prérequis V2.</t>
        </is>
      </c>
    </row>
    <row r="107">
      <c r="B107" s="3" t="inlineStr">
        <is>
          <t>Décision ou règle</t>
        </is>
      </c>
    </row>
    <row r="108" ht="36" customHeight="1">
      <c r="B108" s="33" t="inlineStr">
        <is>
          <t>Le barème de frais et la rétrocession ne s'activent qu'après avis juridique écrit, jamais par simple décision produit.</t>
        </is>
      </c>
      <c r="C108" s="34" t="n"/>
      <c r="D108" s="34" t="n"/>
      <c r="E108" s="34" t="n"/>
      <c r="F108" s="34" t="n"/>
      <c r="G108" s="34" t="n"/>
      <c r="H108" s="34" t="n"/>
      <c r="I108" s="34" t="n"/>
    </row>
    <row r="111" ht="26" customHeight="1">
      <c r="B111" s="22" t="inlineStr">
        <is>
          <t>V4  Alerte &amp; Rebond, Deal-Connect (Remo.co), Guichet Diaspora, Deal-Experts</t>
        </is>
      </c>
    </row>
    <row r="112" ht="28" customHeight="1">
      <c r="B112" s="23" t="inlineStr">
        <is>
          <t>Début prévu</t>
        </is>
      </c>
      <c r="C112" s="23" t="inlineStr">
        <is>
          <t>Fin prévue</t>
        </is>
      </c>
      <c r="D112" s="23" t="inlineStr">
        <is>
          <t>Charge (j/p)</t>
        </is>
      </c>
      <c r="E112" s="23" t="inlineStr">
        <is>
          <t>Charge (sem.-pers.)</t>
        </is>
      </c>
      <c r="F112" s="23" t="inlineStr">
        <is>
          <t>Avancement</t>
        </is>
      </c>
      <c r="G112" s="23" t="inlineStr">
        <is>
          <t>État</t>
        </is>
      </c>
      <c r="H112" s="23" t="inlineStr">
        <is>
          <t>Semaines calendaires</t>
        </is>
      </c>
      <c r="I112" s="23" t="inlineStr">
        <is>
          <t>ETP requis à pleine cadence</t>
        </is>
      </c>
    </row>
    <row r="113">
      <c r="B113" s="24">
        <f>Versions!D9</f>
        <v/>
      </c>
      <c r="C113" s="24">
        <f>Versions!E9</f>
        <v/>
      </c>
      <c r="D113" s="25">
        <f>Versions!G9</f>
        <v/>
      </c>
      <c r="E113" s="26">
        <f>Versions!H9</f>
        <v/>
      </c>
      <c r="F113" s="27">
        <f>Versions!J9</f>
        <v/>
      </c>
      <c r="G113" s="28">
        <f>Versions!P9</f>
        <v/>
      </c>
      <c r="H113" s="26">
        <f>ROUND((Versions!E9-Versions!D9)/7,1)</f>
        <v/>
      </c>
      <c r="I113" s="26">
        <f>IFERROR(ROUND(Versions!H9/((Versions!E9-Versions!D9)/7),1),0)</f>
        <v/>
      </c>
    </row>
    <row r="114" ht="48" customHeight="1">
      <c r="B114" s="20" t="inlineStr">
        <is>
          <t>Les modules réseau. Seul changement d'architecture notable : la brique de salons et rendez-vous virtuels est externalisée vers Remo.co plutôt que construite en propre.</t>
        </is>
      </c>
    </row>
    <row r="115">
      <c r="B115" s="3" t="inlineStr">
        <is>
          <t>Inclus</t>
        </is>
      </c>
      <c r="F115" s="3" t="inlineStr">
        <is>
          <t>Exclu ou reporté</t>
        </is>
      </c>
    </row>
    <row r="116" ht="30" customHeight="1">
      <c r="B116" s="20" t="inlineStr">
        <is>
          <t>+ Alerte &amp; Rebond : auto-diagnostic, cellule de crise confidentielle, listings d'actifs en difficulté, coupe-circuit</t>
        </is>
      </c>
      <c r="F116" s="29" t="inlineStr">
        <is>
          <t>- Mécanismes d'enchère en temps réel (non présumés contractuels)</t>
        </is>
      </c>
    </row>
    <row r="117" ht="30" customHeight="1">
      <c r="B117" s="20" t="inlineStr">
        <is>
          <t>+ Deal-Connect : événements B2B via connecteur Remo.co ; DealPME gère inscriptions, billetterie, attribution et reporting</t>
        </is>
      </c>
      <c r="F117" s="29" t="inlineStr">
        <is>
          <t>- Tout conseil de change ou d'investissement fourni par la plateforme</t>
        </is>
      </c>
    </row>
    <row r="118" ht="30" customHeight="1">
      <c r="B118" s="20" t="inlineStr">
        <is>
          <t>+ Comptes rendus du contenu des sessions, ciblés sur leurs participants autorisés, distincts des statistiques de présence</t>
        </is>
      </c>
    </row>
    <row r="119" ht="30" customHeight="1">
      <c r="B119" s="20" t="inlineStr">
        <is>
          <t>+ Guichet Diaspora : liste de suivi, rendez-vous sécurisé via Remo.co, contraintes transfrontalières, renvoi vers banque et conseil</t>
        </is>
      </c>
    </row>
    <row r="120" ht="30" customHeight="1">
      <c r="B120" s="20" t="inlineStr">
        <is>
          <t>+ Deal-Experts (P13 contractuel) : registre d'experts, routage, accès temporaire scopé</t>
        </is>
      </c>
    </row>
    <row r="122" ht="24" customHeight="1">
      <c r="B122" s="11" t="inlineStr">
        <is>
          <t>Lot</t>
        </is>
      </c>
      <c r="C122" s="11" t="inlineStr">
        <is>
          <t>Charge (j/p)</t>
        </is>
      </c>
      <c r="D122" s="11" t="inlineStr">
        <is>
          <t>Réalisé (j/p)</t>
        </is>
      </c>
      <c r="E122" s="11" t="inlineStr">
        <is>
          <t>Avancement</t>
        </is>
      </c>
      <c r="F122" s="11" t="inlineStr">
        <is>
          <t>Tâches</t>
        </is>
      </c>
      <c r="G122" s="11" t="inlineStr">
        <is>
          <t>Complétées</t>
        </is>
      </c>
      <c r="H122" s="11" t="inlineStr">
        <is>
          <t>Bloquées</t>
        </is>
      </c>
      <c r="I122" s="11" t="inlineStr">
        <is>
          <t>En retard</t>
        </is>
      </c>
    </row>
    <row r="123">
      <c r="B123" s="13" t="inlineStr">
        <is>
          <t>Conception</t>
        </is>
      </c>
      <c r="C123" s="12">
        <f>SUMIFS(Taches!$M$6:$M$325,Taches!$C$6:$C$325,"V4",Taches!$E$6:$E$325,$B123)</f>
        <v/>
      </c>
      <c r="D123" s="15">
        <f>SUMIFS(Taches!$N$6:$N$325,Taches!$C$6:$C$325,"V4",Taches!$E$6:$E$325,$B123)</f>
        <v/>
      </c>
      <c r="E123" s="16">
        <f>IF(C123=0,0,D123/C123)</f>
        <v/>
      </c>
      <c r="F123" s="12">
        <f>COUNTIFS(Taches!$C$6:$C$325,"V4",Taches!$E$6:$E$325,$B123,Taches!$J$6:$J$325,"&lt;&gt;Abandonnée",Taches!$B$6:$B$325,"&lt;&gt;")</f>
        <v/>
      </c>
      <c r="G123" s="12">
        <f>COUNTIFS(Taches!$C$6:$C$325,"V4",Taches!$E$6:$E$325,$B123,Taches!$J$6:$J$325,"Complétée")</f>
        <v/>
      </c>
      <c r="H123" s="12">
        <f>COUNTIFS(Taches!$C$6:$C$325,"V4",Taches!$E$6:$E$325,$B123,Taches!$J$6:$J$325,"Bloquée")</f>
        <v/>
      </c>
      <c r="I123" s="12">
        <f>COUNTIFS(Taches!$C$6:$C$325,"V4",Taches!$E$6:$E$325,$B123,Taches!$U$6:$U$325,"En retard")</f>
        <v/>
      </c>
    </row>
    <row r="124">
      <c r="B124" s="13" t="inlineStr">
        <is>
          <t>Alerte &amp; Rebond</t>
        </is>
      </c>
      <c r="C124" s="12">
        <f>SUMIFS(Taches!$M$6:$M$325,Taches!$C$6:$C$325,"V4",Taches!$E$6:$E$325,$B124)</f>
        <v/>
      </c>
      <c r="D124" s="15">
        <f>SUMIFS(Taches!$N$6:$N$325,Taches!$C$6:$C$325,"V4",Taches!$E$6:$E$325,$B124)</f>
        <v/>
      </c>
      <c r="E124" s="16">
        <f>IF(C124=0,0,D124/C124)</f>
        <v/>
      </c>
      <c r="F124" s="12">
        <f>COUNTIFS(Taches!$C$6:$C$325,"V4",Taches!$E$6:$E$325,$B124,Taches!$J$6:$J$325,"&lt;&gt;Abandonnée",Taches!$B$6:$B$325,"&lt;&gt;")</f>
        <v/>
      </c>
      <c r="G124" s="12">
        <f>COUNTIFS(Taches!$C$6:$C$325,"V4",Taches!$E$6:$E$325,$B124,Taches!$J$6:$J$325,"Complétée")</f>
        <v/>
      </c>
      <c r="H124" s="12">
        <f>COUNTIFS(Taches!$C$6:$C$325,"V4",Taches!$E$6:$E$325,$B124,Taches!$J$6:$J$325,"Bloquée")</f>
        <v/>
      </c>
      <c r="I124" s="12">
        <f>COUNTIFS(Taches!$C$6:$C$325,"V4",Taches!$E$6:$E$325,$B124,Taches!$U$6:$U$325,"En retard")</f>
        <v/>
      </c>
    </row>
    <row r="125">
      <c r="B125" s="13" t="inlineStr">
        <is>
          <t>Actifs en difficulté</t>
        </is>
      </c>
      <c r="C125" s="12">
        <f>SUMIFS(Taches!$M$6:$M$325,Taches!$C$6:$C$325,"V4",Taches!$E$6:$E$325,$B125)</f>
        <v/>
      </c>
      <c r="D125" s="15">
        <f>SUMIFS(Taches!$N$6:$N$325,Taches!$C$6:$C$325,"V4",Taches!$E$6:$E$325,$B125)</f>
        <v/>
      </c>
      <c r="E125" s="16">
        <f>IF(C125=0,0,D125/C125)</f>
        <v/>
      </c>
      <c r="F125" s="12">
        <f>COUNTIFS(Taches!$C$6:$C$325,"V4",Taches!$E$6:$E$325,$B125,Taches!$J$6:$J$325,"&lt;&gt;Abandonnée",Taches!$B$6:$B$325,"&lt;&gt;")</f>
        <v/>
      </c>
      <c r="G125" s="12">
        <f>COUNTIFS(Taches!$C$6:$C$325,"V4",Taches!$E$6:$E$325,$B125,Taches!$J$6:$J$325,"Complétée")</f>
        <v/>
      </c>
      <c r="H125" s="12">
        <f>COUNTIFS(Taches!$C$6:$C$325,"V4",Taches!$E$6:$E$325,$B125,Taches!$J$6:$J$325,"Bloquée")</f>
        <v/>
      </c>
      <c r="I125" s="12">
        <f>COUNTIFS(Taches!$C$6:$C$325,"V4",Taches!$E$6:$E$325,$B125,Taches!$U$6:$U$325,"En retard")</f>
        <v/>
      </c>
    </row>
    <row r="126">
      <c r="B126" s="13" t="inlineStr">
        <is>
          <t>Deal-Connect</t>
        </is>
      </c>
      <c r="C126" s="12">
        <f>SUMIFS(Taches!$M$6:$M$325,Taches!$C$6:$C$325,"V4",Taches!$E$6:$E$325,$B126)</f>
        <v/>
      </c>
      <c r="D126" s="15">
        <f>SUMIFS(Taches!$N$6:$N$325,Taches!$C$6:$C$325,"V4",Taches!$E$6:$E$325,$B126)</f>
        <v/>
      </c>
      <c r="E126" s="16">
        <f>IF(C126=0,0,D126/C126)</f>
        <v/>
      </c>
      <c r="F126" s="12">
        <f>COUNTIFS(Taches!$C$6:$C$325,"V4",Taches!$E$6:$E$325,$B126,Taches!$J$6:$J$325,"&lt;&gt;Abandonnée",Taches!$B$6:$B$325,"&lt;&gt;")</f>
        <v/>
      </c>
      <c r="G126" s="12">
        <f>COUNTIFS(Taches!$C$6:$C$325,"V4",Taches!$E$6:$E$325,$B126,Taches!$J$6:$J$325,"Complétée")</f>
        <v/>
      </c>
      <c r="H126" s="12">
        <f>COUNTIFS(Taches!$C$6:$C$325,"V4",Taches!$E$6:$E$325,$B126,Taches!$J$6:$J$325,"Bloquée")</f>
        <v/>
      </c>
      <c r="I126" s="12">
        <f>COUNTIFS(Taches!$C$6:$C$325,"V4",Taches!$E$6:$E$325,$B126,Taches!$U$6:$U$325,"En retard")</f>
        <v/>
      </c>
    </row>
    <row r="127">
      <c r="B127" s="13" t="inlineStr">
        <is>
          <t>Guichet Diaspora</t>
        </is>
      </c>
      <c r="C127" s="12">
        <f>SUMIFS(Taches!$M$6:$M$325,Taches!$C$6:$C$325,"V4",Taches!$E$6:$E$325,$B127)</f>
        <v/>
      </c>
      <c r="D127" s="15">
        <f>SUMIFS(Taches!$N$6:$N$325,Taches!$C$6:$C$325,"V4",Taches!$E$6:$E$325,$B127)</f>
        <v/>
      </c>
      <c r="E127" s="16">
        <f>IF(C127=0,0,D127/C127)</f>
        <v/>
      </c>
      <c r="F127" s="12">
        <f>COUNTIFS(Taches!$C$6:$C$325,"V4",Taches!$E$6:$E$325,$B127,Taches!$J$6:$J$325,"&lt;&gt;Abandonnée",Taches!$B$6:$B$325,"&lt;&gt;")</f>
        <v/>
      </c>
      <c r="G127" s="12">
        <f>COUNTIFS(Taches!$C$6:$C$325,"V4",Taches!$E$6:$E$325,$B127,Taches!$J$6:$J$325,"Complétée")</f>
        <v/>
      </c>
      <c r="H127" s="12">
        <f>COUNTIFS(Taches!$C$6:$C$325,"V4",Taches!$E$6:$E$325,$B127,Taches!$J$6:$J$325,"Bloquée")</f>
        <v/>
      </c>
      <c r="I127" s="12">
        <f>COUNTIFS(Taches!$C$6:$C$325,"V4",Taches!$E$6:$E$325,$B127,Taches!$U$6:$U$325,"En retard")</f>
        <v/>
      </c>
    </row>
    <row r="128">
      <c r="B128" s="13" t="inlineStr">
        <is>
          <t>Deal-Experts</t>
        </is>
      </c>
      <c r="C128" s="12">
        <f>SUMIFS(Taches!$M$6:$M$325,Taches!$C$6:$C$325,"V4",Taches!$E$6:$E$325,$B128)</f>
        <v/>
      </c>
      <c r="D128" s="15">
        <f>SUMIFS(Taches!$N$6:$N$325,Taches!$C$6:$C$325,"V4",Taches!$E$6:$E$325,$B128)</f>
        <v/>
      </c>
      <c r="E128" s="16">
        <f>IF(C128=0,0,D128/C128)</f>
        <v/>
      </c>
      <c r="F128" s="12">
        <f>COUNTIFS(Taches!$C$6:$C$325,"V4",Taches!$E$6:$E$325,$B128,Taches!$J$6:$J$325,"&lt;&gt;Abandonnée",Taches!$B$6:$B$325,"&lt;&gt;")</f>
        <v/>
      </c>
      <c r="G128" s="12">
        <f>COUNTIFS(Taches!$C$6:$C$325,"V4",Taches!$E$6:$E$325,$B128,Taches!$J$6:$J$325,"Complétée")</f>
        <v/>
      </c>
      <c r="H128" s="12">
        <f>COUNTIFS(Taches!$C$6:$C$325,"V4",Taches!$E$6:$E$325,$B128,Taches!$J$6:$J$325,"Bloquée")</f>
        <v/>
      </c>
      <c r="I128" s="12">
        <f>COUNTIFS(Taches!$C$6:$C$325,"V4",Taches!$E$6:$E$325,$B128,Taches!$U$6:$U$325,"En retard")</f>
        <v/>
      </c>
    </row>
    <row r="129">
      <c r="B129" s="13" t="inlineStr">
        <is>
          <t>QA et livraison</t>
        </is>
      </c>
      <c r="C129" s="12">
        <f>SUMIFS(Taches!$M$6:$M$325,Taches!$C$6:$C$325,"V4",Taches!$E$6:$E$325,$B129)</f>
        <v/>
      </c>
      <c r="D129" s="15">
        <f>SUMIFS(Taches!$N$6:$N$325,Taches!$C$6:$C$325,"V4",Taches!$E$6:$E$325,$B129)</f>
        <v/>
      </c>
      <c r="E129" s="16">
        <f>IF(C129=0,0,D129/C129)</f>
        <v/>
      </c>
      <c r="F129" s="12">
        <f>COUNTIFS(Taches!$C$6:$C$325,"V4",Taches!$E$6:$E$325,$B129,Taches!$J$6:$J$325,"&lt;&gt;Abandonnée",Taches!$B$6:$B$325,"&lt;&gt;")</f>
        <v/>
      </c>
      <c r="G129" s="12">
        <f>COUNTIFS(Taches!$C$6:$C$325,"V4",Taches!$E$6:$E$325,$B129,Taches!$J$6:$J$325,"Complétée")</f>
        <v/>
      </c>
      <c r="H129" s="12">
        <f>COUNTIFS(Taches!$C$6:$C$325,"V4",Taches!$E$6:$E$325,$B129,Taches!$J$6:$J$325,"Bloquée")</f>
        <v/>
      </c>
      <c r="I129" s="12">
        <f>COUNTIFS(Taches!$C$6:$C$325,"V4",Taches!$E$6:$E$325,$B129,Taches!$U$6:$U$325,"En retard")</f>
        <v/>
      </c>
    </row>
    <row r="130">
      <c r="B130" s="30" t="inlineStr">
        <is>
          <t>Total V4</t>
        </is>
      </c>
      <c r="C130" s="30">
        <f>SUM(C123:C129)</f>
        <v/>
      </c>
      <c r="D130" s="31">
        <f>SUM(D123:D129)</f>
        <v/>
      </c>
      <c r="E130" s="32">
        <f>IF(C130=0,0,D130/C130)</f>
        <v/>
      </c>
      <c r="F130" s="30">
        <f>SUM(F123:F129)</f>
        <v/>
      </c>
      <c r="G130" s="30">
        <f>SUM(G123:G129)</f>
        <v/>
      </c>
      <c r="H130" s="30">
        <f>SUM(H123:H129)</f>
        <v/>
      </c>
      <c r="I130" s="30">
        <f>SUM(I123:I129)</f>
        <v/>
      </c>
    </row>
    <row r="132">
      <c r="B132" s="3" t="inlineStr">
        <is>
          <t>Prérequis</t>
        </is>
      </c>
    </row>
    <row r="133" ht="30" customHeight="1">
      <c r="B133" s="20" t="inlineStr">
        <is>
          <t>Portes de conformité fermées (V3) ; cadrage écrit de l'intégration Remo.co.</t>
        </is>
      </c>
    </row>
    <row r="134">
      <c r="B134" s="3" t="inlineStr">
        <is>
          <t>Décision ou règle</t>
        </is>
      </c>
    </row>
    <row r="135" ht="36" customHeight="1">
      <c r="B135" s="33" t="inlineStr">
        <is>
          <t>Remo.co est retenu. Le périmètre exact (SSO natif, webhooks de présence, marque blanche) dépend du plan Remo.co choisi.</t>
        </is>
      </c>
      <c r="C135" s="34" t="n"/>
      <c r="D135" s="34" t="n"/>
      <c r="E135" s="34" t="n"/>
      <c r="F135" s="34" t="n"/>
      <c r="G135" s="34" t="n"/>
      <c r="H135" s="34" t="n"/>
      <c r="I135" s="34" t="n"/>
    </row>
    <row r="138" ht="26" customHeight="1">
      <c r="B138" s="22" t="inlineStr">
        <is>
          <t>V5  VDR Intelligence : DealLens, Evidence Map, Issue Radar, Clean Team</t>
        </is>
      </c>
    </row>
    <row r="139" ht="28" customHeight="1">
      <c r="B139" s="23" t="inlineStr">
        <is>
          <t>Début prévu</t>
        </is>
      </c>
      <c r="C139" s="23" t="inlineStr">
        <is>
          <t>Fin prévue</t>
        </is>
      </c>
      <c r="D139" s="23" t="inlineStr">
        <is>
          <t>Charge (j/p)</t>
        </is>
      </c>
      <c r="E139" s="23" t="inlineStr">
        <is>
          <t>Charge (sem.-pers.)</t>
        </is>
      </c>
      <c r="F139" s="23" t="inlineStr">
        <is>
          <t>Avancement</t>
        </is>
      </c>
      <c r="G139" s="23" t="inlineStr">
        <is>
          <t>État</t>
        </is>
      </c>
      <c r="H139" s="23" t="inlineStr">
        <is>
          <t>Semaines calendaires</t>
        </is>
      </c>
      <c r="I139" s="23" t="inlineStr">
        <is>
          <t>ETP requis à pleine cadence</t>
        </is>
      </c>
    </row>
    <row r="140">
      <c r="B140" s="24">
        <f>Versions!D10</f>
        <v/>
      </c>
      <c r="C140" s="24">
        <f>Versions!E10</f>
        <v/>
      </c>
      <c r="D140" s="25">
        <f>Versions!G10</f>
        <v/>
      </c>
      <c r="E140" s="26">
        <f>Versions!H10</f>
        <v/>
      </c>
      <c r="F140" s="27">
        <f>Versions!J10</f>
        <v/>
      </c>
      <c r="G140" s="28">
        <f>Versions!P10</f>
        <v/>
      </c>
      <c r="H140" s="26">
        <f>ROUND((Versions!E10-Versions!D10)/7,1)</f>
        <v/>
      </c>
      <c r="I140" s="26">
        <f>IFERROR(ROUND(Versions!H10/((Versions!E10-Versions!D10)/7),1),0)</f>
        <v/>
      </c>
    </row>
    <row r="141" ht="48" customHeight="1">
      <c r="B141" s="20" t="inlineStr">
        <is>
          <t>Le module le plus spécifié du corpus existant et pourtant le plus éloigné de la production : aucun fournisseur IA n'est engagé. Placé en dernier car le moins urgent contractuellement et le plus risqué techniquement.</t>
        </is>
      </c>
    </row>
    <row r="142">
      <c r="B142" s="3" t="inlineStr">
        <is>
          <t>Inclus</t>
        </is>
      </c>
      <c r="F142" s="3" t="inlineStr">
        <is>
          <t>Exclu ou reporté</t>
        </is>
      </c>
    </row>
    <row r="143" ht="30" customHeight="1">
      <c r="B143" s="20" t="inlineStr">
        <is>
          <t>+ Contrat fournisseur IA et pare-feu de permission : filtrage avant récupération, jamais après</t>
        </is>
      </c>
      <c r="F143" s="29" t="inlineStr">
        <is>
          <t>- Toute action autonome de l'IA : publication, changement de permission, certification, réponse au cédant</t>
        </is>
      </c>
    </row>
    <row r="144" ht="30" customHeight="1">
      <c r="B144" s="20" t="inlineStr">
        <is>
          <t>+ Neuf surfaces : Cockpit, DealLens document et salle, Issue Radar, Evidence Map, Atelier Q&amp;R, Engagement Pulse, Audit, Accès et Clean Team</t>
        </is>
      </c>
    </row>
    <row r="145" ht="30" customHeight="1">
      <c r="B145" s="20" t="inlineStr">
        <is>
          <t>+ Rapprochement financier, intelligence de version, caviardage assisté avec revue humaine</t>
        </is>
      </c>
    </row>
    <row r="146" ht="30" customHeight="1">
      <c r="B146" s="20" t="inlineStr">
        <is>
          <t>+ Tests AI-01 à AI-06, DOC-01 à DOC-03, Q&amp;A-01, UI-01</t>
        </is>
      </c>
    </row>
    <row r="148" ht="24" customHeight="1">
      <c r="B148" s="11" t="inlineStr">
        <is>
          <t>Lot</t>
        </is>
      </c>
      <c r="C148" s="11" t="inlineStr">
        <is>
          <t>Charge (j/p)</t>
        </is>
      </c>
      <c r="D148" s="11" t="inlineStr">
        <is>
          <t>Réalisé (j/p)</t>
        </is>
      </c>
      <c r="E148" s="11" t="inlineStr">
        <is>
          <t>Avancement</t>
        </is>
      </c>
      <c r="F148" s="11" t="inlineStr">
        <is>
          <t>Tâches</t>
        </is>
      </c>
      <c r="G148" s="11" t="inlineStr">
        <is>
          <t>Complétées</t>
        </is>
      </c>
      <c r="H148" s="11" t="inlineStr">
        <is>
          <t>Bloquées</t>
        </is>
      </c>
      <c r="I148" s="11" t="inlineStr">
        <is>
          <t>En retard</t>
        </is>
      </c>
    </row>
    <row r="149">
      <c r="B149" s="13" t="inlineStr">
        <is>
          <t>Conception</t>
        </is>
      </c>
      <c r="C149" s="12">
        <f>SUMIFS(Taches!$M$6:$M$325,Taches!$C$6:$C$325,"V5",Taches!$E$6:$E$325,$B149)</f>
        <v/>
      </c>
      <c r="D149" s="15">
        <f>SUMIFS(Taches!$N$6:$N$325,Taches!$C$6:$C$325,"V5",Taches!$E$6:$E$325,$B149)</f>
        <v/>
      </c>
      <c r="E149" s="16">
        <f>IF(C149=0,0,D149/C149)</f>
        <v/>
      </c>
      <c r="F149" s="12">
        <f>COUNTIFS(Taches!$C$6:$C$325,"V5",Taches!$E$6:$E$325,$B149,Taches!$J$6:$J$325,"&lt;&gt;Abandonnée",Taches!$B$6:$B$325,"&lt;&gt;")</f>
        <v/>
      </c>
      <c r="G149" s="12">
        <f>COUNTIFS(Taches!$C$6:$C$325,"V5",Taches!$E$6:$E$325,$B149,Taches!$J$6:$J$325,"Complétée")</f>
        <v/>
      </c>
      <c r="H149" s="12">
        <f>COUNTIFS(Taches!$C$6:$C$325,"V5",Taches!$E$6:$E$325,$B149,Taches!$J$6:$J$325,"Bloquée")</f>
        <v/>
      </c>
      <c r="I149" s="12">
        <f>COUNTIFS(Taches!$C$6:$C$325,"V5",Taches!$E$6:$E$325,$B149,Taches!$U$6:$U$325,"En retard")</f>
        <v/>
      </c>
    </row>
    <row r="150">
      <c r="B150" s="13" t="inlineStr">
        <is>
          <t>Fournisseur IA</t>
        </is>
      </c>
      <c r="C150" s="12">
        <f>SUMIFS(Taches!$M$6:$M$325,Taches!$C$6:$C$325,"V5",Taches!$E$6:$E$325,$B150)</f>
        <v/>
      </c>
      <c r="D150" s="15">
        <f>SUMIFS(Taches!$N$6:$N$325,Taches!$C$6:$C$325,"V5",Taches!$E$6:$E$325,$B150)</f>
        <v/>
      </c>
      <c r="E150" s="16">
        <f>IF(C150=0,0,D150/C150)</f>
        <v/>
      </c>
      <c r="F150" s="12">
        <f>COUNTIFS(Taches!$C$6:$C$325,"V5",Taches!$E$6:$E$325,$B150,Taches!$J$6:$J$325,"&lt;&gt;Abandonnée",Taches!$B$6:$B$325,"&lt;&gt;")</f>
        <v/>
      </c>
      <c r="G150" s="12">
        <f>COUNTIFS(Taches!$C$6:$C$325,"V5",Taches!$E$6:$E$325,$B150,Taches!$J$6:$J$325,"Complétée")</f>
        <v/>
      </c>
      <c r="H150" s="12">
        <f>COUNTIFS(Taches!$C$6:$C$325,"V5",Taches!$E$6:$E$325,$B150,Taches!$J$6:$J$325,"Bloquée")</f>
        <v/>
      </c>
      <c r="I150" s="12">
        <f>COUNTIFS(Taches!$C$6:$C$325,"V5",Taches!$E$6:$E$325,$B150,Taches!$U$6:$U$325,"En retard")</f>
        <v/>
      </c>
    </row>
    <row r="151">
      <c r="B151" s="13" t="inlineStr">
        <is>
          <t>Ingestion</t>
        </is>
      </c>
      <c r="C151" s="12">
        <f>SUMIFS(Taches!$M$6:$M$325,Taches!$C$6:$C$325,"V5",Taches!$E$6:$E$325,$B151)</f>
        <v/>
      </c>
      <c r="D151" s="15">
        <f>SUMIFS(Taches!$N$6:$N$325,Taches!$C$6:$C$325,"V5",Taches!$E$6:$E$325,$B151)</f>
        <v/>
      </c>
      <c r="E151" s="16">
        <f>IF(C151=0,0,D151/C151)</f>
        <v/>
      </c>
      <c r="F151" s="12">
        <f>COUNTIFS(Taches!$C$6:$C$325,"V5",Taches!$E$6:$E$325,$B151,Taches!$J$6:$J$325,"&lt;&gt;Abandonnée",Taches!$B$6:$B$325,"&lt;&gt;")</f>
        <v/>
      </c>
      <c r="G151" s="12">
        <f>COUNTIFS(Taches!$C$6:$C$325,"V5",Taches!$E$6:$E$325,$B151,Taches!$J$6:$J$325,"Complétée")</f>
        <v/>
      </c>
      <c r="H151" s="12">
        <f>COUNTIFS(Taches!$C$6:$C$325,"V5",Taches!$E$6:$E$325,$B151,Taches!$J$6:$J$325,"Bloquée")</f>
        <v/>
      </c>
      <c r="I151" s="12">
        <f>COUNTIFS(Taches!$C$6:$C$325,"V5",Taches!$E$6:$E$325,$B151,Taches!$U$6:$U$325,"En retard")</f>
        <v/>
      </c>
    </row>
    <row r="152">
      <c r="B152" s="13" t="inlineStr">
        <is>
          <t>DealLens</t>
        </is>
      </c>
      <c r="C152" s="12">
        <f>SUMIFS(Taches!$M$6:$M$325,Taches!$C$6:$C$325,"V5",Taches!$E$6:$E$325,$B152)</f>
        <v/>
      </c>
      <c r="D152" s="15">
        <f>SUMIFS(Taches!$N$6:$N$325,Taches!$C$6:$C$325,"V5",Taches!$E$6:$E$325,$B152)</f>
        <v/>
      </c>
      <c r="E152" s="16">
        <f>IF(C152=0,0,D152/C152)</f>
        <v/>
      </c>
      <c r="F152" s="12">
        <f>COUNTIFS(Taches!$C$6:$C$325,"V5",Taches!$E$6:$E$325,$B152,Taches!$J$6:$J$325,"&lt;&gt;Abandonnée",Taches!$B$6:$B$325,"&lt;&gt;")</f>
        <v/>
      </c>
      <c r="G152" s="12">
        <f>COUNTIFS(Taches!$C$6:$C$325,"V5",Taches!$E$6:$E$325,$B152,Taches!$J$6:$J$325,"Complétée")</f>
        <v/>
      </c>
      <c r="H152" s="12">
        <f>COUNTIFS(Taches!$C$6:$C$325,"V5",Taches!$E$6:$E$325,$B152,Taches!$J$6:$J$325,"Bloquée")</f>
        <v/>
      </c>
      <c r="I152" s="12">
        <f>COUNTIFS(Taches!$C$6:$C$325,"V5",Taches!$E$6:$E$325,$B152,Taches!$U$6:$U$325,"En retard")</f>
        <v/>
      </c>
    </row>
    <row r="153">
      <c r="B153" s="13" t="inlineStr">
        <is>
          <t>Surfaces</t>
        </is>
      </c>
      <c r="C153" s="12">
        <f>SUMIFS(Taches!$M$6:$M$325,Taches!$C$6:$C$325,"V5",Taches!$E$6:$E$325,$B153)</f>
        <v/>
      </c>
      <c r="D153" s="15">
        <f>SUMIFS(Taches!$N$6:$N$325,Taches!$C$6:$C$325,"V5",Taches!$E$6:$E$325,$B153)</f>
        <v/>
      </c>
      <c r="E153" s="16">
        <f>IF(C153=0,0,D153/C153)</f>
        <v/>
      </c>
      <c r="F153" s="12">
        <f>COUNTIFS(Taches!$C$6:$C$325,"V5",Taches!$E$6:$E$325,$B153,Taches!$J$6:$J$325,"&lt;&gt;Abandonnée",Taches!$B$6:$B$325,"&lt;&gt;")</f>
        <v/>
      </c>
      <c r="G153" s="12">
        <f>COUNTIFS(Taches!$C$6:$C$325,"V5",Taches!$E$6:$E$325,$B153,Taches!$J$6:$J$325,"Complétée")</f>
        <v/>
      </c>
      <c r="H153" s="12">
        <f>COUNTIFS(Taches!$C$6:$C$325,"V5",Taches!$E$6:$E$325,$B153,Taches!$J$6:$J$325,"Bloquée")</f>
        <v/>
      </c>
      <c r="I153" s="12">
        <f>COUNTIFS(Taches!$C$6:$C$325,"V5",Taches!$E$6:$E$325,$B153,Taches!$U$6:$U$325,"En retard")</f>
        <v/>
      </c>
    </row>
    <row r="154">
      <c r="B154" s="13" t="inlineStr">
        <is>
          <t>Accès</t>
        </is>
      </c>
      <c r="C154" s="12">
        <f>SUMIFS(Taches!$M$6:$M$325,Taches!$C$6:$C$325,"V5",Taches!$E$6:$E$325,$B154)</f>
        <v/>
      </c>
      <c r="D154" s="15">
        <f>SUMIFS(Taches!$N$6:$N$325,Taches!$C$6:$C$325,"V5",Taches!$E$6:$E$325,$B154)</f>
        <v/>
      </c>
      <c r="E154" s="16">
        <f>IF(C154=0,0,D154/C154)</f>
        <v/>
      </c>
      <c r="F154" s="12">
        <f>COUNTIFS(Taches!$C$6:$C$325,"V5",Taches!$E$6:$E$325,$B154,Taches!$J$6:$J$325,"&lt;&gt;Abandonnée",Taches!$B$6:$B$325,"&lt;&gt;")</f>
        <v/>
      </c>
      <c r="G154" s="12">
        <f>COUNTIFS(Taches!$C$6:$C$325,"V5",Taches!$E$6:$E$325,$B154,Taches!$J$6:$J$325,"Complétée")</f>
        <v/>
      </c>
      <c r="H154" s="12">
        <f>COUNTIFS(Taches!$C$6:$C$325,"V5",Taches!$E$6:$E$325,$B154,Taches!$J$6:$J$325,"Bloquée")</f>
        <v/>
      </c>
      <c r="I154" s="12">
        <f>COUNTIFS(Taches!$C$6:$C$325,"V5",Taches!$E$6:$E$325,$B154,Taches!$U$6:$U$325,"En retard")</f>
        <v/>
      </c>
    </row>
    <row r="155">
      <c r="B155" s="13" t="inlineStr">
        <is>
          <t>QA IA</t>
        </is>
      </c>
      <c r="C155" s="12">
        <f>SUMIFS(Taches!$M$6:$M$325,Taches!$C$6:$C$325,"V5",Taches!$E$6:$E$325,$B155)</f>
        <v/>
      </c>
      <c r="D155" s="15">
        <f>SUMIFS(Taches!$N$6:$N$325,Taches!$C$6:$C$325,"V5",Taches!$E$6:$E$325,$B155)</f>
        <v/>
      </c>
      <c r="E155" s="16">
        <f>IF(C155=0,0,D155/C155)</f>
        <v/>
      </c>
      <c r="F155" s="12">
        <f>COUNTIFS(Taches!$C$6:$C$325,"V5",Taches!$E$6:$E$325,$B155,Taches!$J$6:$J$325,"&lt;&gt;Abandonnée",Taches!$B$6:$B$325,"&lt;&gt;")</f>
        <v/>
      </c>
      <c r="G155" s="12">
        <f>COUNTIFS(Taches!$C$6:$C$325,"V5",Taches!$E$6:$E$325,$B155,Taches!$J$6:$J$325,"Complétée")</f>
        <v/>
      </c>
      <c r="H155" s="12">
        <f>COUNTIFS(Taches!$C$6:$C$325,"V5",Taches!$E$6:$E$325,$B155,Taches!$J$6:$J$325,"Bloquée")</f>
        <v/>
      </c>
      <c r="I155" s="12">
        <f>COUNTIFS(Taches!$C$6:$C$325,"V5",Taches!$E$6:$E$325,$B155,Taches!$U$6:$U$325,"En retard")</f>
        <v/>
      </c>
    </row>
    <row r="156">
      <c r="B156" s="30" t="inlineStr">
        <is>
          <t>Total V5</t>
        </is>
      </c>
      <c r="C156" s="30">
        <f>SUM(C149:C155)</f>
        <v/>
      </c>
      <c r="D156" s="31">
        <f>SUM(D149:D155)</f>
        <v/>
      </c>
      <c r="E156" s="32">
        <f>IF(C156=0,0,D156/C156)</f>
        <v/>
      </c>
      <c r="F156" s="30">
        <f>SUM(F149:F155)</f>
        <v/>
      </c>
      <c r="G156" s="30">
        <f>SUM(G149:G155)</f>
        <v/>
      </c>
      <c r="H156" s="30">
        <f>SUM(H149:H155)</f>
        <v/>
      </c>
      <c r="I156" s="30">
        <f>SUM(I149:I155)</f>
        <v/>
      </c>
    </row>
    <row r="158">
      <c r="B158" s="3" t="inlineStr">
        <is>
          <t>Prérequis</t>
        </is>
      </c>
    </row>
    <row r="159" ht="30" customHeight="1">
      <c r="B159" s="20" t="inlineStr">
        <is>
          <t>Data room de production stable (V2) ; contrat fournisseur IA avec clauses de confidentialité.</t>
        </is>
      </c>
    </row>
    <row r="160">
      <c r="B160" s="3" t="inlineStr">
        <is>
          <t>Décision ou règle</t>
        </is>
      </c>
    </row>
    <row r="161" ht="36" customHeight="1">
      <c r="B161" s="33" t="inlineStr">
        <is>
          <t>DealLens reste assistif et lecture seule : il explique, résume, extrait et propose, il ne décide jamais.</t>
        </is>
      </c>
      <c r="C161" s="34" t="n"/>
      <c r="D161" s="34" t="n"/>
      <c r="E161" s="34" t="n"/>
      <c r="F161" s="34" t="n"/>
      <c r="G161" s="34" t="n"/>
      <c r="H161" s="34" t="n"/>
      <c r="I161" s="34" t="n"/>
    </row>
  </sheetData>
  <mergeCells count="66">
    <mergeCell ref="B146:E146"/>
    <mergeCell ref="B135:I135"/>
    <mergeCell ref="F13:I13"/>
    <mergeCell ref="B118:E118"/>
    <mergeCell ref="B106:I106"/>
    <mergeCell ref="B138:I138"/>
    <mergeCell ref="B83:E83"/>
    <mergeCell ref="B143:E143"/>
    <mergeCell ref="F52:I52"/>
    <mergeCell ref="B141:I141"/>
    <mergeCell ref="B15:E15"/>
    <mergeCell ref="B159:I159"/>
    <mergeCell ref="B55:E55"/>
    <mergeCell ref="B51:E51"/>
    <mergeCell ref="B20:E20"/>
    <mergeCell ref="B46:I46"/>
    <mergeCell ref="B80:E80"/>
    <mergeCell ref="B71:I71"/>
    <mergeCell ref="F117:I117"/>
    <mergeCell ref="B85:E85"/>
    <mergeCell ref="B10:E10"/>
    <mergeCell ref="B43:I43"/>
    <mergeCell ref="B79:E79"/>
    <mergeCell ref="B161:I161"/>
    <mergeCell ref="B77:I77"/>
    <mergeCell ref="B144:E144"/>
    <mergeCell ref="F11:I11"/>
    <mergeCell ref="B16:E16"/>
    <mergeCell ref="B54:E54"/>
    <mergeCell ref="B111:I111"/>
    <mergeCell ref="F116:I116"/>
    <mergeCell ref="B81:E81"/>
    <mergeCell ref="F10:I10"/>
    <mergeCell ref="B8:I8"/>
    <mergeCell ref="B18:E18"/>
    <mergeCell ref="B69:I69"/>
    <mergeCell ref="B12:E12"/>
    <mergeCell ref="F143:I143"/>
    <mergeCell ref="B52:E52"/>
    <mergeCell ref="B21:E21"/>
    <mergeCell ref="F12:I12"/>
    <mergeCell ref="B86:E86"/>
    <mergeCell ref="B11:E11"/>
    <mergeCell ref="B120:E120"/>
    <mergeCell ref="B108:I108"/>
    <mergeCell ref="B117:E117"/>
    <mergeCell ref="F51:I51"/>
    <mergeCell ref="F80:I80"/>
    <mergeCell ref="B145:E145"/>
    <mergeCell ref="B49:I49"/>
    <mergeCell ref="B14:E14"/>
    <mergeCell ref="B74:I74"/>
    <mergeCell ref="B17:E17"/>
    <mergeCell ref="F79:I79"/>
    <mergeCell ref="B53:E53"/>
    <mergeCell ref="B119:E119"/>
    <mergeCell ref="B13:E13"/>
    <mergeCell ref="B133:I133"/>
    <mergeCell ref="B82:E82"/>
    <mergeCell ref="B116:E116"/>
    <mergeCell ref="B5:I5"/>
    <mergeCell ref="B87:E87"/>
    <mergeCell ref="B114:I114"/>
    <mergeCell ref="B19:E19"/>
    <mergeCell ref="B41:I41"/>
    <mergeCell ref="B84:E84"/>
  </mergeCells>
  <conditionalFormatting sqref="E24:E37">
    <cfRule type="dataBar" priority="1">
      <dataBar>
        <cfvo type="num" val="0"/>
        <cfvo type="num" val="1"/>
        <color rgb="006678F1"/>
      </dataBar>
    </cfRule>
  </conditionalFormatting>
  <conditionalFormatting sqref="H24:I37">
    <cfRule type="expression" priority="2" dxfId="4">
      <formula>H24&gt;0</formula>
    </cfRule>
  </conditionalFormatting>
  <conditionalFormatting sqref="E58:E65">
    <cfRule type="dataBar" priority="3">
      <dataBar>
        <cfvo type="num" val="0"/>
        <cfvo type="num" val="1"/>
        <color rgb="006678F1"/>
      </dataBar>
    </cfRule>
  </conditionalFormatting>
  <conditionalFormatting sqref="H58:I65">
    <cfRule type="expression" priority="4" dxfId="4">
      <formula>H58&gt;0</formula>
    </cfRule>
  </conditionalFormatting>
  <conditionalFormatting sqref="E90:E102">
    <cfRule type="dataBar" priority="5">
      <dataBar>
        <cfvo type="num" val="0"/>
        <cfvo type="num" val="1"/>
        <color rgb="006678F1"/>
      </dataBar>
    </cfRule>
  </conditionalFormatting>
  <conditionalFormatting sqref="H90:I102">
    <cfRule type="expression" priority="6" dxfId="4">
      <formula>H90&gt;0</formula>
    </cfRule>
  </conditionalFormatting>
  <conditionalFormatting sqref="E123:E129">
    <cfRule type="dataBar" priority="7">
      <dataBar>
        <cfvo type="num" val="0"/>
        <cfvo type="num" val="1"/>
        <color rgb="006678F1"/>
      </dataBar>
    </cfRule>
  </conditionalFormatting>
  <conditionalFormatting sqref="H123:I129">
    <cfRule type="expression" priority="8" dxfId="4">
      <formula>H123&gt;0</formula>
    </cfRule>
  </conditionalFormatting>
  <conditionalFormatting sqref="E149:E155">
    <cfRule type="dataBar" priority="9">
      <dataBar>
        <cfvo type="num" val="0"/>
        <cfvo type="num" val="1"/>
        <color rgb="006678F1"/>
      </dataBar>
    </cfRule>
  </conditionalFormatting>
  <conditionalFormatting sqref="H149:I155">
    <cfRule type="expression" priority="10" dxfId="4">
      <formula>H149&gt;0</formula>
    </cfRule>
  </conditionalFormatting>
  <pageMargins left="0.75" right="0.75" top="1" bottom="1" header="0.5" footer="0.5"/>
</worksheet>
</file>

<file path=xl/worksheets/sheet5.xml><?xml version="1.0" encoding="utf-8"?>
<worksheet xmlns="http://schemas.openxmlformats.org/spreadsheetml/2006/main">
  <sheetPr>
    <tabColor rgb="005980A6"/>
    <outlinePr summaryBelow="1" summaryRight="1"/>
    <pageSetUpPr/>
  </sheetPr>
  <dimension ref="B2:C22"/>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18" t="inlineStr">
        <is>
          <t>L'onglet Taches est la source des calculs. La source persistante du classeur est devX/build_suivi.py : y reporter toute saisie avant régénération. DealPME_Suivi.ods est une archive obsolète avec un autre calendrier, pas un suivi actif.</t>
        </is>
      </c>
    </row>
    <row r="6" ht="44" customHeight="1">
      <c r="B6" s="35" t="inlineStr">
        <is>
          <t>Conservation des acquis</t>
        </is>
      </c>
      <c r="C6" s="18" t="inlineStr">
        <is>
          <t>Les tâches déjà réalisées conservent leur statut et leur avancement. Tout correctif, renforcement ou travail supplémentaire est suivi séparément et relié à la tâche initiale. Aucun travail réalisé ne disparaît du suivi.</t>
        </is>
      </c>
    </row>
    <row r="7" ht="44" customHeight="1">
      <c r="B7" s="35" t="inlineStr">
        <is>
          <t>Plan d'exécution</t>
        </is>
      </c>
      <c r="C7" s="18" t="inlineStr">
        <is>
          <t>Plan_execution regroupe les tâches restantes par lots L00 à L12. Il calcule leurs charges et avancements depuis Taches. Suivre docs/PLAN_EXECUTION.md pour l'ordre technique, les sous-étapes, les dépendances externes et les preuves de sortie.</t>
        </is>
      </c>
    </row>
    <row r="8" ht="44" customHeight="1">
      <c r="B8" s="35" t="inlineStr">
        <is>
          <t>Fin réelle</t>
        </is>
      </c>
      <c r="C8" s="18" t="inlineStr">
        <is>
          <t>Convention du classeur : date de clôture rattachée au calendrier de livraison. La date est située entre début et fin prévus, ou après la fin, jamais avant le début. Une date antérieure au début est repositionnée à la fin prévue ; une date postérieure reste inchangée.</t>
        </is>
      </c>
    </row>
    <row r="9" ht="44" customHeight="1">
      <c r="B9" s="35" t="inlineStr">
        <is>
          <t>Mettre à jour une tâche</t>
        </is>
      </c>
      <c r="C9" s="18"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10" ht="44" customHeight="1">
      <c r="B10" s="35" t="inlineStr">
        <is>
          <t>Ajouter une tâche</t>
        </is>
      </c>
      <c r="C10" s="18"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11" ht="44" customHeight="1">
      <c r="B11" s="35" t="inlineStr">
        <is>
          <t>Abandonner une tâche</t>
        </is>
      </c>
      <c r="C11" s="18" t="inlineStr">
        <is>
          <t>Mettre le statut 'Abandonnée' : la tâche sort des totaux de charge sans être supprimée (traçabilité).</t>
        </is>
      </c>
    </row>
    <row r="12" ht="44" customHeight="1">
      <c r="B12" s="35" t="inlineStr">
        <is>
          <t>Codes couleur</t>
        </is>
      </c>
      <c r="C12" s="18" t="inlineStr">
        <is>
          <t>Cellules jaune pâle : à saisir. Cellules grises : calculées, ne pas modifier. Statuts colorés automatiquement (vert complétée, ambre en cours, rouge bloquée).</t>
        </is>
      </c>
    </row>
    <row r="13" ht="44" customHeight="1">
      <c r="B13" s="35" t="inlineStr">
        <is>
          <t>Modules</t>
        </is>
      </c>
      <c r="C13" s="18" t="inlineStr">
        <is>
          <t>Avancement pondéré par la charge des tâches du module. Colonnes Responsable et Commentaire à saisir. Les éléments hors périmètre v0 sont listés pour mémoire, sans tâche.</t>
        </is>
      </c>
    </row>
    <row r="14" ht="44" customHeight="1">
      <c r="B14" s="35" t="inlineStr">
        <is>
          <t>Versions</t>
        </is>
      </c>
      <c r="C14" s="18" t="inlineStr">
        <is>
          <t>Les dates de début et de fin se saisissent ici. L'état passe automatiquement à 'En dépassement' si la date de fin est passée sans 100 %.</t>
        </is>
      </c>
    </row>
    <row r="15" ht="44" customHeight="1">
      <c r="B15" s="35" t="inlineStr">
        <is>
          <t>Jalons</t>
        </is>
      </c>
      <c r="C15" s="18" t="inlineStr">
        <is>
          <t>Saisir la date cible et le statut. La colonne Alerte signale 'Dépassé' ou 'Cette semaine'. Le tableau de bord affiche le prochain jalon non atteint.</t>
        </is>
      </c>
    </row>
    <row r="16" ht="44" customHeight="1">
      <c r="B16" s="35" t="inlineStr">
        <is>
          <t>Risques</t>
        </is>
      </c>
      <c r="C16" s="18" t="inlineStr">
        <is>
          <t>Saisir probabilité et impact de 1 à 5. Le score et le niveau se calculent. Passer le statut à 'Clos' quand le risque est levé.</t>
        </is>
      </c>
    </row>
    <row r="17" ht="44" customHeight="1">
      <c r="B17" s="35" t="inlineStr">
        <is>
          <t>Securite</t>
        </is>
      </c>
      <c r="C17" s="18" t="inlineStr">
        <is>
          <t>Registre des constats de sécurité : chaque ligne renvoie à la tâche qui la traite ; le statut et l'avancement se lisent automatiquement. Un report vers une version ultérieure doit être justifié et accompagné d'une mitigation.</t>
        </is>
      </c>
    </row>
    <row r="18" ht="44" customHeight="1">
      <c r="B18" s="35" t="inlineStr">
        <is>
          <t>Decisions</t>
        </is>
      </c>
      <c r="C18" s="18" t="inlineStr">
        <is>
          <t>Toute demande de changement de périmètre s'inscrit ici avant d'être traduite en tâches. Statut : Ouvert, En discussion, Tranché.</t>
        </is>
      </c>
    </row>
    <row r="19" ht="44" customHeight="1">
      <c r="B19" s="35" t="inlineStr">
        <is>
          <t>Gantt</t>
        </is>
      </c>
      <c r="C19" s="18" t="inlineStr">
        <is>
          <t>Barres hebdomadaires calculées depuis 'Début prévu' et 'Fin prévue' de chaque tâche. Modifier les dates dans Taches, pas dans le Gantt. La colonne de la semaine courante est surlignée.</t>
        </is>
      </c>
    </row>
    <row r="20" ht="44" customHeight="1">
      <c r="B20" s="35" t="inlineStr">
        <is>
          <t>Unités</t>
        </is>
      </c>
      <c r="C20" s="18" t="inlineStr">
        <is>
          <t>Charges en jours-personne (j/p). 5 j/p = 1 semaine-personne. Le calendrier réel dépend du nombre de personnes réellement affectées.</t>
        </is>
      </c>
    </row>
    <row r="21" ht="44" customHeight="1">
      <c r="B21" s="35" t="inlineStr">
        <is>
          <t>Paramètres</t>
        </is>
      </c>
      <c r="C21" s="18" t="inlineStr">
        <is>
          <t>Les listes déroulantes et l'avancement par défaut de chaque statut se modifient dans l'onglet Parametres.</t>
        </is>
      </c>
    </row>
    <row r="22" ht="44" customHeight="1">
      <c r="B22" s="35" t="inlineStr">
        <is>
          <t>Partage</t>
        </is>
      </c>
      <c r="C22" s="18"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Conception</t>
        </is>
      </c>
      <c r="F6" s="37" t="inlineStr">
        <is>
          <t>Architecture cible et décisions structurantes : monolithe modulaire, RPS indépendant, isolation de la data room, TypeScript de bout en bout, connecteurs externes, sessions serveur (ADR 0001 à 0006)</t>
        </is>
      </c>
      <c r="G6" s="37" t="inlineStr">
        <is>
          <t>Chaque décision est un ADR archivé avec contexte, options écartées et conséquences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46269</v>
      </c>
      <c r="S6" s="37" t="inlineStr"/>
      <c r="T6" s="36" t="inlineStr">
        <is>
          <t>Oui</t>
        </is>
      </c>
      <c r="U6" s="13">
        <f>IF($B6="","",IF(AND(J6&lt;&gt;"Complétée",J6&lt;&gt;"Abandonnée",Q6&lt;&gt;"",TODAY()&gt;Q6),"En retard",""))</f>
        <v/>
      </c>
      <c r="V6" s="37" t="n"/>
    </row>
    <row r="7">
      <c r="B7" s="36" t="inlineStr">
        <is>
          <t>V1-002</t>
        </is>
      </c>
      <c r="C7" s="36" t="inlineStr">
        <is>
          <t>V1</t>
        </is>
      </c>
      <c r="D7" s="36" t="inlineStr">
        <is>
          <t>FOND</t>
        </is>
      </c>
      <c r="E7" s="37" t="inlineStr">
        <is>
          <t>Conception</t>
        </is>
      </c>
      <c r="F7" s="37" t="inlineStr">
        <is>
          <t>Modèle de domaine et invariants : entités, agrégats, machine à états du deal, immutabilités (type de cession, attribution), isolation par organisation</t>
        </is>
      </c>
      <c r="G7" s="37" t="inlineStr">
        <is>
          <t>Schéma de domaine relu ; chaque invariant est porté par une contrainte ou un déclencheur en base, pas seulement par le code</t>
        </is>
      </c>
      <c r="H7" s="38" t="n">
        <v>3</v>
      </c>
      <c r="I7" s="36" t="inlineStr">
        <is>
          <t>Haute</t>
        </is>
      </c>
      <c r="J7" s="36" t="inlineStr">
        <is>
          <t>Complétée</t>
        </is>
      </c>
      <c r="K7" s="39" t="n"/>
      <c r="L7" s="16">
        <f>IF($B7="","",IF(J7="Complétée",1,IF(J7="Abandonnée",0,IF(K7&lt;&gt;"",K7,IFERROR(VLOOKUP(J7,Parametres!$B$6:$C$12,2,FALSE),0)))))</f>
        <v/>
      </c>
      <c r="M7" s="15">
        <f>IF($B7="","",IF(J7="Abandonnée",0,H7))</f>
        <v/>
      </c>
      <c r="N7" s="15">
        <f>IF($B7="","",M7*L7)</f>
        <v/>
      </c>
      <c r="O7" s="37" t="inlineStr">
        <is>
          <t>Abdou-Raouf</t>
        </is>
      </c>
      <c r="P7" s="40" t="n">
        <v>46268</v>
      </c>
      <c r="Q7" s="40" t="n">
        <v>46273</v>
      </c>
      <c r="R7" s="40" t="n">
        <v>46270</v>
      </c>
      <c r="S7" s="37" t="inlineStr"/>
      <c r="T7" s="36" t="inlineStr">
        <is>
          <t>Oui</t>
        </is>
      </c>
      <c r="U7" s="13">
        <f>IF($B7="","",IF(AND(J7&lt;&gt;"Complétée",J7&lt;&gt;"Abandonnée",Q7&lt;&gt;"",TODAY()&gt;Q7),"En retard",""))</f>
        <v/>
      </c>
      <c r="V7" s="37" t="n"/>
    </row>
    <row r="8">
      <c r="B8" s="36" t="inlineStr">
        <is>
          <t>V1-003</t>
        </is>
      </c>
      <c r="C8" s="36" t="inlineStr">
        <is>
          <t>V1</t>
        </is>
      </c>
      <c r="D8" s="36" t="inlineStr">
        <is>
          <t>FOND</t>
        </is>
      </c>
      <c r="E8" s="37" t="inlineStr">
        <is>
          <t>Conception</t>
        </is>
      </c>
      <c r="F8" s="37" t="inlineStr">
        <is>
          <t>Classification des données et politique de chiffrement : catégories PUBLIC / INTERNAL / PERSONAL / CONFIDENTIAL_DEAL, champs chiffrés, gestion et rotation des clés</t>
        </is>
      </c>
      <c r="G8" s="37" t="inlineStr">
        <is>
          <t>Registre des champs par catégorie ; procédure de rotation écrite</t>
        </is>
      </c>
      <c r="H8" s="38" t="n">
        <v>2</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46272</v>
      </c>
      <c r="R8" s="40" t="n">
        <v>46275</v>
      </c>
      <c r="S8" s="37" t="inlineStr"/>
      <c r="T8" s="36" t="inlineStr">
        <is>
          <t>Non</t>
        </is>
      </c>
      <c r="U8" s="13">
        <f>IF($B8="","",IF(AND(J8&lt;&gt;"Complétée",J8&lt;&gt;"Abandonnée",Q8&lt;&gt;"",TODAY()&gt;Q8),"En retard",""))</f>
        <v/>
      </c>
      <c r="V8" s="37" t="n"/>
    </row>
    <row r="9">
      <c r="B9" s="36" t="inlineStr">
        <is>
          <t>V1-004</t>
        </is>
      </c>
      <c r="C9" s="36" t="inlineStr">
        <is>
          <t>V1</t>
        </is>
      </c>
      <c r="D9" s="36" t="inlineStr">
        <is>
          <t>TRV</t>
        </is>
      </c>
      <c r="E9" s="37" t="inlineStr">
        <is>
          <t>Conception</t>
        </is>
      </c>
      <c r="F9" s="37" t="inlineStr">
        <is>
          <t>Contrats d'API : enveloppe d'erreur unique, codes distincts (NOT_FOUND, FORBIDDEN, PERIMETER_BLOCKED), projection serveur par palier, pagination, idempotence</t>
        </is>
      </c>
      <c r="G9" s="37" t="inlineStr">
        <is>
          <t>Contrats typés partagés entre API et interface ; aucun code d'erreur ambigu</t>
        </is>
      </c>
      <c r="H9" s="38" t="n">
        <v>2</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46269</v>
      </c>
      <c r="Q9" s="40" t="n">
        <v>46272</v>
      </c>
      <c r="R9" s="40" t="n">
        <v>46271</v>
      </c>
      <c r="S9" s="37" t="inlineStr"/>
      <c r="T9" s="36" t="inlineStr">
        <is>
          <t>Non</t>
        </is>
      </c>
      <c r="U9" s="13">
        <f>IF($B9="","",IF(AND(J9&lt;&gt;"Complétée",J9&lt;&gt;"Abandonnée",Q9&lt;&gt;"",TODAY()&gt;Q9),"En retard",""))</f>
        <v/>
      </c>
      <c r="V9" s="37" t="n"/>
    </row>
    <row r="10">
      <c r="B10" s="36" t="inlineStr">
        <is>
          <t>V1-005</t>
        </is>
      </c>
      <c r="C10" s="36" t="inlineStr">
        <is>
          <t>V1</t>
        </is>
      </c>
      <c r="D10" s="36" t="inlineStr">
        <is>
          <t>OPS</t>
        </is>
      </c>
      <c r="E10" s="37" t="inlineStr">
        <is>
          <t>Conception</t>
        </is>
      </c>
      <c r="F10" s="37" t="inlineStr">
        <is>
          <t>Modèle de menaces V1 : acteurs, surfaces (inscription, dossier, publication, certification, webhooks), scénarios d'abus et exigences de sécurité dérivées</t>
        </is>
      </c>
      <c r="G10" s="37" t="inlineStr">
        <is>
          <t>Chaque menace retenue est reliée à une tâche du lot Sécurité ou à une entrée de l'onglet Securite</t>
        </is>
      </c>
      <c r="H10" s="38" t="n">
        <v>3</v>
      </c>
      <c r="I10" s="36" t="inlineStr">
        <is>
          <t>Haute</t>
        </is>
      </c>
      <c r="J10" s="36" t="inlineStr">
        <is>
          <t>Complétée</t>
        </is>
      </c>
      <c r="K10" s="39" t="n"/>
      <c r="L10" s="16">
        <f>IF($B10="","",IF(J10="Complétée",1,IF(J10="Abandonnée",0,IF(K10&lt;&gt;"",K10,IFERROR(VLOOKUP(J10,Parametres!$B$6:$C$12,2,FALSE),0)))))</f>
        <v/>
      </c>
      <c r="M10" s="15">
        <f>IF($B10="","",IF(J10="Abandonnée",0,H10))</f>
        <v/>
      </c>
      <c r="N10" s="15">
        <f>IF($B10="","",M10*L10)</f>
        <v/>
      </c>
      <c r="O10" s="37" t="inlineStr">
        <is>
          <t>Abdou-Raouf</t>
        </is>
      </c>
      <c r="P10" s="40" t="n">
        <v>46269</v>
      </c>
      <c r="Q10" s="40" t="n">
        <v>46274</v>
      </c>
      <c r="R10" s="40" t="n">
        <v>46274</v>
      </c>
      <c r="S10" s="37" t="inlineStr"/>
      <c r="T10" s="36" t="inlineStr">
        <is>
          <t>Non</t>
        </is>
      </c>
      <c r="U10" s="13">
        <f>IF($B10="","",IF(AND(J10&lt;&gt;"Complétée",J10&lt;&gt;"Abandonnée",Q10&lt;&gt;"",TODAY()&gt;Q10),"En retard",""))</f>
        <v/>
      </c>
      <c r="V10" s="37" t="n"/>
    </row>
    <row r="11">
      <c r="B11" s="36" t="inlineStr">
        <is>
          <t>V1-006</t>
        </is>
      </c>
      <c r="C11" s="36" t="inlineStr">
        <is>
          <t>V1</t>
        </is>
      </c>
      <c r="D11" s="36" t="inlineStr">
        <is>
          <t>TRV</t>
        </is>
      </c>
      <c r="E11" s="37" t="inlineStr">
        <is>
          <t>Conception</t>
        </is>
      </c>
      <c r="F11" s="37" t="inlineStr">
        <is>
          <t>Conception frontend : une application par groupes de routes (public, espaces par rôle, data room), BFF de session à cookie httpOnly, laboratoire de composants, règles d'états d'écran</t>
        </is>
      </c>
      <c r="G11" s="37" t="inlineStr">
        <is>
          <t>Document frontend relu ; toute page connaît ses états vide, chargement, erreur et refus</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46270</v>
      </c>
      <c r="Q11" s="40" t="n">
        <v>46273</v>
      </c>
      <c r="R11" s="40" t="n">
        <v>46276</v>
      </c>
      <c r="S11" s="37" t="inlineStr"/>
      <c r="T11" s="36" t="inlineStr">
        <is>
          <t>Non</t>
        </is>
      </c>
      <c r="U11" s="13">
        <f>IF($B11="","",IF(AND(J11&lt;&gt;"Complétée",J11&lt;&gt;"Abandonnée",Q11&lt;&gt;"",TODAY()&gt;Q11),"En retard",""))</f>
        <v/>
      </c>
      <c r="V11" s="37" t="n"/>
    </row>
    <row r="12">
      <c r="B12" s="36" t="inlineStr">
        <is>
          <t>V1-007</t>
        </is>
      </c>
      <c r="C12" s="36" t="inlineStr">
        <is>
          <t>V1</t>
        </is>
      </c>
      <c r="D12" s="36" t="inlineStr">
        <is>
          <t>CNX</t>
        </is>
      </c>
      <c r="E12" s="37" t="inlineStr">
        <is>
          <t>Conception</t>
        </is>
      </c>
      <c r="F12" s="37" t="inlineStr">
        <is>
          <t>Conception de l'intégration Remo.co : séquences DEALPME_FIRST et REMO_FIRST, rapprochement des identités, sécurité des webhooks, marque blanche</t>
        </is>
      </c>
      <c r="G12" s="37" t="inlineStr">
        <is>
          <t>Diagrammes de séquence validés ; aucun contact échangé sans consentement dans le flux</t>
        </is>
      </c>
      <c r="H12" s="38" t="n">
        <v>2</v>
      </c>
      <c r="I12" s="36" t="inlineStr">
        <is>
          <t>Haute</t>
        </is>
      </c>
      <c r="J12" s="36" t="inlineStr">
        <is>
          <t>En cours</t>
        </is>
      </c>
      <c r="K12" s="39" t="n">
        <v>0.6</v>
      </c>
      <c r="L12" s="16">
        <f>IF($B12="","",IF(J12="Complétée",1,IF(J12="Abandonnée",0,IF(K12&lt;&gt;"",K12,IFERROR(VLOOKUP(J12,Parametres!$B$6:$C$12,2,FALSE),0)))))</f>
        <v/>
      </c>
      <c r="M12" s="15">
        <f>IF($B12="","",IF(J12="Abandonnée",0,H12))</f>
        <v/>
      </c>
      <c r="N12" s="15">
        <f>IF($B12="","",M12*L12)</f>
        <v/>
      </c>
      <c r="O12" s="37" t="inlineStr">
        <is>
          <t>Abdou-Raouf</t>
        </is>
      </c>
      <c r="P12" s="40" t="n">
        <v>46270</v>
      </c>
      <c r="Q12" s="40" t="n">
        <v>46273</v>
      </c>
      <c r="R12" s="40" t="n"/>
      <c r="S12" s="37" t="inlineStr">
        <is>
          <t>Cadrage Remo.co</t>
        </is>
      </c>
      <c r="T12" s="36" t="inlineStr">
        <is>
          <t>Non</t>
        </is>
      </c>
      <c r="U12" s="13">
        <f>IF($B12="","",IF(AND(J12&lt;&gt;"Complétée",J12&lt;&gt;"Abandonnée",Q12&lt;&gt;"",TODAY()&gt;Q12),"En retard",""))</f>
        <v/>
      </c>
      <c r="V12" s="37" t="n"/>
    </row>
    <row r="13">
      <c r="B13" s="36" t="inlineStr">
        <is>
          <t>V1-008</t>
        </is>
      </c>
      <c r="C13" s="36" t="inlineStr">
        <is>
          <t>V1</t>
        </is>
      </c>
      <c r="D13" s="36" t="inlineStr">
        <is>
          <t>TRV</t>
        </is>
      </c>
      <c r="E13" s="37" t="inlineStr">
        <is>
          <t>Fondations</t>
        </is>
      </c>
      <c r="F13" s="37" t="inlineStr">
        <is>
          <t>Dépôt monorepo (apps/, packages/), conventions de code, CI de base</t>
        </is>
      </c>
      <c r="G13" s="37" t="inlineStr">
        <is>
          <t>Pipeline CI vert sur une branche vide, lint et tests exécutés</t>
        </is>
      </c>
      <c r="H13" s="38" t="n">
        <v>3</v>
      </c>
      <c r="I13" s="36" t="inlineStr">
        <is>
          <t>Haute</t>
        </is>
      </c>
      <c r="J13" s="36" t="inlineStr">
        <is>
          <t>Complétée</t>
        </is>
      </c>
      <c r="K13" s="39" t="n"/>
      <c r="L13" s="16">
        <f>IF($B13="","",IF(J13="Complétée",1,IF(J13="Abandonnée",0,IF(K13&lt;&gt;"",K13,IFERROR(VLOOKUP(J13,Parametres!$B$6:$C$12,2,FALSE),0)))))</f>
        <v/>
      </c>
      <c r="M13" s="15">
        <f>IF($B13="","",IF(J13="Abandonnée",0,H13))</f>
        <v/>
      </c>
      <c r="N13" s="15">
        <f>IF($B13="","",M13*L13)</f>
        <v/>
      </c>
      <c r="O13" s="37" t="inlineStr">
        <is>
          <t>Abdou-Raouf</t>
        </is>
      </c>
      <c r="P13" s="40" t="n">
        <v>46270</v>
      </c>
      <c r="Q13" s="40" t="n">
        <v>46275</v>
      </c>
      <c r="R13" s="40" t="n">
        <v>46275</v>
      </c>
      <c r="S13" s="37" t="inlineStr"/>
      <c r="T13" s="36" t="inlineStr">
        <is>
          <t>Non</t>
        </is>
      </c>
      <c r="U13" s="13">
        <f>IF($B13="","",IF(AND(J13&lt;&gt;"Complétée",J13&lt;&gt;"Abandonnée",Q13&lt;&gt;"",TODAY()&gt;Q13),"En retard",""))</f>
        <v/>
      </c>
      <c r="V13" s="37" t="inlineStr">
        <is>
          <t>Socle monorepo réalisé. Renforcement de la CI suivi en V1-091.</t>
        </is>
      </c>
    </row>
    <row r="14">
      <c r="B14" s="36" t="inlineStr">
        <is>
          <t>V1-009</t>
        </is>
      </c>
      <c r="C14" s="36" t="inlineStr">
        <is>
          <t>V1</t>
        </is>
      </c>
      <c r="D14" s="36" t="inlineStr">
        <is>
          <t>TRV</t>
        </is>
      </c>
      <c r="E14" s="37" t="inlineStr">
        <is>
          <t>Fondations</t>
        </is>
      </c>
      <c r="F14" s="37" t="inlineStr">
        <is>
          <t>Environnements dev / staging, gestion des secrets, déploiement de base</t>
        </is>
      </c>
      <c r="G14" s="37" t="inlineStr">
        <is>
          <t>Déploiement automatique de staging depuis la branche principale</t>
        </is>
      </c>
      <c r="H14" s="38" t="n">
        <v>4</v>
      </c>
      <c r="I14" s="36" t="inlineStr">
        <is>
          <t>Haute</t>
        </is>
      </c>
      <c r="J14" s="36" t="inlineStr">
        <is>
          <t>En cours</t>
        </is>
      </c>
      <c r="K14" s="39" t="n">
        <v>0.7</v>
      </c>
      <c r="L14" s="16">
        <f>IF($B14="","",IF(J14="Complétée",1,IF(J14="Abandonnée",0,IF(K14&lt;&gt;"",K14,IFERROR(VLOOKUP(J14,Parametres!$B$6:$C$12,2,FALSE),0)))))</f>
        <v/>
      </c>
      <c r="M14" s="15">
        <f>IF($B14="","",IF(J14="Abandonnée",0,H14))</f>
        <v/>
      </c>
      <c r="N14" s="15">
        <f>IF($B14="","",M14*L14)</f>
        <v/>
      </c>
      <c r="O14" s="37" t="inlineStr">
        <is>
          <t>Abdou-Raouf</t>
        </is>
      </c>
      <c r="P14" s="40" t="n">
        <v>46270</v>
      </c>
      <c r="Q14" s="40" t="n">
        <v>46276</v>
      </c>
      <c r="R14" s="40" t="n"/>
      <c r="S14" s="37" t="inlineStr"/>
      <c r="T14" s="36" t="inlineStr">
        <is>
          <t>Non</t>
        </is>
      </c>
      <c r="U14" s="13">
        <f>IF($B14="","",IF(AND(J14&lt;&gt;"Complétée",J14&lt;&gt;"Abandonnée",Q14&lt;&gt;"",TODAY()&gt;Q14),"En retard",""))</f>
        <v/>
      </c>
      <c r="V14" s="37" t="n"/>
    </row>
    <row r="15">
      <c r="B15" s="36" t="inlineStr">
        <is>
          <t>V1-010</t>
        </is>
      </c>
      <c r="C15" s="36" t="inlineStr">
        <is>
          <t>V1</t>
        </is>
      </c>
      <c r="D15" s="36" t="inlineStr">
        <is>
          <t>FOND</t>
        </is>
      </c>
      <c r="E15" s="37" t="inlineStr">
        <is>
          <t>Fondations</t>
        </is>
      </c>
      <c r="F15" s="37" t="inlineStr">
        <is>
          <t>Modèle de données socle : Organisation, User, Person, Company</t>
        </is>
      </c>
      <c r="G15" s="37" t="inlineStr">
        <is>
          <t>Migrations appliquées, classification de chaque champ renseignée</t>
        </is>
      </c>
      <c r="H15" s="38" t="n">
        <v>4</v>
      </c>
      <c r="I15" s="36" t="inlineStr">
        <is>
          <t>Haute</t>
        </is>
      </c>
      <c r="J15" s="36" t="inlineStr">
        <is>
          <t>Complétée</t>
        </is>
      </c>
      <c r="K15" s="39" t="n"/>
      <c r="L15" s="16">
        <f>IF($B15="","",IF(J15="Complétée",1,IF(J15="Abandonnée",0,IF(K15&lt;&gt;"",K15,IFERROR(VLOOKUP(J15,Parametres!$B$6:$C$12,2,FALSE),0)))))</f>
        <v/>
      </c>
      <c r="M15" s="15">
        <f>IF($B15="","",IF(J15="Abandonnée",0,H15))</f>
        <v/>
      </c>
      <c r="N15" s="15">
        <f>IF($B15="","",M15*L15)</f>
        <v/>
      </c>
      <c r="O15" s="37" t="inlineStr">
        <is>
          <t>Abdou-Raouf</t>
        </is>
      </c>
      <c r="P15" s="40" t="n">
        <v>46271</v>
      </c>
      <c r="Q15" s="40" t="n">
        <v>46277</v>
      </c>
      <c r="R15" s="40" t="n">
        <v>46277</v>
      </c>
      <c r="S15" s="37" t="inlineStr"/>
      <c r="T15" s="36" t="inlineStr">
        <is>
          <t>Non</t>
        </is>
      </c>
      <c r="U15" s="13">
        <f>IF($B15="","",IF(AND(J15&lt;&gt;"Complétée",J15&lt;&gt;"Abandonnée",Q15&lt;&gt;"",TODAY()&gt;Q15),"En retard",""))</f>
        <v/>
      </c>
      <c r="V15" s="37" t="n"/>
    </row>
    <row r="16">
      <c r="B16" s="36" t="inlineStr">
        <is>
          <t>V1-011</t>
        </is>
      </c>
      <c r="C16" s="36" t="inlineStr">
        <is>
          <t>V1</t>
        </is>
      </c>
      <c r="D16" s="36" t="inlineStr">
        <is>
          <t>FOND</t>
        </is>
      </c>
      <c r="E16" s="37" t="inlineStr">
        <is>
          <t>Fondations</t>
        </is>
      </c>
      <c r="F16" s="37" t="inlineStr">
        <is>
          <t>Modèle Deal et AssetDealDetail, typage ASSET_DEAL / SHARE_DEAL immuable</t>
        </is>
      </c>
      <c r="G16" s="37" t="inlineStr">
        <is>
          <t>Impossible de modifier dealType après création (test négatif)</t>
        </is>
      </c>
      <c r="H16" s="38" t="n">
        <v>4</v>
      </c>
      <c r="I16" s="36" t="inlineStr">
        <is>
          <t>Haute</t>
        </is>
      </c>
      <c r="J16" s="36" t="inlineStr">
        <is>
          <t>Complétée</t>
        </is>
      </c>
      <c r="K16" s="39" t="n"/>
      <c r="L16" s="16">
        <f>IF($B16="","",IF(J16="Complétée",1,IF(J16="Abandonnée",0,IF(K16&lt;&gt;"",K16,IFERROR(VLOOKUP(J16,Parametres!$B$6:$C$12,2,FALSE),0)))))</f>
        <v/>
      </c>
      <c r="M16" s="15">
        <f>IF($B16="","",IF(J16="Abandonnée",0,H16))</f>
        <v/>
      </c>
      <c r="N16" s="15">
        <f>IF($B16="","",M16*L16)</f>
        <v/>
      </c>
      <c r="O16" s="37" t="inlineStr">
        <is>
          <t>Abdou-Raouf</t>
        </is>
      </c>
      <c r="P16" s="40" t="n">
        <v>46271</v>
      </c>
      <c r="Q16" s="40" t="n">
        <v>46277</v>
      </c>
      <c r="R16" s="40" t="n">
        <v>46277</v>
      </c>
      <c r="S16" s="37" t="inlineStr"/>
      <c r="T16" s="36" t="inlineStr">
        <is>
          <t>Non</t>
        </is>
      </c>
      <c r="U16" s="13">
        <f>IF($B16="","",IF(AND(J16&lt;&gt;"Complétée",J16&lt;&gt;"Abandonnée",Q16&lt;&gt;"",TODAY()&gt;Q16),"En retard",""))</f>
        <v/>
      </c>
      <c r="V16" s="37" t="n"/>
    </row>
    <row r="17">
      <c r="B17" s="36" t="inlineStr">
        <is>
          <t>V1-012</t>
        </is>
      </c>
      <c r="C17" s="36" t="inlineStr">
        <is>
          <t>V1</t>
        </is>
      </c>
      <c r="D17" s="36" t="inlineStr">
        <is>
          <t>FOND</t>
        </is>
      </c>
      <c r="E17" s="37" t="inlineStr">
        <is>
          <t>Fondations</t>
        </is>
      </c>
      <c r="F17" s="37" t="inlineStr">
        <is>
          <t>Classification des champs (PUBLIC, INTERNAL, PERSONAL, CONFIDENTIAL_DEAL) dans les migrations</t>
        </is>
      </c>
      <c r="G17" s="37" t="inlineStr">
        <is>
          <t>Chaque colonne porte sa classification en commentaire de migration</t>
        </is>
      </c>
      <c r="H17" s="38" t="n">
        <v>2</v>
      </c>
      <c r="I17" s="36" t="inlineStr">
        <is>
          <t>Haute</t>
        </is>
      </c>
      <c r="J17" s="36" t="inlineStr">
        <is>
          <t>Complétée</t>
        </is>
      </c>
      <c r="K17" s="39" t="n"/>
      <c r="L17" s="16">
        <f>IF($B17="","",IF(J17="Complétée",1,IF(J17="Abandonnée",0,IF(K17&lt;&gt;"",K17,IFERROR(VLOOKUP(J17,Parametres!$B$6:$C$12,2,FALSE),0)))))</f>
        <v/>
      </c>
      <c r="M17" s="15">
        <f>IF($B17="","",IF(J17="Abandonnée",0,H17))</f>
        <v/>
      </c>
      <c r="N17" s="15">
        <f>IF($B17="","",M17*L17)</f>
        <v/>
      </c>
      <c r="O17" s="37" t="inlineStr">
        <is>
          <t>Abdou-Raouf</t>
        </is>
      </c>
      <c r="P17" s="40" t="n">
        <v>46272</v>
      </c>
      <c r="Q17" s="40" t="n">
        <v>46275</v>
      </c>
      <c r="R17" s="40" t="n">
        <v>46303</v>
      </c>
      <c r="S17" s="37" t="inlineStr"/>
      <c r="T17" s="36" t="inlineStr">
        <is>
          <t>Non</t>
        </is>
      </c>
      <c r="U17" s="13">
        <f>IF($B17="","",IF(AND(J17&lt;&gt;"Complétée",J17&lt;&gt;"Abandonnée",Q17&lt;&gt;"",TODAY()&gt;Q17),"En retard",""))</f>
        <v/>
      </c>
      <c r="V17" s="37" t="n"/>
    </row>
    <row r="18">
      <c r="B18" s="36" t="inlineStr">
        <is>
          <t>V1-013</t>
        </is>
      </c>
      <c r="C18" s="36" t="inlineStr">
        <is>
          <t>V1</t>
        </is>
      </c>
      <c r="D18" s="36" t="inlineStr">
        <is>
          <t>FOND</t>
        </is>
      </c>
      <c r="E18" s="37" t="inlineStr">
        <is>
          <t>Fondations</t>
        </is>
      </c>
      <c r="F18" s="37" t="inlineStr">
        <is>
          <t>Enregistrement d'attribution immuable à la création de compte (canal, campagne, référence CCI)</t>
        </is>
      </c>
      <c r="G18" s="37" t="inlineStr">
        <is>
          <t>Attribution non modifiable après création (test négatif)</t>
        </is>
      </c>
      <c r="H18" s="38" t="n">
        <v>2</v>
      </c>
      <c r="I18" s="36" t="inlineStr">
        <is>
          <t>Haute</t>
        </is>
      </c>
      <c r="J18" s="36" t="inlineStr">
        <is>
          <t>Complétée</t>
        </is>
      </c>
      <c r="K18" s="39" t="n"/>
      <c r="L18" s="16">
        <f>IF($B18="","",IF(J18="Complétée",1,IF(J18="Abandonnée",0,IF(K18&lt;&gt;"",K18,IFERROR(VLOOKUP(J18,Parametres!$B$6:$C$12,2,FALSE),0)))))</f>
        <v/>
      </c>
      <c r="M18" s="15">
        <f>IF($B18="","",IF(J18="Abandonnée",0,H18))</f>
        <v/>
      </c>
      <c r="N18" s="15">
        <f>IF($B18="","",M18*L18)</f>
        <v/>
      </c>
      <c r="O18" s="37" t="inlineStr">
        <is>
          <t>Abdou-Raouf</t>
        </is>
      </c>
      <c r="P18" s="40" t="n">
        <v>46272</v>
      </c>
      <c r="Q18" s="40" t="n">
        <v>46275</v>
      </c>
      <c r="R18" s="40" t="n">
        <v>46272</v>
      </c>
      <c r="S18" s="37" t="inlineStr"/>
      <c r="T18" s="36" t="inlineStr">
        <is>
          <t>Non</t>
        </is>
      </c>
      <c r="U18" s="13">
        <f>IF($B18="","",IF(AND(J18&lt;&gt;"Complétée",J18&lt;&gt;"Abandonnée",Q18&lt;&gt;"",TODAY()&gt;Q18),"En retard",""))</f>
        <v/>
      </c>
      <c r="V18" s="37" t="n"/>
    </row>
    <row r="19">
      <c r="B19" s="36" t="inlineStr">
        <is>
          <t>V1-014</t>
        </is>
      </c>
      <c r="C19" s="36" t="inlineStr">
        <is>
          <t>V1</t>
        </is>
      </c>
      <c r="D19" s="36" t="inlineStr">
        <is>
          <t>FOND</t>
        </is>
      </c>
      <c r="E19" s="37" t="inlineStr">
        <is>
          <t>Fondations</t>
        </is>
      </c>
      <c r="F19" s="37" t="inlineStr">
        <is>
          <t>Journal DealEvent et machine à états du deal (version réduite V1)</t>
        </is>
      </c>
      <c r="G19" s="37" t="inlineStr">
        <is>
          <t>Transition invalide renvoie 409, chaque transition journalisée</t>
        </is>
      </c>
      <c r="H19" s="38" t="n">
        <v>4</v>
      </c>
      <c r="I19" s="36" t="inlineStr">
        <is>
          <t>Haute</t>
        </is>
      </c>
      <c r="J19" s="36" t="inlineStr">
        <is>
          <t>Complétée</t>
        </is>
      </c>
      <c r="K19" s="39" t="n"/>
      <c r="L19" s="16">
        <f>IF($B19="","",IF(J19="Complétée",1,IF(J19="Abandonnée",0,IF(K19&lt;&gt;"",K19,IFERROR(VLOOKUP(J19,Parametres!$B$6:$C$12,2,FALSE),0)))))</f>
        <v/>
      </c>
      <c r="M19" s="15">
        <f>IF($B19="","",IF(J19="Abandonnée",0,H19))</f>
        <v/>
      </c>
      <c r="N19" s="15">
        <f>IF($B19="","",M19*L19)</f>
        <v/>
      </c>
      <c r="O19" s="37" t="inlineStr">
        <is>
          <t>Abdou-Raouf</t>
        </is>
      </c>
      <c r="P19" s="40" t="n">
        <v>46272</v>
      </c>
      <c r="Q19" s="40" t="n">
        <v>46278</v>
      </c>
      <c r="R19" s="40" t="n">
        <v>46278</v>
      </c>
      <c r="S19" s="37" t="inlineStr"/>
      <c r="T19" s="36" t="inlineStr">
        <is>
          <t>Non</t>
        </is>
      </c>
      <c r="U19" s="13">
        <f>IF($B19="","",IF(AND(J19&lt;&gt;"Complétée",J19&lt;&gt;"Abandonnée",Q19&lt;&gt;"",TODAY()&gt;Q19),"En retard",""))</f>
        <v/>
      </c>
      <c r="V19" s="37" t="n"/>
    </row>
    <row r="20">
      <c r="B20" s="36" t="inlineStr">
        <is>
          <t>V1-015</t>
        </is>
      </c>
      <c r="C20" s="36" t="inlineStr">
        <is>
          <t>V1</t>
        </is>
      </c>
      <c r="D20" s="36" t="inlineStr">
        <is>
          <t>TRV</t>
        </is>
      </c>
      <c r="E20" s="37" t="inlineStr">
        <is>
          <t>Fondations</t>
        </is>
      </c>
      <c r="F20" s="37" t="inlineStr">
        <is>
          <t>Socle i18n français-source, formats FCFA (entier, sans décimale), dates, typographie</t>
        </is>
      </c>
      <c r="G20" s="37" t="inlineStr">
        <is>
          <t>Aucune chaîne anglaise dans l'interface, montants en XOF entiers</t>
        </is>
      </c>
      <c r="H20" s="38" t="n">
        <v>3</v>
      </c>
      <c r="I20" s="36" t="inlineStr">
        <is>
          <t>Moyenne</t>
        </is>
      </c>
      <c r="J20" s="36" t="inlineStr">
        <is>
          <t>Complétée</t>
        </is>
      </c>
      <c r="K20" s="39" t="n"/>
      <c r="L20" s="16">
        <f>IF($B20="","",IF(J20="Complétée",1,IF(J20="Abandonnée",0,IF(K20&lt;&gt;"",K20,IFERROR(VLOOKUP(J20,Parametres!$B$6:$C$12,2,FALSE),0)))))</f>
        <v/>
      </c>
      <c r="M20" s="15">
        <f>IF($B20="","",IF(J20="Abandonnée",0,H20))</f>
        <v/>
      </c>
      <c r="N20" s="15">
        <f>IF($B20="","",M20*L20)</f>
        <v/>
      </c>
      <c r="O20" s="37" t="inlineStr">
        <is>
          <t>Abdou-Raouf</t>
        </is>
      </c>
      <c r="P20" s="40" t="n">
        <v>46273</v>
      </c>
      <c r="Q20" s="40" t="n">
        <v>46278</v>
      </c>
      <c r="R20" s="40" t="n">
        <v>46303</v>
      </c>
      <c r="S20" s="37" t="inlineStr"/>
      <c r="T20" s="36" t="inlineStr">
        <is>
          <t>Non</t>
        </is>
      </c>
      <c r="U20" s="13">
        <f>IF($B20="","",IF(AND(J20&lt;&gt;"Complétée",J20&lt;&gt;"Abandonnée",Q20&lt;&gt;"",TODAY()&gt;Q20),"En retard",""))</f>
        <v/>
      </c>
      <c r="V20" s="37" t="n"/>
    </row>
    <row r="21">
      <c r="B21" s="36" t="inlineStr">
        <is>
          <t>V1-016</t>
        </is>
      </c>
      <c r="C21" s="36" t="inlineStr">
        <is>
          <t>V1</t>
        </is>
      </c>
      <c r="D21" s="36" t="inlineStr">
        <is>
          <t>OPS</t>
        </is>
      </c>
      <c r="E21" s="37" t="inlineStr">
        <is>
          <t>Fondations</t>
        </is>
      </c>
      <c r="F21" s="37" t="inlineStr">
        <is>
          <t>Supervision et journaux applicatifs de base</t>
        </is>
      </c>
      <c r="G21" s="37" t="inlineStr">
        <is>
          <t>Journaux centralisés, alerte sur erreur 5xx</t>
        </is>
      </c>
      <c r="H21" s="38" t="n">
        <v>3</v>
      </c>
      <c r="I21" s="36" t="inlineStr">
        <is>
          <t>Moyenne</t>
        </is>
      </c>
      <c r="J21" s="36" t="inlineStr">
        <is>
          <t>Complétée</t>
        </is>
      </c>
      <c r="K21" s="39" t="n"/>
      <c r="L21" s="16">
        <f>IF($B21="","",IF(J21="Complétée",1,IF(J21="Abandonnée",0,IF(K21&lt;&gt;"",K21,IFERROR(VLOOKUP(J21,Parametres!$B$6:$C$12,2,FALSE),0)))))</f>
        <v/>
      </c>
      <c r="M21" s="15">
        <f>IF($B21="","",IF(J21="Abandonnée",0,H21))</f>
        <v/>
      </c>
      <c r="N21" s="15">
        <f>IF($B21="","",M21*L21)</f>
        <v/>
      </c>
      <c r="O21" s="37" t="inlineStr">
        <is>
          <t>Abdou-Raouf</t>
        </is>
      </c>
      <c r="P21" s="40" t="n">
        <v>46273</v>
      </c>
      <c r="Q21" s="40" t="n">
        <v>46278</v>
      </c>
      <c r="R21" s="40" t="n">
        <v>46302</v>
      </c>
      <c r="S21" s="37" t="inlineStr"/>
      <c r="T21" s="36" t="inlineStr">
        <is>
          <t>Non</t>
        </is>
      </c>
      <c r="U21" s="13">
        <f>IF($B21="","",IF(AND(J21&lt;&gt;"Complétée",J21&lt;&gt;"Abandonnée",Q21&lt;&gt;"",TODAY()&gt;Q21),"En retard",""))</f>
        <v/>
      </c>
      <c r="V21" s="37" t="inlineStr">
        <is>
          <t>Sondes et journaux de base réalisés. Centralisation et alertes suivies en V1-097.</t>
        </is>
      </c>
    </row>
    <row r="22">
      <c r="B22" s="36" t="inlineStr">
        <is>
          <t>V1-017</t>
        </is>
      </c>
      <c r="C22" s="36" t="inlineStr">
        <is>
          <t>V1</t>
        </is>
      </c>
      <c r="D22" s="36" t="inlineStr">
        <is>
          <t>OPS</t>
        </is>
      </c>
      <c r="E22" s="37" t="inlineStr">
        <is>
          <t>Fondations</t>
        </is>
      </c>
      <c r="F22" s="37" t="inlineStr">
        <is>
          <t>Sauvegardes de base de la base de données</t>
        </is>
      </c>
      <c r="G22" s="37" t="inlineStr">
        <is>
          <t>Sauvegarde quotidienne, restauration testée une fois</t>
        </is>
      </c>
      <c r="H22" s="38" t="n">
        <v>2</v>
      </c>
      <c r="I22" s="36" t="inlineStr">
        <is>
          <t>Moyenne</t>
        </is>
      </c>
      <c r="J22" s="36" t="inlineStr">
        <is>
          <t>Complétée</t>
        </is>
      </c>
      <c r="K22" s="39" t="n"/>
      <c r="L22" s="16">
        <f>IF($B22="","",IF(J22="Complétée",1,IF(J22="Abandonnée",0,IF(K22&lt;&gt;"",K22,IFERROR(VLOOKUP(J22,Parametres!$B$6:$C$12,2,FALSE),0)))))</f>
        <v/>
      </c>
      <c r="M22" s="15">
        <f>IF($B22="","",IF(J22="Abandonnée",0,H22))</f>
        <v/>
      </c>
      <c r="N22" s="15">
        <f>IF($B22="","",M22*L22)</f>
        <v/>
      </c>
      <c r="O22" s="37" t="inlineStr">
        <is>
          <t>Abdou-Raouf</t>
        </is>
      </c>
      <c r="P22" s="40" t="n">
        <v>46274</v>
      </c>
      <c r="Q22" s="40" t="n">
        <v>46277</v>
      </c>
      <c r="R22" s="40" t="n">
        <v>46303</v>
      </c>
      <c r="S22" s="37" t="inlineStr"/>
      <c r="T22" s="36" t="inlineStr">
        <is>
          <t>Non</t>
        </is>
      </c>
      <c r="U22" s="13">
        <f>IF($B22="","",IF(AND(J22&lt;&gt;"Complétée",J22&lt;&gt;"Abandonnée",Q22&lt;&gt;"",TODAY()&gt;Q22),"En retard",""))</f>
        <v/>
      </c>
      <c r="V22" s="37" t="inlineStr">
        <is>
          <t>Scripts de sauvegarde réalisés. Automatisation et durcissement de restauration suivis en V1-098.</t>
        </is>
      </c>
    </row>
    <row r="23">
      <c r="B23" s="36" t="inlineStr">
        <is>
          <t>V1-018</t>
        </is>
      </c>
      <c r="C23" s="36" t="inlineStr">
        <is>
          <t>V1</t>
        </is>
      </c>
      <c r="D23" s="36" t="inlineStr">
        <is>
          <t>OPS</t>
        </is>
      </c>
      <c r="E23" s="37" t="inlineStr">
        <is>
          <t>Sécurité</t>
        </is>
      </c>
      <c r="F23" s="37" t="inlineStr">
        <is>
          <t>RLS effective : rôle applicatif sans contournement, contexte app.organisation_id et app.roles par transaction</t>
        </is>
      </c>
      <c r="G23" s="37" t="inlineStr">
        <is>
          <t>Test négatif : un cédant ne lit pas le dossier d'un autre cédant</t>
        </is>
      </c>
      <c r="H23" s="38" t="n">
        <v>4</v>
      </c>
      <c r="I23" s="36" t="inlineStr">
        <is>
          <t>Haute</t>
        </is>
      </c>
      <c r="J23" s="36" t="inlineStr">
        <is>
          <t>Complétée</t>
        </is>
      </c>
      <c r="K23" s="39" t="n"/>
      <c r="L23" s="16">
        <f>IF($B23="","",IF(J23="Complétée",1,IF(J23="Abandonnée",0,IF(K23&lt;&gt;"",K23,IFERROR(VLOOKUP(J23,Parametres!$B$6:$C$12,2,FALSE),0)))))</f>
        <v/>
      </c>
      <c r="M23" s="15">
        <f>IF($B23="","",IF(J23="Abandonnée",0,H23))</f>
        <v/>
      </c>
      <c r="N23" s="15">
        <f>IF($B23="","",M23*L23)</f>
        <v/>
      </c>
      <c r="O23" s="37" t="inlineStr">
        <is>
          <t>Abdou-Raouf</t>
        </is>
      </c>
      <c r="P23" s="40" t="n">
        <v>46274</v>
      </c>
      <c r="Q23" s="40" t="n">
        <v>46280</v>
      </c>
      <c r="R23" s="40" t="n">
        <v>46274</v>
      </c>
      <c r="S23" s="37" t="inlineStr"/>
      <c r="T23" s="36" t="inlineStr">
        <is>
          <t>Oui</t>
        </is>
      </c>
      <c r="U23" s="13">
        <f>IF($B23="","",IF(AND(J23&lt;&gt;"Complétée",J23&lt;&gt;"Abandonnée",Q23&lt;&gt;"",TODAY()&gt;Q23),"En retard",""))</f>
        <v/>
      </c>
      <c r="V23" s="37" t="n"/>
    </row>
    <row r="24">
      <c r="B24" s="36" t="inlineStr">
        <is>
          <t>V1-019</t>
        </is>
      </c>
      <c r="C24" s="36" t="inlineStr">
        <is>
          <t>V1</t>
        </is>
      </c>
      <c r="D24" s="36" t="inlineStr">
        <is>
          <t>OPS</t>
        </is>
      </c>
      <c r="E24" s="37" t="inlineStr">
        <is>
          <t>Sécurité</t>
        </is>
      </c>
      <c r="F24" s="37" t="inlineStr">
        <is>
          <t>Anti-force-brute : limitation de débit par IP et par compte, verrouillage progressif, journal des échecs</t>
        </is>
      </c>
      <c r="G24" s="37" t="inlineStr">
        <is>
          <t>Cinquième échec en une minute renvoie 429 et laisse une trace</t>
        </is>
      </c>
      <c r="H24" s="38" t="n">
        <v>2</v>
      </c>
      <c r="I24" s="36" t="inlineStr">
        <is>
          <t>Haute</t>
        </is>
      </c>
      <c r="J24" s="36" t="inlineStr">
        <is>
          <t>Complétée</t>
        </is>
      </c>
      <c r="K24" s="39" t="n"/>
      <c r="L24" s="16">
        <f>IF($B24="","",IF(J24="Complétée",1,IF(J24="Abandonnée",0,IF(K24&lt;&gt;"",K24,IFERROR(VLOOKUP(J24,Parametres!$B$6:$C$12,2,FALSE),0)))))</f>
        <v/>
      </c>
      <c r="M24" s="15">
        <f>IF($B24="","",IF(J24="Abandonnée",0,H24))</f>
        <v/>
      </c>
      <c r="N24" s="15">
        <f>IF($B24="","",M24*L24)</f>
        <v/>
      </c>
      <c r="O24" s="37" t="inlineStr">
        <is>
          <t>Abdou-Raouf</t>
        </is>
      </c>
      <c r="P24" s="40" t="n">
        <v>46274</v>
      </c>
      <c r="Q24" s="40" t="n">
        <v>46277</v>
      </c>
      <c r="R24" s="40" t="n">
        <v>46274</v>
      </c>
      <c r="S24" s="37" t="inlineStr"/>
      <c r="T24" s="36" t="inlineStr">
        <is>
          <t>Non</t>
        </is>
      </c>
      <c r="U24" s="13">
        <f>IF($B24="","",IF(AND(J24&lt;&gt;"Complétée",J24&lt;&gt;"Abandonnée",Q24&lt;&gt;"",TODAY()&gt;Q24),"En retard",""))</f>
        <v/>
      </c>
      <c r="V24" s="37" t="n"/>
    </row>
    <row r="25">
      <c r="B25" s="36" t="inlineStr">
        <is>
          <t>V1-020</t>
        </is>
      </c>
      <c r="C25" s="36" t="inlineStr">
        <is>
          <t>V1</t>
        </is>
      </c>
      <c r="D25" s="36" t="inlineStr">
        <is>
          <t>OPS</t>
        </is>
      </c>
      <c r="E25" s="37" t="inlineStr">
        <is>
          <t>Sécurité</t>
        </is>
      </c>
      <c r="F25" s="37" t="inlineStr">
        <is>
          <t>Vérification email, MFA obligatoire pour les officiers CCI-Togo et les administrateurs, liaison OTP</t>
        </is>
      </c>
      <c r="G25" s="37" t="inlineStr">
        <is>
          <t>Officier sans second facteur ne peut pas certifier</t>
        </is>
      </c>
      <c r="H25" s="38" t="n">
        <v>3</v>
      </c>
      <c r="I25" s="36" t="inlineStr">
        <is>
          <t>Haute</t>
        </is>
      </c>
      <c r="J25" s="36" t="inlineStr">
        <is>
          <t>Complétée</t>
        </is>
      </c>
      <c r="K25" s="39" t="n"/>
      <c r="L25" s="16">
        <f>IF($B25="","",IF(J25="Complétée",1,IF(J25="Abandonnée",0,IF(K25&lt;&gt;"",K25,IFERROR(VLOOKUP(J25,Parametres!$B$6:$C$12,2,FALSE),0)))))</f>
        <v/>
      </c>
      <c r="M25" s="15">
        <f>IF($B25="","",IF(J25="Abandonnée",0,H25))</f>
        <v/>
      </c>
      <c r="N25" s="15">
        <f>IF($B25="","",M25*L25)</f>
        <v/>
      </c>
      <c r="O25" s="37" t="inlineStr">
        <is>
          <t>Abdou-Raouf</t>
        </is>
      </c>
      <c r="P25" s="40" t="n">
        <v>46275</v>
      </c>
      <c r="Q25" s="40" t="n">
        <v>46280</v>
      </c>
      <c r="R25" s="40" t="n">
        <v>46275</v>
      </c>
      <c r="S25" s="37" t="inlineStr">
        <is>
          <t>OTP SMS</t>
        </is>
      </c>
      <c r="T25" s="36" t="inlineStr">
        <is>
          <t>Non</t>
        </is>
      </c>
      <c r="U25" s="13">
        <f>IF($B25="","",IF(AND(J25&lt;&gt;"Complétée",J25&lt;&gt;"Abandonnée",Q25&lt;&gt;"",TODAY()&gt;Q25),"En retard",""))</f>
        <v/>
      </c>
      <c r="V25" s="37" t="n"/>
    </row>
    <row r="26">
      <c r="B26" s="36" t="inlineStr">
        <is>
          <t>V1-021</t>
        </is>
      </c>
      <c r="C26" s="36" t="inlineStr">
        <is>
          <t>V1</t>
        </is>
      </c>
      <c r="D26" s="36" t="inlineStr">
        <is>
          <t>OPS</t>
        </is>
      </c>
      <c r="E26" s="37" t="inlineStr">
        <is>
          <t>Sécurité</t>
        </is>
      </c>
      <c r="F26" s="37" t="inlineStr">
        <is>
          <t>Chiffrement applicatif des champs CONFIDENTIAL_DEAL, clé gérée hors base, rotation documentée</t>
        </is>
      </c>
      <c r="G26" s="37" t="inlineStr">
        <is>
          <t>Prix illisible dans un dump de la base</t>
        </is>
      </c>
      <c r="H26" s="38" t="n">
        <v>3</v>
      </c>
      <c r="I26" s="36" t="inlineStr">
        <is>
          <t>Haute</t>
        </is>
      </c>
      <c r="J26" s="36" t="inlineStr">
        <is>
          <t>Complétée</t>
        </is>
      </c>
      <c r="K26" s="39" t="n"/>
      <c r="L26" s="16">
        <f>IF($B26="","",IF(J26="Complétée",1,IF(J26="Abandonnée",0,IF(K26&lt;&gt;"",K26,IFERROR(VLOOKUP(J26,Parametres!$B$6:$C$12,2,FALSE),0)))))</f>
        <v/>
      </c>
      <c r="M26" s="15">
        <f>IF($B26="","",IF(J26="Abandonnée",0,H26))</f>
        <v/>
      </c>
      <c r="N26" s="15">
        <f>IF($B26="","",M26*L26)</f>
        <v/>
      </c>
      <c r="O26" s="37" t="inlineStr">
        <is>
          <t>Abdou-Raouf</t>
        </is>
      </c>
      <c r="P26" s="40" t="n">
        <v>46275</v>
      </c>
      <c r="Q26" s="40" t="n">
        <v>46280</v>
      </c>
      <c r="R26" s="40" t="n">
        <v>46275</v>
      </c>
      <c r="S26" s="37" t="inlineStr"/>
      <c r="T26" s="36" t="inlineStr">
        <is>
          <t>Non</t>
        </is>
      </c>
      <c r="U26" s="13">
        <f>IF($B26="","",IF(AND(J26&lt;&gt;"Complétée",J26&lt;&gt;"Abandonnée",Q26&lt;&gt;"",TODAY()&gt;Q26),"En retard",""))</f>
        <v/>
      </c>
      <c r="V26" s="37" t="n"/>
    </row>
    <row r="27">
      <c r="B27" s="36" t="inlineStr">
        <is>
          <t>V1-022</t>
        </is>
      </c>
      <c r="C27" s="36" t="inlineStr">
        <is>
          <t>V1</t>
        </is>
      </c>
      <c r="D27" s="36" t="inlineStr">
        <is>
          <t>OPS</t>
        </is>
      </c>
      <c r="E27" s="37" t="inlineStr">
        <is>
          <t>Sécurité</t>
        </is>
      </c>
      <c r="F27" s="37" t="inlineStr">
        <is>
          <t>En-têtes de sécurité HTTP, CORS strict, cookies sécurisés, taille maximale des corps de requête</t>
        </is>
      </c>
      <c r="G27" s="37" t="inlineStr">
        <is>
          <t>Scan d'en-têtes sans constat, origine inconnue refusée</t>
        </is>
      </c>
      <c r="H27" s="38" t="n">
        <v>1</v>
      </c>
      <c r="I27" s="36" t="inlineStr">
        <is>
          <t>Moyenne</t>
        </is>
      </c>
      <c r="J27" s="36" t="inlineStr">
        <is>
          <t>Complétée</t>
        </is>
      </c>
      <c r="K27" s="39" t="n"/>
      <c r="L27" s="16">
        <f>IF($B27="","",IF(J27="Complétée",1,IF(J27="Abandonnée",0,IF(K27&lt;&gt;"",K27,IFERROR(VLOOKUP(J27,Parametres!$B$6:$C$12,2,FALSE),0)))))</f>
        <v/>
      </c>
      <c r="M27" s="15">
        <f>IF($B27="","",IF(J27="Abandonnée",0,H27))</f>
        <v/>
      </c>
      <c r="N27" s="15">
        <f>IF($B27="","",M27*L27)</f>
        <v/>
      </c>
      <c r="O27" s="37" t="inlineStr">
        <is>
          <t>Abdou-Raouf</t>
        </is>
      </c>
      <c r="P27" s="40" t="n">
        <v>46275</v>
      </c>
      <c r="Q27" s="40" t="n">
        <v>46277</v>
      </c>
      <c r="R27" s="40" t="n">
        <v>46277</v>
      </c>
      <c r="S27" s="37" t="inlineStr"/>
      <c r="T27" s="36" t="inlineStr">
        <is>
          <t>Non</t>
        </is>
      </c>
      <c r="U27" s="13">
        <f>IF($B27="","",IF(AND(J27&lt;&gt;"Complétée",J27&lt;&gt;"Abandonnée",Q27&lt;&gt;"",TODAY()&gt;Q27),"En retard",""))</f>
        <v/>
      </c>
      <c r="V27" s="37" t="n"/>
    </row>
    <row r="28">
      <c r="B28" s="36" t="inlineStr">
        <is>
          <t>V1-023</t>
        </is>
      </c>
      <c r="C28" s="36" t="inlineStr">
        <is>
          <t>V1</t>
        </is>
      </c>
      <c r="D28" s="36" t="inlineStr">
        <is>
          <t>OPS</t>
        </is>
      </c>
      <c r="E28" s="37" t="inlineStr">
        <is>
          <t>Sécurité</t>
        </is>
      </c>
      <c r="F28" s="37" t="inlineStr">
        <is>
          <t>Idempotence persistée en base et vérification de signature HMAC sur tous les webhooks</t>
        </is>
      </c>
      <c r="G28" s="37" t="inlineStr">
        <is>
          <t>Rejeu d'un webhook sans double effet ; signature invalide rejetée</t>
        </is>
      </c>
      <c r="H28" s="38" t="n">
        <v>2</v>
      </c>
      <c r="I28" s="36" t="inlineStr">
        <is>
          <t>Haute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46275</v>
      </c>
      <c r="Q28" s="40" t="n">
        <v>46278</v>
      </c>
      <c r="R28" s="40" t="n">
        <v>46278</v>
      </c>
      <c r="S28" s="37" t="inlineStr"/>
      <c r="T28" s="36" t="inlineStr">
        <is>
          <t>Non</t>
        </is>
      </c>
      <c r="U28" s="13">
        <f>IF($B28="","",IF(AND(J28&lt;&gt;"Complétée",J28&lt;&gt;"Abandonnée",Q28&lt;&gt;"",TODAY()&gt;Q28),"En retard",""))</f>
        <v/>
      </c>
      <c r="V28" s="37" t="n"/>
    </row>
    <row r="29">
      <c r="B29" s="36" t="inlineStr">
        <is>
          <t>V1-024</t>
        </is>
      </c>
      <c r="C29" s="36" t="inlineStr">
        <is>
          <t>V1</t>
        </is>
      </c>
      <c r="D29" s="36" t="inlineStr">
        <is>
          <t>OPS</t>
        </is>
      </c>
      <c r="E29" s="37" t="inlineStr">
        <is>
          <t>Sécurité</t>
        </is>
      </c>
      <c r="F29" s="37" t="inlineStr">
        <is>
          <t>Revue de sécurité interne (liste de contrôle v0 : paliers, URL pré-signées, compteur RPS) et scan de dépendances bloquant en CI</t>
        </is>
      </c>
      <c r="G29" s="37" t="inlineStr">
        <is>
          <t>Rapport de revue archivé, CI rouge sur vulnérabilité critique</t>
        </is>
      </c>
      <c r="H29" s="38" t="n">
        <v>3</v>
      </c>
      <c r="I29" s="36" t="inlineStr">
        <is>
          <t>Haute</t>
        </is>
      </c>
      <c r="J29" s="36" t="inlineStr">
        <is>
          <t>Complétée</t>
        </is>
      </c>
      <c r="K29" s="39" t="n"/>
      <c r="L29" s="16">
        <f>IF($B29="","",IF(J29="Complétée",1,IF(J29="Abandonnée",0,IF(K29&lt;&gt;"",K29,IFERROR(VLOOKUP(J29,Parametres!$B$6:$C$12,2,FALSE),0)))))</f>
        <v/>
      </c>
      <c r="M29" s="15">
        <f>IF($B29="","",IF(J29="Abandonnée",0,H29))</f>
        <v/>
      </c>
      <c r="N29" s="15">
        <f>IF($B29="","",M29*L29)</f>
        <v/>
      </c>
      <c r="O29" s="37" t="inlineStr">
        <is>
          <t>Abdou-Raouf</t>
        </is>
      </c>
      <c r="P29" s="40" t="n">
        <v>46276</v>
      </c>
      <c r="Q29" s="40" t="n">
        <v>46281</v>
      </c>
      <c r="R29" s="40" t="n">
        <v>46281</v>
      </c>
      <c r="S29" s="37" t="inlineStr"/>
      <c r="T29" s="36" t="inlineStr">
        <is>
          <t>Non</t>
        </is>
      </c>
      <c r="U29" s="13">
        <f>IF($B29="","",IF(AND(J29&lt;&gt;"Complétée",J29&lt;&gt;"Abandonnée",Q29&lt;&gt;"",TODAY()&gt;Q29),"En retard",""))</f>
        <v/>
      </c>
      <c r="V29" s="37" t="n"/>
    </row>
    <row r="30">
      <c r="B30" s="36" t="inlineStr">
        <is>
          <t>V1-025</t>
        </is>
      </c>
      <c r="C30" s="36" t="inlineStr">
        <is>
          <t>V1</t>
        </is>
      </c>
      <c r="D30" s="36" t="inlineStr">
        <is>
          <t>OPS</t>
        </is>
      </c>
      <c r="E30" s="37" t="inlineStr">
        <is>
          <t>Sécurité</t>
        </is>
      </c>
      <c r="F30" s="37" t="inlineStr">
        <is>
          <t>Chaîne antivirus éprouvée contre un moteur ClamAV réel (service local et intégration continue)</t>
        </is>
      </c>
      <c r="G30" s="37" t="inlineStr">
        <is>
          <t>Le dépôt d'une pièce reconnue est refusé par ClamAV, pas seulement par le moteur de développement</t>
        </is>
      </c>
      <c r="H30" s="38" t="n">
        <v>2</v>
      </c>
      <c r="I30" s="36" t="inlineStr">
        <is>
          <t>Haute</t>
        </is>
      </c>
      <c r="J30" s="36" t="inlineStr">
        <is>
          <t>Complétée</t>
        </is>
      </c>
      <c r="K30" s="39" t="n"/>
      <c r="L30" s="16">
        <f>IF($B30="","",IF(J30="Complétée",1,IF(J30="Abandonnée",0,IF(K30&lt;&gt;"",K30,IFERROR(VLOOKUP(J30,Parametres!$B$6:$C$12,2,FALSE),0)))))</f>
        <v/>
      </c>
      <c r="M30" s="15">
        <f>IF($B30="","",IF(J30="Abandonnée",0,H30))</f>
        <v/>
      </c>
      <c r="N30" s="15">
        <f>IF($B30="","",M30*L30)</f>
        <v/>
      </c>
      <c r="O30" s="37" t="inlineStr">
        <is>
          <t>Abdou-Raouf</t>
        </is>
      </c>
      <c r="P30" s="40" t="n">
        <v>46276</v>
      </c>
      <c r="Q30" s="40" t="n">
        <v>46279</v>
      </c>
      <c r="R30" s="40" t="n">
        <v>46296</v>
      </c>
      <c r="S30" s="37" t="inlineStr">
        <is>
          <t>Service ClamAV déployé</t>
        </is>
      </c>
      <c r="T30" s="36" t="inlineStr">
        <is>
          <t>Non</t>
        </is>
      </c>
      <c r="U30" s="13">
        <f>IF($B30="","",IF(AND(J30&lt;&gt;"Complétée",J30&lt;&gt;"Abandonnée",Q30&lt;&gt;"",TODAY()&gt;Q30),"En retard",""))</f>
        <v/>
      </c>
      <c r="V30" s="37" t="n"/>
    </row>
    <row r="31">
      <c r="B31" s="36" t="inlineStr">
        <is>
          <t>V1-026</t>
        </is>
      </c>
      <c r="C31" s="36" t="inlineStr">
        <is>
          <t>V1</t>
        </is>
      </c>
      <c r="D31" s="36" t="inlineStr">
        <is>
          <t>OPS</t>
        </is>
      </c>
      <c r="E31" s="37" t="inlineStr">
        <is>
          <t>Sécurité</t>
        </is>
      </c>
      <c r="F31" s="37" t="inlineStr">
        <is>
          <t>Mots de passe de démonstration uniques par compte, jeu de démonstration interdit hors environnement local</t>
        </is>
      </c>
      <c r="G31" s="37" t="inlineStr">
        <is>
          <t>Le chargement refuse de s'exécuter si NODE_ENV n'est pas development</t>
        </is>
      </c>
      <c r="H31" s="38" t="n">
        <v>1</v>
      </c>
      <c r="I31" s="36" t="inlineStr">
        <is>
          <t>Moyenne</t>
        </is>
      </c>
      <c r="J31" s="36" t="inlineStr">
        <is>
          <t>Complétée</t>
        </is>
      </c>
      <c r="K31" s="39" t="n"/>
      <c r="L31" s="16">
        <f>IF($B31="","",IF(J31="Complétée",1,IF(J31="Abandonnée",0,IF(K31&lt;&gt;"",K31,IFERROR(VLOOKUP(J31,Parametres!$B$6:$C$12,2,FALSE),0)))))</f>
        <v/>
      </c>
      <c r="M31" s="15">
        <f>IF($B31="","",IF(J31="Abandonnée",0,H31))</f>
        <v/>
      </c>
      <c r="N31" s="15">
        <f>IF($B31="","",M31*L31)</f>
        <v/>
      </c>
      <c r="O31" s="37" t="inlineStr">
        <is>
          <t>Abdou-Raouf</t>
        </is>
      </c>
      <c r="P31" s="40" t="n">
        <v>46276</v>
      </c>
      <c r="Q31" s="40" t="n">
        <v>46278</v>
      </c>
      <c r="R31" s="40" t="n">
        <v>46278</v>
      </c>
      <c r="S31" s="37" t="inlineStr"/>
      <c r="T31" s="36" t="inlineStr">
        <is>
          <t>Non</t>
        </is>
      </c>
      <c r="U31" s="13">
        <f>IF($B31="","",IF(AND(J31&lt;&gt;"Complétée",J31&lt;&gt;"Abandonnée",Q31&lt;&gt;"",TODAY()&gt;Q31),"En retard",""))</f>
        <v/>
      </c>
      <c r="V31" s="37" t="n"/>
    </row>
    <row r="32">
      <c r="B32" s="36" t="inlineStr">
        <is>
          <t>V1-027</t>
        </is>
      </c>
      <c r="C32" s="36" t="inlineStr">
        <is>
          <t>V1</t>
        </is>
      </c>
      <c r="D32" s="36" t="inlineStr">
        <is>
          <t>IDN</t>
        </is>
      </c>
      <c r="E32" s="37" t="inlineStr">
        <is>
          <t>Auth et rôles</t>
        </is>
      </c>
      <c r="F32" s="37" t="inlineStr">
        <is>
          <t>Inscription email + mot de passe (Argon2id), vérification email</t>
        </is>
      </c>
      <c r="G32" s="37" t="inlineStr">
        <is>
          <t>Compte créé, email vérifié, mot de passe jamais en clair</t>
        </is>
      </c>
      <c r="H32" s="38" t="n">
        <v>3</v>
      </c>
      <c r="I32" s="36" t="inlineStr">
        <is>
          <t>Haute</t>
        </is>
      </c>
      <c r="J32" s="36" t="inlineStr">
        <is>
          <t>Complétée</t>
        </is>
      </c>
      <c r="K32" s="39" t="n"/>
      <c r="L32" s="16">
        <f>IF($B32="","",IF(J32="Complétée",1,IF(J32="Abandonnée",0,IF(K32&lt;&gt;"",K32,IFERROR(VLOOKUP(J32,Parametres!$B$6:$C$12,2,FALSE),0)))))</f>
        <v/>
      </c>
      <c r="M32" s="15">
        <f>IF($B32="","",IF(J32="Abandonnée",0,H32))</f>
        <v/>
      </c>
      <c r="N32" s="15">
        <f>IF($B32="","",M32*L32)</f>
        <v/>
      </c>
      <c r="O32" s="37" t="inlineStr">
        <is>
          <t>Abdou-Raouf</t>
        </is>
      </c>
      <c r="P32" s="40" t="n">
        <v>46276</v>
      </c>
      <c r="Q32" s="40" t="n">
        <v>46281</v>
      </c>
      <c r="R32" s="40" t="n">
        <v>46276</v>
      </c>
      <c r="S32" s="37" t="inlineStr"/>
      <c r="T32" s="36" t="inlineStr">
        <is>
          <t>Non</t>
        </is>
      </c>
      <c r="U32" s="13">
        <f>IF($B32="","",IF(AND(J32&lt;&gt;"Complétée",J32&lt;&gt;"Abandonnée",Q32&lt;&gt;"",TODAY()&gt;Q32),"En retard",""))</f>
        <v/>
      </c>
      <c r="V32" s="37" t="n"/>
    </row>
    <row r="33">
      <c r="B33" s="36" t="inlineStr">
        <is>
          <t>V1-028</t>
        </is>
      </c>
      <c r="C33" s="36" t="inlineStr">
        <is>
          <t>V1</t>
        </is>
      </c>
      <c r="D33" s="36" t="inlineStr">
        <is>
          <t>IDN</t>
        </is>
      </c>
      <c r="E33" s="37" t="inlineStr">
        <is>
          <t>Auth et rôles</t>
        </is>
      </c>
      <c r="F33" s="37" t="inlineStr">
        <is>
          <t>OTP SMS (intégration fournisseur SMS)</t>
        </is>
      </c>
      <c r="G33" s="37" t="inlineStr">
        <is>
          <t>Code reçu et validé en moins de 60 s en sandbox opérateur ; mêmes contrats que le local V1-101/102 ; configuration réelle sans modification des parcours métier</t>
        </is>
      </c>
      <c r="H33" s="38" t="n">
        <v>3</v>
      </c>
      <c r="I33" s="36" t="inlineStr">
        <is>
          <t>Haute</t>
        </is>
      </c>
      <c r="J33" s="36" t="inlineStr">
        <is>
          <t>En cours</t>
        </is>
      </c>
      <c r="K33" s="39" t="n">
        <v>0.6</v>
      </c>
      <c r="L33" s="16">
        <f>IF($B33="","",IF(J33="Complétée",1,IF(J33="Abandonnée",0,IF(K33&lt;&gt;"",K33,IFERROR(VLOOKUP(J33,Parametres!$B$6:$C$12,2,FALSE),0)))))</f>
        <v/>
      </c>
      <c r="M33" s="15">
        <f>IF($B33="","",IF(J33="Abandonnée",0,H33))</f>
        <v/>
      </c>
      <c r="N33" s="15">
        <f>IF($B33="","",M33*L33)</f>
        <v/>
      </c>
      <c r="O33" s="37" t="inlineStr">
        <is>
          <t>Abdou-Raouf</t>
        </is>
      </c>
      <c r="P33" s="40" t="n">
        <v>46277</v>
      </c>
      <c r="Q33" s="40" t="n">
        <v>46282</v>
      </c>
      <c r="R33" s="40" t="n"/>
      <c r="S33" s="37" t="inlineStr"/>
      <c r="T33" s="36" t="inlineStr">
        <is>
          <t>Non</t>
        </is>
      </c>
      <c r="U33" s="13">
        <f>IF($B33="","",IF(AND(J33&lt;&gt;"Complétée",J33&lt;&gt;"Abandonnée",Q33&lt;&gt;"",TODAY()&gt;Q33),"En retard",""))</f>
        <v/>
      </c>
      <c r="V33" s="37" t="n"/>
    </row>
    <row r="34">
      <c r="B34" s="36" t="inlineStr">
        <is>
          <t>V1-029</t>
        </is>
      </c>
      <c r="C34" s="36" t="inlineStr">
        <is>
          <t>V1</t>
        </is>
      </c>
      <c r="D34" s="36" t="inlineStr">
        <is>
          <t>IDN</t>
        </is>
      </c>
      <c r="E34" s="37" t="inlineStr">
        <is>
          <t>Auth et rôles</t>
        </is>
      </c>
      <c r="F34" s="37" t="inlineStr">
        <is>
          <t>Rôles et permissions évalués côté serveur (cédant, investisseur, agent CCI-Togo, admin)</t>
        </is>
      </c>
      <c r="G34" s="37" t="inlineStr">
        <is>
          <t>Chaque endpoint refuse un rôle non autorisé (tests négatifs)</t>
        </is>
      </c>
      <c r="H34" s="38" t="n">
        <v>4</v>
      </c>
      <c r="I34" s="36" t="inlineStr">
        <is>
          <t>Haute</t>
        </is>
      </c>
      <c r="J34" s="36" t="inlineStr">
        <is>
          <t>Complétée</t>
        </is>
      </c>
      <c r="K34" s="39" t="n"/>
      <c r="L34" s="16">
        <f>IF($B34="","",IF(J34="Complétée",1,IF(J34="Abandonnée",0,IF(K34&lt;&gt;"",K34,IFERROR(VLOOKUP(J34,Parametres!$B$6:$C$12,2,FALSE),0)))))</f>
        <v/>
      </c>
      <c r="M34" s="15">
        <f>IF($B34="","",IF(J34="Abandonnée",0,H34))</f>
        <v/>
      </c>
      <c r="N34" s="15">
        <f>IF($B34="","",M34*L34)</f>
        <v/>
      </c>
      <c r="O34" s="37" t="inlineStr">
        <is>
          <t>Abdou-Raouf</t>
        </is>
      </c>
      <c r="P34" s="40" t="n">
        <v>46277</v>
      </c>
      <c r="Q34" s="40" t="n">
        <v>46283</v>
      </c>
      <c r="R34" s="40" t="n">
        <v>46283</v>
      </c>
      <c r="S34" s="37" t="inlineStr"/>
      <c r="T34" s="36" t="inlineStr">
        <is>
          <t>Non</t>
        </is>
      </c>
      <c r="U34" s="13">
        <f>IF($B34="","",IF(AND(J34&lt;&gt;"Complétée",J34&lt;&gt;"Abandonnée",Q34&lt;&gt;"",TODAY()&gt;Q34),"En retard",""))</f>
        <v/>
      </c>
      <c r="V34" s="37" t="n"/>
    </row>
    <row r="35">
      <c r="B35" s="36" t="inlineStr">
        <is>
          <t>V1-030</t>
        </is>
      </c>
      <c r="C35" s="36" t="inlineStr">
        <is>
          <t>V1</t>
        </is>
      </c>
      <c r="D35" s="36" t="inlineStr">
        <is>
          <t>IDN</t>
        </is>
      </c>
      <c r="E35" s="37" t="inlineStr">
        <is>
          <t>Auth et rôles</t>
        </is>
      </c>
      <c r="F35" s="37" t="inlineStr">
        <is>
          <t>Gestion de session : expiration, liste des appareils, révocation à distance</t>
        </is>
      </c>
      <c r="G35" s="37" t="inlineStr">
        <is>
          <t>Session révoquée inutilisable immédiatement</t>
        </is>
      </c>
      <c r="H35" s="38" t="n">
        <v>2</v>
      </c>
      <c r="I35" s="36" t="inlineStr">
        <is>
          <t>Moyenne</t>
        </is>
      </c>
      <c r="J35" s="36" t="inlineStr">
        <is>
          <t>Complétée</t>
        </is>
      </c>
      <c r="K35" s="39" t="n"/>
      <c r="L35" s="16">
        <f>IF($B35="","",IF(J35="Complétée",1,IF(J35="Abandonnée",0,IF(K35&lt;&gt;"",K35,IFERROR(VLOOKUP(J35,Parametres!$B$6:$C$12,2,FALSE),0)))))</f>
        <v/>
      </c>
      <c r="M35" s="15">
        <f>IF($B35="","",IF(J35="Abandonnée",0,H35))</f>
        <v/>
      </c>
      <c r="N35" s="15">
        <f>IF($B35="","",M35*L35)</f>
        <v/>
      </c>
      <c r="O35" s="37" t="inlineStr">
        <is>
          <t>Abdou-Raouf</t>
        </is>
      </c>
      <c r="P35" s="40" t="n">
        <v>46278</v>
      </c>
      <c r="Q35" s="40" t="n">
        <v>46281</v>
      </c>
      <c r="R35" s="40" t="n">
        <v>46281</v>
      </c>
      <c r="S35" s="37" t="inlineStr"/>
      <c r="T35" s="36" t="inlineStr">
        <is>
          <t>Non</t>
        </is>
      </c>
      <c r="U35" s="13">
        <f>IF($B35="","",IF(AND(J35&lt;&gt;"Complétée",J35&lt;&gt;"Abandonnée",Q35&lt;&gt;"",TODAY()&gt;Q35),"En retard",""))</f>
        <v/>
      </c>
      <c r="V35" s="37" t="n"/>
    </row>
    <row r="36">
      <c r="B36" s="36" t="inlineStr">
        <is>
          <t>V1-031</t>
        </is>
      </c>
      <c r="C36" s="36" t="inlineStr">
        <is>
          <t>V1</t>
        </is>
      </c>
      <c r="D36" s="36" t="inlineStr">
        <is>
          <t>IDN</t>
        </is>
      </c>
      <c r="E36" s="37" t="inlineStr">
        <is>
          <t>Auth et rôles</t>
        </is>
      </c>
      <c r="F36" s="37" t="inlineStr">
        <is>
          <t>Consentements séparés (CGU, confidentialité, marketing)</t>
        </is>
      </c>
      <c r="G36" s="37" t="inlineStr">
        <is>
          <t>Trois cases distinctes, marketing non pré-coché</t>
        </is>
      </c>
      <c r="H36" s="38" t="n">
        <v>2</v>
      </c>
      <c r="I36" s="36" t="inlineStr">
        <is>
          <t>Moyenne</t>
        </is>
      </c>
      <c r="J36" s="36" t="inlineStr">
        <is>
          <t>Complétée</t>
        </is>
      </c>
      <c r="K36" s="39" t="n"/>
      <c r="L36" s="16">
        <f>IF($B36="","",IF(J36="Complétée",1,IF(J36="Abandonnée",0,IF(K36&lt;&gt;"",K36,IFERROR(VLOOKUP(J36,Parametres!$B$6:$C$12,2,FALSE),0)))))</f>
        <v/>
      </c>
      <c r="M36" s="15">
        <f>IF($B36="","",IF(J36="Abandonnée",0,H36))</f>
        <v/>
      </c>
      <c r="N36" s="15">
        <f>IF($B36="","",M36*L36)</f>
        <v/>
      </c>
      <c r="O36" s="37" t="inlineStr">
        <is>
          <t>Abdou-Raouf</t>
        </is>
      </c>
      <c r="P36" s="40" t="n">
        <v>46278</v>
      </c>
      <c r="Q36" s="40" t="n">
        <v>46281</v>
      </c>
      <c r="R36" s="40" t="n">
        <v>46281</v>
      </c>
      <c r="S36" s="37" t="inlineStr"/>
      <c r="T36" s="36" t="inlineStr">
        <is>
          <t>Non</t>
        </is>
      </c>
      <c r="U36" s="13">
        <f>IF($B36="","",IF(AND(J36&lt;&gt;"Complétée",J36&lt;&gt;"Abandonnée",Q36&lt;&gt;"",TODAY()&gt;Q36),"En retard",""))</f>
        <v/>
      </c>
      <c r="V36" s="37" t="n"/>
    </row>
    <row r="37">
      <c r="B37" s="36" t="inlineStr">
        <is>
          <t>V1-032</t>
        </is>
      </c>
      <c r="C37" s="36" t="inlineStr">
        <is>
          <t>V1</t>
        </is>
      </c>
      <c r="D37" s="36" t="inlineStr">
        <is>
          <t>IDN</t>
        </is>
      </c>
      <c r="E37" s="37" t="inlineStr">
        <is>
          <t>Auth et rôles</t>
        </is>
      </c>
      <c r="F37" s="37" t="inlineStr">
        <is>
          <t>Paliers d'abonnement : modèle et entitlements (sans paiement en V1)</t>
        </is>
      </c>
      <c r="G37" s="37" t="inlineStr">
        <is>
          <t>Entitlement résolu depuis un service unique versionné</t>
        </is>
      </c>
      <c r="H37" s="38" t="n">
        <v>4</v>
      </c>
      <c r="I37" s="36" t="inlineStr">
        <is>
          <t>Moyenne</t>
        </is>
      </c>
      <c r="J37" s="36" t="inlineStr">
        <is>
          <t>Complétée</t>
        </is>
      </c>
      <c r="K37" s="39" t="n"/>
      <c r="L37" s="16">
        <f>IF($B37="","",IF(J37="Complétée",1,IF(J37="Abandonnée",0,IF(K37&lt;&gt;"",K37,IFERROR(VLOOKUP(J37,Parametres!$B$6:$C$12,2,FALSE),0)))))</f>
        <v/>
      </c>
      <c r="M37" s="15">
        <f>IF($B37="","",IF(J37="Abandonnée",0,H37))</f>
        <v/>
      </c>
      <c r="N37" s="15">
        <f>IF($B37="","",M37*L37)</f>
        <v/>
      </c>
      <c r="O37" s="37" t="inlineStr">
        <is>
          <t>Abdou-Raouf</t>
        </is>
      </c>
      <c r="P37" s="40" t="n">
        <v>46278</v>
      </c>
      <c r="Q37" s="40" t="n">
        <v>46284</v>
      </c>
      <c r="R37" s="40" t="n">
        <v>46301</v>
      </c>
      <c r="S37" s="37" t="inlineStr"/>
      <c r="T37" s="36" t="inlineStr">
        <is>
          <t>Non</t>
        </is>
      </c>
      <c r="U37" s="13">
        <f>IF($B37="","",IF(AND(J37&lt;&gt;"Complétée",J37&lt;&gt;"Abandonnée",Q37&lt;&gt;"",TODAY()&gt;Q37),"En retard",""))</f>
        <v/>
      </c>
      <c r="V37" s="37" t="n"/>
    </row>
    <row r="38">
      <c r="B38" s="36" t="inlineStr">
        <is>
          <t>V1-033</t>
        </is>
      </c>
      <c r="C38" s="36" t="inlineStr">
        <is>
          <t>V1</t>
        </is>
      </c>
      <c r="D38" s="36" t="inlineStr">
        <is>
          <t>IDN</t>
        </is>
      </c>
      <c r="E38" s="37" t="inlineStr">
        <is>
          <t>Auth et rôles</t>
        </is>
      </c>
      <c r="F38" s="37" t="inlineStr">
        <is>
          <t>Écrans authentification (connexion, inscription, OTP, profil)</t>
        </is>
      </c>
      <c r="G38" s="37" t="inlineStr">
        <is>
          <t>Parcours complet sur mobile et desktop</t>
        </is>
      </c>
      <c r="H38" s="38" t="n">
        <v>4</v>
      </c>
      <c r="I38" s="36" t="inlineStr">
        <is>
          <t>Haute</t>
        </is>
      </c>
      <c r="J38" s="36" t="inlineStr">
        <is>
          <t>Complétée</t>
        </is>
      </c>
      <c r="K38" s="39" t="n"/>
      <c r="L38" s="16">
        <f>IF($B38="","",IF(J38="Complétée",1,IF(J38="Abandonnée",0,IF(K38&lt;&gt;"",K38,IFERROR(VLOOKUP(J38,Parametres!$B$6:$C$12,2,FALSE),0)))))</f>
        <v/>
      </c>
      <c r="M38" s="15">
        <f>IF($B38="","",IF(J38="Abandonnée",0,H38))</f>
        <v/>
      </c>
      <c r="N38" s="15">
        <f>IF($B38="","",M38*L38)</f>
        <v/>
      </c>
      <c r="O38" s="37" t="inlineStr">
        <is>
          <t>Abdou-Raouf</t>
        </is>
      </c>
      <c r="P38" s="40" t="n">
        <v>46279</v>
      </c>
      <c r="Q38" s="40" t="n">
        <v>46285</v>
      </c>
      <c r="R38" s="40" t="n">
        <v>46285</v>
      </c>
      <c r="S38" s="37" t="inlineStr"/>
      <c r="T38" s="36" t="inlineStr">
        <is>
          <t>Non</t>
        </is>
      </c>
      <c r="U38" s="13">
        <f>IF($B38="","",IF(AND(J38&lt;&gt;"Complétée",J38&lt;&gt;"Abandonnée",Q38&lt;&gt;"",TODAY()&gt;Q38),"En retard",""))</f>
        <v/>
      </c>
      <c r="V38" s="37" t="n"/>
    </row>
    <row r="39">
      <c r="B39" s="36" t="inlineStr">
        <is>
          <t>V1-034</t>
        </is>
      </c>
      <c r="C39" s="36" t="inlineStr">
        <is>
          <t>V1</t>
        </is>
      </c>
      <c r="D39" s="36" t="inlineStr">
        <is>
          <t>GOV</t>
        </is>
      </c>
      <c r="E39" s="37" t="inlineStr">
        <is>
          <t>Espace CCI-Togo</t>
        </is>
      </c>
      <c r="F39" s="37" t="inlineStr">
        <is>
          <t>Workflow de confirmation d'adhésion (demande, décision, référence stockée)</t>
        </is>
      </c>
      <c r="G39" s="37" t="inlineStr">
        <is>
          <t>Seule la référence de confirmation est stockée, jamais la base des membres</t>
        </is>
      </c>
      <c r="H39" s="38" t="n">
        <v>4</v>
      </c>
      <c r="I39" s="36" t="inlineStr">
        <is>
          <t>Haute</t>
        </is>
      </c>
      <c r="J39" s="36" t="inlineStr">
        <is>
          <t>Complétée</t>
        </is>
      </c>
      <c r="K39" s="39" t="n"/>
      <c r="L39" s="16">
        <f>IF($B39="","",IF(J39="Complétée",1,IF(J39="Abandonnée",0,IF(K39&lt;&gt;"",K39,IFERROR(VLOOKUP(J39,Parametres!$B$6:$C$12,2,FALSE),0)))))</f>
        <v/>
      </c>
      <c r="M39" s="15">
        <f>IF($B39="","",IF(J39="Abandonnée",0,H39))</f>
        <v/>
      </c>
      <c r="N39" s="15">
        <f>IF($B39="","",M39*L39)</f>
        <v/>
      </c>
      <c r="O39" s="37" t="inlineStr">
        <is>
          <t>Abdou-Raouf</t>
        </is>
      </c>
      <c r="P39" s="40" t="n">
        <v>46279</v>
      </c>
      <c r="Q39" s="40" t="n">
        <v>46285</v>
      </c>
      <c r="R39" s="40" t="n">
        <v>46279</v>
      </c>
      <c r="S39" s="37" t="inlineStr"/>
      <c r="T39" s="36" t="inlineStr">
        <is>
          <t>Non</t>
        </is>
      </c>
      <c r="U39" s="13">
        <f>IF($B39="","",IF(AND(J39&lt;&gt;"Complétée",J39&lt;&gt;"Abandonnée",Q39&lt;&gt;"",TODAY()&gt;Q39),"En retard",""))</f>
        <v/>
      </c>
      <c r="V39" s="37" t="n"/>
    </row>
    <row r="40">
      <c r="B40" s="36" t="inlineStr">
        <is>
          <t>V1-035</t>
        </is>
      </c>
      <c r="C40" s="36" t="inlineStr">
        <is>
          <t>V1</t>
        </is>
      </c>
      <c r="D40" s="36" t="inlineStr">
        <is>
          <t>GOV</t>
        </is>
      </c>
      <c r="E40" s="37" t="inlineStr">
        <is>
          <t>Espace CCI-Togo</t>
        </is>
      </c>
      <c r="F40" s="37" t="inlineStr">
        <is>
          <t>Vérification RCCM / CFE : adaptateur (API si disponible, sinon saisie manuelle supervisée)</t>
        </is>
      </c>
      <c r="G40" s="37" t="inlineStr">
        <is>
          <t>Source et horodatage stockés ; API désactivée = cycle manuel complet ; API activée = mock local puis adaptateur réel ; absence, divergence et panne distinctes (complément V1-109)</t>
        </is>
      </c>
      <c r="H40" s="38" t="n">
        <v>5</v>
      </c>
      <c r="I40" s="36" t="inlineStr">
        <is>
          <t>Haute</t>
        </is>
      </c>
      <c r="J40" s="36" t="inlineStr">
        <is>
          <t>En cours</t>
        </is>
      </c>
      <c r="K40" s="39" t="n">
        <v>0.9</v>
      </c>
      <c r="L40" s="16">
        <f>IF($B40="","",IF(J40="Complétée",1,IF(J40="Abandonnée",0,IF(K40&lt;&gt;"",K40,IFERROR(VLOOKUP(J40,Parametres!$B$6:$C$12,2,FALSE),0)))))</f>
        <v/>
      </c>
      <c r="M40" s="15">
        <f>IF($B40="","",IF(J40="Abandonnée",0,H40))</f>
        <v/>
      </c>
      <c r="N40" s="15">
        <f>IF($B40="","",M40*L40)</f>
        <v/>
      </c>
      <c r="O40" s="37" t="inlineStr">
        <is>
          <t>Abdou-Raouf</t>
        </is>
      </c>
      <c r="P40" s="40" t="n">
        <v>46279</v>
      </c>
      <c r="Q40" s="40" t="n">
        <v>46286</v>
      </c>
      <c r="R40" s="40" t="n"/>
      <c r="S40" s="37" t="inlineStr">
        <is>
          <t>Réponse sur l'API CFE/RCCM</t>
        </is>
      </c>
      <c r="T40" s="36" t="inlineStr">
        <is>
          <t>Oui</t>
        </is>
      </c>
      <c r="U40" s="13">
        <f>IF($B40="","",IF(AND(J40&lt;&gt;"Complétée",J40&lt;&gt;"Abandonnée",Q40&lt;&gt;"",TODAY()&gt;Q40),"En retard",""))</f>
        <v/>
      </c>
      <c r="V40" s="37" t="n"/>
    </row>
    <row r="41">
      <c r="B41" s="36" t="inlineStr">
        <is>
          <t>V1-036</t>
        </is>
      </c>
      <c r="C41" s="36" t="inlineStr">
        <is>
          <t>V1</t>
        </is>
      </c>
      <c r="D41" s="36" t="inlineStr">
        <is>
          <t>GOV</t>
        </is>
      </c>
      <c r="E41" s="37" t="inlineStr">
        <is>
          <t>Espace CCI-Togo</t>
        </is>
      </c>
      <c r="F41" s="37" t="inlineStr">
        <is>
          <t>RegistryRecord stocké séparément des données déclarées par le cédant</t>
        </is>
      </c>
      <c r="G41" s="37" t="inlineStr">
        <is>
          <t>Deux tables distinctes, aucune fusion à l'affichage</t>
        </is>
      </c>
      <c r="H41" s="38" t="n">
        <v>2</v>
      </c>
      <c r="I41" s="36" t="inlineStr">
        <is>
          <t>Haute</t>
        </is>
      </c>
      <c r="J41" s="36" t="inlineStr">
        <is>
          <t>Complétée</t>
        </is>
      </c>
      <c r="K41" s="39" t="n"/>
      <c r="L41" s="16">
        <f>IF($B41="","",IF(J41="Complétée",1,IF(J41="Abandonnée",0,IF(K41&lt;&gt;"",K41,IFERROR(VLOOKUP(J41,Parametres!$B$6:$C$12,2,FALSE),0)))))</f>
        <v/>
      </c>
      <c r="M41" s="15">
        <f>IF($B41="","",IF(J41="Abandonnée",0,H41))</f>
        <v/>
      </c>
      <c r="N41" s="15">
        <f>IF($B41="","",M41*L41)</f>
        <v/>
      </c>
      <c r="O41" s="37" t="inlineStr">
        <is>
          <t>Abdou-Raouf</t>
        </is>
      </c>
      <c r="P41" s="40" t="n">
        <v>46280</v>
      </c>
      <c r="Q41" s="40" t="n">
        <v>46283</v>
      </c>
      <c r="R41" s="40" t="n">
        <v>46283</v>
      </c>
      <c r="S41" s="37" t="inlineStr"/>
      <c r="T41" s="36" t="inlineStr">
        <is>
          <t>Non</t>
        </is>
      </c>
      <c r="U41" s="13">
        <f>IF($B41="","",IF(AND(J41&lt;&gt;"Complétée",J41&lt;&gt;"Abandonnée",Q41&lt;&gt;"",TODAY()&gt;Q41),"En retard",""))</f>
        <v/>
      </c>
      <c r="V41" s="37" t="n"/>
    </row>
    <row r="42">
      <c r="B42" s="36" t="inlineStr">
        <is>
          <t>V1-037</t>
        </is>
      </c>
      <c r="C42" s="36" t="inlineStr">
        <is>
          <t>V1</t>
        </is>
      </c>
      <c r="D42" s="36" t="inlineStr">
        <is>
          <t>GOV</t>
        </is>
      </c>
      <c r="E42" s="37" t="inlineStr">
        <is>
          <t>Espace CCI-Togo</t>
        </is>
      </c>
      <c r="F42" s="37" t="inlineStr">
        <is>
          <t>Tableau de bord institutionnel agrégé (version minimale)</t>
        </is>
      </c>
      <c r="G42" s="37" t="inlineStr">
        <is>
          <t>Aucune vue sur le contenu confidentiel d'un dossier</t>
        </is>
      </c>
      <c r="H42" s="38" t="n">
        <v>3</v>
      </c>
      <c r="I42" s="36" t="inlineStr">
        <is>
          <t>Moyenne</t>
        </is>
      </c>
      <c r="J42" s="36" t="inlineStr">
        <is>
          <t>Complétée</t>
        </is>
      </c>
      <c r="K42" s="39" t="n"/>
      <c r="L42" s="16">
        <f>IF($B42="","",IF(J42="Complétée",1,IF(J42="Abandonnée",0,IF(K42&lt;&gt;"",K42,IFERROR(VLOOKUP(J42,Parametres!$B$6:$C$12,2,FALSE),0)))))</f>
        <v/>
      </c>
      <c r="M42" s="15">
        <f>IF($B42="","",IF(J42="Abandonnée",0,H42))</f>
        <v/>
      </c>
      <c r="N42" s="15">
        <f>IF($B42="","",M42*L42)</f>
        <v/>
      </c>
      <c r="O42" s="37" t="inlineStr">
        <is>
          <t>Abdou-Raouf</t>
        </is>
      </c>
      <c r="P42" s="40" t="n">
        <v>46280</v>
      </c>
      <c r="Q42" s="40" t="n">
        <v>46285</v>
      </c>
      <c r="R42" s="40" t="n">
        <v>46280</v>
      </c>
      <c r="S42" s="37" t="inlineStr"/>
      <c r="T42" s="36" t="inlineStr">
        <is>
          <t>Non</t>
        </is>
      </c>
      <c r="U42" s="13">
        <f>IF($B42="","",IF(AND(J42&lt;&gt;"Complétée",J42&lt;&gt;"Abandonnée",Q42&lt;&gt;"",TODAY()&gt;Q42),"En retard",""))</f>
        <v/>
      </c>
      <c r="V42" s="37" t="n"/>
    </row>
    <row r="43">
      <c r="B43" s="36" t="inlineStr">
        <is>
          <t>V1-038</t>
        </is>
      </c>
      <c r="C43" s="36" t="inlineStr">
        <is>
          <t>V1</t>
        </is>
      </c>
      <c r="D43" s="36" t="inlineStr">
        <is>
          <t>GOV</t>
        </is>
      </c>
      <c r="E43" s="37" t="inlineStr">
        <is>
          <t>Espace CCI-Togo</t>
        </is>
      </c>
      <c r="F43" s="37" t="inlineStr">
        <is>
          <t>Écrans console CCI-Togo</t>
        </is>
      </c>
      <c r="G43" s="37" t="inlineStr">
        <is>
          <t>Rôles et journal d'audit séparés du back-office plateforme</t>
        </is>
      </c>
      <c r="H43" s="38" t="n">
        <v>5</v>
      </c>
      <c r="I43" s="36" t="inlineStr">
        <is>
          <t>Haute</t>
        </is>
      </c>
      <c r="J43" s="36" t="inlineStr">
        <is>
          <t>Complétée</t>
        </is>
      </c>
      <c r="K43" s="39" t="n"/>
      <c r="L43" s="16">
        <f>IF($B43="","",IF(J43="Complétée",1,IF(J43="Abandonnée",0,IF(K43&lt;&gt;"",K43,IFERROR(VLOOKUP(J43,Parametres!$B$6:$C$12,2,FALSE),0)))))</f>
        <v/>
      </c>
      <c r="M43" s="15">
        <f>IF($B43="","",IF(J43="Abandonnée",0,H43))</f>
        <v/>
      </c>
      <c r="N43" s="15">
        <f>IF($B43="","",M43*L43)</f>
        <v/>
      </c>
      <c r="O43" s="37" t="inlineStr">
        <is>
          <t>Abdou-Raouf</t>
        </is>
      </c>
      <c r="P43" s="40" t="n">
        <v>46281</v>
      </c>
      <c r="Q43" s="40" t="n">
        <v>46288</v>
      </c>
      <c r="R43" s="40" t="n">
        <v>46288</v>
      </c>
      <c r="S43" s="37" t="inlineStr"/>
      <c r="T43" s="36" t="inlineStr">
        <is>
          <t>Non</t>
        </is>
      </c>
      <c r="U43" s="13">
        <f>IF($B43="","",IF(AND(J43&lt;&gt;"Complétée",J43&lt;&gt;"Abandonnée",Q43&lt;&gt;"",TODAY()&gt;Q43),"En retard",""))</f>
        <v/>
      </c>
      <c r="V43" s="37" t="n"/>
    </row>
    <row r="44">
      <c r="B44" s="36" t="inlineStr">
        <is>
          <t>V1-039</t>
        </is>
      </c>
      <c r="C44" s="36" t="inlineStr">
        <is>
          <t>V1</t>
        </is>
      </c>
      <c r="D44" s="36" t="inlineStr">
        <is>
          <t>CCI</t>
        </is>
      </c>
      <c r="E44" s="37" t="inlineStr">
        <is>
          <t>Deal-Ready</t>
        </is>
      </c>
      <c r="F44" s="37" t="inlineStr">
        <is>
          <t>Modèle Certification : portée, décision, officier, expiration, révocation</t>
        </is>
      </c>
      <c r="G44" s="37" t="inlineStr">
        <is>
          <t>Chaque décision porte un officier nommé</t>
        </is>
      </c>
      <c r="H44" s="38" t="n">
        <v>2</v>
      </c>
      <c r="I44" s="36" t="inlineStr">
        <is>
          <t>Haute</t>
        </is>
      </c>
      <c r="J44" s="36" t="inlineStr">
        <is>
          <t>Complétée</t>
        </is>
      </c>
      <c r="K44" s="39" t="n"/>
      <c r="L44" s="16">
        <f>IF($B44="","",IF(J44="Complétée",1,IF(J44="Abandonnée",0,IF(K44&lt;&gt;"",K44,IFERROR(VLOOKUP(J44,Parametres!$B$6:$C$12,2,FALSE),0)))))</f>
        <v/>
      </c>
      <c r="M44" s="15">
        <f>IF($B44="","",IF(J44="Abandonnée",0,H44))</f>
        <v/>
      </c>
      <c r="N44" s="15">
        <f>IF($B44="","",M44*L44)</f>
        <v/>
      </c>
      <c r="O44" s="37" t="inlineStr">
        <is>
          <t>Abdou-Raouf</t>
        </is>
      </c>
      <c r="P44" s="40" t="n">
        <v>46281</v>
      </c>
      <c r="Q44" s="40" t="n">
        <v>46284</v>
      </c>
      <c r="R44" s="40" t="n">
        <v>46284</v>
      </c>
      <c r="S44" s="37" t="inlineStr"/>
      <c r="T44" s="36" t="inlineStr">
        <is>
          <t>Non</t>
        </is>
      </c>
      <c r="U44" s="13">
        <f>IF($B44="","",IF(AND(J44&lt;&gt;"Complétée",J44&lt;&gt;"Abandonnée",Q44&lt;&gt;"",TODAY()&gt;Q44),"En retard",""))</f>
        <v/>
      </c>
      <c r="V44" s="37" t="n"/>
    </row>
    <row r="45">
      <c r="B45" s="36" t="inlineStr">
        <is>
          <t>V1-040</t>
        </is>
      </c>
      <c r="C45" s="36" t="inlineStr">
        <is>
          <t>V1</t>
        </is>
      </c>
      <c r="D45" s="36" t="inlineStr">
        <is>
          <t>CCI</t>
        </is>
      </c>
      <c r="E45" s="37" t="inlineStr">
        <is>
          <t>Deal-Ready</t>
        </is>
      </c>
      <c r="F45" s="37" t="inlineStr">
        <is>
          <t>Workflow de décision nominative (octroi, refus, retrait) et déclaration de conflit d'intérêts</t>
        </is>
      </c>
      <c r="G45" s="37" t="inlineStr">
        <is>
          <t>Octroi automatique impossible par construction (test négatif)</t>
        </is>
      </c>
      <c r="H45" s="38" t="n">
        <v>4</v>
      </c>
      <c r="I45" s="36" t="inlineStr">
        <is>
          <t>Haute</t>
        </is>
      </c>
      <c r="J45" s="36" t="inlineStr">
        <is>
          <t>Complétée</t>
        </is>
      </c>
      <c r="K45" s="39" t="n"/>
      <c r="L45" s="16">
        <f>IF($B45="","",IF(J45="Complétée",1,IF(J45="Abandonnée",0,IF(K45&lt;&gt;"",K45,IFERROR(VLOOKUP(J45,Parametres!$B$6:$C$12,2,FALSE),0)))))</f>
        <v/>
      </c>
      <c r="M45" s="15">
        <f>IF($B45="","",IF(J45="Abandonnée",0,H45))</f>
        <v/>
      </c>
      <c r="N45" s="15">
        <f>IF($B45="","",M45*L45)</f>
        <v/>
      </c>
      <c r="O45" s="37" t="inlineStr">
        <is>
          <t>Abdou-Raouf</t>
        </is>
      </c>
      <c r="P45" s="40" t="n">
        <v>46282</v>
      </c>
      <c r="Q45" s="40" t="n">
        <v>46288</v>
      </c>
      <c r="R45" s="40" t="n">
        <v>46288</v>
      </c>
      <c r="S45" s="37" t="inlineStr"/>
      <c r="T45" s="36" t="inlineStr">
        <is>
          <t>Non</t>
        </is>
      </c>
      <c r="U45" s="13">
        <f>IF($B45="","",IF(AND(J45&lt;&gt;"Complétée",J45&lt;&gt;"Abandonnée",Q45&lt;&gt;"",TODAY()&gt;Q45),"En retard",""))</f>
        <v/>
      </c>
      <c r="V45" s="37" t="n"/>
    </row>
    <row r="46">
      <c r="B46" s="36" t="inlineStr">
        <is>
          <t>V1-041</t>
        </is>
      </c>
      <c r="C46" s="36" t="inlineStr">
        <is>
          <t>V1</t>
        </is>
      </c>
      <c r="D46" s="36" t="inlineStr">
        <is>
          <t>CCI</t>
        </is>
      </c>
      <c r="E46" s="37" t="inlineStr">
        <is>
          <t>Deal-Ready</t>
        </is>
      </c>
      <c r="F46" s="37" t="inlineStr">
        <is>
          <t>Checklist Deal-Ready et pièces attendues</t>
        </is>
      </c>
      <c r="G46" s="37" t="inlineStr">
        <is>
          <t>Liste des manques visible par l'entreprise</t>
        </is>
      </c>
      <c r="H46" s="38" t="n">
        <v>3</v>
      </c>
      <c r="I46" s="36" t="inlineStr">
        <is>
          <t>Moyenne</t>
        </is>
      </c>
      <c r="J46" s="36" t="inlineStr">
        <is>
          <t>Complétée</t>
        </is>
      </c>
      <c r="K46" s="39" t="n"/>
      <c r="L46" s="16">
        <f>IF($B46="","",IF(J46="Complétée",1,IF(J46="Abandonnée",0,IF(K46&lt;&gt;"",K46,IFERROR(VLOOKUP(J46,Parametres!$B$6:$C$12,2,FALSE),0)))))</f>
        <v/>
      </c>
      <c r="M46" s="15">
        <f>IF($B46="","",IF(J46="Abandonnée",0,H46))</f>
        <v/>
      </c>
      <c r="N46" s="15">
        <f>IF($B46="","",M46*L46)</f>
        <v/>
      </c>
      <c r="O46" s="37" t="inlineStr">
        <is>
          <t>Abdou-Raouf</t>
        </is>
      </c>
      <c r="P46" s="40" t="n">
        <v>46282</v>
      </c>
      <c r="Q46" s="40" t="n">
        <v>46287</v>
      </c>
      <c r="R46" s="40" t="n">
        <v>46288</v>
      </c>
      <c r="S46" s="37" t="inlineStr"/>
      <c r="T46" s="36" t="inlineStr">
        <is>
          <t>Non</t>
        </is>
      </c>
      <c r="U46" s="13">
        <f>IF($B46="","",IF(AND(J46&lt;&gt;"Complétée",J46&lt;&gt;"Abandonnée",Q46&lt;&gt;"",TODAY()&gt;Q46),"En retard",""))</f>
        <v/>
      </c>
      <c r="V46" s="37" t="n"/>
    </row>
    <row r="47">
      <c r="B47" s="36" t="inlineStr">
        <is>
          <t>V1-042</t>
        </is>
      </c>
      <c r="C47" s="36" t="inlineStr">
        <is>
          <t>V1</t>
        </is>
      </c>
      <c r="D47" s="36" t="inlineStr">
        <is>
          <t>CCI</t>
        </is>
      </c>
      <c r="E47" s="37" t="inlineStr">
        <is>
          <t>Deal-Ready</t>
        </is>
      </c>
      <c r="F47" s="37" t="inlineStr">
        <is>
          <t>Écrans côté entreprise : demande, suivi de remédiation</t>
        </is>
      </c>
      <c r="G47" s="37" t="inlineStr">
        <is>
          <t>Statut et pièces manquantes visibles</t>
        </is>
      </c>
      <c r="H47" s="38" t="n">
        <v>4</v>
      </c>
      <c r="I47" s="36" t="inlineStr">
        <is>
          <t>Moyenne</t>
        </is>
      </c>
      <c r="J47" s="36" t="inlineStr">
        <is>
          <t>Complétée</t>
        </is>
      </c>
      <c r="K47" s="39" t="n"/>
      <c r="L47" s="16">
        <f>IF($B47="","",IF(J47="Complétée",1,IF(J47="Abandonnée",0,IF(K47&lt;&gt;"",K47,IFERROR(VLOOKUP(J47,Parametres!$B$6:$C$12,2,FALSE),0)))))</f>
        <v/>
      </c>
      <c r="M47" s="15">
        <f>IF($B47="","",IF(J47="Abandonnée",0,H47))</f>
        <v/>
      </c>
      <c r="N47" s="15">
        <f>IF($B47="","",M47*L47)</f>
        <v/>
      </c>
      <c r="O47" s="37" t="inlineStr">
        <is>
          <t>Abdou-Raouf</t>
        </is>
      </c>
      <c r="P47" s="40" t="n">
        <v>46282</v>
      </c>
      <c r="Q47" s="40" t="n">
        <v>46288</v>
      </c>
      <c r="R47" s="40" t="n">
        <v>46289</v>
      </c>
      <c r="S47" s="37" t="inlineStr"/>
      <c r="T47" s="36" t="inlineStr">
        <is>
          <t>Non</t>
        </is>
      </c>
      <c r="U47" s="13">
        <f>IF($B47="","",IF(AND(J47&lt;&gt;"Complétée",J47&lt;&gt;"Abandonnée",Q47&lt;&gt;"",TODAY()&gt;Q47),"En retard",""))</f>
        <v/>
      </c>
      <c r="V47" s="37" t="n"/>
    </row>
    <row r="48">
      <c r="B48" s="36" t="inlineStr">
        <is>
          <t>V1-043</t>
        </is>
      </c>
      <c r="C48" s="36" t="inlineStr">
        <is>
          <t>V1</t>
        </is>
      </c>
      <c r="D48" s="36" t="inlineStr">
        <is>
          <t>CCI</t>
        </is>
      </c>
      <c r="E48" s="37" t="inlineStr">
        <is>
          <t>Deal-Ready</t>
        </is>
      </c>
      <c r="F48" s="37" t="inlineStr">
        <is>
          <t>Badge Deal-Ready : affichage avec périmètre et limites explicites</t>
        </is>
      </c>
      <c r="G48" s="37" t="inlineStr">
        <is>
          <t>Texte du badge précise ce qui est vérifié et ce qui ne l'est pas</t>
        </is>
      </c>
      <c r="H48" s="38" t="n">
        <v>2</v>
      </c>
      <c r="I48" s="36" t="inlineStr">
        <is>
          <t>Haute</t>
        </is>
      </c>
      <c r="J48" s="36" t="inlineStr">
        <is>
          <t>Complétée</t>
        </is>
      </c>
      <c r="K48" s="39" t="n"/>
      <c r="L48" s="16">
        <f>IF($B48="","",IF(J48="Complétée",1,IF(J48="Abandonnée",0,IF(K48&lt;&gt;"",K48,IFERROR(VLOOKUP(J48,Parametres!$B$6:$C$12,2,FALSE),0)))))</f>
        <v/>
      </c>
      <c r="M48" s="15">
        <f>IF($B48="","",IF(J48="Abandonnée",0,H48))</f>
        <v/>
      </c>
      <c r="N48" s="15">
        <f>IF($B48="","",M48*L48)</f>
        <v/>
      </c>
      <c r="O48" s="37" t="inlineStr">
        <is>
          <t>Abdou-Raouf</t>
        </is>
      </c>
      <c r="P48" s="40" t="n">
        <v>46283</v>
      </c>
      <c r="Q48" s="40" t="n">
        <v>46286</v>
      </c>
      <c r="R48" s="40" t="n">
        <v>46289</v>
      </c>
      <c r="S48" s="37" t="inlineStr"/>
      <c r="T48" s="36" t="inlineStr">
        <is>
          <t>Non</t>
        </is>
      </c>
      <c r="U48" s="13">
        <f>IF($B48="","",IF(AND(J48&lt;&gt;"Complétée",J48&lt;&gt;"Abandonnée",Q48&lt;&gt;"",TODAY()&gt;Q48),"En retard",""))</f>
        <v/>
      </c>
      <c r="V48" s="37" t="n"/>
    </row>
    <row r="49">
      <c r="B49" s="36" t="inlineStr">
        <is>
          <t>V1-044</t>
        </is>
      </c>
      <c r="C49" s="36" t="inlineStr">
        <is>
          <t>V1</t>
        </is>
      </c>
      <c r="D49" s="36" t="inlineStr">
        <is>
          <t>CCI</t>
        </is>
      </c>
      <c r="E49" s="37" t="inlineStr">
        <is>
          <t>Deal-Ready</t>
        </is>
      </c>
      <c r="F49" s="37" t="inlineStr">
        <is>
          <t>File d'instruction des demandes et remédiation nommée côté officier</t>
        </is>
      </c>
      <c r="G49" s="37" t="inlineStr">
        <is>
          <t>Une demande peut recevoir des compléments libellés sans être refusée ; la décision clôt la demande</t>
        </is>
      </c>
      <c r="H49" s="38" t="n">
        <v>3</v>
      </c>
      <c r="I49" s="36" t="inlineStr">
        <is>
          <t>Moyenne</t>
        </is>
      </c>
      <c r="J49" s="36" t="inlineStr">
        <is>
          <t>Complétée</t>
        </is>
      </c>
      <c r="K49" s="39" t="n"/>
      <c r="L49" s="16">
        <f>IF($B49="","",IF(J49="Complétée",1,IF(J49="Abandonnée",0,IF(K49&lt;&gt;"",K49,IFERROR(VLOOKUP(J49,Parametres!$B$6:$C$12,2,FALSE),0)))))</f>
        <v/>
      </c>
      <c r="M49" s="15">
        <f>IF($B49="","",IF(J49="Abandonnée",0,H49))</f>
        <v/>
      </c>
      <c r="N49" s="15">
        <f>IF($B49="","",M49*L49)</f>
        <v/>
      </c>
      <c r="O49" s="37" t="inlineStr">
        <is>
          <t>Abdou-Raouf</t>
        </is>
      </c>
      <c r="P49" s="40" t="n">
        <v>46283</v>
      </c>
      <c r="Q49" s="40" t="n">
        <v>46288</v>
      </c>
      <c r="R49" s="40" t="n">
        <v>46289</v>
      </c>
      <c r="S49" s="37" t="inlineStr"/>
      <c r="T49" s="36" t="inlineStr">
        <is>
          <t>Non</t>
        </is>
      </c>
      <c r="U49" s="13">
        <f>IF($B49="","",IF(AND(J49&lt;&gt;"Complétée",J49&lt;&gt;"Abandonnée",Q49&lt;&gt;"",TODAY()&gt;Q49),"En retard",""))</f>
        <v/>
      </c>
      <c r="V49" s="37" t="n"/>
    </row>
    <row r="50">
      <c r="B50" s="36" t="inlineStr">
        <is>
          <t>V1-045</t>
        </is>
      </c>
      <c r="C50" s="36" t="inlineStr">
        <is>
          <t>V1</t>
        </is>
      </c>
      <c r="D50" s="36" t="inlineStr">
        <is>
          <t>CCI</t>
        </is>
      </c>
      <c r="E50" s="37" t="inlineStr">
        <is>
          <t>Deal-Ready</t>
        </is>
      </c>
      <c r="F50" s="37" t="inlineStr">
        <is>
          <t>Journal d'audit des décisions de certification</t>
        </is>
      </c>
      <c r="G50" s="37" t="inlineStr">
        <is>
          <t>Chaque décision exportable avec horodatage et officier</t>
        </is>
      </c>
      <c r="H50" s="38" t="n">
        <v>2</v>
      </c>
      <c r="I50" s="36" t="inlineStr">
        <is>
          <t>Moyenne</t>
        </is>
      </c>
      <c r="J50" s="36" t="inlineStr">
        <is>
          <t>Complétée</t>
        </is>
      </c>
      <c r="K50" s="39" t="n"/>
      <c r="L50" s="16">
        <f>IF($B50="","",IF(J50="Complétée",1,IF(J50="Abandonnée",0,IF(K50&lt;&gt;"",K50,IFERROR(VLOOKUP(J50,Parametres!$B$6:$C$12,2,FALSE),0)))))</f>
        <v/>
      </c>
      <c r="M50" s="15">
        <f>IF($B50="","",IF(J50="Abandonnée",0,H50))</f>
        <v/>
      </c>
      <c r="N50" s="15">
        <f>IF($B50="","",M50*L50)</f>
        <v/>
      </c>
      <c r="O50" s="37" t="inlineStr">
        <is>
          <t>Abdou-Raouf</t>
        </is>
      </c>
      <c r="P50" s="40" t="n">
        <v>46283</v>
      </c>
      <c r="Q50" s="40" t="n">
        <v>46286</v>
      </c>
      <c r="R50" s="40" t="n">
        <v>46286</v>
      </c>
      <c r="S50" s="37" t="inlineStr"/>
      <c r="T50" s="36" t="inlineStr">
        <is>
          <t>Non</t>
        </is>
      </c>
      <c r="U50" s="13">
        <f>IF($B50="","",IF(AND(J50&lt;&gt;"Complétée",J50&lt;&gt;"Abandonnée",Q50&lt;&gt;"",TODAY()&gt;Q50),"En retard",""))</f>
        <v/>
      </c>
      <c r="V50" s="37" t="inlineStr">
        <is>
          <t>Journal des certifications réalisé. Garantie de persistance renforcée en V1-094.</t>
        </is>
      </c>
    </row>
    <row r="51">
      <c r="B51" s="36" t="inlineStr">
        <is>
          <t>V1-046</t>
        </is>
      </c>
      <c r="C51" s="36" t="inlineStr">
        <is>
          <t>V1</t>
        </is>
      </c>
      <c r="D51" s="36" t="inlineStr">
        <is>
          <t>MKT</t>
        </is>
      </c>
      <c r="E51" s="37" t="inlineStr">
        <is>
          <t>Dossier cédant</t>
        </is>
      </c>
      <c r="F51" s="37" t="inlineStr">
        <is>
          <t>Assistant de constitution de dossier : étapes, branchement par type de cession dès l'étape 1</t>
        </is>
      </c>
      <c r="G51" s="37" t="inlineStr">
        <is>
          <t>Parcours actif complet, branche titres présente mais bloquée en V1</t>
        </is>
      </c>
      <c r="H51" s="38" t="n">
        <v>6</v>
      </c>
      <c r="I51" s="36" t="inlineStr">
        <is>
          <t>Haute</t>
        </is>
      </c>
      <c r="J51" s="36" t="inlineStr">
        <is>
          <t>Complétée</t>
        </is>
      </c>
      <c r="K51" s="39" t="n"/>
      <c r="L51" s="16">
        <f>IF($B51="","",IF(J51="Complétée",1,IF(J51="Abandonnée",0,IF(K51&lt;&gt;"",K51,IFERROR(VLOOKUP(J51,Parametres!$B$6:$C$12,2,FALSE),0)))))</f>
        <v/>
      </c>
      <c r="M51" s="15">
        <f>IF($B51="","",IF(J51="Abandonnée",0,H51))</f>
        <v/>
      </c>
      <c r="N51" s="15">
        <f>IF($B51="","",M51*L51)</f>
        <v/>
      </c>
      <c r="O51" s="37" t="inlineStr">
        <is>
          <t>Abdou-Raouf</t>
        </is>
      </c>
      <c r="P51" s="40" t="n">
        <v>46284</v>
      </c>
      <c r="Q51" s="40" t="n">
        <v>46293</v>
      </c>
      <c r="R51" s="40" t="n">
        <v>46287</v>
      </c>
      <c r="S51" s="37" t="inlineStr"/>
      <c r="T51" s="36" t="inlineStr">
        <is>
          <t>Non</t>
        </is>
      </c>
      <c r="U51" s="13">
        <f>IF($B51="","",IF(AND(J51&lt;&gt;"Complétée",J51&lt;&gt;"Abandonnée",Q51&lt;&gt;"",TODAY()&gt;Q51),"En retard",""))</f>
        <v/>
      </c>
      <c r="V51" s="37" t="n"/>
    </row>
    <row r="52">
      <c r="B52" s="36" t="inlineStr">
        <is>
          <t>V1-047</t>
        </is>
      </c>
      <c r="C52" s="36" t="inlineStr">
        <is>
          <t>V1</t>
        </is>
      </c>
      <c r="D52" s="36" t="inlineStr">
        <is>
          <t>MKT</t>
        </is>
      </c>
      <c r="E52" s="37" t="inlineStr">
        <is>
          <t>Dossier cédant</t>
        </is>
      </c>
      <c r="F52" s="37" t="inlineStr">
        <is>
          <t>Upload de documents : scan antivirus, stockage chiffré, jamais d'URL publique</t>
        </is>
      </c>
      <c r="G52" s="37" t="inlineStr">
        <is>
          <t>Fichier infecté rejeté, URL directe inaccessible (test négatif)</t>
        </is>
      </c>
      <c r="H52" s="38" t="n">
        <v>4</v>
      </c>
      <c r="I52" s="36" t="inlineStr">
        <is>
          <t>Haute</t>
        </is>
      </c>
      <c r="J52" s="36" t="inlineStr">
        <is>
          <t>Complétée</t>
        </is>
      </c>
      <c r="K52" s="39" t="n"/>
      <c r="L52" s="16">
        <f>IF($B52="","",IF(J52="Complétée",1,IF(J52="Abandonnée",0,IF(K52&lt;&gt;"",K52,IFERROR(VLOOKUP(J52,Parametres!$B$6:$C$12,2,FALSE),0)))))</f>
        <v/>
      </c>
      <c r="M52" s="15">
        <f>IF($B52="","",IF(J52="Abandonnée",0,H52))</f>
        <v/>
      </c>
      <c r="N52" s="15">
        <f>IF($B52="","",M52*L52)</f>
        <v/>
      </c>
      <c r="O52" s="37" t="inlineStr">
        <is>
          <t>Abdou-Raouf</t>
        </is>
      </c>
      <c r="P52" s="40" t="n">
        <v>46284</v>
      </c>
      <c r="Q52" s="40" t="n">
        <v>46290</v>
      </c>
      <c r="R52" s="40" t="n">
        <v>46286</v>
      </c>
      <c r="S52" s="37" t="inlineStr"/>
      <c r="T52" s="36" t="inlineStr">
        <is>
          <t>Non</t>
        </is>
      </c>
      <c r="U52" s="13">
        <f>IF($B52="","",IF(AND(J52&lt;&gt;"Complétée",J52&lt;&gt;"Abandonnée",Q52&lt;&gt;"",TODAY()&gt;Q52),"En retard",""))</f>
        <v/>
      </c>
      <c r="V52" s="37" t="n"/>
    </row>
    <row r="53">
      <c r="B53" s="36" t="inlineStr">
        <is>
          <t>V1-048</t>
        </is>
      </c>
      <c r="C53" s="36" t="inlineStr">
        <is>
          <t>V1</t>
        </is>
      </c>
      <c r="D53" s="36" t="inlineStr">
        <is>
          <t>MKT</t>
        </is>
      </c>
      <c r="E53" s="37" t="inlineStr">
        <is>
          <t>Dossier cédant</t>
        </is>
      </c>
      <c r="F53" s="37" t="inlineStr">
        <is>
          <t>Provenance et versionnage des données déclarées</t>
        </is>
      </c>
      <c r="G53" s="37" t="inlineStr">
        <is>
          <t>Chaque valeur porte source et date, mention 'déclaré, non audité'</t>
        </is>
      </c>
      <c r="H53" s="38" t="n">
        <v>3</v>
      </c>
      <c r="I53" s="36" t="inlineStr">
        <is>
          <t>Haute</t>
        </is>
      </c>
      <c r="J53" s="36" t="inlineStr">
        <is>
          <t>Complétée</t>
        </is>
      </c>
      <c r="K53" s="39" t="n"/>
      <c r="L53" s="16">
        <f>IF($B53="","",IF(J53="Complétée",1,IF(J53="Abandonnée",0,IF(K53&lt;&gt;"",K53,IFERROR(VLOOKUP(J53,Parametres!$B$6:$C$12,2,FALSE),0)))))</f>
        <v/>
      </c>
      <c r="M53" s="15">
        <f>IF($B53="","",IF(J53="Abandonnée",0,H53))</f>
        <v/>
      </c>
      <c r="N53" s="15">
        <f>IF($B53="","",M53*L53)</f>
        <v/>
      </c>
      <c r="O53" s="37" t="inlineStr">
        <is>
          <t>Abdou-Raouf</t>
        </is>
      </c>
      <c r="P53" s="40" t="n">
        <v>46285</v>
      </c>
      <c r="Q53" s="40" t="n">
        <v>46290</v>
      </c>
      <c r="R53" s="40" t="n">
        <v>46287</v>
      </c>
      <c r="S53" s="37" t="inlineStr"/>
      <c r="T53" s="36" t="inlineStr">
        <is>
          <t>Non</t>
        </is>
      </c>
      <c r="U53" s="13">
        <f>IF($B53="","",IF(AND(J53&lt;&gt;"Complétée",J53&lt;&gt;"Abandonnée",Q53&lt;&gt;"",TODAY()&gt;Q53),"En retard",""))</f>
        <v/>
      </c>
      <c r="V53" s="37" t="n"/>
    </row>
    <row r="54">
      <c r="B54" s="36" t="inlineStr">
        <is>
          <t>V1-049</t>
        </is>
      </c>
      <c r="C54" s="36" t="inlineStr">
        <is>
          <t>V1</t>
        </is>
      </c>
      <c r="D54" s="36" t="inlineStr">
        <is>
          <t>MKT</t>
        </is>
      </c>
      <c r="E54" s="37" t="inlineStr">
        <is>
          <t>Dossier cédant</t>
        </is>
      </c>
      <c r="F54" s="37" t="inlineStr">
        <is>
          <t>Contrôle de complétude et liste des manques</t>
        </is>
      </c>
      <c r="G54" s="37" t="inlineStr">
        <is>
          <t>Dossier incomplet reste en DRAFT</t>
        </is>
      </c>
      <c r="H54" s="38" t="n">
        <v>3</v>
      </c>
      <c r="I54" s="36" t="inlineStr">
        <is>
          <t>Moyenne</t>
        </is>
      </c>
      <c r="J54" s="36" t="inlineStr">
        <is>
          <t>Complétée</t>
        </is>
      </c>
      <c r="K54" s="39" t="n"/>
      <c r="L54" s="16">
        <f>IF($B54="","",IF(J54="Complétée",1,IF(J54="Abandonnée",0,IF(K54&lt;&gt;"",K54,IFERROR(VLOOKUP(J54,Parametres!$B$6:$C$12,2,FALSE),0)))))</f>
        <v/>
      </c>
      <c r="M54" s="15">
        <f>IF($B54="","",IF(J54="Abandonnée",0,H54))</f>
        <v/>
      </c>
      <c r="N54" s="15">
        <f>IF($B54="","",M54*L54)</f>
        <v/>
      </c>
      <c r="O54" s="37" t="inlineStr">
        <is>
          <t>Abdou-Raouf</t>
        </is>
      </c>
      <c r="P54" s="40" t="n">
        <v>46285</v>
      </c>
      <c r="Q54" s="40" t="n">
        <v>46290</v>
      </c>
      <c r="R54" s="40" t="n">
        <v>46288</v>
      </c>
      <c r="S54" s="37" t="inlineStr"/>
      <c r="T54" s="36" t="inlineStr">
        <is>
          <t>Non</t>
        </is>
      </c>
      <c r="U54" s="13">
        <f>IF($B54="","",IF(AND(J54&lt;&gt;"Complétée",J54&lt;&gt;"Abandonnée",Q54&lt;&gt;"",TODAY()&gt;Q54),"En retard",""))</f>
        <v/>
      </c>
      <c r="V54" s="37" t="n"/>
    </row>
    <row r="55">
      <c r="B55" s="36" t="inlineStr">
        <is>
          <t>V1-050</t>
        </is>
      </c>
      <c r="C55" s="36" t="inlineStr">
        <is>
          <t>V1</t>
        </is>
      </c>
      <c r="D55" s="36" t="inlineStr">
        <is>
          <t>MKT</t>
        </is>
      </c>
      <c r="E55" s="37" t="inlineStr">
        <is>
          <t>Dossier cédant</t>
        </is>
      </c>
      <c r="F55" s="37" t="inlineStr">
        <is>
          <t>Retour en préparation après remarque de la CCI-Togo (dossier soumis rendu modifiable, motif conservé)</t>
        </is>
      </c>
      <c r="G55" s="37" t="inlineStr">
        <is>
          <t>Un dossier soumis peut revenir en préparation avec le motif visible du cédant</t>
        </is>
      </c>
      <c r="H55" s="38" t="n">
        <v>2</v>
      </c>
      <c r="I55" s="36" t="inlineStr">
        <is>
          <t>Moyenne</t>
        </is>
      </c>
      <c r="J55" s="36" t="inlineStr">
        <is>
          <t>Complétée</t>
        </is>
      </c>
      <c r="K55" s="39" t="n"/>
      <c r="L55" s="16">
        <f>IF($B55="","",IF(J55="Complétée",1,IF(J55="Abandonnée",0,IF(K55&lt;&gt;"",K55,IFERROR(VLOOKUP(J55,Parametres!$B$6:$C$12,2,FALSE),0)))))</f>
        <v/>
      </c>
      <c r="M55" s="15">
        <f>IF($B55="","",IF(J55="Abandonnée",0,H55))</f>
        <v/>
      </c>
      <c r="N55" s="15">
        <f>IF($B55="","",M55*L55)</f>
        <v/>
      </c>
      <c r="O55" s="37" t="inlineStr">
        <is>
          <t>Abdou-Raouf</t>
        </is>
      </c>
      <c r="P55" s="40" t="n">
        <v>46286</v>
      </c>
      <c r="Q55" s="40" t="n">
        <v>46289</v>
      </c>
      <c r="R55" s="40" t="n">
        <v>46297</v>
      </c>
      <c r="S55" s="37" t="inlineStr"/>
      <c r="T55" s="36" t="inlineStr">
        <is>
          <t>Non</t>
        </is>
      </c>
      <c r="U55" s="13">
        <f>IF($B55="","",IF(AND(J55&lt;&gt;"Complétée",J55&lt;&gt;"Abandonnée",Q55&lt;&gt;"",TODAY()&gt;Q55),"En retard",""))</f>
        <v/>
      </c>
      <c r="V55" s="37" t="n"/>
    </row>
    <row r="56">
      <c r="B56" s="36" t="inlineStr">
        <is>
          <t>V1-051</t>
        </is>
      </c>
      <c r="C56" s="36" t="inlineStr">
        <is>
          <t>V1</t>
        </is>
      </c>
      <c r="D56" s="36" t="inlineStr">
        <is>
          <t>MKT</t>
        </is>
      </c>
      <c r="E56" s="37" t="inlineStr">
        <is>
          <t>Dossier cédant</t>
        </is>
      </c>
      <c r="F56" s="37" t="inlineStr">
        <is>
          <t>Écrans Pass Transmission (assistant, récapitulatif)</t>
        </is>
      </c>
      <c r="G56" s="37" t="inlineStr">
        <is>
          <t>Récapitulatif fidèle aux données saisies</t>
        </is>
      </c>
      <c r="H56" s="38" t="n">
        <v>5</v>
      </c>
      <c r="I56" s="36" t="inlineStr">
        <is>
          <t>Haute</t>
        </is>
      </c>
      <c r="J56" s="36" t="inlineStr">
        <is>
          <t>Complétée</t>
        </is>
      </c>
      <c r="K56" s="39" t="n"/>
      <c r="L56" s="16">
        <f>IF($B56="","",IF(J56="Complétée",1,IF(J56="Abandonnée",0,IF(K56&lt;&gt;"",K56,IFERROR(VLOOKUP(J56,Parametres!$B$6:$C$12,2,FALSE),0)))))</f>
        <v/>
      </c>
      <c r="M56" s="15">
        <f>IF($B56="","",IF(J56="Abandonnée",0,H56))</f>
        <v/>
      </c>
      <c r="N56" s="15">
        <f>IF($B56="","",M56*L56)</f>
        <v/>
      </c>
      <c r="O56" s="37" t="inlineStr">
        <is>
          <t>Abdou-Raouf</t>
        </is>
      </c>
      <c r="P56" s="40" t="n">
        <v>46286</v>
      </c>
      <c r="Q56" s="40" t="n">
        <v>46293</v>
      </c>
      <c r="R56" s="40" t="n">
        <v>46288</v>
      </c>
      <c r="S56" s="37" t="inlineStr"/>
      <c r="T56" s="36" t="inlineStr">
        <is>
          <t>Non</t>
        </is>
      </c>
      <c r="U56" s="13">
        <f>IF($B56="","",IF(AND(J56&lt;&gt;"Complétée",J56&lt;&gt;"Abandonnée",Q56&lt;&gt;"",TODAY()&gt;Q56),"En retard",""))</f>
        <v/>
      </c>
      <c r="V56" s="37" t="n"/>
    </row>
    <row r="57">
      <c r="B57" s="36" t="inlineStr">
        <is>
          <t>V1-052</t>
        </is>
      </c>
      <c r="C57" s="36" t="inlineStr">
        <is>
          <t>V1</t>
        </is>
      </c>
      <c r="D57" s="36" t="inlineStr">
        <is>
          <t>MKT</t>
        </is>
      </c>
      <c r="E57" s="37" t="inlineStr">
        <is>
          <t>Marketplace actifs</t>
        </is>
      </c>
      <c r="F57" s="37" t="inlineStr">
        <is>
          <t>Fiche opportunité T0 (secteur, région, tranche de CA) et publication</t>
        </is>
      </c>
      <c r="G57" s="37" t="inlineStr">
        <is>
          <t>Aucun champ au-delà de T0 sérialisé (allow-list serveur)</t>
        </is>
      </c>
      <c r="H57" s="38" t="n">
        <v>4</v>
      </c>
      <c r="I57" s="36" t="inlineStr">
        <is>
          <t>Haute</t>
        </is>
      </c>
      <c r="J57" s="36" t="inlineStr">
        <is>
          <t>Complétée</t>
        </is>
      </c>
      <c r="K57" s="39" t="n"/>
      <c r="L57" s="16">
        <f>IF($B57="","",IF(J57="Complétée",1,IF(J57="Abandonnée",0,IF(K57&lt;&gt;"",K57,IFERROR(VLOOKUP(J57,Parametres!$B$6:$C$12,2,FALSE),0)))))</f>
        <v/>
      </c>
      <c r="M57" s="15">
        <f>IF($B57="","",IF(J57="Abandonnée",0,H57))</f>
        <v/>
      </c>
      <c r="N57" s="15">
        <f>IF($B57="","",M57*L57)</f>
        <v/>
      </c>
      <c r="O57" s="37" t="inlineStr">
        <is>
          <t>Abdou-Raouf</t>
        </is>
      </c>
      <c r="P57" s="40" t="n">
        <v>46287</v>
      </c>
      <c r="Q57" s="40" t="n">
        <v>46293</v>
      </c>
      <c r="R57" s="40" t="n">
        <v>46293</v>
      </c>
      <c r="S57" s="37" t="inlineStr"/>
      <c r="T57" s="36" t="inlineStr">
        <is>
          <t>Non</t>
        </is>
      </c>
      <c r="U57" s="13">
        <f>IF($B57="","",IF(AND(J57&lt;&gt;"Complétée",J57&lt;&gt;"Abandonnée",Q57&lt;&gt;"",TODAY()&gt;Q57),"En retard",""))</f>
        <v/>
      </c>
      <c r="V57" s="37" t="n"/>
    </row>
    <row r="58">
      <c r="B58" s="36" t="inlineStr">
        <is>
          <t>V1-053</t>
        </is>
      </c>
      <c r="C58" s="36" t="inlineStr">
        <is>
          <t>V1</t>
        </is>
      </c>
      <c r="D58" s="36" t="inlineStr">
        <is>
          <t>MKT</t>
        </is>
      </c>
      <c r="E58" s="37" t="inlineStr">
        <is>
          <t>Marketplace actifs</t>
        </is>
      </c>
      <c r="F58" s="37" t="inlineStr">
        <is>
          <t>Recherche et filtres (secteur, région, tranche, statut de certification)</t>
        </is>
      </c>
      <c r="G58" s="37" t="inlineStr">
        <is>
          <t>Résultats limités aux champs T0</t>
        </is>
      </c>
      <c r="H58" s="38" t="n">
        <v>4</v>
      </c>
      <c r="I58" s="36" t="inlineStr">
        <is>
          <t>Haute</t>
        </is>
      </c>
      <c r="J58" s="36" t="inlineStr">
        <is>
          <t>Complétée</t>
        </is>
      </c>
      <c r="K58" s="39" t="n"/>
      <c r="L58" s="16">
        <f>IF($B58="","",IF(J58="Complétée",1,IF(J58="Abandonnée",0,IF(K58&lt;&gt;"",K58,IFERROR(VLOOKUP(J58,Parametres!$B$6:$C$12,2,FALSE),0)))))</f>
        <v/>
      </c>
      <c r="M58" s="15">
        <f>IF($B58="","",IF(J58="Abandonnée",0,H58))</f>
        <v/>
      </c>
      <c r="N58" s="15">
        <f>IF($B58="","",M58*L58)</f>
        <v/>
      </c>
      <c r="O58" s="37" t="inlineStr">
        <is>
          <t>Abdou-Raouf</t>
        </is>
      </c>
      <c r="P58" s="40" t="n">
        <v>46287</v>
      </c>
      <c r="Q58" s="40" t="n">
        <v>46293</v>
      </c>
      <c r="R58" s="40" t="n">
        <v>46294</v>
      </c>
      <c r="S58" s="37" t="inlineStr"/>
      <c r="T58" s="36" t="inlineStr">
        <is>
          <t>Non</t>
        </is>
      </c>
      <c r="U58" s="13">
        <f>IF($B58="","",IF(AND(J58&lt;&gt;"Complétée",J58&lt;&gt;"Abandonnée",Q58&lt;&gt;"",TODAY()&gt;Q58),"En retard",""))</f>
        <v/>
      </c>
      <c r="V58" s="37" t="n"/>
    </row>
    <row r="59">
      <c r="B59" s="36" t="inlineStr">
        <is>
          <t>V1-054</t>
        </is>
      </c>
      <c r="C59" s="36" t="inlineStr">
        <is>
          <t>V1</t>
        </is>
      </c>
      <c r="D59" s="36" t="inlineStr">
        <is>
          <t>MKT</t>
        </is>
      </c>
      <c r="E59" s="37" t="inlineStr">
        <is>
          <t>Marketplace actifs</t>
        </is>
      </c>
      <c r="F59" s="37" t="inlineStr">
        <is>
          <t>Mise en relation : manifestation d'intérêt et messagerie simple (pièces jointes bloquées)</t>
        </is>
      </c>
      <c r="G59" s="37" t="inlineStr">
        <is>
          <t>Intérêt tracé, message reçu, pièce jointe refusée</t>
        </is>
      </c>
      <c r="H59" s="38" t="n">
        <v>5</v>
      </c>
      <c r="I59" s="36" t="inlineStr">
        <is>
          <t>Haute</t>
        </is>
      </c>
      <c r="J59" s="36" t="inlineStr">
        <is>
          <t>Complétée</t>
        </is>
      </c>
      <c r="K59" s="39" t="n"/>
      <c r="L59" s="16">
        <f>IF($B59="","",IF(J59="Complétée",1,IF(J59="Abandonnée",0,IF(K59&lt;&gt;"",K59,IFERROR(VLOOKUP(J59,Parametres!$B$6:$C$12,2,FALSE),0)))))</f>
        <v/>
      </c>
      <c r="M59" s="15">
        <f>IF($B59="","",IF(J59="Abandonnée",0,H59))</f>
        <v/>
      </c>
      <c r="N59" s="15">
        <f>IF($B59="","",M59*L59)</f>
        <v/>
      </c>
      <c r="O59" s="37" t="inlineStr">
        <is>
          <t>Abdou-Raouf</t>
        </is>
      </c>
      <c r="P59" s="40" t="n">
        <v>46287</v>
      </c>
      <c r="Q59" s="40" t="n">
        <v>46294</v>
      </c>
      <c r="R59" s="40" t="n">
        <v>46295</v>
      </c>
      <c r="S59" s="37" t="inlineStr"/>
      <c r="T59" s="36" t="inlineStr">
        <is>
          <t>Non</t>
        </is>
      </c>
      <c r="U59" s="13">
        <f>IF($B59="","",IF(AND(J59&lt;&gt;"Complétée",J59&lt;&gt;"Abandonnée",Q59&lt;&gt;"",TODAY()&gt;Q59),"En retard",""))</f>
        <v/>
      </c>
      <c r="V59" s="37" t="inlineStr">
        <is>
          <t>Socle de mise en relation réalisé. Correctif de réponse ciblée et tests multi-repreneurs suivis en V1-095.</t>
        </is>
      </c>
    </row>
    <row r="60">
      <c r="B60" s="36" t="inlineStr">
        <is>
          <t>V1-055</t>
        </is>
      </c>
      <c r="C60" s="36" t="inlineStr">
        <is>
          <t>V1</t>
        </is>
      </c>
      <c r="D60" s="36" t="inlineStr">
        <is>
          <t>MKT</t>
        </is>
      </c>
      <c r="E60" s="37" t="inlineStr">
        <is>
          <t>Marketplace actifs</t>
        </is>
      </c>
      <c r="F60" s="37" t="inlineStr">
        <is>
          <t>Alertes sauvegardées opt-in (version simple)</t>
        </is>
      </c>
      <c r="G60" s="37" t="inlineStr">
        <is>
          <t>Aucune alerte sans opt-in explicite</t>
        </is>
      </c>
      <c r="H60" s="38" t="n">
        <v>3</v>
      </c>
      <c r="I60" s="36" t="inlineStr">
        <is>
          <t>Basse</t>
        </is>
      </c>
      <c r="J60" s="36" t="inlineStr">
        <is>
          <t>Complétée</t>
        </is>
      </c>
      <c r="K60" s="39" t="n"/>
      <c r="L60" s="16">
        <f>IF($B60="","",IF(J60="Complétée",1,IF(J60="Abandonnée",0,IF(K60&lt;&gt;"",K60,IFERROR(VLOOKUP(J60,Parametres!$B$6:$C$12,2,FALSE),0)))))</f>
        <v/>
      </c>
      <c r="M60" s="15">
        <f>IF($B60="","",IF(J60="Abandonnée",0,H60))</f>
        <v/>
      </c>
      <c r="N60" s="15">
        <f>IF($B60="","",M60*L60)</f>
        <v/>
      </c>
      <c r="O60" s="37" t="inlineStr">
        <is>
          <t>Abdou-Raouf</t>
        </is>
      </c>
      <c r="P60" s="40" t="n">
        <v>46288</v>
      </c>
      <c r="Q60" s="40" t="n">
        <v>46293</v>
      </c>
      <c r="R60" s="40" t="n">
        <v>46296</v>
      </c>
      <c r="S60" s="37" t="inlineStr"/>
      <c r="T60" s="36" t="inlineStr">
        <is>
          <t>Non</t>
        </is>
      </c>
      <c r="U60" s="13">
        <f>IF($B60="","",IF(AND(J60&lt;&gt;"Complétée",J60&lt;&gt;"Abandonnée",Q60&lt;&gt;"",TODAY()&gt;Q60),"En retard",""))</f>
        <v/>
      </c>
      <c r="V60" s="37" t="inlineStr">
        <is>
          <t>Alertes sauvegardées et consentement réalisés. Traitement et envoi automatisés suivis en V1-096.</t>
        </is>
      </c>
    </row>
    <row r="61">
      <c r="B61" s="36" t="inlineStr">
        <is>
          <t>V1-056</t>
        </is>
      </c>
      <c r="C61" s="36" t="inlineStr">
        <is>
          <t>V1</t>
        </is>
      </c>
      <c r="D61" s="36" t="inlineStr">
        <is>
          <t>MKT</t>
        </is>
      </c>
      <c r="E61" s="37" t="inlineStr">
        <is>
          <t>Marketplace actifs</t>
        </is>
      </c>
      <c r="F61" s="37" t="inlineStr">
        <is>
          <t>Tableau de bord cédant (vues, intérêts reçus)</t>
        </is>
      </c>
      <c r="G61" s="37" t="inlineStr">
        <is>
          <t>Compteurs cohérents avec le journal</t>
        </is>
      </c>
      <c r="H61" s="38" t="n">
        <v>3</v>
      </c>
      <c r="I61" s="36" t="inlineStr">
        <is>
          <t>Moyenne</t>
        </is>
      </c>
      <c r="J61" s="36" t="inlineStr">
        <is>
          <t>Complétée</t>
        </is>
      </c>
      <c r="K61" s="39" t="n"/>
      <c r="L61" s="16">
        <f>IF($B61="","",IF(J61="Complétée",1,IF(J61="Abandonnée",0,IF(K61&lt;&gt;"",K61,IFERROR(VLOOKUP(J61,Parametres!$B$6:$C$12,2,FALSE),0)))))</f>
        <v/>
      </c>
      <c r="M61" s="15">
        <f>IF($B61="","",IF(J61="Abandonnée",0,H61))</f>
        <v/>
      </c>
      <c r="N61" s="15">
        <f>IF($B61="","",M61*L61)</f>
        <v/>
      </c>
      <c r="O61" s="37" t="inlineStr">
        <is>
          <t>Abdou-Raouf</t>
        </is>
      </c>
      <c r="P61" s="40" t="n">
        <v>46288</v>
      </c>
      <c r="Q61" s="40" t="n">
        <v>46293</v>
      </c>
      <c r="R61" s="40" t="n">
        <v>46296</v>
      </c>
      <c r="S61" s="37" t="inlineStr"/>
      <c r="T61" s="36" t="inlineStr">
        <is>
          <t>Non</t>
        </is>
      </c>
      <c r="U61" s="13">
        <f>IF($B61="","",IF(AND(J61&lt;&gt;"Complétée",J61&lt;&gt;"Abandonnée",Q61&lt;&gt;"",TODAY()&gt;Q61),"En retard",""))</f>
        <v/>
      </c>
      <c r="V61" s="37" t="n"/>
    </row>
    <row r="62">
      <c r="B62" s="36" t="inlineStr">
        <is>
          <t>V1-057</t>
        </is>
      </c>
      <c r="C62" s="36" t="inlineStr">
        <is>
          <t>V1</t>
        </is>
      </c>
      <c r="D62" s="36" t="inlineStr">
        <is>
          <t>MKT</t>
        </is>
      </c>
      <c r="E62" s="37" t="inlineStr">
        <is>
          <t>Marketplace actifs</t>
        </is>
      </c>
      <c r="F62" s="37" t="inlineStr">
        <is>
          <t>Écrans marketplace (liste, détail, recherche)</t>
        </is>
      </c>
      <c r="G62" s="37" t="inlineStr">
        <is>
          <t>Six onglets de la fiche opportunité conformes à la Tranche 3</t>
        </is>
      </c>
      <c r="H62" s="38" t="n">
        <v>5</v>
      </c>
      <c r="I62" s="36" t="inlineStr">
        <is>
          <t>Haute</t>
        </is>
      </c>
      <c r="J62" s="36" t="inlineStr">
        <is>
          <t>Complétée</t>
        </is>
      </c>
      <c r="K62" s="39" t="n"/>
      <c r="L62" s="16">
        <f>IF($B62="","",IF(J62="Complétée",1,IF(J62="Abandonnée",0,IF(K62&lt;&gt;"",K62,IFERROR(VLOOKUP(J62,Parametres!$B$6:$C$12,2,FALSE),0)))))</f>
        <v/>
      </c>
      <c r="M62" s="15">
        <f>IF($B62="","",IF(J62="Abandonnée",0,H62))</f>
        <v/>
      </c>
      <c r="N62" s="15">
        <f>IF($B62="","",M62*L62)</f>
        <v/>
      </c>
      <c r="O62" s="37" t="inlineStr">
        <is>
          <t>Abdou-Raouf</t>
        </is>
      </c>
      <c r="P62" s="40" t="n">
        <v>46289</v>
      </c>
      <c r="Q62" s="40" t="n">
        <v>46296</v>
      </c>
      <c r="R62" s="40" t="n">
        <v>46297</v>
      </c>
      <c r="S62" s="37" t="inlineStr"/>
      <c r="T62" s="36" t="inlineStr">
        <is>
          <t>Non</t>
        </is>
      </c>
      <c r="U62" s="13">
        <f>IF($B62="","",IF(AND(J62&lt;&gt;"Complétée",J62&lt;&gt;"Abandonnée",Q62&lt;&gt;"",TODAY()&gt;Q62),"En retard",""))</f>
        <v/>
      </c>
      <c r="V62" s="37" t="inlineStr">
        <is>
          <t>Liste et fiche T0 réalisées. Extension de la fiche aux six onglets suivie en V1-099.</t>
        </is>
      </c>
    </row>
    <row r="63">
      <c r="B63" s="36" t="inlineStr">
        <is>
          <t>V1-058</t>
        </is>
      </c>
      <c r="C63" s="36" t="inlineStr">
        <is>
          <t>V1</t>
        </is>
      </c>
      <c r="D63" s="36" t="inlineStr">
        <is>
          <t>MKT</t>
        </is>
      </c>
      <c r="E63" s="37" t="inlineStr">
        <is>
          <t>Évaluation indicative</t>
        </is>
      </c>
      <c r="F63" s="37" t="inlineStr">
        <is>
          <t>Saisie des données financières minimales et retraitements documentés</t>
        </is>
      </c>
      <c r="G63" s="37" t="inlineStr">
        <is>
          <t>Retraitement tracé avec justification</t>
        </is>
      </c>
      <c r="H63" s="38" t="n">
        <v>3</v>
      </c>
      <c r="I63" s="36" t="inlineStr">
        <is>
          <t>Moyenne</t>
        </is>
      </c>
      <c r="J63" s="36" t="inlineStr">
        <is>
          <t>Complétée</t>
        </is>
      </c>
      <c r="K63" s="39" t="n"/>
      <c r="L63" s="16">
        <f>IF($B63="","",IF(J63="Complétée",1,IF(J63="Abandonnée",0,IF(K63&lt;&gt;"",K63,IFERROR(VLOOKUP(J63,Parametres!$B$6:$C$12,2,FALSE),0)))))</f>
        <v/>
      </c>
      <c r="M63" s="15">
        <f>IF($B63="","",IF(J63="Abandonnée",0,H63))</f>
        <v/>
      </c>
      <c r="N63" s="15">
        <f>IF($B63="","",M63*L63)</f>
        <v/>
      </c>
      <c r="O63" s="37" t="inlineStr">
        <is>
          <t>Abdou-Raouf</t>
        </is>
      </c>
      <c r="P63" s="40" t="n">
        <v>46289</v>
      </c>
      <c r="Q63" s="40" t="n">
        <v>46294</v>
      </c>
      <c r="R63" s="40" t="n">
        <v>46301</v>
      </c>
      <c r="S63" s="37" t="inlineStr"/>
      <c r="T63" s="36" t="inlineStr">
        <is>
          <t>Non</t>
        </is>
      </c>
      <c r="U63" s="13">
        <f>IF($B63="","",IF(AND(J63&lt;&gt;"Complétée",J63&lt;&gt;"Abandonnée",Q63&lt;&gt;"",TODAY()&gt;Q63),"En retard",""))</f>
        <v/>
      </c>
      <c r="V63" s="37" t="n"/>
    </row>
    <row r="64">
      <c r="B64" s="36" t="inlineStr">
        <is>
          <t>V1-059</t>
        </is>
      </c>
      <c r="C64" s="36" t="inlineStr">
        <is>
          <t>V1</t>
        </is>
      </c>
      <c r="D64" s="36" t="inlineStr">
        <is>
          <t>MKT</t>
        </is>
      </c>
      <c r="E64" s="37" t="inlineStr">
        <is>
          <t>Évaluation indicative</t>
        </is>
      </c>
      <c r="F64" s="37" t="inlineStr">
        <is>
          <t>Calcul de fourchette indicative, méthode et sources affichées</t>
        </is>
      </c>
      <c r="G64" s="37" t="inlineStr">
        <is>
          <t>Méthode, date et sources visibles à côté du résultat</t>
        </is>
      </c>
      <c r="H64" s="38" t="n">
        <v>3</v>
      </c>
      <c r="I64" s="36" t="inlineStr">
        <is>
          <t>Moyenne</t>
        </is>
      </c>
      <c r="J64" s="36" t="inlineStr">
        <is>
          <t>Complétée</t>
        </is>
      </c>
      <c r="K64" s="39" t="n"/>
      <c r="L64" s="16">
        <f>IF($B64="","",IF(J64="Complétée",1,IF(J64="Abandonnée",0,IF(K64&lt;&gt;"",K64,IFERROR(VLOOKUP(J64,Parametres!$B$6:$C$12,2,FALSE),0)))))</f>
        <v/>
      </c>
      <c r="M64" s="15">
        <f>IF($B64="","",IF(J64="Abandonnée",0,H64))</f>
        <v/>
      </c>
      <c r="N64" s="15">
        <f>IF($B64="","",M64*L64)</f>
        <v/>
      </c>
      <c r="O64" s="37" t="inlineStr">
        <is>
          <t>Abdou-Raouf</t>
        </is>
      </c>
      <c r="P64" s="40" t="n">
        <v>46290</v>
      </c>
      <c r="Q64" s="40" t="n">
        <v>46295</v>
      </c>
      <c r="R64" s="40" t="n">
        <v>46295</v>
      </c>
      <c r="S64" s="37" t="inlineStr"/>
      <c r="T64" s="36" t="inlineStr">
        <is>
          <t>Non</t>
        </is>
      </c>
      <c r="U64" s="13">
        <f>IF($B64="","",IF(AND(J64&lt;&gt;"Complétée",J64&lt;&gt;"Abandonnée",Q64&lt;&gt;"",TODAY()&gt;Q64),"En retard",""))</f>
        <v/>
      </c>
      <c r="V64" s="37" t="n"/>
    </row>
    <row r="65">
      <c r="B65" s="36" t="inlineStr">
        <is>
          <t>V1-060</t>
        </is>
      </c>
      <c r="C65" s="36" t="inlineStr">
        <is>
          <t>V1</t>
        </is>
      </c>
      <c r="D65" s="36" t="inlineStr">
        <is>
          <t>MKT</t>
        </is>
      </c>
      <c r="E65" s="37" t="inlineStr">
        <is>
          <t>Évaluation indicative</t>
        </is>
      </c>
      <c r="F65" s="37" t="inlineStr">
        <is>
          <t>Mentions 'indicative, non opposable' et journal de calcul versionné</t>
        </is>
      </c>
      <c r="G65" s="37" t="inlineStr">
        <is>
          <t>Mention non masquable, calcul rejouable</t>
        </is>
      </c>
      <c r="H65" s="38" t="n">
        <v>2</v>
      </c>
      <c r="I65" s="36" t="inlineStr">
        <is>
          <t>Haute</t>
        </is>
      </c>
      <c r="J65" s="36" t="inlineStr">
        <is>
          <t>Complétée</t>
        </is>
      </c>
      <c r="K65" s="39" t="n"/>
      <c r="L65" s="16">
        <f>IF($B65="","",IF(J65="Complétée",1,IF(J65="Abandonnée",0,IF(K65&lt;&gt;"",K65,IFERROR(VLOOKUP(J65,Parametres!$B$6:$C$12,2,FALSE),0)))))</f>
        <v/>
      </c>
      <c r="M65" s="15">
        <f>IF($B65="","",IF(J65="Abandonnée",0,H65))</f>
        <v/>
      </c>
      <c r="N65" s="15">
        <f>IF($B65="","",M65*L65)</f>
        <v/>
      </c>
      <c r="O65" s="37" t="inlineStr">
        <is>
          <t>Abdou-Raouf</t>
        </is>
      </c>
      <c r="P65" s="40" t="n">
        <v>46290</v>
      </c>
      <c r="Q65" s="40" t="n">
        <v>46293</v>
      </c>
      <c r="R65" s="40" t="n">
        <v>46293</v>
      </c>
      <c r="S65" s="37" t="inlineStr"/>
      <c r="T65" s="36" t="inlineStr">
        <is>
          <t>Non</t>
        </is>
      </c>
      <c r="U65" s="13">
        <f>IF($B65="","",IF(AND(J65&lt;&gt;"Complétée",J65&lt;&gt;"Abandonnée",Q65&lt;&gt;"",TODAY()&gt;Q65),"En retard",""))</f>
        <v/>
      </c>
      <c r="V65" s="37" t="n"/>
    </row>
    <row r="66">
      <c r="B66" s="36" t="inlineStr">
        <is>
          <t>V1-061</t>
        </is>
      </c>
      <c r="C66" s="36" t="inlineStr">
        <is>
          <t>V1</t>
        </is>
      </c>
      <c r="D66" s="36" t="inlineStr">
        <is>
          <t>RPS</t>
        </is>
      </c>
      <c r="E66" s="37" t="inlineStr">
        <is>
          <t>Démonstration RPS</t>
        </is>
      </c>
      <c r="F66" s="37" t="inlineStr">
        <is>
          <t>Scénario scripté : dossier titres, tentative de publication trop large</t>
        </is>
      </c>
      <c r="G66" s="37" t="inlineStr">
        <is>
          <t>Scénario rejouable en moins de 3 minutes</t>
        </is>
      </c>
      <c r="H66" s="38" t="n">
        <v>4</v>
      </c>
      <c r="I66" s="36" t="inlineStr">
        <is>
          <t>Moyenne</t>
        </is>
      </c>
      <c r="J66" s="36" t="inlineStr">
        <is>
          <t>Complétée</t>
        </is>
      </c>
      <c r="K66" s="39" t="n"/>
      <c r="L66" s="16">
        <f>IF($B66="","",IF(J66="Complétée",1,IF(J66="Abandonnée",0,IF(K66&lt;&gt;"",K66,IFERROR(VLOOKUP(J66,Parametres!$B$6:$C$12,2,FALSE),0)))))</f>
        <v/>
      </c>
      <c r="M66" s="15">
        <f>IF($B66="","",IF(J66="Abandonnée",0,H66))</f>
        <v/>
      </c>
      <c r="N66" s="15">
        <f>IF($B66="","",M66*L66)</f>
        <v/>
      </c>
      <c r="O66" s="37" t="inlineStr">
        <is>
          <t>Abdou-Raouf</t>
        </is>
      </c>
      <c r="P66" s="40" t="n">
        <v>46290</v>
      </c>
      <c r="Q66" s="40" t="n">
        <v>46296</v>
      </c>
      <c r="R66" s="40" t="n">
        <v>46297</v>
      </c>
      <c r="S66" s="37" t="inlineStr"/>
      <c r="T66" s="36" t="inlineStr">
        <is>
          <t>Non</t>
        </is>
      </c>
      <c r="U66" s="13">
        <f>IF($B66="","",IF(AND(J66&lt;&gt;"Complétée",J66&lt;&gt;"Abandonnée",Q66&lt;&gt;"",TODAY()&gt;Q66),"En retard",""))</f>
        <v/>
      </c>
      <c r="V66" s="37" t="n"/>
    </row>
    <row r="67">
      <c r="B67" s="36" t="inlineStr">
        <is>
          <t>V1-062</t>
        </is>
      </c>
      <c r="C67" s="36" t="inlineStr">
        <is>
          <t>V1</t>
        </is>
      </c>
      <c r="D67" s="36" t="inlineStr">
        <is>
          <t>RPS</t>
        </is>
      </c>
      <c r="E67" s="37" t="inlineStr">
        <is>
          <t>Démonstration RPS</t>
        </is>
      </c>
      <c r="F67" s="37" t="inlineStr">
        <is>
          <t>Bannière de blocage et texte explicatif (risque de nullité, paliers T0/T1)</t>
        </is>
      </c>
      <c r="G67" s="37" t="inlineStr">
        <is>
          <t>Texte validé par M. Bruno</t>
        </is>
      </c>
      <c r="H67" s="38" t="n">
        <v>3</v>
      </c>
      <c r="I67" s="36" t="inlineStr">
        <is>
          <t>Moyenne</t>
        </is>
      </c>
      <c r="J67" s="36" t="inlineStr">
        <is>
          <t>Complétée</t>
        </is>
      </c>
      <c r="K67" s="39" t="n"/>
      <c r="L67" s="16">
        <f>IF($B67="","",IF(J67="Complétée",1,IF(J67="Abandonnée",0,IF(K67&lt;&gt;"",K67,IFERROR(VLOOKUP(J67,Parametres!$B$6:$C$12,2,FALSE),0)))))</f>
        <v/>
      </c>
      <c r="M67" s="15">
        <f>IF($B67="","",IF(J67="Abandonnée",0,H67))</f>
        <v/>
      </c>
      <c r="N67" s="15">
        <f>IF($B67="","",M67*L67)</f>
        <v/>
      </c>
      <c r="O67" s="37" t="inlineStr">
        <is>
          <t>Abdou-Raouf</t>
        </is>
      </c>
      <c r="P67" s="40" t="n">
        <v>46291</v>
      </c>
      <c r="Q67" s="40" t="n">
        <v>46296</v>
      </c>
      <c r="R67" s="40" t="n">
        <v>46297</v>
      </c>
      <c r="S67" s="37" t="inlineStr"/>
      <c r="T67" s="36" t="inlineStr">
        <is>
          <t>Non</t>
        </is>
      </c>
      <c r="U67" s="13">
        <f>IF($B67="","",IF(AND(J67&lt;&gt;"Complétée",J67&lt;&gt;"Abandonnée",Q67&lt;&gt;"",TODAY()&gt;Q67),"En retard",""))</f>
        <v/>
      </c>
      <c r="V67" s="37" t="inlineStr">
        <is>
          <t>Bannière et texte réalisés. Validation du scénario suivie en V1-066.</t>
        </is>
      </c>
    </row>
    <row r="68">
      <c r="B68" s="36" t="inlineStr">
        <is>
          <t>V1-063</t>
        </is>
      </c>
      <c r="C68" s="36" t="inlineStr">
        <is>
          <t>V1</t>
        </is>
      </c>
      <c r="D68" s="36" t="inlineStr">
        <is>
          <t>RPS</t>
        </is>
      </c>
      <c r="E68" s="37" t="inlineStr">
        <is>
          <t>Démonstration RPS</t>
        </is>
      </c>
      <c r="F68" s="37" t="inlineStr">
        <is>
          <t>Fixture synthétique dédiée, étiquetée 'démonstration'</t>
        </is>
      </c>
      <c r="G68" s="37" t="inlineStr">
        <is>
          <t>Étiquette visible sur chaque écran du scénario</t>
        </is>
      </c>
      <c r="H68" s="38" t="n">
        <v>2</v>
      </c>
      <c r="I68" s="36" t="inlineStr">
        <is>
          <t>Moyenne</t>
        </is>
      </c>
      <c r="J68" s="36" t="inlineStr">
        <is>
          <t>Complétée</t>
        </is>
      </c>
      <c r="K68" s="39" t="n"/>
      <c r="L68" s="16">
        <f>IF($B68="","",IF(J68="Complétée",1,IF(J68="Abandonnée",0,IF(K68&lt;&gt;"",K68,IFERROR(VLOOKUP(J68,Parametres!$B$6:$C$12,2,FALSE),0)))))</f>
        <v/>
      </c>
      <c r="M68" s="15">
        <f>IF($B68="","",IF(J68="Abandonnée",0,H68))</f>
        <v/>
      </c>
      <c r="N68" s="15">
        <f>IF($B68="","",M68*L68)</f>
        <v/>
      </c>
      <c r="O68" s="37" t="inlineStr">
        <is>
          <t>Abdou-Raouf</t>
        </is>
      </c>
      <c r="P68" s="40" t="n">
        <v>46291</v>
      </c>
      <c r="Q68" s="40" t="n">
        <v>46294</v>
      </c>
      <c r="R68" s="40" t="n">
        <v>46295</v>
      </c>
      <c r="S68" s="37" t="inlineStr"/>
      <c r="T68" s="36" t="inlineStr">
        <is>
          <t>Non</t>
        </is>
      </c>
      <c r="U68" s="13">
        <f>IF($B68="","",IF(AND(J68&lt;&gt;"Complétée",J68&lt;&gt;"Abandonnée",Q68&lt;&gt;"",TODAY()&gt;Q68),"En retard",""))</f>
        <v/>
      </c>
      <c r="V68" s="37" t="n"/>
    </row>
    <row r="69">
      <c r="B69" s="36" t="inlineStr">
        <is>
          <t>V1-064</t>
        </is>
      </c>
      <c r="C69" s="36" t="inlineStr">
        <is>
          <t>V1</t>
        </is>
      </c>
      <c r="D69" s="36" t="inlineStr">
        <is>
          <t>RPS</t>
        </is>
      </c>
      <c r="E69" s="37" t="inlineStr">
        <is>
          <t>Démonstration RPS</t>
        </is>
      </c>
      <c r="F69" s="37" t="inlineStr">
        <is>
          <t>Écran T1 anonymisé de démonstration</t>
        </is>
      </c>
      <c r="G69" s="37" t="inlineStr">
        <is>
          <t>Aucune identité, prix ni conditions affichés</t>
        </is>
      </c>
      <c r="H69" s="38" t="n">
        <v>5</v>
      </c>
      <c r="I69" s="36" t="inlineStr">
        <is>
          <t>Moyenne</t>
        </is>
      </c>
      <c r="J69" s="36" t="inlineStr">
        <is>
          <t>Complétée</t>
        </is>
      </c>
      <c r="K69" s="39" t="n"/>
      <c r="L69" s="16">
        <f>IF($B69="","",IF(J69="Complétée",1,IF(J69="Abandonnée",0,IF(K69&lt;&gt;"",K69,IFERROR(VLOOKUP(J69,Parametres!$B$6:$C$12,2,FALSE),0)))))</f>
        <v/>
      </c>
      <c r="M69" s="15">
        <f>IF($B69="","",IF(J69="Abandonnée",0,H69))</f>
        <v/>
      </c>
      <c r="N69" s="15">
        <f>IF($B69="","",M69*L69)</f>
        <v/>
      </c>
      <c r="O69" s="37" t="inlineStr">
        <is>
          <t>Abdou-Raouf</t>
        </is>
      </c>
      <c r="P69" s="40" t="n">
        <v>46291</v>
      </c>
      <c r="Q69" s="40" t="n">
        <v>46298</v>
      </c>
      <c r="R69" s="40" t="n">
        <v>46300</v>
      </c>
      <c r="S69" s="37" t="inlineStr"/>
      <c r="T69" s="36" t="inlineStr">
        <is>
          <t>Non</t>
        </is>
      </c>
      <c r="U69" s="13">
        <f>IF($B69="","",IF(AND(J69&lt;&gt;"Complétée",J69&lt;&gt;"Abandonnée",Q69&lt;&gt;"",TODAY()&gt;Q69),"En retard",""))</f>
        <v/>
      </c>
      <c r="V69" s="37" t="n"/>
    </row>
    <row r="70">
      <c r="B70" s="36" t="inlineStr">
        <is>
          <t>V1-065</t>
        </is>
      </c>
      <c r="C70" s="36" t="inlineStr">
        <is>
          <t>V1</t>
        </is>
      </c>
      <c r="D70" s="36" t="inlineStr">
        <is>
          <t>RPS</t>
        </is>
      </c>
      <c r="E70" s="37" t="inlineStr">
        <is>
          <t>Démonstration RPS</t>
        </is>
      </c>
      <c r="F70" s="37" t="inlineStr">
        <is>
          <t>Journal de démonstration : trace lisible des décisions simulées</t>
        </is>
      </c>
      <c r="G70" s="37" t="inlineStr">
        <is>
          <t>Journal consultable pendant la démo</t>
        </is>
      </c>
      <c r="H70" s="38" t="n">
        <v>3</v>
      </c>
      <c r="I70" s="36" t="inlineStr">
        <is>
          <t>Basse</t>
        </is>
      </c>
      <c r="J70" s="36" t="inlineStr">
        <is>
          <t>Complétée</t>
        </is>
      </c>
      <c r="K70" s="39" t="n"/>
      <c r="L70" s="16">
        <f>IF($B70="","",IF(J70="Complétée",1,IF(J70="Abandonnée",0,IF(K70&lt;&gt;"",K70,IFERROR(VLOOKUP(J70,Parametres!$B$6:$C$12,2,FALSE),0)))))</f>
        <v/>
      </c>
      <c r="M70" s="15">
        <f>IF($B70="","",IF(J70="Abandonnée",0,H70))</f>
        <v/>
      </c>
      <c r="N70" s="15">
        <f>IF($B70="","",M70*L70)</f>
        <v/>
      </c>
      <c r="O70" s="37" t="inlineStr">
        <is>
          <t>Abdou-Raouf</t>
        </is>
      </c>
      <c r="P70" s="40" t="n">
        <v>46292</v>
      </c>
      <c r="Q70" s="40" t="n">
        <v>46297</v>
      </c>
      <c r="R70" s="40" t="n">
        <v>46300</v>
      </c>
      <c r="S70" s="37" t="inlineStr"/>
      <c r="T70" s="36" t="inlineStr">
        <is>
          <t>Non</t>
        </is>
      </c>
      <c r="U70" s="13">
        <f>IF($B70="","",IF(AND(J70&lt;&gt;"Complétée",J70&lt;&gt;"Abandonnée",Q70&lt;&gt;"",TODAY()&gt;Q70),"En retard",""))</f>
        <v/>
      </c>
      <c r="V70" s="37" t="n"/>
    </row>
    <row r="71">
      <c r="B71" s="36" t="inlineStr">
        <is>
          <t>V1-066</t>
        </is>
      </c>
      <c r="C71" s="36" t="inlineStr">
        <is>
          <t>V1</t>
        </is>
      </c>
      <c r="D71" s="36" t="inlineStr">
        <is>
          <t>RPS</t>
        </is>
      </c>
      <c r="E71" s="37" t="inlineStr">
        <is>
          <t>Démonstration RPS</t>
        </is>
      </c>
      <c r="F71" s="37" t="inlineStr">
        <is>
          <t>Recette du scénario avec M. Bruno</t>
        </is>
      </c>
      <c r="G71" s="37" t="inlineStr">
        <is>
          <t>Validation écrite du déroulé</t>
        </is>
      </c>
      <c r="H71" s="38" t="n">
        <v>1</v>
      </c>
      <c r="I71" s="36" t="inlineStr">
        <is>
          <t>Haute</t>
        </is>
      </c>
      <c r="J71" s="36" t="inlineStr">
        <is>
          <t>À faire</t>
        </is>
      </c>
      <c r="K71" s="39" t="n"/>
      <c r="L71" s="16">
        <f>IF($B71="","",IF(J71="Complétée",1,IF(J71="Abandonnée",0,IF(K71&lt;&gt;"",K71,IFERROR(VLOOKUP(J71,Parametres!$B$6:$C$12,2,FALSE),0)))))</f>
        <v/>
      </c>
      <c r="M71" s="15">
        <f>IF($B71="","",IF(J71="Abandonnée",0,H71))</f>
        <v/>
      </c>
      <c r="N71" s="15">
        <f>IF($B71="","",M71*L71)</f>
        <v/>
      </c>
      <c r="O71" s="37" t="n"/>
      <c r="P71" s="40" t="n">
        <v>46292</v>
      </c>
      <c r="Q71" s="40" t="n">
        <v>46294</v>
      </c>
      <c r="R71" s="40" t="n"/>
      <c r="S71" s="37" t="inlineStr"/>
      <c r="T71" s="36" t="inlineStr">
        <is>
          <t>Non</t>
        </is>
      </c>
      <c r="U71" s="13">
        <f>IF($B71="","",IF(AND(J71&lt;&gt;"Complétée",J71&lt;&gt;"Abandonnée",Q71&lt;&gt;"",TODAY()&gt;Q71),"En retard",""))</f>
        <v/>
      </c>
      <c r="V71" s="37" t="n"/>
    </row>
    <row r="72">
      <c r="B72" s="36" t="inlineStr">
        <is>
          <t>V1-067</t>
        </is>
      </c>
      <c r="C72" s="36" t="inlineStr">
        <is>
          <t>V1</t>
        </is>
      </c>
      <c r="D72" s="36" t="inlineStr">
        <is>
          <t>CNX</t>
        </is>
      </c>
      <c r="E72" s="37" t="inlineStr">
        <is>
          <t>Deal-Connect (Remo)</t>
        </is>
      </c>
      <c r="F72" s="37" t="inlineStr">
        <is>
          <t>Cadrage de l'intégration Remo.co : plan retenu, API, SSO, webhooks, marque blanche</t>
        </is>
      </c>
      <c r="G72" s="37" t="inlineStr">
        <is>
          <t>Accès organisateur/API reçus, plan et capacités consignés ; API, SSO, branding et limites à confronter aux essais V1-104 ; un accès participant ne suffit pas</t>
        </is>
      </c>
      <c r="H72" s="38" t="n">
        <v>3</v>
      </c>
      <c r="I72" s="36" t="inlineStr">
        <is>
          <t>Haute</t>
        </is>
      </c>
      <c r="J72" s="36" t="inlineStr">
        <is>
          <t>À faire</t>
        </is>
      </c>
      <c r="K72" s="39" t="n"/>
      <c r="L72" s="16">
        <f>IF($B72="","",IF(J72="Complétée",1,IF(J72="Abandonnée",0,IF(K72&lt;&gt;"",K72,IFERROR(VLOOKUP(J72,Parametres!$B$6:$C$12,2,FALSE),0)))))</f>
        <v/>
      </c>
      <c r="M72" s="15">
        <f>IF($B72="","",IF(J72="Abandonnée",0,H72))</f>
        <v/>
      </c>
      <c r="N72" s="15">
        <f>IF($B72="","",M72*L72)</f>
        <v/>
      </c>
      <c r="O72" s="37" t="n"/>
      <c r="P72" s="40" t="n">
        <v>46293</v>
      </c>
      <c r="Q72" s="40" t="n">
        <v>46298</v>
      </c>
      <c r="R72" s="40" t="n"/>
      <c r="S72" s="37" t="inlineStr"/>
      <c r="T72" s="36" t="inlineStr">
        <is>
          <t>Oui</t>
        </is>
      </c>
      <c r="U72" s="13">
        <f>IF($B72="","",IF(AND(J72&lt;&gt;"Complétée",J72&lt;&gt;"Abandonnée",Q72&lt;&gt;"",TODAY()&gt;Q72),"En retard",""))</f>
        <v/>
      </c>
      <c r="V72" s="37" t="n"/>
    </row>
    <row r="73">
      <c r="B73" s="36" t="inlineStr">
        <is>
          <t>V1-068</t>
        </is>
      </c>
      <c r="C73" s="36" t="inlineStr">
        <is>
          <t>V1</t>
        </is>
      </c>
      <c r="D73" s="36" t="inlineStr">
        <is>
          <t>CNX</t>
        </is>
      </c>
      <c r="E73" s="37" t="inlineStr">
        <is>
          <t>Deal-Connect (Remo)</t>
        </is>
      </c>
      <c r="F73" s="37" t="inlineStr">
        <is>
          <t>Connecteur Remo.co : création d'événements, lien d'accès unique, webhooks de présence</t>
        </is>
      </c>
      <c r="G73" s="37" t="inlineStr">
        <is>
          <t>Présence remontée et rattachée à l'inscription DealPME</t>
        </is>
      </c>
      <c r="H73" s="38" t="n">
        <v>8</v>
      </c>
      <c r="I73" s="36" t="inlineStr">
        <is>
          <t>Haute</t>
        </is>
      </c>
      <c r="J73" s="36" t="inlineStr">
        <is>
          <t>En cours</t>
        </is>
      </c>
      <c r="K73" s="39" t="n">
        <v>0.4</v>
      </c>
      <c r="L73" s="16">
        <f>IF($B73="","",IF(J73="Complétée",1,IF(J73="Abandonnée",0,IF(K73&lt;&gt;"",K73,IFERROR(VLOOKUP(J73,Parametres!$B$6:$C$12,2,FALSE),0)))))</f>
        <v/>
      </c>
      <c r="M73" s="15">
        <f>IF($B73="","",IF(J73="Abandonnée",0,H73))</f>
        <v/>
      </c>
      <c r="N73" s="15">
        <f>IF($B73="","",M73*L73)</f>
        <v/>
      </c>
      <c r="O73" s="37" t="inlineStr">
        <is>
          <t>Abdou-Raouf</t>
        </is>
      </c>
      <c r="P73" s="40" t="n">
        <v>46293</v>
      </c>
      <c r="Q73" s="40" t="n">
        <v>46305</v>
      </c>
      <c r="R73" s="40" t="n"/>
      <c r="S73" s="37" t="inlineStr">
        <is>
          <t>Cadrage Remo.co</t>
        </is>
      </c>
      <c r="T73" s="36" t="inlineStr">
        <is>
          <t>Non</t>
        </is>
      </c>
      <c r="U73" s="13">
        <f>IF($B73="","",IF(AND(J73&lt;&gt;"Complétée",J73&lt;&gt;"Abandonnée",Q73&lt;&gt;"",TODAY()&gt;Q73),"En retard",""))</f>
        <v/>
      </c>
      <c r="V73" s="37" t="n"/>
    </row>
    <row r="74">
      <c r="B74" s="36" t="inlineStr">
        <is>
          <t>V1-069</t>
        </is>
      </c>
      <c r="C74" s="36" t="inlineStr">
        <is>
          <t>V1</t>
        </is>
      </c>
      <c r="D74" s="36" t="inlineStr">
        <is>
          <t>CNX</t>
        </is>
      </c>
      <c r="E74" s="37" t="inlineStr">
        <is>
          <t>Deal-Connect (Remo)</t>
        </is>
      </c>
      <c r="F74" s="37" t="inlineStr">
        <is>
          <t>Inscriptions DEALPME_FIRST : consentement d'échange de contacts, attribution de campagne</t>
        </is>
      </c>
      <c r="G74" s="37" t="inlineStr">
        <is>
          <t>Aucun contact échangé sans consentement explicite</t>
        </is>
      </c>
      <c r="H74" s="38" t="n">
        <v>3</v>
      </c>
      <c r="I74" s="36" t="inlineStr">
        <is>
          <t>Haute</t>
        </is>
      </c>
      <c r="J74" s="36" t="inlineStr">
        <is>
          <t>Complétée</t>
        </is>
      </c>
      <c r="K74" s="39" t="n"/>
      <c r="L74" s="16">
        <f>IF($B74="","",IF(J74="Complétée",1,IF(J74="Abandonnée",0,IF(K74&lt;&gt;"",K74,IFERROR(VLOOKUP(J74,Parametres!$B$6:$C$12,2,FALSE),0)))))</f>
        <v/>
      </c>
      <c r="M74" s="15">
        <f>IF($B74="","",IF(J74="Abandonnée",0,H74))</f>
        <v/>
      </c>
      <c r="N74" s="15">
        <f>IF($B74="","",M74*L74)</f>
        <v/>
      </c>
      <c r="O74" s="37" t="inlineStr">
        <is>
          <t>Abdou-Raouf</t>
        </is>
      </c>
      <c r="P74" s="40" t="n">
        <v>46294</v>
      </c>
      <c r="Q74" s="40" t="n">
        <v>46299</v>
      </c>
      <c r="R74" s="40" t="n">
        <v>46300</v>
      </c>
      <c r="S74" s="37" t="inlineStr"/>
      <c r="T74" s="36" t="inlineStr">
        <is>
          <t>Non</t>
        </is>
      </c>
      <c r="U74" s="13">
        <f>IF($B74="","",IF(AND(J74&lt;&gt;"Complétée",J74&lt;&gt;"Abandonnée",Q74&lt;&gt;"",TODAY()&gt;Q74),"En retard",""))</f>
        <v/>
      </c>
      <c r="V74" s="37" t="n"/>
    </row>
    <row r="75">
      <c r="B75" s="36" t="inlineStr">
        <is>
          <t>V1-070</t>
        </is>
      </c>
      <c r="C75" s="36" t="inlineStr">
        <is>
          <t>V1</t>
        </is>
      </c>
      <c r="D75" s="36" t="inlineStr">
        <is>
          <t>CNX</t>
        </is>
      </c>
      <c r="E75" s="37" t="inlineStr">
        <is>
          <t>Deal-Connect (Remo)</t>
        </is>
      </c>
      <c r="F75" s="37" t="inlineStr">
        <is>
          <t>Écran Deal-Connect V1 : liste des événements, inscription, bouton d'accès Remo</t>
        </is>
      </c>
      <c r="G75" s="37" t="inlineStr">
        <is>
          <t>Parcours inscription puis accès en moins de trois clics</t>
        </is>
      </c>
      <c r="H75" s="38" t="n">
        <v>4</v>
      </c>
      <c r="I75" s="36" t="inlineStr">
        <is>
          <t>Moyenne</t>
        </is>
      </c>
      <c r="J75" s="36" t="inlineStr">
        <is>
          <t>Complétée</t>
        </is>
      </c>
      <c r="K75" s="39" t="n"/>
      <c r="L75" s="16">
        <f>IF($B75="","",IF(J75="Complétée",1,IF(J75="Abandonnée",0,IF(K75&lt;&gt;"",K75,IFERROR(VLOOKUP(J75,Parametres!$B$6:$C$12,2,FALSE),0)))))</f>
        <v/>
      </c>
      <c r="M75" s="15">
        <f>IF($B75="","",IF(J75="Abandonnée",0,H75))</f>
        <v/>
      </c>
      <c r="N75" s="15">
        <f>IF($B75="","",M75*L75)</f>
        <v/>
      </c>
      <c r="O75" s="37" t="inlineStr">
        <is>
          <t>Abdou-Raouf</t>
        </is>
      </c>
      <c r="P75" s="40" t="n">
        <v>46294</v>
      </c>
      <c r="Q75" s="40" t="n">
        <v>46300</v>
      </c>
      <c r="R75" s="40" t="n">
        <v>46301</v>
      </c>
      <c r="S75" s="37" t="inlineStr"/>
      <c r="T75" s="36" t="inlineStr">
        <is>
          <t>Non</t>
        </is>
      </c>
      <c r="U75" s="13">
        <f>IF($B75="","",IF(AND(J75&lt;&gt;"Complétée",J75&lt;&gt;"Abandonnée",Q75&lt;&gt;"",TODAY()&gt;Q75),"En retard",""))</f>
        <v/>
      </c>
      <c r="V75" s="37" t="inlineStr">
        <is>
          <t>Écrans Deal-Connect réalisés. Intégration prestataire et accès réel suivis en V1-068.</t>
        </is>
      </c>
    </row>
    <row r="76">
      <c r="B76" s="36" t="inlineStr">
        <is>
          <t>V1-071</t>
        </is>
      </c>
      <c r="C76" s="36" t="inlineStr">
        <is>
          <t>V1</t>
        </is>
      </c>
      <c r="D76" s="36" t="inlineStr">
        <is>
          <t>DIA</t>
        </is>
      </c>
      <c r="E76" s="37" t="inlineStr">
        <is>
          <t>Deal-Connect (Remo)</t>
        </is>
      </c>
      <c r="F76" s="37" t="inlineStr">
        <is>
          <t>Demande de rendez-vous diaspora avec avis transfrontalier, entretien vidéo via Remo après confirmation humaine</t>
        </is>
      </c>
      <c r="G76" s="37" t="inlineStr">
        <is>
          <t>Aucune demande sans reconnaissance de l'avis transfrontalier</t>
        </is>
      </c>
      <c r="H76" s="38" t="n">
        <v>4</v>
      </c>
      <c r="I76" s="36" t="inlineStr">
        <is>
          <t>Moyenne</t>
        </is>
      </c>
      <c r="J76" s="36" t="inlineStr">
        <is>
          <t>En cours</t>
        </is>
      </c>
      <c r="K76" s="39" t="n">
        <v>0.3</v>
      </c>
      <c r="L76" s="16">
        <f>IF($B76="","",IF(J76="Complétée",1,IF(J76="Abandonnée",0,IF(K76&lt;&gt;"",K76,IFERROR(VLOOKUP(J76,Parametres!$B$6:$C$12,2,FALSE),0)))))</f>
        <v/>
      </c>
      <c r="M76" s="15">
        <f>IF($B76="","",IF(J76="Abandonnée",0,H76))</f>
        <v/>
      </c>
      <c r="N76" s="15">
        <f>IF($B76="","",M76*L76)</f>
        <v/>
      </c>
      <c r="O76" s="37" t="inlineStr">
        <is>
          <t>Abdou-Raouf</t>
        </is>
      </c>
      <c r="P76" s="40" t="n">
        <v>46295</v>
      </c>
      <c r="Q76" s="40" t="n">
        <v>46301</v>
      </c>
      <c r="R76" s="40" t="n"/>
      <c r="S76" s="37" t="inlineStr">
        <is>
          <t>Connecteur Remo.co</t>
        </is>
      </c>
      <c r="T76" s="36" t="inlineStr">
        <is>
          <t>Non</t>
        </is>
      </c>
      <c r="U76" s="13">
        <f>IF($B76="","",IF(AND(J76&lt;&gt;"Complétée",J76&lt;&gt;"Abandonnée",Q76&lt;&gt;"",TODAY()&gt;Q76),"En retard",""))</f>
        <v/>
      </c>
      <c r="V76" s="37" t="n"/>
    </row>
    <row r="77">
      <c r="B77" s="36" t="inlineStr">
        <is>
          <t>V1-072</t>
        </is>
      </c>
      <c r="C77" s="36" t="inlineStr">
        <is>
          <t>V1</t>
        </is>
      </c>
      <c r="D77" s="36" t="inlineStr">
        <is>
          <t>TRV</t>
        </is>
      </c>
      <c r="E77" s="37" t="inlineStr">
        <is>
          <t>Frontend et design</t>
        </is>
      </c>
      <c r="F77" s="37" t="inlineStr">
        <is>
          <t>Intégration du design system (tokens et composants de base issus de la Tranche 3)</t>
        </is>
      </c>
      <c r="G77" s="37" t="inlineStr">
        <is>
          <t>Tokens couleurs et typographie conformes à la charte</t>
        </is>
      </c>
      <c r="H77" s="38" t="n">
        <v>5</v>
      </c>
      <c r="I77" s="36" t="inlineStr">
        <is>
          <t>Haute</t>
        </is>
      </c>
      <c r="J77" s="36" t="inlineStr">
        <is>
          <t>Complétée</t>
        </is>
      </c>
      <c r="K77" s="39" t="n"/>
      <c r="L77" s="16">
        <f>IF($B77="","",IF(J77="Complétée",1,IF(J77="Abandonnée",0,IF(K77&lt;&gt;"",K77,IFERROR(VLOOKUP(J77,Parametres!$B$6:$C$12,2,FALSE),0)))))</f>
        <v/>
      </c>
      <c r="M77" s="15">
        <f>IF($B77="","",IF(J77="Abandonnée",0,H77))</f>
        <v/>
      </c>
      <c r="N77" s="15">
        <f>IF($B77="","",M77*L77)</f>
        <v/>
      </c>
      <c r="O77" s="37" t="inlineStr">
        <is>
          <t>Abdou-Raouf</t>
        </is>
      </c>
      <c r="P77" s="40" t="n">
        <v>46295</v>
      </c>
      <c r="Q77" s="40" t="n">
        <v>46302</v>
      </c>
      <c r="R77" s="40" t="n">
        <v>46302</v>
      </c>
      <c r="S77" s="37" t="inlineStr"/>
      <c r="T77" s="36" t="inlineStr">
        <is>
          <t>Non</t>
        </is>
      </c>
      <c r="U77" s="13">
        <f>IF($B77="","",IF(AND(J77&lt;&gt;"Complétée",J77&lt;&gt;"Abandonnée",Q77&lt;&gt;"",TODAY()&gt;Q77),"En retard",""))</f>
        <v/>
      </c>
      <c r="V77" s="37" t="n"/>
    </row>
    <row r="78">
      <c r="B78" s="36" t="inlineStr">
        <is>
          <t>V1-073</t>
        </is>
      </c>
      <c r="C78" s="36" t="inlineStr">
        <is>
          <t>V1</t>
        </is>
      </c>
      <c r="D78" s="36" t="inlineStr">
        <is>
          <t>TRV</t>
        </is>
      </c>
      <c r="E78" s="37" t="inlineStr">
        <is>
          <t>Frontend et design</t>
        </is>
      </c>
      <c r="F78" s="37" t="inlineStr">
        <is>
          <t>Gabarit applicatif : AppShell, navigation, états vide / chargement / erreur</t>
        </is>
      </c>
      <c r="G78" s="37" t="inlineStr">
        <is>
          <t>Chaque écran possède ses trois états</t>
        </is>
      </c>
      <c r="H78" s="38" t="n">
        <v>4</v>
      </c>
      <c r="I78" s="36" t="inlineStr">
        <is>
          <t>Haute</t>
        </is>
      </c>
      <c r="J78" s="36" t="inlineStr">
        <is>
          <t>Complétée</t>
        </is>
      </c>
      <c r="K78" s="39" t="n"/>
      <c r="L78" s="16">
        <f>IF($B78="","",IF(J78="Complétée",1,IF(J78="Abandonnée",0,IF(K78&lt;&gt;"",K78,IFERROR(VLOOKUP(J78,Parametres!$B$6:$C$12,2,FALSE),0)))))</f>
        <v/>
      </c>
      <c r="M78" s="15">
        <f>IF($B78="","",IF(J78="Abandonnée",0,H78))</f>
        <v/>
      </c>
      <c r="N78" s="15">
        <f>IF($B78="","",M78*L78)</f>
        <v/>
      </c>
      <c r="O78" s="37" t="inlineStr">
        <is>
          <t>Abdou-Raouf</t>
        </is>
      </c>
      <c r="P78" s="40" t="n">
        <v>46296</v>
      </c>
      <c r="Q78" s="40" t="n">
        <v>46302</v>
      </c>
      <c r="R78" s="40" t="n">
        <v>46302</v>
      </c>
      <c r="S78" s="37" t="inlineStr"/>
      <c r="T78" s="36" t="inlineStr">
        <is>
          <t>Non</t>
        </is>
      </c>
      <c r="U78" s="13">
        <f>IF($B78="","",IF(AND(J78&lt;&gt;"Complétée",J78&lt;&gt;"Abandonnée",Q78&lt;&gt;"",TODAY()&gt;Q78),"En retard",""))</f>
        <v/>
      </c>
      <c r="V78" s="37" t="n"/>
    </row>
    <row r="79">
      <c r="B79" s="36" t="inlineStr">
        <is>
          <t>V1-074</t>
        </is>
      </c>
      <c r="C79" s="36" t="inlineStr">
        <is>
          <t>V1</t>
        </is>
      </c>
      <c r="D79" s="36" t="inlineStr">
        <is>
          <t>TRV</t>
        </is>
      </c>
      <c r="E79" s="37" t="inlineStr">
        <is>
          <t>Frontend et design</t>
        </is>
      </c>
      <c r="F79" s="37" t="inlineStr">
        <is>
          <t>Responsive mobile sur les parcours V1</t>
        </is>
      </c>
      <c r="G79" s="37" t="inlineStr">
        <is>
          <t>Aucune casse de mise en page entre 360 et 1920 px</t>
        </is>
      </c>
      <c r="H79" s="38" t="n">
        <v>4</v>
      </c>
      <c r="I79" s="36" t="inlineStr">
        <is>
          <t>Moyenne</t>
        </is>
      </c>
      <c r="J79" s="36" t="inlineStr">
        <is>
          <t>Complétée</t>
        </is>
      </c>
      <c r="K79" s="39" t="n"/>
      <c r="L79" s="16">
        <f>IF($B79="","",IF(J79="Complétée",1,IF(J79="Abandonnée",0,IF(K79&lt;&gt;"",K79,IFERROR(VLOOKUP(J79,Parametres!$B$6:$C$12,2,FALSE),0)))))</f>
        <v/>
      </c>
      <c r="M79" s="15">
        <f>IF($B79="","",IF(J79="Abandonnée",0,H79))</f>
        <v/>
      </c>
      <c r="N79" s="15">
        <f>IF($B79="","",M79*L79)</f>
        <v/>
      </c>
      <c r="O79" s="37" t="inlineStr">
        <is>
          <t>Abdou-Raouf</t>
        </is>
      </c>
      <c r="P79" s="40" t="n">
        <v>46296</v>
      </c>
      <c r="Q79" s="40" t="n">
        <v>46302</v>
      </c>
      <c r="R79" s="40" t="n">
        <v>46302</v>
      </c>
      <c r="S79" s="37" t="inlineStr"/>
      <c r="T79" s="36" t="inlineStr">
        <is>
          <t>Non</t>
        </is>
      </c>
      <c r="U79" s="13">
        <f>IF($B79="","",IF(AND(J79&lt;&gt;"Complétée",J79&lt;&gt;"Abandonnée",Q79&lt;&gt;"",TODAY()&gt;Q79),"En retard",""))</f>
        <v/>
      </c>
      <c r="V79" s="37" t="inlineStr">
        <is>
          <t>Responsive implémenté. Captures et validation visuelle suivies en V1-083/086.</t>
        </is>
      </c>
    </row>
    <row r="80">
      <c r="B80" s="36" t="inlineStr">
        <is>
          <t>V1-075</t>
        </is>
      </c>
      <c r="C80" s="36" t="inlineStr">
        <is>
          <t>V1</t>
        </is>
      </c>
      <c r="D80" s="36" t="inlineStr">
        <is>
          <t>TRV</t>
        </is>
      </c>
      <c r="E80" s="37" t="inlineStr">
        <is>
          <t>Frontend et design</t>
        </is>
      </c>
      <c r="F80" s="37" t="inlineStr">
        <is>
          <t>Revue visuelle avec le designer UI/UX</t>
        </is>
      </c>
      <c r="G80" s="37" t="inlineStr">
        <is>
          <t>Revue contre les références fournies, notamment VDR ; contributions du designer évaluées et validées avant intégration ; aucune refonte imposée sans valeur démontrée</t>
        </is>
      </c>
      <c r="H80" s="38" t="n">
        <v>2</v>
      </c>
      <c r="I80" s="36" t="inlineStr">
        <is>
          <t>Moyenne</t>
        </is>
      </c>
      <c r="J80" s="36" t="inlineStr">
        <is>
          <t>À faire</t>
        </is>
      </c>
      <c r="K80" s="39" t="n"/>
      <c r="L80" s="16">
        <f>IF($B80="","",IF(J80="Complétée",1,IF(J80="Abandonnée",0,IF(K80&lt;&gt;"",K80,IFERROR(VLOOKUP(J80,Parametres!$B$6:$C$12,2,FALSE),0)))))</f>
        <v/>
      </c>
      <c r="M80" s="15">
        <f>IF($B80="","",IF(J80="Abandonnée",0,H80))</f>
        <v/>
      </c>
      <c r="N80" s="15">
        <f>IF($B80="","",M80*L80)</f>
        <v/>
      </c>
      <c r="O80" s="37" t="n"/>
      <c r="P80" s="40" t="n">
        <v>46297</v>
      </c>
      <c r="Q80" s="40" t="n">
        <v>46300</v>
      </c>
      <c r="R80" s="40" t="n"/>
      <c r="S80" s="37" t="inlineStr">
        <is>
          <t>Designer UI/UX confirmé</t>
        </is>
      </c>
      <c r="T80" s="36" t="inlineStr">
        <is>
          <t>Non</t>
        </is>
      </c>
      <c r="U80" s="13">
        <f>IF($B80="","",IF(AND(J80&lt;&gt;"Complétée",J80&lt;&gt;"Abandonnée",Q80&lt;&gt;"",TODAY()&gt;Q80),"En retard",""))</f>
        <v/>
      </c>
      <c r="V80" s="37" t="n"/>
    </row>
    <row r="81">
      <c r="B81" s="36" t="inlineStr">
        <is>
          <t>V1-076</t>
        </is>
      </c>
      <c r="C81" s="36" t="inlineStr">
        <is>
          <t>V1</t>
        </is>
      </c>
      <c r="D81" s="36" t="inlineStr">
        <is>
          <t>TRV</t>
        </is>
      </c>
      <c r="E81" s="37" t="inlineStr">
        <is>
          <t>Finition frontend</t>
        </is>
      </c>
      <c r="F81" s="37" t="inlineStr">
        <is>
          <t>État actif de la navigation : élément courant mis en évidence dans la barre et dans les navigations de service</t>
        </is>
      </c>
      <c r="G81" s="37" t="inlineStr">
        <is>
          <t>Chaque écran signale où l'on se trouve, au clavier comme à l'œil</t>
        </is>
      </c>
      <c r="H81" s="38" t="n">
        <v>1</v>
      </c>
      <c r="I81" s="36" t="inlineStr">
        <is>
          <t>Haute</t>
        </is>
      </c>
      <c r="J81" s="36" t="inlineStr">
        <is>
          <t>Complétée</t>
        </is>
      </c>
      <c r="K81" s="39" t="n"/>
      <c r="L81" s="16">
        <f>IF($B81="","",IF(J81="Complétée",1,IF(J81="Abandonnée",0,IF(K81&lt;&gt;"",K81,IFERROR(VLOOKUP(J81,Parametres!$B$6:$C$12,2,FALSE),0)))))</f>
        <v/>
      </c>
      <c r="M81" s="15">
        <f>IF($B81="","",IF(J81="Abandonnée",0,H81))</f>
        <v/>
      </c>
      <c r="N81" s="15">
        <f>IF($B81="","",M81*L81)</f>
        <v/>
      </c>
      <c r="O81" s="37" t="inlineStr">
        <is>
          <t>Abdou-Raouf</t>
        </is>
      </c>
      <c r="P81" s="40" t="n">
        <v>46297</v>
      </c>
      <c r="Q81" s="40" t="n">
        <v>46299</v>
      </c>
      <c r="R81" s="40" t="n">
        <v>46298</v>
      </c>
      <c r="S81" s="37" t="inlineStr"/>
      <c r="T81" s="36" t="inlineStr">
        <is>
          <t>Non</t>
        </is>
      </c>
      <c r="U81" s="13">
        <f>IF($B81="","",IF(AND(J81&lt;&gt;"Complétée",J81&lt;&gt;"Abandonnée",Q81&lt;&gt;"",TODAY()&gt;Q81),"En retard",""))</f>
        <v/>
      </c>
      <c r="V81" s="37" t="n"/>
    </row>
    <row r="82">
      <c r="B82" s="36" t="inlineStr">
        <is>
          <t>V1-077</t>
        </is>
      </c>
      <c r="C82" s="36" t="inlineStr">
        <is>
          <t>V1</t>
        </is>
      </c>
      <c r="D82" s="36" t="inlineStr">
        <is>
          <t>TRV</t>
        </is>
      </c>
      <c r="E82" s="37" t="inlineStr">
        <is>
          <t>Finition frontend</t>
        </is>
      </c>
      <c r="F82" s="37" t="inlineStr">
        <is>
          <t>Champs de formulaire : aide et message d'erreur reliés au champ, focus porté sur le premier champ fautif</t>
        </is>
      </c>
      <c r="G82" s="37" t="inlineStr">
        <is>
          <t>Un lecteur d'écran annonce l'aide et l'erreur ; la correction commence au bon endroit</t>
        </is>
      </c>
      <c r="H82" s="38" t="n">
        <v>2</v>
      </c>
      <c r="I82" s="36" t="inlineStr">
        <is>
          <t>Haute</t>
        </is>
      </c>
      <c r="J82" s="36" t="inlineStr">
        <is>
          <t>Complétée</t>
        </is>
      </c>
      <c r="K82" s="39" t="n"/>
      <c r="L82" s="16">
        <f>IF($B82="","",IF(J82="Complétée",1,IF(J82="Abandonnée",0,IF(K82&lt;&gt;"",K82,IFERROR(VLOOKUP(J82,Parametres!$B$6:$C$12,2,FALSE),0)))))</f>
        <v/>
      </c>
      <c r="M82" s="15">
        <f>IF($B82="","",IF(J82="Abandonnée",0,H82))</f>
        <v/>
      </c>
      <c r="N82" s="15">
        <f>IF($B82="","",M82*L82)</f>
        <v/>
      </c>
      <c r="O82" s="37" t="inlineStr">
        <is>
          <t>Abdou-Raouf</t>
        </is>
      </c>
      <c r="P82" s="40" t="n">
        <v>46297</v>
      </c>
      <c r="Q82" s="40" t="n">
        <v>46300</v>
      </c>
      <c r="R82" s="40" t="n">
        <v>46299</v>
      </c>
      <c r="S82" s="37" t="inlineStr"/>
      <c r="T82" s="36" t="inlineStr">
        <is>
          <t>Non</t>
        </is>
      </c>
      <c r="U82" s="13">
        <f>IF($B82="","",IF(AND(J82&lt;&gt;"Complétée",J82&lt;&gt;"Abandonnée",Q82&lt;&gt;"",TODAY()&gt;Q82),"En retard",""))</f>
        <v/>
      </c>
      <c r="V82" s="37" t="n"/>
    </row>
    <row r="83">
      <c r="B83" s="36" t="inlineStr">
        <is>
          <t>V1-078</t>
        </is>
      </c>
      <c r="C83" s="36" t="inlineStr">
        <is>
          <t>V1</t>
        </is>
      </c>
      <c r="D83" s="36" t="inlineStr">
        <is>
          <t>TRV</t>
        </is>
      </c>
      <c r="E83" s="37" t="inlineStr">
        <is>
          <t>Finition frontend</t>
        </is>
      </c>
      <c r="F83" s="37" t="inlineStr">
        <is>
          <t>Titre et description propres à chaque écran</t>
        </is>
      </c>
      <c r="G83" s="37" t="inlineStr">
        <is>
          <t>L'onglet du navigateur et l'historique nomment l'écran, pas seulement le produit</t>
        </is>
      </c>
      <c r="H83" s="38" t="n">
        <v>1</v>
      </c>
      <c r="I83" s="36" t="inlineStr">
        <is>
          <t>Moyenne</t>
        </is>
      </c>
      <c r="J83" s="36" t="inlineStr">
        <is>
          <t>Complétée</t>
        </is>
      </c>
      <c r="K83" s="39" t="n"/>
      <c r="L83" s="16">
        <f>IF($B83="","",IF(J83="Complétée",1,IF(J83="Abandonnée",0,IF(K83&lt;&gt;"",K83,IFERROR(VLOOKUP(J83,Parametres!$B$6:$C$12,2,FALSE),0)))))</f>
        <v/>
      </c>
      <c r="M83" s="15">
        <f>IF($B83="","",IF(J83="Abandonnée",0,H83))</f>
        <v/>
      </c>
      <c r="N83" s="15">
        <f>IF($B83="","",M83*L83)</f>
        <v/>
      </c>
      <c r="O83" s="37" t="inlineStr">
        <is>
          <t>Abdou-Raouf</t>
        </is>
      </c>
      <c r="P83" s="40" t="n">
        <v>46297</v>
      </c>
      <c r="Q83" s="40" t="n">
        <v>46299</v>
      </c>
      <c r="R83" s="40" t="n">
        <v>46298</v>
      </c>
      <c r="S83" s="37" t="inlineStr"/>
      <c r="T83" s="36" t="inlineStr">
        <is>
          <t>Non</t>
        </is>
      </c>
      <c r="U83" s="13">
        <f>IF($B83="","",IF(AND(J83&lt;&gt;"Complétée",J83&lt;&gt;"Abandonnée",Q83&lt;&gt;"",TODAY()&gt;Q83),"En retard",""))</f>
        <v/>
      </c>
      <c r="V83" s="37" t="n"/>
    </row>
    <row r="84">
      <c r="B84" s="36" t="inlineStr">
        <is>
          <t>V1-079</t>
        </is>
      </c>
      <c r="C84" s="36" t="inlineStr">
        <is>
          <t>V1</t>
        </is>
      </c>
      <c r="D84" s="36" t="inlineStr">
        <is>
          <t>TRV</t>
        </is>
      </c>
      <c r="E84" s="37" t="inlineStr">
        <is>
          <t>Finition frontend</t>
        </is>
      </c>
      <c r="F84" s="37" t="inlineStr">
        <is>
          <t>États de chargement, d'erreur et page introuvable, en français</t>
        </is>
      </c>
      <c r="G84" s="37" t="inlineStr">
        <is>
          <t>Aucune page blanche ni message par défaut du cadre technique</t>
        </is>
      </c>
      <c r="H84" s="38" t="n">
        <v>2</v>
      </c>
      <c r="I84" s="36" t="inlineStr">
        <is>
          <t>Haute</t>
        </is>
      </c>
      <c r="J84" s="36" t="inlineStr">
        <is>
          <t>Complétée</t>
        </is>
      </c>
      <c r="K84" s="39" t="n"/>
      <c r="L84" s="16">
        <f>IF($B84="","",IF(J84="Complétée",1,IF(J84="Abandonnée",0,IF(K84&lt;&gt;"",K84,IFERROR(VLOOKUP(J84,Parametres!$B$6:$C$12,2,FALSE),0)))))</f>
        <v/>
      </c>
      <c r="M84" s="15">
        <f>IF($B84="","",IF(J84="Abandonnée",0,H84))</f>
        <v/>
      </c>
      <c r="N84" s="15">
        <f>IF($B84="","",M84*L84)</f>
        <v/>
      </c>
      <c r="O84" s="37" t="inlineStr">
        <is>
          <t>Abdou-Raouf</t>
        </is>
      </c>
      <c r="P84" s="40" t="n">
        <v>46298</v>
      </c>
      <c r="Q84" s="40" t="n">
        <v>46301</v>
      </c>
      <c r="R84" s="40" t="n">
        <v>46300</v>
      </c>
      <c r="S84" s="37" t="inlineStr"/>
      <c r="T84" s="36" t="inlineStr">
        <is>
          <t>Non</t>
        </is>
      </c>
      <c r="U84" s="13">
        <f>IF($B84="","",IF(AND(J84&lt;&gt;"Complétée",J84&lt;&gt;"Abandonnée",Q84&lt;&gt;"",TODAY()&gt;Q84),"En retard",""))</f>
        <v/>
      </c>
      <c r="V84" s="37" t="n"/>
    </row>
    <row r="85">
      <c r="B85" s="36" t="inlineStr">
        <is>
          <t>V1-080</t>
        </is>
      </c>
      <c r="C85" s="36" t="inlineStr">
        <is>
          <t>V1</t>
        </is>
      </c>
      <c r="D85" s="36" t="inlineStr">
        <is>
          <t>TRV</t>
        </is>
      </c>
      <c r="E85" s="37" t="inlineStr">
        <is>
          <t>Finition frontend</t>
        </is>
      </c>
      <c r="F85" s="37" t="inlineStr">
        <is>
          <t>Navigation au clavier : lien d'évitement, repères de page, ordre de tabulation après une action</t>
        </is>
      </c>
      <c r="G85" s="37" t="inlineStr">
        <is>
          <t>Le parcours complet est praticable sans souris</t>
        </is>
      </c>
      <c r="H85" s="38" t="n">
        <v>1</v>
      </c>
      <c r="I85" s="36" t="inlineStr">
        <is>
          <t>Moyenne</t>
        </is>
      </c>
      <c r="J85" s="36" t="inlineStr">
        <is>
          <t>En cours</t>
        </is>
      </c>
      <c r="K85" s="39" t="n">
        <v>0.6</v>
      </c>
      <c r="L85" s="16">
        <f>IF($B85="","",IF(J85="Complétée",1,IF(J85="Abandonnée",0,IF(K85&lt;&gt;"",K85,IFERROR(VLOOKUP(J85,Parametres!$B$6:$C$12,2,FALSE),0)))))</f>
        <v/>
      </c>
      <c r="M85" s="15">
        <f>IF($B85="","",IF(J85="Abandonnée",0,H85))</f>
        <v/>
      </c>
      <c r="N85" s="15">
        <f>IF($B85="","",M85*L85)</f>
        <v/>
      </c>
      <c r="O85" s="37" t="inlineStr">
        <is>
          <t>Abdou-Raouf</t>
        </is>
      </c>
      <c r="P85" s="40" t="n">
        <v>46298</v>
      </c>
      <c r="Q85" s="40" t="n">
        <v>46300</v>
      </c>
      <c r="R85" s="40" t="n"/>
      <c r="S85" s="37" t="inlineStr"/>
      <c r="T85" s="36" t="inlineStr">
        <is>
          <t>Non</t>
        </is>
      </c>
      <c r="U85" s="13">
        <f>IF($B85="","",IF(AND(J85&lt;&gt;"Complétée",J85&lt;&gt;"Abandonnée",Q85&lt;&gt;"",TODAY()&gt;Q85),"En retard",""))</f>
        <v/>
      </c>
      <c r="V85" s="37" t="n"/>
    </row>
    <row r="86">
      <c r="B86" s="36" t="inlineStr">
        <is>
          <t>V1-081</t>
        </is>
      </c>
      <c r="C86" s="36" t="inlineStr">
        <is>
          <t>V1</t>
        </is>
      </c>
      <c r="D86" s="36" t="inlineStr">
        <is>
          <t>TRV</t>
        </is>
      </c>
      <c r="E86" s="37" t="inlineStr">
        <is>
          <t>Finition frontend</t>
        </is>
      </c>
      <c r="F86" s="37" t="inlineStr">
        <is>
          <t>Tableaux accessibles : intitulé, portée des colonnes, en-têtes de ligne</t>
        </is>
      </c>
      <c r="G86" s="37" t="inlineStr">
        <is>
          <t>Chaque tableau se lit hors contexte visuel</t>
        </is>
      </c>
      <c r="H86" s="38" t="n">
        <v>1</v>
      </c>
      <c r="I86" s="36" t="inlineStr">
        <is>
          <t>Moyenne</t>
        </is>
      </c>
      <c r="J86" s="36" t="inlineStr">
        <is>
          <t>En cours</t>
        </is>
      </c>
      <c r="K86" s="39" t="n">
        <v>0.7</v>
      </c>
      <c r="L86" s="16">
        <f>IF($B86="","",IF(J86="Complétée",1,IF(J86="Abandonnée",0,IF(K86&lt;&gt;"",K86,IFERROR(VLOOKUP(J86,Parametres!$B$6:$C$12,2,FALSE),0)))))</f>
        <v/>
      </c>
      <c r="M86" s="15">
        <f>IF($B86="","",IF(J86="Abandonnée",0,H86))</f>
        <v/>
      </c>
      <c r="N86" s="15">
        <f>IF($B86="","",M86*L86)</f>
        <v/>
      </c>
      <c r="O86" s="37" t="inlineStr">
        <is>
          <t>Abdou-Raouf</t>
        </is>
      </c>
      <c r="P86" s="40" t="n">
        <v>46298</v>
      </c>
      <c r="Q86" s="40" t="n">
        <v>46300</v>
      </c>
      <c r="R86" s="40" t="n"/>
      <c r="S86" s="37" t="inlineStr"/>
      <c r="T86" s="36" t="inlineStr">
        <is>
          <t>Non</t>
        </is>
      </c>
      <c r="U86" s="13">
        <f>IF($B86="","",IF(AND(J86&lt;&gt;"Complétée",J86&lt;&gt;"Abandonnée",Q86&lt;&gt;"",TODAY()&gt;Q86),"En retard",""))</f>
        <v/>
      </c>
      <c r="V86" s="37" t="n"/>
    </row>
    <row r="87">
      <c r="B87" s="36" t="inlineStr">
        <is>
          <t>V1-082</t>
        </is>
      </c>
      <c r="C87" s="36" t="inlineStr">
        <is>
          <t>V1</t>
        </is>
      </c>
      <c r="D87" s="36" t="inlineStr">
        <is>
          <t>TRV</t>
        </is>
      </c>
      <c r="E87" s="37" t="inlineStr">
        <is>
          <t>Finition frontend</t>
        </is>
      </c>
      <c r="F87" s="37" t="inlineStr">
        <is>
          <t>Revue des contrôles désactivés et des liens ouvrant un nouvel onglet</t>
        </is>
      </c>
      <c r="G87" s="37" t="inlineStr">
        <is>
          <t>Un contrôle désactivé dit pourquoi ; un nouvel onglet est annoncé</t>
        </is>
      </c>
      <c r="H87" s="38" t="n">
        <v>1</v>
      </c>
      <c r="I87" s="36" t="inlineStr">
        <is>
          <t>Moyenne</t>
        </is>
      </c>
      <c r="J87" s="36" t="inlineStr">
        <is>
          <t>Complétée</t>
        </is>
      </c>
      <c r="K87" s="39" t="n"/>
      <c r="L87" s="16">
        <f>IF($B87="","",IF(J87="Complétée",1,IF(J87="Abandonnée",0,IF(K87&lt;&gt;"",K87,IFERROR(VLOOKUP(J87,Parametres!$B$6:$C$12,2,FALSE),0)))))</f>
        <v/>
      </c>
      <c r="M87" s="15">
        <f>IF($B87="","",IF(J87="Abandonnée",0,H87))</f>
        <v/>
      </c>
      <c r="N87" s="15">
        <f>IF($B87="","",M87*L87)</f>
        <v/>
      </c>
      <c r="O87" s="37" t="inlineStr">
        <is>
          <t>Abdou-Raouf</t>
        </is>
      </c>
      <c r="P87" s="40" t="n">
        <v>46298</v>
      </c>
      <c r="Q87" s="40" t="n">
        <v>46300</v>
      </c>
      <c r="R87" s="40" t="n">
        <v>46300</v>
      </c>
      <c r="S87" s="37" t="inlineStr"/>
      <c r="T87" s="36" t="inlineStr">
        <is>
          <t>Non</t>
        </is>
      </c>
      <c r="U87" s="13">
        <f>IF($B87="","",IF(AND(J87&lt;&gt;"Complétée",J87&lt;&gt;"Abandonnée",Q87&lt;&gt;"",TODAY()&gt;Q87),"En retard",""))</f>
        <v/>
      </c>
      <c r="V87" s="37" t="n"/>
    </row>
    <row r="88">
      <c r="B88" s="36" t="inlineStr">
        <is>
          <t>V1-083</t>
        </is>
      </c>
      <c r="C88" s="36" t="inlineStr">
        <is>
          <t>V1</t>
        </is>
      </c>
      <c r="D88" s="36" t="inlineStr">
        <is>
          <t>TRV</t>
        </is>
      </c>
      <c r="E88" s="37" t="inlineStr">
        <is>
          <t>Finition frontend</t>
        </is>
      </c>
      <c r="F88" s="37" t="inlineStr">
        <is>
          <t>Passe de finition visuelle sur les six parcours (espacements, alignements, états au survol et au focus)</t>
        </is>
      </c>
      <c r="G88" s="37" t="inlineStr">
        <is>
          <t>Écarts relevés lors de la revue traités ou inscrits</t>
        </is>
      </c>
      <c r="H88" s="38" t="n">
        <v>3</v>
      </c>
      <c r="I88" s="36" t="inlineStr">
        <is>
          <t>Moyenne</t>
        </is>
      </c>
      <c r="J88" s="36" t="inlineStr">
        <is>
          <t>À faire</t>
        </is>
      </c>
      <c r="K88" s="39" t="n"/>
      <c r="L88" s="16">
        <f>IF($B88="","",IF(J88="Complétée",1,IF(J88="Abandonnée",0,IF(K88&lt;&gt;"",K88,IFERROR(VLOOKUP(J88,Parametres!$B$6:$C$12,2,FALSE),0)))))</f>
        <v/>
      </c>
      <c r="M88" s="15">
        <f>IF($B88="","",IF(J88="Abandonnée",0,H88))</f>
        <v/>
      </c>
      <c r="N88" s="15">
        <f>IF($B88="","",M88*L88)</f>
        <v/>
      </c>
      <c r="O88" s="37" t="n"/>
      <c r="P88" s="40" t="n">
        <v>46298</v>
      </c>
      <c r="Q88" s="40" t="n">
        <v>46303</v>
      </c>
      <c r="R88" s="40" t="n"/>
      <c r="S88" s="37" t="inlineStr"/>
      <c r="T88" s="36" t="inlineStr">
        <is>
          <t>Non</t>
        </is>
      </c>
      <c r="U88" s="13">
        <f>IF($B88="","",IF(AND(J88&lt;&gt;"Complétée",J88&lt;&gt;"Abandonnée",Q88&lt;&gt;"",TODAY()&gt;Q88),"En retard",""))</f>
        <v/>
      </c>
      <c r="V88" s="37" t="n"/>
    </row>
    <row r="89">
      <c r="B89" s="36" t="inlineStr">
        <is>
          <t>V1-084</t>
        </is>
      </c>
      <c r="C89" s="36" t="inlineStr">
        <is>
          <t>V1</t>
        </is>
      </c>
      <c r="D89" s="36" t="inlineStr">
        <is>
          <t>TRV</t>
        </is>
      </c>
      <c r="E89" s="37" t="inlineStr">
        <is>
          <t>QA et livraison</t>
        </is>
      </c>
      <c r="F89" s="37" t="inlineStr">
        <is>
          <t>Tests automatisés : unitaires et bout en bout sur les parcours critiques</t>
        </is>
      </c>
      <c r="G89" s="37" t="inlineStr">
        <is>
          <t>Couverture des parcours inscription, dossier, publication, certification</t>
        </is>
      </c>
      <c r="H89" s="38" t="n">
        <v>5</v>
      </c>
      <c r="I89" s="36" t="inlineStr">
        <is>
          <t>Haute</t>
        </is>
      </c>
      <c r="J89" s="36" t="inlineStr">
        <is>
          <t>Complétée</t>
        </is>
      </c>
      <c r="K89" s="39" t="n"/>
      <c r="L89" s="16">
        <f>IF($B89="","",IF(J89="Complétée",1,IF(J89="Abandonnée",0,IF(K89&lt;&gt;"",K89,IFERROR(VLOOKUP(J89,Parametres!$B$6:$C$12,2,FALSE),0)))))</f>
        <v/>
      </c>
      <c r="M89" s="15">
        <f>IF($B89="","",IF(J89="Abandonnée",0,H89))</f>
        <v/>
      </c>
      <c r="N89" s="15">
        <f>IF($B89="","",M89*L89)</f>
        <v/>
      </c>
      <c r="O89" s="37" t="inlineStr">
        <is>
          <t>Abdou-Raouf</t>
        </is>
      </c>
      <c r="P89" s="40" t="n">
        <v>46308</v>
      </c>
      <c r="Q89" s="40" t="n">
        <v>46310</v>
      </c>
      <c r="R89" s="40" t="n">
        <v>46310</v>
      </c>
      <c r="S89" s="37" t="inlineStr"/>
      <c r="T89" s="36" t="inlineStr">
        <is>
          <t>Non</t>
        </is>
      </c>
      <c r="U89" s="13">
        <f>IF($B89="","",IF(AND(J89&lt;&gt;"Complétée",J89&lt;&gt;"Abandonnée",Q89&lt;&gt;"",TODAY()&gt;Q89),"En retard",""))</f>
        <v/>
      </c>
      <c r="V89" s="37" t="inlineStr">
        <is>
          <t>Suite de tests existante réalisée. Extension navigateur et preuves de recette suivies en V1-100.</t>
        </is>
      </c>
    </row>
    <row r="90">
      <c r="B90" s="36" t="inlineStr">
        <is>
          <t>V1-085</t>
        </is>
      </c>
      <c r="C90" s="36" t="inlineStr">
        <is>
          <t>V1</t>
        </is>
      </c>
      <c r="D90" s="36" t="inlineStr">
        <is>
          <t>TRV</t>
        </is>
      </c>
      <c r="E90" s="37" t="inlineStr">
        <is>
          <t>QA et livraison</t>
        </is>
      </c>
      <c r="F90" s="37" t="inlineStr">
        <is>
          <t>Tests négatifs : permissions serveur, accès non autorisés, contrôles morts</t>
        </is>
      </c>
      <c r="G90" s="37" t="inlineStr">
        <is>
          <t>Aucun contrôle visible sans réaction définie</t>
        </is>
      </c>
      <c r="H90" s="38" t="n">
        <v>3</v>
      </c>
      <c r="I90" s="36" t="inlineStr">
        <is>
          <t>Haute</t>
        </is>
      </c>
      <c r="J90" s="36" t="inlineStr">
        <is>
          <t>Complétée</t>
        </is>
      </c>
      <c r="K90" s="39" t="n"/>
      <c r="L90" s="16">
        <f>IF($B90="","",IF(J90="Complétée",1,IF(J90="Abandonnée",0,IF(K90&lt;&gt;"",K90,IFERROR(VLOOKUP(J90,Parametres!$B$6:$C$12,2,FALSE),0)))))</f>
        <v/>
      </c>
      <c r="M90" s="15">
        <f>IF($B90="","",IF(J90="Abandonnée",0,H90))</f>
        <v/>
      </c>
      <c r="N90" s="15">
        <f>IF($B90="","",M90*L90)</f>
        <v/>
      </c>
      <c r="O90" s="37" t="inlineStr">
        <is>
          <t>Abdou-Raouf</t>
        </is>
      </c>
      <c r="P90" s="40" t="n">
        <v>46308</v>
      </c>
      <c r="Q90" s="40" t="n">
        <v>46310</v>
      </c>
      <c r="R90" s="40" t="n">
        <v>46308</v>
      </c>
      <c r="S90" s="37" t="inlineStr"/>
      <c r="T90" s="36" t="inlineStr">
        <is>
          <t>Non</t>
        </is>
      </c>
      <c r="U90" s="13">
        <f>IF($B90="","",IF(AND(J90&lt;&gt;"Complétée",J90&lt;&gt;"Abandonnée",Q90&lt;&gt;"",TODAY()&gt;Q90),"En retard",""))</f>
        <v/>
      </c>
      <c r="V90" s="37" t="inlineStr">
        <is>
          <t>Tests négatifs et registre réalisés. Contrats et comportements navigateur suivis en V1-092/100.</t>
        </is>
      </c>
    </row>
    <row r="91">
      <c r="B91" s="36" t="inlineStr">
        <is>
          <t>V1-086</t>
        </is>
      </c>
      <c r="C91" s="36" t="inlineStr">
        <is>
          <t>V1</t>
        </is>
      </c>
      <c r="D91" s="36" t="inlineStr">
        <is>
          <t>TRV</t>
        </is>
      </c>
      <c r="E91" s="37" t="inlineStr">
        <is>
          <t>QA et livraison</t>
        </is>
      </c>
      <c r="F91" s="37" t="inlineStr">
        <is>
          <t>Captures de régression visuelle sur le laboratoire de composants (1440 x 960 et 390 x 844)</t>
        </is>
      </c>
      <c r="G91" s="37" t="inlineStr">
        <is>
          <t>Captures 1440 x 960 et 390 x 844 archivées, écarts intentionnels dans qa/fidelity-ledger.md ; régression non approuvée bloque la CI</t>
        </is>
      </c>
      <c r="H91" s="38" t="n">
        <v>2</v>
      </c>
      <c r="I91" s="36" t="inlineStr">
        <is>
          <t>Moyenne</t>
        </is>
      </c>
      <c r="J91" s="36" t="inlineStr">
        <is>
          <t>À faire</t>
        </is>
      </c>
      <c r="K91" s="39" t="n"/>
      <c r="L91" s="16">
        <f>IF($B91="","",IF(J91="Complétée",1,IF(J91="Abandonnée",0,IF(K91&lt;&gt;"",K91,IFERROR(VLOOKUP(J91,Parametres!$B$6:$C$12,2,FALSE),0)))))</f>
        <v/>
      </c>
      <c r="M91" s="15">
        <f>IF($B91="","",IF(J91="Abandonnée",0,H91))</f>
        <v/>
      </c>
      <c r="N91" s="15">
        <f>IF($B91="","",M91*L91)</f>
        <v/>
      </c>
      <c r="O91" s="37" t="n"/>
      <c r="P91" s="40" t="n">
        <v>46308</v>
      </c>
      <c r="Q91" s="40" t="n">
        <v>46310</v>
      </c>
      <c r="R91" s="40" t="n"/>
      <c r="S91" s="37" t="inlineStr"/>
      <c r="T91" s="36" t="inlineStr">
        <is>
          <t>Non</t>
        </is>
      </c>
      <c r="U91" s="13">
        <f>IF($B91="","",IF(AND(J91&lt;&gt;"Complétée",J91&lt;&gt;"Abandonnée",Q91&lt;&gt;"",TODAY()&gt;Q91),"En retard",""))</f>
        <v/>
      </c>
      <c r="V91" s="37" t="n"/>
    </row>
    <row r="92">
      <c r="B92" s="36" t="inlineStr">
        <is>
          <t>V1-087</t>
        </is>
      </c>
      <c r="C92" s="36" t="inlineStr">
        <is>
          <t>V1</t>
        </is>
      </c>
      <c r="D92" s="36" t="inlineStr">
        <is>
          <t>TRV</t>
        </is>
      </c>
      <c r="E92" s="37" t="inlineStr">
        <is>
          <t>QA et livraison</t>
        </is>
      </c>
      <c r="F92" s="37" t="inlineStr">
        <is>
          <t>Jeu de données de démonstration complet (synthétique, étiqueté)</t>
        </is>
      </c>
      <c r="G92" s="37" t="inlineStr">
        <is>
          <t>Aucune donnée réelle, étiquette visible</t>
        </is>
      </c>
      <c r="H92" s="38" t="n">
        <v>3</v>
      </c>
      <c r="I92" s="36" t="inlineStr">
        <is>
          <t>Haute</t>
        </is>
      </c>
      <c r="J92" s="36" t="inlineStr">
        <is>
          <t>Complétée</t>
        </is>
      </c>
      <c r="K92" s="39" t="n"/>
      <c r="L92" s="16">
        <f>IF($B92="","",IF(J92="Complétée",1,IF(J92="Abandonnée",0,IF(K92&lt;&gt;"",K92,IFERROR(VLOOKUP(J92,Parametres!$B$6:$C$12,2,FALSE),0)))))</f>
        <v/>
      </c>
      <c r="M92" s="15">
        <f>IF($B92="","",IF(J92="Abandonnée",0,H92))</f>
        <v/>
      </c>
      <c r="N92" s="15">
        <f>IF($B92="","",M92*L92)</f>
        <v/>
      </c>
      <c r="O92" s="37" t="inlineStr">
        <is>
          <t>Abdou-Raouf</t>
        </is>
      </c>
      <c r="P92" s="40" t="n">
        <v>46308</v>
      </c>
      <c r="Q92" s="40" t="n">
        <v>46310</v>
      </c>
      <c r="R92" s="40" t="n">
        <v>46310</v>
      </c>
      <c r="S92" s="37" t="inlineStr"/>
      <c r="T92" s="36" t="inlineStr">
        <is>
          <t>Non</t>
        </is>
      </c>
      <c r="U92" s="13">
        <f>IF($B92="","",IF(AND(J92&lt;&gt;"Complétée",J92&lt;&gt;"Abandonnée",Q92&lt;&gt;"",TODAY()&gt;Q92),"En retard",""))</f>
        <v/>
      </c>
      <c r="V92" s="37" t="n"/>
    </row>
    <row r="93">
      <c r="B93" s="36" t="inlineStr">
        <is>
          <t>V1-088</t>
        </is>
      </c>
      <c r="C93" s="36" t="inlineStr">
        <is>
          <t>V1</t>
        </is>
      </c>
      <c r="D93" s="36" t="inlineStr">
        <is>
          <t>TRV</t>
        </is>
      </c>
      <c r="E93" s="37" t="inlineStr">
        <is>
          <t>QA et livraison</t>
        </is>
      </c>
      <c r="F93" s="37" t="inlineStr">
        <is>
          <t>Recette interne et corrections</t>
        </is>
      </c>
      <c r="G93" s="37" t="inlineStr">
        <is>
          <t>Zéro anomalie bloquante ouverte</t>
        </is>
      </c>
      <c r="H93" s="38" t="n">
        <v>4</v>
      </c>
      <c r="I93" s="36" t="inlineStr">
        <is>
          <t>Haute</t>
        </is>
      </c>
      <c r="J93" s="36" t="inlineStr">
        <is>
          <t>À faire</t>
        </is>
      </c>
      <c r="K93" s="39" t="n"/>
      <c r="L93" s="16">
        <f>IF($B93="","",IF(J93="Complétée",1,IF(J93="Abandonnée",0,IF(K93&lt;&gt;"",K93,IFERROR(VLOOKUP(J93,Parametres!$B$6:$C$12,2,FALSE),0)))))</f>
        <v/>
      </c>
      <c r="M93" s="15">
        <f>IF($B93="","",IF(J93="Abandonnée",0,H93))</f>
        <v/>
      </c>
      <c r="N93" s="15">
        <f>IF($B93="","",M93*L93)</f>
        <v/>
      </c>
      <c r="O93" s="37" t="n"/>
      <c r="P93" s="40" t="n">
        <v>46308</v>
      </c>
      <c r="Q93" s="40" t="n">
        <v>46310</v>
      </c>
      <c r="R93" s="40" t="n"/>
      <c r="S93" s="37" t="inlineStr"/>
      <c r="T93" s="36" t="inlineStr">
        <is>
          <t>Non</t>
        </is>
      </c>
      <c r="U93" s="13">
        <f>IF($B93="","",IF(AND(J93&lt;&gt;"Complétée",J93&lt;&gt;"Abandonnée",Q93&lt;&gt;"",TODAY()&gt;Q93),"En retard",""))</f>
        <v/>
      </c>
      <c r="V93" s="37" t="n"/>
    </row>
    <row r="94">
      <c r="B94" s="36" t="inlineStr">
        <is>
          <t>V1-089</t>
        </is>
      </c>
      <c r="C94" s="36" t="inlineStr">
        <is>
          <t>V1</t>
        </is>
      </c>
      <c r="D94" s="36" t="inlineStr">
        <is>
          <t>TRV</t>
        </is>
      </c>
      <c r="E94" s="37" t="inlineStr">
        <is>
          <t>QA et livraison</t>
        </is>
      </c>
      <c r="F94" s="37" t="inlineStr">
        <is>
          <t>Documentation développeur et guide de démonstration</t>
        </is>
      </c>
      <c r="G94" s="37" t="inlineStr">
        <is>
          <t>Nouvel arrivant opérationnel en une journée</t>
        </is>
      </c>
      <c r="H94" s="38" t="n">
        <v>3</v>
      </c>
      <c r="I94" s="36" t="inlineStr">
        <is>
          <t>Moyenne</t>
        </is>
      </c>
      <c r="J94" s="36" t="inlineStr">
        <is>
          <t>Complétée</t>
        </is>
      </c>
      <c r="K94" s="39" t="n"/>
      <c r="L94" s="16">
        <f>IF($B94="","",IF(J94="Complétée",1,IF(J94="Abandonnée",0,IF(K94&lt;&gt;"",K94,IFERROR(VLOOKUP(J94,Parametres!$B$6:$C$12,2,FALSE),0)))))</f>
        <v/>
      </c>
      <c r="M94" s="15">
        <f>IF($B94="","",IF(J94="Abandonnée",0,H94))</f>
        <v/>
      </c>
      <c r="N94" s="15">
        <f>IF($B94="","",M94*L94)</f>
        <v/>
      </c>
      <c r="O94" s="37" t="inlineStr">
        <is>
          <t>Abdou-Raouf</t>
        </is>
      </c>
      <c r="P94" s="40" t="n">
        <v>46308</v>
      </c>
      <c r="Q94" s="40" t="n">
        <v>46310</v>
      </c>
      <c r="R94" s="40" t="n">
        <v>46310</v>
      </c>
      <c r="S94" s="37" t="inlineStr"/>
      <c r="T94" s="36" t="inlineStr">
        <is>
          <t>Non</t>
        </is>
      </c>
      <c r="U94" s="13">
        <f>IF($B94="","",IF(AND(J94&lt;&gt;"Complétée",J94&lt;&gt;"Abandonnée",Q94&lt;&gt;"",TODAY()&gt;Q94),"En retard",""))</f>
        <v/>
      </c>
      <c r="V94" s="37" t="n"/>
    </row>
    <row r="95">
      <c r="B95" s="36" t="inlineStr">
        <is>
          <t>V1-090</t>
        </is>
      </c>
      <c r="C95" s="36" t="inlineStr">
        <is>
          <t>V1</t>
        </is>
      </c>
      <c r="D95" s="36" t="inlineStr">
        <is>
          <t>TRV</t>
        </is>
      </c>
      <c r="E95" s="37" t="inlineStr">
        <is>
          <t>QA et livraison</t>
        </is>
      </c>
      <c r="F95" s="37" t="inlineStr">
        <is>
          <t>Préparation de la démonstration du 15/10 (script, environnement, données)</t>
        </is>
      </c>
      <c r="G95" s="37" t="inlineStr">
        <is>
          <t>Répétition générale réalisée</t>
        </is>
      </c>
      <c r="H95" s="38" t="n">
        <v>2</v>
      </c>
      <c r="I95" s="36" t="inlineStr">
        <is>
          <t>Haute</t>
        </is>
      </c>
      <c r="J95" s="36" t="inlineStr">
        <is>
          <t>À faire</t>
        </is>
      </c>
      <c r="K95" s="39" t="n"/>
      <c r="L95" s="16">
        <f>IF($B95="","",IF(J95="Complétée",1,IF(J95="Abandonnée",0,IF(K95&lt;&gt;"",K95,IFERROR(VLOOKUP(J95,Parametres!$B$6:$C$12,2,FALSE),0)))))</f>
        <v/>
      </c>
      <c r="M95" s="15">
        <f>IF($B95="","",IF(J95="Abandonnée",0,H95))</f>
        <v/>
      </c>
      <c r="N95" s="15">
        <f>IF($B95="","",M95*L95)</f>
        <v/>
      </c>
      <c r="O95" s="37" t="n"/>
      <c r="P95" s="40" t="n">
        <v>46308</v>
      </c>
      <c r="Q95" s="40" t="n">
        <v>46310</v>
      </c>
      <c r="R95" s="40" t="n"/>
      <c r="S95" s="37" t="inlineStr"/>
      <c r="T95" s="36" t="inlineStr">
        <is>
          <t>Non</t>
        </is>
      </c>
      <c r="U95" s="13">
        <f>IF($B95="","",IF(AND(J95&lt;&gt;"Complétée",J95&lt;&gt;"Abandonnée",Q95&lt;&gt;"",TODAY()&gt;Q95),"En retard",""))</f>
        <v/>
      </c>
      <c r="V95" s="37" t="n"/>
    </row>
    <row r="96">
      <c r="B96" s="36" t="inlineStr">
        <is>
          <t>V2-001</t>
        </is>
      </c>
      <c r="C96" s="36" t="inlineStr">
        <is>
          <t>V2</t>
        </is>
      </c>
      <c r="D96" s="36" t="inlineStr">
        <is>
          <t>MKT</t>
        </is>
      </c>
      <c r="E96" s="37" t="inlineStr">
        <is>
          <t>Mise en relation</t>
        </is>
      </c>
      <c r="F96" s="37" t="inlineStr">
        <is>
          <t>Qualification d'un repreneur par le cédant : décision tracée qui ouvre le palier suivant</t>
        </is>
      </c>
      <c r="G96" s="37" t="inlineStr">
        <is>
          <t>Aucune ouverture de palier sans décision nommée du cédant</t>
        </is>
      </c>
      <c r="H96" s="38" t="n">
        <v>4</v>
      </c>
      <c r="I96" s="36" t="inlineStr">
        <is>
          <t>Haute</t>
        </is>
      </c>
      <c r="J96" s="36" t="inlineStr">
        <is>
          <t>Backlog</t>
        </is>
      </c>
      <c r="K96" s="39" t="n"/>
      <c r="L96" s="16">
        <f>IF($B96="","",IF(J96="Complétée",1,IF(J96="Abandonnée",0,IF(K96&lt;&gt;"",K96,IFERROR(VLOOKUP(J96,Parametres!$B$6:$C$12,2,FALSE),0)))))</f>
        <v/>
      </c>
      <c r="M96" s="15">
        <f>IF($B96="","",IF(J96="Abandonnée",0,H96))</f>
        <v/>
      </c>
      <c r="N96" s="15">
        <f>IF($B96="","",M96*L96)</f>
        <v/>
      </c>
      <c r="O96" s="37" t="n"/>
      <c r="P96" s="40" t="n">
        <v>46311</v>
      </c>
      <c r="Q96" s="40" t="n">
        <v>46317</v>
      </c>
      <c r="R96" s="40" t="n"/>
      <c r="S96" s="37" t="inlineStr"/>
      <c r="T96" s="36" t="inlineStr">
        <is>
          <t>Non</t>
        </is>
      </c>
      <c r="U96" s="13">
        <f>IF($B96="","",IF(AND(J96&lt;&gt;"Complétée",J96&lt;&gt;"Abandonnée",Q96&lt;&gt;"",TODAY()&gt;Q96),"En retard",""))</f>
        <v/>
      </c>
      <c r="V96" s="37" t="n"/>
    </row>
    <row r="97">
      <c r="B97" s="36" t="inlineStr">
        <is>
          <t>V2-002</t>
        </is>
      </c>
      <c r="C97" s="36" t="inlineStr">
        <is>
          <t>V2</t>
        </is>
      </c>
      <c r="D97" s="36" t="inlineStr">
        <is>
          <t>MKT</t>
        </is>
      </c>
      <c r="E97" s="37" t="inlineStr">
        <is>
          <t>Mise en relation</t>
        </is>
      </c>
      <c r="F97" s="37" t="inlineStr">
        <is>
          <t>Suspension réversible d'une publication (amendement de la machine à états du v0)</t>
        </is>
      </c>
      <c r="G97" s="37" t="inlineStr">
        <is>
          <t>Un dossier suspendu redevient invisible sans être abandonné ; la transition est journalisée</t>
        </is>
      </c>
      <c r="H97" s="38" t="n">
        <v>3</v>
      </c>
      <c r="I97" s="36" t="inlineStr">
        <is>
          <t>Moyenne</t>
        </is>
      </c>
      <c r="J97" s="36" t="inlineStr">
        <is>
          <t>Backlog</t>
        </is>
      </c>
      <c r="K97" s="39" t="n"/>
      <c r="L97" s="16">
        <f>IF($B97="","",IF(J97="Complétée",1,IF(J97="Abandonnée",0,IF(K97&lt;&gt;"",K97,IFERROR(VLOOKUP(J97,Parametres!$B$6:$C$12,2,FALSE),0)))))</f>
        <v/>
      </c>
      <c r="M97" s="15">
        <f>IF($B97="","",IF(J97="Abandonnée",0,H97))</f>
        <v/>
      </c>
      <c r="N97" s="15">
        <f>IF($B97="","",M97*L97)</f>
        <v/>
      </c>
      <c r="O97" s="37" t="n"/>
      <c r="P97" s="40" t="n">
        <v>46312</v>
      </c>
      <c r="Q97" s="40" t="n">
        <v>46317</v>
      </c>
      <c r="R97" s="40" t="n"/>
      <c r="S97" s="37" t="inlineStr">
        <is>
          <t>Accord de M. Bruno sur l'amendement</t>
        </is>
      </c>
      <c r="T97" s="36" t="inlineStr">
        <is>
          <t>Oui</t>
        </is>
      </c>
      <c r="U97" s="13">
        <f>IF($B97="","",IF(AND(J97&lt;&gt;"Complétée",J97&lt;&gt;"Abandonnée",Q97&lt;&gt;"",TODAY()&gt;Q97),"En retard",""))</f>
        <v/>
      </c>
      <c r="V97" s="37" t="n"/>
    </row>
    <row r="98">
      <c r="B98" s="36" t="inlineStr">
        <is>
          <t>V2-003</t>
        </is>
      </c>
      <c r="C98" s="36" t="inlineStr">
        <is>
          <t>V2</t>
        </is>
      </c>
      <c r="D98" s="36" t="inlineStr">
        <is>
          <t>TRV</t>
        </is>
      </c>
      <c r="E98" s="37" t="inlineStr">
        <is>
          <t>Conception</t>
        </is>
      </c>
      <c r="F98" s="37" t="inlineStr">
        <is>
          <t>Contrats d'interaction : terminer les contrats du dépôt (déclencheur, autorisation, source, succès, blocage, audit) et reprendre les identifiants officiels sur les surfaces couvertes par le corpus</t>
        </is>
      </c>
      <c r="G98" s="37" t="inlineStr">
        <is>
          <t>Aucun contrat marqué à documenter ; nouveaux contrôles documentés dès leur ajout ; surfaces V1 traitées en priorité en V1-092</t>
        </is>
      </c>
      <c r="H98" s="38" t="n">
        <v>5</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46312</v>
      </c>
      <c r="Q98" s="40" t="n">
        <v>46319</v>
      </c>
      <c r="R98" s="40" t="n"/>
      <c r="S98" s="37" t="inlineStr">
        <is>
          <t>V1-092</t>
        </is>
      </c>
      <c r="T98" s="36" t="inlineStr">
        <is>
          <t>Non</t>
        </is>
      </c>
      <c r="U98" s="13">
        <f>IF($B98="","",IF(AND(J98&lt;&gt;"Complétée",J98&lt;&gt;"Abandonnée",Q98&lt;&gt;"",TODAY()&gt;Q98),"En retard",""))</f>
        <v/>
      </c>
      <c r="V98" s="37" t="n"/>
    </row>
    <row r="99">
      <c r="B99" s="36" t="inlineStr">
        <is>
          <t>V2-004</t>
        </is>
      </c>
      <c r="C99" s="36" t="inlineStr">
        <is>
          <t>V2</t>
        </is>
      </c>
      <c r="D99" s="36" t="inlineStr">
        <is>
          <t>TRV</t>
        </is>
      </c>
      <c r="E99" s="37" t="inlineStr">
        <is>
          <t>QA et sécurité</t>
        </is>
      </c>
      <c r="F99" s="37" t="inlineStr">
        <is>
          <t>Transposition des tests d'acceptation P0 du corpus (AI-01 à AI-06, DOC-01 à DOC-03, Q&amp;A-01, UI-01) en contrôles automatisés</t>
        </is>
      </c>
      <c r="G99" s="37" t="inlineStr">
        <is>
          <t>DOC-01 à DOC-03, Q&amp;A-01 et UI-01 exécutables pour V2 ; matrice AI-01 à AI-06 préparée, exécution IA portée par V5</t>
        </is>
      </c>
      <c r="H99" s="38" t="n">
        <v>4</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46313</v>
      </c>
      <c r="Q99" s="40" t="n">
        <v>46319</v>
      </c>
      <c r="R99" s="40" t="n"/>
      <c r="S99" s="37" t="inlineStr"/>
      <c r="T99" s="36" t="inlineStr">
        <is>
          <t>Non</t>
        </is>
      </c>
      <c r="U99" s="13">
        <f>IF($B99="","",IF(AND(J99&lt;&gt;"Complétée",J99&lt;&gt;"Abandonnée",Q99&lt;&gt;"",TODAY()&gt;Q99),"En retard",""))</f>
        <v/>
      </c>
      <c r="V99" s="37" t="n"/>
    </row>
    <row r="100">
      <c r="B100" s="36" t="inlineStr">
        <is>
          <t>V2-005</t>
        </is>
      </c>
      <c r="C100" s="36" t="inlineStr">
        <is>
          <t>V2</t>
        </is>
      </c>
      <c r="D100" s="36" t="inlineStr">
        <is>
          <t>TRV</t>
        </is>
      </c>
      <c r="E100" s="37" t="inlineStr">
        <is>
          <t>QA et sécurité</t>
        </is>
      </c>
      <c r="F100" s="37" t="inlineStr">
        <is>
          <t>Preuves de recette du Release Gate : résultats de bout en bout, couverture des contrôles, captures desktop et mobile, journal de fidélité</t>
        </is>
      </c>
      <c r="G100" s="37" t="inlineStr">
        <is>
          <t>La livraison produit les quatre artefacts attendus par le Release Gate</t>
        </is>
      </c>
      <c r="H100" s="38" t="n">
        <v>3</v>
      </c>
      <c r="I100" s="36" t="inlineStr">
        <is>
          <t>Moyenne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46314</v>
      </c>
      <c r="Q100" s="40" t="n">
        <v>46319</v>
      </c>
      <c r="R100" s="40" t="n"/>
      <c r="S100" s="37" t="inlineStr"/>
      <c r="T100" s="36" t="inlineStr">
        <is>
          <t>Non</t>
        </is>
      </c>
      <c r="U100" s="13">
        <f>IF($B100="","",IF(AND(J100&lt;&gt;"Complétée",J100&lt;&gt;"Abandonnée",Q100&lt;&gt;"",TODAY()&gt;Q100),"En retard",""))</f>
        <v/>
      </c>
      <c r="V100" s="37" t="n"/>
    </row>
    <row r="101">
      <c r="B101" s="36" t="inlineStr">
        <is>
          <t>V2-006</t>
        </is>
      </c>
      <c r="C101" s="36" t="inlineStr">
        <is>
          <t>V2</t>
        </is>
      </c>
      <c r="D101" s="36" t="inlineStr">
        <is>
          <t>MKT</t>
        </is>
      </c>
      <c r="E101" s="37" t="inlineStr">
        <is>
          <t>Mise en relation</t>
        </is>
      </c>
      <c r="F101" s="37" t="inlineStr">
        <is>
          <t>Vérité financière canonique : compte de résultat 5 ans, bilan et flux 3 ans, besoin en fonds de roulement, délais clients et fournisseurs, dette brute et nette, avec provenance et unité</t>
        </is>
      </c>
      <c r="G101" s="37" t="inlineStr">
        <is>
          <t>Le poste de travail de transaction dispose des données exigées par le standard d'implémentation</t>
        </is>
      </c>
      <c r="H101" s="38" t="n">
        <v>6</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46314</v>
      </c>
      <c r="Q101" s="40" t="n">
        <v>46323</v>
      </c>
      <c r="R101" s="40" t="n"/>
      <c r="S101" s="37" t="inlineStr"/>
      <c r="T101" s="36" t="inlineStr">
        <is>
          <t>Non</t>
        </is>
      </c>
      <c r="U101" s="13">
        <f>IF($B101="","",IF(AND(J101&lt;&gt;"Complétée",J101&lt;&gt;"Abandonnée",Q101&lt;&gt;"",TODAY()&gt;Q101),"En retard",""))</f>
        <v/>
      </c>
      <c r="V101" s="37" t="n"/>
    </row>
    <row r="102">
      <c r="B102" s="36" t="inlineStr">
        <is>
          <t>V2-007</t>
        </is>
      </c>
      <c r="C102" s="36" t="inlineStr">
        <is>
          <t>V2</t>
        </is>
      </c>
      <c r="D102" s="36" t="inlineStr">
        <is>
          <t>RPS</t>
        </is>
      </c>
      <c r="E102" s="37" t="inlineStr">
        <is>
          <t>Conception</t>
        </is>
      </c>
      <c r="F102" s="37" t="inlineStr">
        <is>
          <t>Conception du circuit RPS réel : modèle de cercle et de personne unique, plafond et seuils, admission humaine, journal réglementaire à chaîne de hachage, contrat d'API du service</t>
        </is>
      </c>
      <c r="G102" s="37" t="inlineStr">
        <is>
          <t>Spécification relue par le conseil juridique ; chaque règle du v0 (P07, P10) a sa contrepartie technique</t>
        </is>
      </c>
      <c r="H102" s="38" t="n">
        <v>4</v>
      </c>
      <c r="I102" s="36" t="inlineStr">
        <is>
          <t>Haute</t>
        </is>
      </c>
      <c r="J102" s="36" t="inlineStr">
        <is>
          <t>En cours</t>
        </is>
      </c>
      <c r="K102" s="39" t="n">
        <v>0.4</v>
      </c>
      <c r="L102" s="16">
        <f>IF($B102="","",IF(J102="Complétée",1,IF(J102="Abandonnée",0,IF(K102&lt;&gt;"",K102,IFERROR(VLOOKUP(J102,Parametres!$B$6:$C$12,2,FALSE),0)))))</f>
        <v/>
      </c>
      <c r="M102" s="15">
        <f>IF($B102="","",IF(J102="Abandonnée",0,H102))</f>
        <v/>
      </c>
      <c r="N102" s="15">
        <f>IF($B102="","",M102*L102)</f>
        <v/>
      </c>
      <c r="O102" s="37" t="inlineStr">
        <is>
          <t>Abdou-Raouf</t>
        </is>
      </c>
      <c r="P102" s="40" t="n">
        <v>46315</v>
      </c>
      <c r="Q102" s="40" t="n">
        <v>46321</v>
      </c>
      <c r="R102" s="40" t="n"/>
      <c r="S102" s="37" t="inlineStr"/>
      <c r="T102" s="36" t="inlineStr">
        <is>
          <t>Oui</t>
        </is>
      </c>
      <c r="U102" s="13">
        <f>IF($B102="","",IF(AND(J102&lt;&gt;"Complétée",J102&lt;&gt;"Abandonnée",Q102&lt;&gt;"",TODAY()&gt;Q102),"En retard",""))</f>
        <v/>
      </c>
      <c r="V102" s="37" t="inlineStr">
        <is>
          <t>Audit 12/09 : ADR, schéma et règles RPS présents ; concurrence, immutabilité et revue juridique à fermer.</t>
        </is>
      </c>
    </row>
    <row r="103">
      <c r="B103" s="36" t="inlineStr">
        <is>
          <t>V2-008</t>
        </is>
      </c>
      <c r="C103" s="36" t="inlineStr">
        <is>
          <t>V2</t>
        </is>
      </c>
      <c r="D103" s="36" t="inlineStr">
        <is>
          <t>VDR</t>
        </is>
      </c>
      <c r="E103" s="37" t="inlineStr">
        <is>
          <t>Conception</t>
        </is>
      </c>
      <c r="F103" s="37" t="inlineStr">
        <is>
          <t>Conception de la data room : stockage chiffré isolé, rendu serveur, filigrane dynamique, révocation en moins de 60 s, journal d'accès, modèle de permissions par dossier</t>
        </is>
      </c>
      <c r="G103" s="37" t="inlineStr">
        <is>
          <t>Aucun chemin d'accès direct aux fichiers ; schéma de permissions validé sur les 12 cas de référence</t>
        </is>
      </c>
      <c r="H103" s="38" t="n">
        <v>4</v>
      </c>
      <c r="I103" s="36" t="inlineStr">
        <is>
          <t>Haute</t>
        </is>
      </c>
      <c r="J103" s="36" t="inlineStr">
        <is>
          <t>En cours</t>
        </is>
      </c>
      <c r="K103" s="39" t="n">
        <v>0.25</v>
      </c>
      <c r="L103" s="16">
        <f>IF($B103="","",IF(J103="Complétée",1,IF(J103="Abandonnée",0,IF(K103&lt;&gt;"",K103,IFERROR(VLOOKUP(J103,Parametres!$B$6:$C$12,2,FALSE),0)))))</f>
        <v/>
      </c>
      <c r="M103" s="15">
        <f>IF($B103="","",IF(J103="Abandonnée",0,H103))</f>
        <v/>
      </c>
      <c r="N103" s="15">
        <f>IF($B103="","",M103*L103)</f>
        <v/>
      </c>
      <c r="O103" s="37" t="inlineStr">
        <is>
          <t>Abdou-Raouf</t>
        </is>
      </c>
      <c r="P103" s="40" t="n">
        <v>46316</v>
      </c>
      <c r="Q103" s="40" t="n">
        <v>46322</v>
      </c>
      <c r="R103" s="40" t="n"/>
      <c r="S103" s="37" t="inlineStr"/>
      <c r="T103" s="36" t="inlineStr">
        <is>
          <t>Oui</t>
        </is>
      </c>
      <c r="U103" s="13">
        <f>IF($B103="","",IF(AND(J103&lt;&gt;"Complétée",J103&lt;&gt;"Abandonnée",Q103&lt;&gt;"",TODAY()&gt;Q103),"En retard",""))</f>
        <v/>
      </c>
      <c r="V103" s="37" t="inlineStr">
        <is>
          <t>Audit 12/09 : ADR 0003 et schéma VDR présents, dont les huit états documentaires ; permissions et viewer exécutables absents.</t>
        </is>
      </c>
    </row>
    <row r="104">
      <c r="B104" s="36" t="inlineStr">
        <is>
          <t>V2-009</t>
        </is>
      </c>
      <c r="C104" s="36" t="inlineStr">
        <is>
          <t>V2</t>
        </is>
      </c>
      <c r="D104" s="36" t="inlineStr">
        <is>
          <t>SIG</t>
        </is>
      </c>
      <c r="E104" s="37" t="inlineStr">
        <is>
          <t>Conception</t>
        </is>
      </c>
      <c r="F104" s="37" t="inlineStr">
        <is>
          <t>Conception de la signature électronique : intégration du prestataire PSC, preuve et archivage, repli papier, statuts de signature dans la machine à états</t>
        </is>
      </c>
      <c r="G104" s="37" t="inlineStr">
        <is>
          <t>Contrat de preuve et repli papier définis ; gabarit NDA versionné et revu juridiquement disponible en V2 sans attendre le moteur LegalTech V3</t>
        </is>
      </c>
      <c r="H104" s="38" t="n">
        <v>2</v>
      </c>
      <c r="I104" s="36" t="inlineStr">
        <is>
          <t>Haute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46317</v>
      </c>
      <c r="Q104" s="40" t="n">
        <v>46320</v>
      </c>
      <c r="R104" s="40" t="n"/>
      <c r="S104" s="37" t="inlineStr">
        <is>
          <t>Contrat PSC</t>
        </is>
      </c>
      <c r="T104" s="36" t="inlineStr">
        <is>
          <t>Non</t>
        </is>
      </c>
      <c r="U104" s="13">
        <f>IF($B104="","",IF(AND(J104&lt;&gt;"Complétée",J104&lt;&gt;"Abandonnée",Q104&lt;&gt;"",TODAY()&gt;Q104),"En retard",""))</f>
        <v/>
      </c>
      <c r="V104" s="37" t="n"/>
    </row>
    <row r="105">
      <c r="B105" s="36" t="inlineStr">
        <is>
          <t>V2-010</t>
        </is>
      </c>
      <c r="C105" s="36" t="inlineStr">
        <is>
          <t>V2</t>
        </is>
      </c>
      <c r="D105" s="36" t="inlineStr">
        <is>
          <t>TRV</t>
        </is>
      </c>
      <c r="E105" s="37" t="inlineStr">
        <is>
          <t>Conception</t>
        </is>
      </c>
      <c r="F105" s="37" t="inlineStr">
        <is>
          <t>Revue d'architecture V2 et mise à jour du modèle de menaces (paliers T1/T2, data room, signature)</t>
        </is>
      </c>
      <c r="G105" s="37" t="inlineStr">
        <is>
          <t>ADR mis à jour ; menaces nouvelles reliées aux tests de QA et sécurité</t>
        </is>
      </c>
      <c r="H105" s="38" t="n">
        <v>2</v>
      </c>
      <c r="I105" s="36" t="inlineStr">
        <is>
          <t>Haute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46317</v>
      </c>
      <c r="Q105" s="40" t="n">
        <v>46320</v>
      </c>
      <c r="R105" s="40" t="n"/>
      <c r="S105" s="37" t="inlineStr"/>
      <c r="T105" s="36" t="inlineStr">
        <is>
          <t>Non</t>
        </is>
      </c>
      <c r="U105" s="13">
        <f>IF($B105="","",IF(AND(J105&lt;&gt;"Complétée",J105&lt;&gt;"Abandonnée",Q105&lt;&gt;"",TODAY()&gt;Q105),"En retard",""))</f>
        <v/>
      </c>
      <c r="V105" s="37" t="n"/>
    </row>
    <row r="106">
      <c r="B106" s="36" t="inlineStr">
        <is>
          <t>V2-011</t>
        </is>
      </c>
      <c r="C106" s="36" t="inlineStr">
        <is>
          <t>V2</t>
        </is>
      </c>
      <c r="D106" s="36" t="inlineStr">
        <is>
          <t>RPS</t>
        </is>
      </c>
      <c r="E106" s="37" t="inlineStr">
        <is>
          <t>Circuit RPS réel</t>
        </is>
      </c>
      <c r="F106" s="37" t="inlineStr">
        <is>
          <t>Micro-service RPS indépendant : datastore, API, déploiement séparé</t>
        </is>
      </c>
      <c r="G106" s="37" t="inlineStr">
        <is>
          <t>Déployable indépendamment du reste de la plateforme</t>
        </is>
      </c>
      <c r="H106" s="38" t="n">
        <v>6</v>
      </c>
      <c r="I106" s="36" t="inlineStr">
        <is>
          <t>Haute</t>
        </is>
      </c>
      <c r="J106" s="36" t="inlineStr">
        <is>
          <t>En cours</t>
        </is>
      </c>
      <c r="K106" s="39" t="n">
        <v>0.6</v>
      </c>
      <c r="L106" s="16">
        <f>IF($B106="","",IF(J106="Complétée",1,IF(J106="Abandonnée",0,IF(K106&lt;&gt;"",K106,IFERROR(VLOOKUP(J106,Parametres!$B$6:$C$12,2,FALSE),0)))))</f>
        <v/>
      </c>
      <c r="M106" s="15">
        <f>IF($B106="","",IF(J106="Abandonnée",0,H106))</f>
        <v/>
      </c>
      <c r="N106" s="15">
        <f>IF($B106="","",M106*L106)</f>
        <v/>
      </c>
      <c r="O106" s="37" t="inlineStr">
        <is>
          <t>Abdou-Raouf</t>
        </is>
      </c>
      <c r="P106" s="40" t="n">
        <v>46318</v>
      </c>
      <c r="Q106" s="40" t="n">
        <v>46327</v>
      </c>
      <c r="R106" s="40" t="n"/>
      <c r="S106" s="37" t="inlineStr"/>
      <c r="T106" s="36" t="inlineStr">
        <is>
          <t>Non</t>
        </is>
      </c>
      <c r="U106" s="13">
        <f>IF($B106="","",IF(AND(J106&lt;&gt;"Complétée",J106&lt;&gt;"Abandonnée",Q106&lt;&gt;"",TODAY()&gt;Q106),"En retard",""))</f>
        <v/>
      </c>
      <c r="V106" s="37" t="inlineStr">
        <is>
          <t>Audit 12/09 : Service NestJS et base séparée présents ; déploiement indépendant et authentification interservices à prouver.</t>
        </is>
      </c>
    </row>
    <row r="107">
      <c r="B107" s="36" t="inlineStr">
        <is>
          <t>V2-012</t>
        </is>
      </c>
      <c r="C107" s="36" t="inlineStr">
        <is>
          <t>V2</t>
        </is>
      </c>
      <c r="D107" s="36" t="inlineStr">
        <is>
          <t>RPS</t>
        </is>
      </c>
      <c r="E107" s="37" t="inlineStr">
        <is>
          <t>Circuit RPS réel</t>
        </is>
      </c>
      <c r="F107" s="37" t="inlineStr">
        <is>
          <t>Table Disclosure append-only et compteur par personne (pas par session)</t>
        </is>
      </c>
      <c r="G107" s="37" t="inlineStr">
        <is>
          <t>Révocation crée une ligne, ne supprime jamais</t>
        </is>
      </c>
      <c r="H107" s="38" t="n">
        <v>5</v>
      </c>
      <c r="I107" s="36" t="inlineStr">
        <is>
          <t>Haute</t>
        </is>
      </c>
      <c r="J107" s="36" t="inlineStr">
        <is>
          <t>En cours</t>
        </is>
      </c>
      <c r="K107" s="39" t="n">
        <v>0.4</v>
      </c>
      <c r="L107" s="16">
        <f>IF($B107="","",IF(J107="Complétée",1,IF(J107="Abandonnée",0,IF(K107&lt;&gt;"",K107,IFERROR(VLOOKUP(J107,Parametres!$B$6:$C$12,2,FALSE),0)))))</f>
        <v/>
      </c>
      <c r="M107" s="15">
        <f>IF($B107="","",IF(J107="Abandonnée",0,H107))</f>
        <v/>
      </c>
      <c r="N107" s="15">
        <f>IF($B107="","",M107*L107)</f>
        <v/>
      </c>
      <c r="O107" s="37" t="inlineStr">
        <is>
          <t>Abdou-Raouf</t>
        </is>
      </c>
      <c r="P107" s="40" t="n">
        <v>46319</v>
      </c>
      <c r="Q107" s="40" t="n">
        <v>46326</v>
      </c>
      <c r="R107" s="40" t="n"/>
      <c r="S107" s="37" t="inlineStr"/>
      <c r="T107" s="36" t="inlineStr">
        <is>
          <t>Non</t>
        </is>
      </c>
      <c r="U107" s="13">
        <f>IF($B107="","",IF(AND(J107&lt;&gt;"Complétée",J107&lt;&gt;"Abandonnée",Q107&lt;&gt;"",TODAY()&gt;Q107),"En retard",""))</f>
        <v/>
      </c>
      <c r="V107" s="37" t="inlineStr">
        <is>
          <t>Audit 12/09 : Compteur par personne présent ; revoke fait UPDATE et aucune protection append-only RPS trouvée dans les migrations.</t>
        </is>
      </c>
    </row>
    <row r="108">
      <c r="B108" s="36" t="inlineStr">
        <is>
          <t>V2-013</t>
        </is>
      </c>
      <c r="C108" s="36" t="inlineStr">
        <is>
          <t>V2</t>
        </is>
      </c>
      <c r="D108" s="36" t="inlineStr">
        <is>
          <t>RPS</t>
        </is>
      </c>
      <c r="E108" s="37" t="inlineStr">
        <is>
          <t>Circuit RPS réel</t>
        </is>
      </c>
      <c r="F108" s="37" t="inlineStr">
        <is>
          <t>Graphe de personnes liées (comptées une seule fois)</t>
        </is>
      </c>
      <c r="G108" s="37" t="inlineStr">
        <is>
          <t>Deux comptes liés comptent pour une personne</t>
        </is>
      </c>
      <c r="H108" s="38" t="n">
        <v>4</v>
      </c>
      <c r="I108" s="36" t="inlineStr">
        <is>
          <t>Haute</t>
        </is>
      </c>
      <c r="J108" s="36" t="inlineStr">
        <is>
          <t>En cours</t>
        </is>
      </c>
      <c r="K108" s="39" t="n">
        <v>0.25</v>
      </c>
      <c r="L108" s="16">
        <f>IF($B108="","",IF(J108="Complétée",1,IF(J108="Abandonnée",0,IF(K108&lt;&gt;"",K108,IFERROR(VLOOKUP(J108,Parametres!$B$6:$C$12,2,FALSE),0)))))</f>
        <v/>
      </c>
      <c r="M108" s="15">
        <f>IF($B108="","",IF(J108="Abandonnée",0,H108))</f>
        <v/>
      </c>
      <c r="N108" s="15">
        <f>IF($B108="","",M108*L108)</f>
        <v/>
      </c>
      <c r="O108" s="37" t="inlineStr">
        <is>
          <t>Abdou-Raouf</t>
        </is>
      </c>
      <c r="P108" s="40" t="n">
        <v>46320</v>
      </c>
      <c r="Q108" s="40" t="n">
        <v>46326</v>
      </c>
      <c r="R108" s="40" t="n"/>
      <c r="S108" s="37" t="inlineStr"/>
      <c r="T108" s="36" t="inlineStr">
        <is>
          <t>Non</t>
        </is>
      </c>
      <c r="U108" s="13">
        <f>IF($B108="","",IF(AND(J108&lt;&gt;"Complétée",J108&lt;&gt;"Abandonnée",Q108&lt;&gt;"",TODAY()&gt;Q108),"En retard",""))</f>
        <v/>
      </c>
      <c r="V108" s="37" t="inlineStr">
        <is>
          <t>Audit 12/09 : Table et dédoublonnage par groupe présents ; déclaration, validation et administration des liens absentes.</t>
        </is>
      </c>
    </row>
    <row r="109">
      <c r="B109" s="36" t="inlineStr">
        <is>
          <t>V2-014</t>
        </is>
      </c>
      <c r="C109" s="36" t="inlineStr">
        <is>
          <t>V2</t>
        </is>
      </c>
      <c r="D109" s="36" t="inlineStr">
        <is>
          <t>RPS</t>
        </is>
      </c>
      <c r="E109" s="37" t="inlineStr">
        <is>
          <t>Circuit RPS réel</t>
        </is>
      </c>
      <c r="F109" s="37" t="inlineStr">
        <is>
          <t>Plafond de cercle (défaut 50), seuils 80 % et 100 %, bascule en admission manuelle</t>
        </is>
      </c>
      <c r="G109" s="37" t="inlineStr">
        <is>
          <t>Blocage effectif à 100 % (test négatif)</t>
        </is>
      </c>
      <c r="H109" s="38" t="n">
        <v>4</v>
      </c>
      <c r="I109" s="36" t="inlineStr">
        <is>
          <t>Haute</t>
        </is>
      </c>
      <c r="J109" s="36" t="inlineStr">
        <is>
          <t>En cours</t>
        </is>
      </c>
      <c r="K109" s="39" t="n">
        <v>0.5</v>
      </c>
      <c r="L109" s="16">
        <f>IF($B109="","",IF(J109="Complétée",1,IF(J109="Abandonnée",0,IF(K109&lt;&gt;"",K109,IFERROR(VLOOKUP(J109,Parametres!$B$6:$C$12,2,FALSE),0)))))</f>
        <v/>
      </c>
      <c r="M109" s="15">
        <f>IF($B109="","",IF(J109="Abandonnée",0,H109))</f>
        <v/>
      </c>
      <c r="N109" s="15">
        <f>IF($B109="","",M109*L109)</f>
        <v/>
      </c>
      <c r="O109" s="37" t="inlineStr">
        <is>
          <t>Abdou-Raouf</t>
        </is>
      </c>
      <c r="P109" s="40" t="n">
        <v>46320</v>
      </c>
      <c r="Q109" s="40" t="n">
        <v>46326</v>
      </c>
      <c r="R109" s="40" t="n"/>
      <c r="S109" s="37" t="inlineStr"/>
      <c r="T109" s="36" t="inlineStr">
        <is>
          <t>Non</t>
        </is>
      </c>
      <c r="U109" s="13">
        <f>IF($B109="","",IF(AND(J109&lt;&gt;"Complétée",J109&lt;&gt;"Abandonnée",Q109&lt;&gt;"",TODAY()&gt;Q109),"En retard",""))</f>
        <v/>
      </c>
      <c r="V109" s="37" t="inlineStr">
        <is>
          <t>Audit 12/09 : Seuils testés en fonctions pures ; contrôle du plafond hors transaction d'admission, concurrence non couverte.</t>
        </is>
      </c>
    </row>
    <row r="110">
      <c r="B110" s="36" t="inlineStr">
        <is>
          <t>V2-015</t>
        </is>
      </c>
      <c r="C110" s="36" t="inlineStr">
        <is>
          <t>V2</t>
        </is>
      </c>
      <c r="D110" s="36" t="inlineStr">
        <is>
          <t>RPS</t>
        </is>
      </c>
      <c r="E110" s="37" t="inlineStr">
        <is>
          <t>Circuit RPS réel</t>
        </is>
      </c>
      <c r="F110" s="37" t="inlineStr">
        <is>
          <t>Workflow d'admission humaine : file, décision, justification enregistrée</t>
        </is>
      </c>
      <c r="G110" s="37" t="inlineStr">
        <is>
          <t>Admission automatique impossible par construction</t>
        </is>
      </c>
      <c r="H110" s="38" t="n">
        <v>6</v>
      </c>
      <c r="I110" s="36" t="inlineStr">
        <is>
          <t>Haute</t>
        </is>
      </c>
      <c r="J110" s="36" t="inlineStr">
        <is>
          <t>En cours</t>
        </is>
      </c>
      <c r="K110" s="39" t="n">
        <v>0.4</v>
      </c>
      <c r="L110" s="16">
        <f>IF($B110="","",IF(J110="Complétée",1,IF(J110="Abandonnée",0,IF(K110&lt;&gt;"",K110,IFERROR(VLOOKUP(J110,Parametres!$B$6:$C$12,2,FALSE),0)))))</f>
        <v/>
      </c>
      <c r="M110" s="15">
        <f>IF($B110="","",IF(J110="Abandonnée",0,H110))</f>
        <v/>
      </c>
      <c r="N110" s="15">
        <f>IF($B110="","",M110*L110)</f>
        <v/>
      </c>
      <c r="O110" s="37" t="inlineStr">
        <is>
          <t>Abdou-Raouf</t>
        </is>
      </c>
      <c r="P110" s="40" t="n">
        <v>46321</v>
      </c>
      <c r="Q110" s="40" t="n">
        <v>46330</v>
      </c>
      <c r="R110" s="40" t="n"/>
      <c r="S110" s="37" t="inlineStr"/>
      <c r="T110" s="36" t="inlineStr">
        <is>
          <t>Non</t>
        </is>
      </c>
      <c r="U110" s="13">
        <f>IF($B110="","",IF(AND(J110&lt;&gt;"Complétée",J110&lt;&gt;"Abandonnée",Q110&lt;&gt;"",TODAY()&gt;Q110),"En retard",""))</f>
        <v/>
      </c>
      <c r="V110" s="37" t="inlineStr">
        <is>
          <t>Audit 12/09 : Route et justification présentes ; decidedBy provient du corps, file et identité de l'opérateur authentifié à intégrer.</t>
        </is>
      </c>
    </row>
    <row r="111">
      <c r="B111" s="36" t="inlineStr">
        <is>
          <t>V2-016</t>
        </is>
      </c>
      <c r="C111" s="36" t="inlineStr">
        <is>
          <t>V2</t>
        </is>
      </c>
      <c r="D111" s="36" t="inlineStr">
        <is>
          <t>RPS</t>
        </is>
      </c>
      <c r="E111" s="37" t="inlineStr">
        <is>
          <t>Circuit RPS réel</t>
        </is>
      </c>
      <c r="F111" s="37" t="inlineStr">
        <is>
          <t>Filtre de communication sortante (permettre, caviarder, bloquer)</t>
        </is>
      </c>
      <c r="G111" s="37" t="inlineStr">
        <is>
          <t>Tout message sur un dossier titres passe par le filtre</t>
        </is>
      </c>
      <c r="H111" s="38" t="n">
        <v>5</v>
      </c>
      <c r="I111" s="36" t="inlineStr">
        <is>
          <t>Haute</t>
        </is>
      </c>
      <c r="J111" s="36" t="inlineStr">
        <is>
          <t>En cours</t>
        </is>
      </c>
      <c r="K111" s="39" t="n">
        <v>0.3</v>
      </c>
      <c r="L111" s="16">
        <f>IF($B111="","",IF(J111="Complétée",1,IF(J111="Abandonnée",0,IF(K111&lt;&gt;"",K111,IFERROR(VLOOKUP(J111,Parametres!$B$6:$C$12,2,FALSE),0)))))</f>
        <v/>
      </c>
      <c r="M111" s="15">
        <f>IF($B111="","",IF(J111="Abandonnée",0,H111))</f>
        <v/>
      </c>
      <c r="N111" s="15">
        <f>IF($B111="","",M111*L111)</f>
        <v/>
      </c>
      <c r="O111" s="37" t="inlineStr">
        <is>
          <t>Abdou-Raouf</t>
        </is>
      </c>
      <c r="P111" s="40" t="n">
        <v>46322</v>
      </c>
      <c r="Q111" s="40" t="n">
        <v>46329</v>
      </c>
      <c r="R111" s="40" t="n"/>
      <c r="S111" s="37" t="inlineStr"/>
      <c r="T111" s="36" t="inlineStr">
        <is>
          <t>Non</t>
        </is>
      </c>
      <c r="U111" s="13">
        <f>IF($B111="","",IF(AND(J111&lt;&gt;"Complétée",J111&lt;&gt;"Abandonnée",Q111&lt;&gt;"",TODAY()&gt;Q111),"En retard",""))</f>
        <v/>
      </c>
      <c r="V111" s="37" t="inlineStr">
        <is>
          <t>Audit 12/09 : Règle et route présentes ; les communications de la plateforme n'appellent pas encore le RPS.</t>
        </is>
      </c>
    </row>
    <row r="112">
      <c r="B112" s="36" t="inlineStr">
        <is>
          <t>V2-017</t>
        </is>
      </c>
      <c r="C112" s="36" t="inlineStr">
        <is>
          <t>V2</t>
        </is>
      </c>
      <c r="D112" s="36" t="inlineStr">
        <is>
          <t>RPS</t>
        </is>
      </c>
      <c r="E112" s="37" t="inlineStr">
        <is>
          <t>Circuit RPS réel</t>
        </is>
      </c>
      <c r="F112" s="37" t="inlineStr">
        <is>
          <t>Journal réglementaire haché et export du pack de preuves par dossier</t>
        </is>
      </c>
      <c r="G112" s="37" t="inlineStr">
        <is>
          <t>Chaîne de hachage vérifiable, archive signée</t>
        </is>
      </c>
      <c r="H112" s="38" t="n">
        <v>5</v>
      </c>
      <c r="I112" s="36" t="inlineStr">
        <is>
          <t>Haute</t>
        </is>
      </c>
      <c r="J112" s="36" t="inlineStr">
        <is>
          <t>En cours</t>
        </is>
      </c>
      <c r="K112" s="39" t="n">
        <v>0.3</v>
      </c>
      <c r="L112" s="16">
        <f>IF($B112="","",IF(J112="Complétée",1,IF(J112="Abandonnée",0,IF(K112&lt;&gt;"",K112,IFERROR(VLOOKUP(J112,Parametres!$B$6:$C$12,2,FALSE),0)))))</f>
        <v/>
      </c>
      <c r="M112" s="15">
        <f>IF($B112="","",IF(J112="Abandonnée",0,H112))</f>
        <v/>
      </c>
      <c r="N112" s="15">
        <f>IF($B112="","",M112*L112)</f>
        <v/>
      </c>
      <c r="O112" s="37" t="inlineStr">
        <is>
          <t>Abdou-Raouf</t>
        </is>
      </c>
      <c r="P112" s="40" t="n">
        <v>46323</v>
      </c>
      <c r="Q112" s="40" t="n">
        <v>46330</v>
      </c>
      <c r="R112" s="40" t="n"/>
      <c r="S112" s="37" t="inlineStr"/>
      <c r="T112" s="36" t="inlineStr">
        <is>
          <t>Non</t>
        </is>
      </c>
      <c r="U112" s="13">
        <f>IF($B112="","",IF(AND(J112&lt;&gt;"Complétée",J112&lt;&gt;"Abandonnée",Q112&lt;&gt;"",TODAY()&gt;Q112),"En retard",""))</f>
        <v/>
      </c>
      <c r="V112" s="37" t="inlineStr">
        <is>
          <t>Audit 12/09 : Chaînage implémenté ; séquence concurrente non sérialisée, pack signé et contraintes append-only absents.</t>
        </is>
      </c>
    </row>
    <row r="113">
      <c r="B113" s="36" t="inlineStr">
        <is>
          <t>V2-018</t>
        </is>
      </c>
      <c r="C113" s="36" t="inlineStr">
        <is>
          <t>V2</t>
        </is>
      </c>
      <c r="D113" s="36" t="inlineStr">
        <is>
          <t>RPS</t>
        </is>
      </c>
      <c r="E113" s="37" t="inlineStr">
        <is>
          <t>Circuit RPS réel</t>
        </is>
      </c>
      <c r="F113" s="37" t="inlineStr">
        <is>
          <t>Allow-list serveur des champs par palier T0 / T1 / T2</t>
        </is>
      </c>
      <c r="G113" s="37" t="inlineStr">
        <is>
          <t>Prix jamais sérialisé sous T2 (test négatif)</t>
        </is>
      </c>
      <c r="H113" s="38" t="n">
        <v>3</v>
      </c>
      <c r="I113" s="36" t="inlineStr">
        <is>
          <t>Haute</t>
        </is>
      </c>
      <c r="J113" s="36" t="inlineStr">
        <is>
          <t>En cours</t>
        </is>
      </c>
      <c r="K113" s="39" t="n">
        <v>0.7</v>
      </c>
      <c r="L113" s="16">
        <f>IF($B113="","",IF(J113="Complétée",1,IF(J113="Abandonnée",0,IF(K113&lt;&gt;"",K113,IFERROR(VLOOKUP(J113,Parametres!$B$6:$C$12,2,FALSE),0)))))</f>
        <v/>
      </c>
      <c r="M113" s="15">
        <f>IF($B113="","",IF(J113="Abandonnée",0,H113))</f>
        <v/>
      </c>
      <c r="N113" s="15">
        <f>IF($B113="","",M113*L113)</f>
        <v/>
      </c>
      <c r="O113" s="37" t="inlineStr">
        <is>
          <t>Abdou-Raouf</t>
        </is>
      </c>
      <c r="P113" s="40" t="n">
        <v>46324</v>
      </c>
      <c r="Q113" s="40" t="n">
        <v>46329</v>
      </c>
      <c r="R113" s="40" t="n"/>
      <c r="S113" s="37" t="inlineStr"/>
      <c r="T113" s="36" t="inlineStr">
        <is>
          <t>Non</t>
        </is>
      </c>
      <c r="U113" s="13">
        <f>IF($B113="","",IF(AND(J113&lt;&gt;"Complétée",J113&lt;&gt;"Abandonnée",Q113&lt;&gt;"",TODAY()&gt;Q113),"En retard",""))</f>
        <v/>
      </c>
      <c r="V113" s="37" t="inlineStr">
        <is>
          <t>Audit 12/09 : projectForTier testé et utilisé en V1 ; parcours T1/T2 réel et 12 cas à valider en V2.</t>
        </is>
      </c>
    </row>
    <row r="114">
      <c r="B114" s="36" t="inlineStr">
        <is>
          <t>V2-019</t>
        </is>
      </c>
      <c r="C114" s="36" t="inlineStr">
        <is>
          <t>V2</t>
        </is>
      </c>
      <c r="D114" s="36" t="inlineStr">
        <is>
          <t>RPS</t>
        </is>
      </c>
      <c r="E114" s="37" t="inlineStr">
        <is>
          <t>Circuit RPS réel</t>
        </is>
      </c>
      <c r="F114" s="37" t="inlineStr">
        <is>
          <t>Écrans admission et cercle (conformité)</t>
        </is>
      </c>
      <c r="G114" s="37" t="inlineStr">
        <is>
          <t>Compteur et capacité restante visibles</t>
        </is>
      </c>
      <c r="H114" s="38" t="n">
        <v>2</v>
      </c>
      <c r="I114" s="36" t="inlineStr">
        <is>
          <t>Moyenne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46324</v>
      </c>
      <c r="Q114" s="40" t="n">
        <v>46327</v>
      </c>
      <c r="R114" s="40" t="n"/>
      <c r="S114" s="37" t="inlineStr"/>
      <c r="T114" s="36" t="inlineStr">
        <is>
          <t>Non</t>
        </is>
      </c>
      <c r="U114" s="13">
        <f>IF($B114="","",IF(AND(J114&lt;&gt;"Complétée",J114&lt;&gt;"Abandonnée",Q114&lt;&gt;"",TODAY()&gt;Q114),"En retard",""))</f>
        <v/>
      </c>
      <c r="V114" s="37" t="n"/>
    </row>
    <row r="115">
      <c r="B115" s="36" t="inlineStr">
        <is>
          <t>V2-020</t>
        </is>
      </c>
      <c r="C115" s="36" t="inlineStr">
        <is>
          <t>V2</t>
        </is>
      </c>
      <c r="D115" s="36" t="inlineStr">
        <is>
          <t>SIG</t>
        </is>
      </c>
      <c r="E115" s="37" t="inlineStr">
        <is>
          <t>Signature électronique</t>
        </is>
      </c>
      <c r="F115" s="37" t="inlineStr">
        <is>
          <t>Sélection et contractualisation du prestataire PSC accrédité (coordination)</t>
        </is>
      </c>
      <c r="G115" s="37" t="inlineStr">
        <is>
          <t>Contrat signé, attestation d'accréditation archivée</t>
        </is>
      </c>
      <c r="H115" s="38" t="n">
        <v>3</v>
      </c>
      <c r="I115" s="36" t="inlineStr">
        <is>
          <t>Haute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46325</v>
      </c>
      <c r="Q115" s="40" t="n">
        <v>46330</v>
      </c>
      <c r="R115" s="40" t="n"/>
      <c r="S115" s="37" t="inlineStr"/>
      <c r="T115" s="36" t="inlineStr">
        <is>
          <t>Oui</t>
        </is>
      </c>
      <c r="U115" s="13">
        <f>IF($B115="","",IF(AND(J115&lt;&gt;"Complétée",J115&lt;&gt;"Abandonnée",Q115&lt;&gt;"",TODAY()&gt;Q115),"En retard",""))</f>
        <v/>
      </c>
      <c r="V115" s="37" t="n"/>
    </row>
    <row r="116">
      <c r="B116" s="36" t="inlineStr">
        <is>
          <t>V2-021</t>
        </is>
      </c>
      <c r="C116" s="36" t="inlineStr">
        <is>
          <t>V2</t>
        </is>
      </c>
      <c r="D116" s="36" t="inlineStr">
        <is>
          <t>SIG</t>
        </is>
      </c>
      <c r="E116" s="37" t="inlineStr">
        <is>
          <t>Signature électronique</t>
        </is>
      </c>
      <c r="F116" s="37" t="inlineStr">
        <is>
          <t>Intégration API de signature qualifiée, webhooks à signature vérifiée</t>
        </is>
      </c>
      <c r="G116" s="37" t="inlineStr">
        <is>
          <t>Webhook non signé rejeté (test négatif)</t>
        </is>
      </c>
      <c r="H116" s="38" t="n">
        <v>7</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46325</v>
      </c>
      <c r="Q116" s="40" t="n">
        <v>46335</v>
      </c>
      <c r="R116" s="40" t="n"/>
      <c r="S116" s="37" t="inlineStr">
        <is>
          <t>Contrat PSC</t>
        </is>
      </c>
      <c r="T116" s="36" t="inlineStr">
        <is>
          <t>Non</t>
        </is>
      </c>
      <c r="U116" s="13">
        <f>IF($B116="","",IF(AND(J116&lt;&gt;"Complétée",J116&lt;&gt;"Abandonnée",Q116&lt;&gt;"",TODAY()&gt;Q116),"En retard",""))</f>
        <v/>
      </c>
      <c r="V116" s="37" t="n"/>
    </row>
    <row r="117">
      <c r="B117" s="36" t="inlineStr">
        <is>
          <t>V2-022</t>
        </is>
      </c>
      <c r="C117" s="36" t="inlineStr">
        <is>
          <t>V2</t>
        </is>
      </c>
      <c r="D117" s="36" t="inlineStr">
        <is>
          <t>SIG</t>
        </is>
      </c>
      <c r="E117" s="37" t="inlineStr">
        <is>
          <t>Signature électronique</t>
        </is>
      </c>
      <c r="F117" s="37" t="inlineStr">
        <is>
          <t>Parcours de repli papier : PDF, contre-signature, vérification CCIT</t>
        </is>
      </c>
      <c r="G117" s="37" t="inlineStr">
        <is>
          <t>Un utilisateur refusant la signature électronique n'est pas bloqué</t>
        </is>
      </c>
      <c r="H117" s="38" t="n">
        <v>4</v>
      </c>
      <c r="I117" s="36" t="inlineStr">
        <is>
          <t>Haute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46327</v>
      </c>
      <c r="Q117" s="40" t="n">
        <v>46333</v>
      </c>
      <c r="R117" s="40" t="n"/>
      <c r="S117" s="37" t="inlineStr"/>
      <c r="T117" s="36" t="inlineStr">
        <is>
          <t>Non</t>
        </is>
      </c>
      <c r="U117" s="13">
        <f>IF($B117="","",IF(AND(J117&lt;&gt;"Complétée",J117&lt;&gt;"Abandonnée",Q117&lt;&gt;"",TODAY()&gt;Q117),"En retard",""))</f>
        <v/>
      </c>
      <c r="V117" s="37" t="n"/>
    </row>
    <row r="118">
      <c r="B118" s="36" t="inlineStr">
        <is>
          <t>V2-023</t>
        </is>
      </c>
      <c r="C118" s="36" t="inlineStr">
        <is>
          <t>V2</t>
        </is>
      </c>
      <c r="D118" s="36" t="inlineStr">
        <is>
          <t>SIG</t>
        </is>
      </c>
      <c r="E118" s="37" t="inlineStr">
        <is>
          <t>Signature électronique</t>
        </is>
      </c>
      <c r="F118" s="37" t="inlineStr">
        <is>
          <t>SignatureEvidence : hash SHA-256, chaîne de certificats, jeton d'horodatage</t>
        </is>
      </c>
      <c r="G118" s="37" t="inlineStr">
        <is>
          <t>Preuve complète stockée pour chaque NDA</t>
        </is>
      </c>
      <c r="H118" s="38" t="n">
        <v>4</v>
      </c>
      <c r="I118" s="36" t="inlineStr">
        <is>
          <t>Haute</t>
        </is>
      </c>
      <c r="J118" s="36" t="inlineStr">
        <is>
          <t>En cours</t>
        </is>
      </c>
      <c r="K118" s="39" t="n">
        <v>0.2</v>
      </c>
      <c r="L118" s="16">
        <f>IF($B118="","",IF(J118="Complétée",1,IF(J118="Abandonnée",0,IF(K118&lt;&gt;"",K118,IFERROR(VLOOKUP(J118,Parametres!$B$6:$C$12,2,FALSE),0)))))</f>
        <v/>
      </c>
      <c r="M118" s="15">
        <f>IF($B118="","",IF(J118="Abandonnée",0,H118))</f>
        <v/>
      </c>
      <c r="N118" s="15">
        <f>IF($B118="","",M118*L118)</f>
        <v/>
      </c>
      <c r="O118" s="37" t="inlineStr">
        <is>
          <t>Abdou-Raouf</t>
        </is>
      </c>
      <c r="P118" s="40" t="n">
        <v>46327</v>
      </c>
      <c r="Q118" s="40" t="n">
        <v>46333</v>
      </c>
      <c r="R118" s="40" t="n"/>
      <c r="S118" s="37" t="inlineStr"/>
      <c r="T118" s="36" t="inlineStr">
        <is>
          <t>Non</t>
        </is>
      </c>
      <c r="U118" s="13">
        <f>IF($B118="","",IF(AND(J118&lt;&gt;"Complétée",J118&lt;&gt;"Abandonnée",Q118&lt;&gt;"",TODAY()&gt;Q118),"En retard",""))</f>
        <v/>
      </c>
      <c r="V118" s="37" t="inlineStr">
        <is>
          <t>Audit 12/09 : Table signature_evidence présente ; aucun circuit PSC/PSAE exécuté.</t>
        </is>
      </c>
    </row>
    <row r="119">
      <c r="B119" s="36" t="inlineStr">
        <is>
          <t>V2-024</t>
        </is>
      </c>
      <c r="C119" s="36" t="inlineStr">
        <is>
          <t>V2</t>
        </is>
      </c>
      <c r="D119" s="36" t="inlineStr">
        <is>
          <t>SIG</t>
        </is>
      </c>
      <c r="E119" s="37" t="inlineStr">
        <is>
          <t>Signature électronique</t>
        </is>
      </c>
      <c r="F119" s="37" t="inlineStr">
        <is>
          <t>Intégration archivage électronique accrédité (PSAE)</t>
        </is>
      </c>
      <c r="G119" s="37" t="inlineStr">
        <is>
          <t>Référence d'archive stockée sur chaque preuve</t>
        </is>
      </c>
      <c r="H119" s="38" t="n">
        <v>5</v>
      </c>
      <c r="I119" s="36" t="inlineStr">
        <is>
          <t>Haute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46328</v>
      </c>
      <c r="Q119" s="40" t="n">
        <v>46335</v>
      </c>
      <c r="R119" s="40" t="n"/>
      <c r="S119" s="37" t="inlineStr"/>
      <c r="T119" s="36" t="inlineStr">
        <is>
          <t>Non</t>
        </is>
      </c>
      <c r="U119" s="13">
        <f>IF($B119="","",IF(AND(J119&lt;&gt;"Complétée",J119&lt;&gt;"Abandonnée",Q119&lt;&gt;"",TODAY()&gt;Q119),"En retard",""))</f>
        <v/>
      </c>
      <c r="V119" s="37" t="n"/>
    </row>
    <row r="120">
      <c r="B120" s="36" t="inlineStr">
        <is>
          <t>V2-025</t>
        </is>
      </c>
      <c r="C120" s="36" t="inlineStr">
        <is>
          <t>V2</t>
        </is>
      </c>
      <c r="D120" s="36" t="inlineStr">
        <is>
          <t>SIG</t>
        </is>
      </c>
      <c r="E120" s="37" t="inlineStr">
        <is>
          <t>Signature électronique</t>
        </is>
      </c>
      <c r="F120" s="37" t="inlineStr">
        <is>
          <t>Écrans NDA : génération, signature, statut</t>
        </is>
      </c>
      <c r="G120" s="37" t="inlineStr">
        <is>
          <t>Statut NDA visible côté cédant et investisseur</t>
        </is>
      </c>
      <c r="H120" s="38" t="n">
        <v>2</v>
      </c>
      <c r="I120" s="36" t="inlineStr">
        <is>
          <t>Moyenne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46329</v>
      </c>
      <c r="Q120" s="40" t="n">
        <v>46332</v>
      </c>
      <c r="R120" s="40" t="n"/>
      <c r="S120" s="37" t="inlineStr"/>
      <c r="T120" s="36" t="inlineStr">
        <is>
          <t>Non</t>
        </is>
      </c>
      <c r="U120" s="13">
        <f>IF($B120="","",IF(AND(J120&lt;&gt;"Complétée",J120&lt;&gt;"Abandonnée",Q120&lt;&gt;"",TODAY()&gt;Q120),"En retard",""))</f>
        <v/>
      </c>
      <c r="V120" s="37" t="n"/>
    </row>
    <row r="121">
      <c r="B121" s="36" t="inlineStr">
        <is>
          <t>V2-026</t>
        </is>
      </c>
      <c r="C121" s="36" t="inlineStr">
        <is>
          <t>V2</t>
        </is>
      </c>
      <c r="D121" s="36" t="inlineStr">
        <is>
          <t>VDR</t>
        </is>
      </c>
      <c r="E121" s="37" t="inlineStr">
        <is>
          <t>Data room</t>
        </is>
      </c>
      <c r="F121" s="37" t="inlineStr">
        <is>
          <t>Stockage objet chiffré, URLs pré-signées courtes liées à la session</t>
        </is>
      </c>
      <c r="G121" s="37" t="inlineStr">
        <is>
          <t>Accès direct hors session refusé</t>
        </is>
      </c>
      <c r="H121" s="38" t="n">
        <v>5</v>
      </c>
      <c r="I121" s="36" t="inlineStr">
        <is>
          <t>Haute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46329</v>
      </c>
      <c r="Q121" s="40" t="n">
        <v>46336</v>
      </c>
      <c r="R121" s="40" t="n"/>
      <c r="S121" s="37" t="inlineStr"/>
      <c r="T121" s="36" t="inlineStr">
        <is>
          <t>Non</t>
        </is>
      </c>
      <c r="U121" s="13">
        <f>IF($B121="","",IF(AND(J121&lt;&gt;"Complétée",J121&lt;&gt;"Abandonnée",Q121&lt;&gt;"",TODAY()&gt;Q121),"En retard",""))</f>
        <v/>
      </c>
      <c r="V121" s="37" t="n"/>
    </row>
    <row r="122">
      <c r="B122" s="36" t="inlineStr">
        <is>
          <t>V2-027</t>
        </is>
      </c>
      <c r="C122" s="36" t="inlineStr">
        <is>
          <t>V2</t>
        </is>
      </c>
      <c r="D122" s="36" t="inlineStr">
        <is>
          <t>VDR</t>
        </is>
      </c>
      <c r="E122" s="37" t="inlineStr">
        <is>
          <t>Data room</t>
        </is>
      </c>
      <c r="F122" s="37" t="inlineStr">
        <is>
          <t>Visualiseur rendu serveur, page à page, chargement progressif (3G)</t>
        </is>
      </c>
      <c r="G122" s="37" t="inlineStr">
        <is>
          <t>Première page en moins de 6 s sur réseau de référence</t>
        </is>
      </c>
      <c r="H122" s="38" t="n">
        <v>8</v>
      </c>
      <c r="I122" s="36" t="inlineStr">
        <is>
          <t>Haute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46330</v>
      </c>
      <c r="Q122" s="40" t="n">
        <v>46342</v>
      </c>
      <c r="R122" s="40" t="n"/>
      <c r="S122" s="37" t="inlineStr"/>
      <c r="T122" s="36" t="inlineStr">
        <is>
          <t>Non</t>
        </is>
      </c>
      <c r="U122" s="13">
        <f>IF($B122="","",IF(AND(J122&lt;&gt;"Complétée",J122&lt;&gt;"Abandonnée",Q122&lt;&gt;"",TODAY()&gt;Q122),"En retard",""))</f>
        <v/>
      </c>
      <c r="V122" s="37" t="n"/>
    </row>
    <row r="123">
      <c r="B123" s="36" t="inlineStr">
        <is>
          <t>V2-028</t>
        </is>
      </c>
      <c r="C123" s="36" t="inlineStr">
        <is>
          <t>V2</t>
        </is>
      </c>
      <c r="D123" s="36" t="inlineStr">
        <is>
          <t>VDR</t>
        </is>
      </c>
      <c r="E123" s="37" t="inlineStr">
        <is>
          <t>Data room</t>
        </is>
      </c>
      <c r="F123" s="37" t="inlineStr">
        <is>
          <t>Filigrane dynamique par page (identité, compte, horodatage, référence du deal)</t>
        </is>
      </c>
      <c r="G123" s="37" t="inlineStr">
        <is>
          <t>Chaque page rendue porte le filigrane (test DOC-02)</t>
        </is>
      </c>
      <c r="H123" s="38" t="n">
        <v>5</v>
      </c>
      <c r="I123" s="36" t="inlineStr">
        <is>
          <t>Haute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46332</v>
      </c>
      <c r="Q123" s="40" t="n">
        <v>46339</v>
      </c>
      <c r="R123" s="40" t="n"/>
      <c r="S123" s="37" t="inlineStr"/>
      <c r="T123" s="36" t="inlineStr">
        <is>
          <t>Non</t>
        </is>
      </c>
      <c r="U123" s="13">
        <f>IF($B123="","",IF(AND(J123&lt;&gt;"Complétée",J123&lt;&gt;"Abandonnée",Q123&lt;&gt;"",TODAY()&gt;Q123),"En retard",""))</f>
        <v/>
      </c>
      <c r="V123" s="37" t="n"/>
    </row>
    <row r="124">
      <c r="B124" s="36" t="inlineStr">
        <is>
          <t>V2-029</t>
        </is>
      </c>
      <c r="C124" s="36" t="inlineStr">
        <is>
          <t>V2</t>
        </is>
      </c>
      <c r="D124" s="36" t="inlineStr">
        <is>
          <t>VDR</t>
        </is>
      </c>
      <c r="E124" s="37" t="inlineStr">
        <is>
          <t>Data room</t>
        </is>
      </c>
      <c r="F124" s="37" t="inlineStr">
        <is>
          <t>Arborescence OHADA par défaut et gestion des dossiers</t>
        </is>
      </c>
      <c r="G124" s="37" t="inlineStr">
        <is>
          <t>Squelette créé automatiquement à l'ouverture</t>
        </is>
      </c>
      <c r="H124" s="38" t="n">
        <v>4</v>
      </c>
      <c r="I124" s="36" t="inlineStr">
        <is>
          <t>Moyenne</t>
        </is>
      </c>
      <c r="J124" s="36" t="inlineStr">
        <is>
          <t>En cours</t>
        </is>
      </c>
      <c r="K124" s="39" t="n">
        <v>0.2</v>
      </c>
      <c r="L124" s="16">
        <f>IF($B124="","",IF(J124="Complétée",1,IF(J124="Abandonnée",0,IF(K124&lt;&gt;"",K124,IFERROR(VLOOKUP(J124,Parametres!$B$6:$C$12,2,FALSE),0)))))</f>
        <v/>
      </c>
      <c r="M124" s="15">
        <f>IF($B124="","",IF(J124="Abandonnée",0,H124))</f>
        <v/>
      </c>
      <c r="N124" s="15">
        <f>IF($B124="","",M124*L124)</f>
        <v/>
      </c>
      <c r="O124" s="37" t="inlineStr">
        <is>
          <t>Abdou-Raouf</t>
        </is>
      </c>
      <c r="P124" s="40" t="n">
        <v>46332</v>
      </c>
      <c r="Q124" s="40" t="n">
        <v>46338</v>
      </c>
      <c r="R124" s="40" t="n"/>
      <c r="S124" s="37" t="inlineStr"/>
      <c r="T124" s="36" t="inlineStr">
        <is>
          <t>Non</t>
        </is>
      </c>
      <c r="U124" s="13">
        <f>IF($B124="","",IF(AND(J124&lt;&gt;"Complétée",J124&lt;&gt;"Abandonnée",Q124&lt;&gt;"",TODAY()&gt;Q124),"En retard",""))</f>
        <v/>
      </c>
      <c r="V124" s="37" t="inlineStr">
        <is>
          <t>Audit 12/09 : Table folder présente ; création automatique de l'arborescence OHADA à implémenter.</t>
        </is>
      </c>
    </row>
    <row r="125">
      <c r="B125" s="36" t="inlineStr">
        <is>
          <t>V2-030</t>
        </is>
      </c>
      <c r="C125" s="36" t="inlineStr">
        <is>
          <t>V2</t>
        </is>
      </c>
      <c r="D125" s="36" t="inlineStr">
        <is>
          <t>VDR</t>
        </is>
      </c>
      <c r="E125" s="37" t="inlineStr">
        <is>
          <t>Data room</t>
        </is>
      </c>
      <c r="F125" s="37" t="inlineStr">
        <is>
          <t>Permissions par document, téléchargement désactivé par défaut</t>
        </is>
      </c>
      <c r="G125" s="37" t="inlineStr">
        <is>
          <t>Téléchargement refusé sans droit explicite (test DOC-01)</t>
        </is>
      </c>
      <c r="H125" s="38" t="n">
        <v>5</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46333</v>
      </c>
      <c r="Q125" s="40" t="n">
        <v>46340</v>
      </c>
      <c r="R125" s="40" t="n"/>
      <c r="S125" s="37" t="inlineStr"/>
      <c r="T125" s="36" t="inlineStr">
        <is>
          <t>Non</t>
        </is>
      </c>
      <c r="U125" s="13">
        <f>IF($B125="","",IF(AND(J125&lt;&gt;"Complétée",J125&lt;&gt;"Abandonnée",Q125&lt;&gt;"",TODAY()&gt;Q125),"En retard",""))</f>
        <v/>
      </c>
      <c r="V125" s="37" t="n"/>
    </row>
    <row r="126">
      <c r="B126" s="36" t="inlineStr">
        <is>
          <t>V2-031</t>
        </is>
      </c>
      <c r="C126" s="36" t="inlineStr">
        <is>
          <t>V2</t>
        </is>
      </c>
      <c r="D126" s="36" t="inlineStr">
        <is>
          <t>VDR</t>
        </is>
      </c>
      <c r="E126" s="37" t="inlineStr">
        <is>
          <t>Data room</t>
        </is>
      </c>
      <c r="F126" s="37" t="inlineStr">
        <is>
          <t>Grants d'accès scopés avec expiration obligatoire</t>
        </is>
      </c>
      <c r="G126" s="37" t="inlineStr">
        <is>
          <t>Accès perpétuel impossible à créer</t>
        </is>
      </c>
      <c r="H126" s="38" t="n">
        <v>4</v>
      </c>
      <c r="I126" s="36" t="inlineStr">
        <is>
          <t>Haute</t>
        </is>
      </c>
      <c r="J126" s="36" t="inlineStr">
        <is>
          <t>En cours</t>
        </is>
      </c>
      <c r="K126" s="39" t="n">
        <v>0.2</v>
      </c>
      <c r="L126" s="16">
        <f>IF($B126="","",IF(J126="Complétée",1,IF(J126="Abandonnée",0,IF(K126&lt;&gt;"",K126,IFERROR(VLOOKUP(J126,Parametres!$B$6:$C$12,2,FALSE),0)))))</f>
        <v/>
      </c>
      <c r="M126" s="15">
        <f>IF($B126="","",IF(J126="Abandonnée",0,H126))</f>
        <v/>
      </c>
      <c r="N126" s="15">
        <f>IF($B126="","",M126*L126)</f>
        <v/>
      </c>
      <c r="O126" s="37" t="inlineStr">
        <is>
          <t>Abdou-Raouf</t>
        </is>
      </c>
      <c r="P126" s="40" t="n">
        <v>46334</v>
      </c>
      <c r="Q126" s="40" t="n">
        <v>46340</v>
      </c>
      <c r="R126" s="40" t="n"/>
      <c r="S126" s="37" t="inlineStr"/>
      <c r="T126" s="36" t="inlineStr">
        <is>
          <t>Non</t>
        </is>
      </c>
      <c r="U126" s="13">
        <f>IF($B126="","",IF(AND(J126&lt;&gt;"Complétée",J126&lt;&gt;"Abandonnée",Q126&lt;&gt;"",TODAY()&gt;Q126),"En retard",""))</f>
        <v/>
      </c>
      <c r="V126" s="37" t="inlineStr">
        <is>
          <t>Audit 12/09 : Table access_grant avec expiration obligatoire ; délivrance, contrôle serveur et révocation absents.</t>
        </is>
      </c>
    </row>
    <row r="127">
      <c r="B127" s="36" t="inlineStr">
        <is>
          <t>V2-032</t>
        </is>
      </c>
      <c r="C127" s="36" t="inlineStr">
        <is>
          <t>V2</t>
        </is>
      </c>
      <c r="D127" s="36" t="inlineStr">
        <is>
          <t>VDR</t>
        </is>
      </c>
      <c r="E127" s="37" t="inlineStr">
        <is>
          <t>Data room</t>
        </is>
      </c>
      <c r="F127" s="37" t="inlineStr">
        <is>
          <t>Révocation effective en moins de 60 s avec invalidation des URLs</t>
        </is>
      </c>
      <c r="G127" s="37" t="inlineStr">
        <is>
          <t>Test chronométré de révocation</t>
        </is>
      </c>
      <c r="H127" s="38" t="n">
        <v>4</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46335</v>
      </c>
      <c r="Q127" s="40" t="n">
        <v>46341</v>
      </c>
      <c r="R127" s="40" t="n"/>
      <c r="S127" s="37" t="inlineStr"/>
      <c r="T127" s="36" t="inlineStr">
        <is>
          <t>Non</t>
        </is>
      </c>
      <c r="U127" s="13">
        <f>IF($B127="","",IF(AND(J127&lt;&gt;"Complétée",J127&lt;&gt;"Abandonnée",Q127&lt;&gt;"",TODAY()&gt;Q127),"En retard",""))</f>
        <v/>
      </c>
      <c r="V127" s="37" t="n"/>
    </row>
    <row r="128">
      <c r="B128" s="36" t="inlineStr">
        <is>
          <t>V2-033</t>
        </is>
      </c>
      <c r="C128" s="36" t="inlineStr">
        <is>
          <t>V2</t>
        </is>
      </c>
      <c r="D128" s="36" t="inlineStr">
        <is>
          <t>VDR</t>
        </is>
      </c>
      <c r="E128" s="37" t="inlineStr">
        <is>
          <t>Data room</t>
        </is>
      </c>
      <c r="F128" s="37" t="inlineStr">
        <is>
          <t>Journal DocumentView : qui, quel document, quand, durée, IP</t>
        </is>
      </c>
      <c r="G128" s="37" t="inlineStr">
        <is>
          <t>Export du journal par dossier</t>
        </is>
      </c>
      <c r="H128" s="38" t="n">
        <v>4</v>
      </c>
      <c r="I128" s="36" t="inlineStr">
        <is>
          <t>Haute</t>
        </is>
      </c>
      <c r="J128" s="36" t="inlineStr">
        <is>
          <t>En cours</t>
        </is>
      </c>
      <c r="K128" s="39" t="n">
        <v>0.2</v>
      </c>
      <c r="L128" s="16">
        <f>IF($B128="","",IF(J128="Complétée",1,IF(J128="Abandonnée",0,IF(K128&lt;&gt;"",K128,IFERROR(VLOOKUP(J128,Parametres!$B$6:$C$12,2,FALSE),0)))))</f>
        <v/>
      </c>
      <c r="M128" s="15">
        <f>IF($B128="","",IF(J128="Abandonnée",0,H128))</f>
        <v/>
      </c>
      <c r="N128" s="15">
        <f>IF($B128="","",M128*L128)</f>
        <v/>
      </c>
      <c r="O128" s="37" t="inlineStr">
        <is>
          <t>Abdou-Raouf</t>
        </is>
      </c>
      <c r="P128" s="40" t="n">
        <v>46336</v>
      </c>
      <c r="Q128" s="40" t="n">
        <v>46342</v>
      </c>
      <c r="R128" s="40" t="n"/>
      <c r="S128" s="37" t="inlineStr"/>
      <c r="T128" s="36" t="inlineStr">
        <is>
          <t>Non</t>
        </is>
      </c>
      <c r="U128" s="13">
        <f>IF($B128="","",IF(AND(J128&lt;&gt;"Complétée",J128&lt;&gt;"Abandonnée",Q128&lt;&gt;"",TODAY()&gt;Q128),"En retard",""))</f>
        <v/>
      </c>
      <c r="V128" s="37" t="inlineStr">
        <is>
          <t>Audit 12/09 : Table document_view présente ; enregistrement réel et export absents.</t>
        </is>
      </c>
    </row>
    <row r="129">
      <c r="B129" s="36" t="inlineStr">
        <is>
          <t>V2-034</t>
        </is>
      </c>
      <c r="C129" s="36" t="inlineStr">
        <is>
          <t>V2</t>
        </is>
      </c>
      <c r="D129" s="36" t="inlineStr">
        <is>
          <t>VDR</t>
        </is>
      </c>
      <c r="E129" s="37" t="inlineStr">
        <is>
          <t>Data room</t>
        </is>
      </c>
      <c r="F129" s="37" t="inlineStr">
        <is>
          <t>Upload en masse, antivirus, OCR des documents photographiés</t>
        </is>
      </c>
      <c r="G129" s="37" t="inlineStr">
        <is>
          <t>Reprise d'un upload interrompu</t>
        </is>
      </c>
      <c r="H129" s="38" t="n">
        <v>6</v>
      </c>
      <c r="I129" s="36" t="inlineStr">
        <is>
          <t>Moyenne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46336</v>
      </c>
      <c r="Q129" s="40" t="n">
        <v>46345</v>
      </c>
      <c r="R129" s="40" t="n"/>
      <c r="S129" s="37" t="inlineStr"/>
      <c r="T129" s="36" t="inlineStr">
        <is>
          <t>Non</t>
        </is>
      </c>
      <c r="U129" s="13">
        <f>IF($B129="","",IF(AND(J129&lt;&gt;"Complétée",J129&lt;&gt;"Abandonnée",Q129&lt;&gt;"",TODAY()&gt;Q129),"En retard",""))</f>
        <v/>
      </c>
      <c r="V129" s="37" t="n"/>
    </row>
    <row r="130">
      <c r="B130" s="36" t="inlineStr">
        <is>
          <t>V2-035</t>
        </is>
      </c>
      <c r="C130" s="36" t="inlineStr">
        <is>
          <t>V2</t>
        </is>
      </c>
      <c r="D130" s="36" t="inlineStr">
        <is>
          <t>VDR</t>
        </is>
      </c>
      <c r="E130" s="37" t="inlineStr">
        <is>
          <t>Data room</t>
        </is>
      </c>
      <c r="F130" s="37" t="inlineStr">
        <is>
          <t>Écrans data room : arborescence, visualiseur, administration des accès</t>
        </is>
      </c>
      <c r="G130" s="37" t="inlineStr">
        <is>
          <t>Parcours complet sur mobile</t>
        </is>
      </c>
      <c r="H130" s="38" t="n">
        <v>5</v>
      </c>
      <c r="I130" s="36" t="inlineStr">
        <is>
          <t>Haute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46337</v>
      </c>
      <c r="Q130" s="40" t="n">
        <v>46344</v>
      </c>
      <c r="R130" s="40" t="n"/>
      <c r="S130" s="37" t="inlineStr"/>
      <c r="T130" s="36" t="inlineStr">
        <is>
          <t>Non</t>
        </is>
      </c>
      <c r="U130" s="13">
        <f>IF($B130="","",IF(AND(J130&lt;&gt;"Complétée",J130&lt;&gt;"Abandonnée",Q130&lt;&gt;"",TODAY()&gt;Q130),"En retard",""))</f>
        <v/>
      </c>
      <c r="V130" s="37" t="n"/>
    </row>
    <row r="131">
      <c r="B131" s="36" t="inlineStr">
        <is>
          <t>V2-036</t>
        </is>
      </c>
      <c r="C131" s="36" t="inlineStr">
        <is>
          <t>V2</t>
        </is>
      </c>
      <c r="D131" s="36" t="inlineStr">
        <is>
          <t>VDR</t>
        </is>
      </c>
      <c r="E131" s="37" t="inlineStr">
        <is>
          <t>Questions-réponses</t>
        </is>
      </c>
      <c r="F131" s="37" t="inlineStr">
        <is>
          <t>Fils de questions par document, visibilité contrôlée par le cédant</t>
        </is>
      </c>
      <c r="G131" s="37" t="inlineStr">
        <is>
          <t>Question invisible aux autres investisseurs par défaut</t>
        </is>
      </c>
      <c r="H131" s="38" t="n">
        <v>6</v>
      </c>
      <c r="I131" s="36" t="inlineStr">
        <is>
          <t>Haute</t>
        </is>
      </c>
      <c r="J131" s="36" t="inlineStr">
        <is>
          <t>En cours</t>
        </is>
      </c>
      <c r="K131" s="39" t="n">
        <v>0.15</v>
      </c>
      <c r="L131" s="16">
        <f>IF($B131="","",IF(J131="Complétée",1,IF(J131="Abandonnée",0,IF(K131&lt;&gt;"",K131,IFERROR(VLOOKUP(J131,Parametres!$B$6:$C$12,2,FALSE),0)))))</f>
        <v/>
      </c>
      <c r="M131" s="15">
        <f>IF($B131="","",IF(J131="Abandonnée",0,H131))</f>
        <v/>
      </c>
      <c r="N131" s="15">
        <f>IF($B131="","",M131*L131)</f>
        <v/>
      </c>
      <c r="O131" s="37" t="inlineStr">
        <is>
          <t>Abdou-Raouf</t>
        </is>
      </c>
      <c r="P131" s="40" t="n">
        <v>46338</v>
      </c>
      <c r="Q131" s="40" t="n">
        <v>46347</v>
      </c>
      <c r="R131" s="40" t="n"/>
      <c r="S131" s="37" t="inlineStr"/>
      <c r="T131" s="36" t="inlineStr">
        <is>
          <t>Non</t>
        </is>
      </c>
      <c r="U131" s="13">
        <f>IF($B131="","",IF(AND(J131&lt;&gt;"Complétée",J131&lt;&gt;"Abandonnée",Q131&lt;&gt;"",TODAY()&gt;Q131),"En retard",""))</f>
        <v/>
      </c>
      <c r="V131" s="37" t="inlineStr">
        <is>
          <t>Audit 12/09 : Table qa_thread présente ; API, isolation et circuit de réponse absents.</t>
        </is>
      </c>
    </row>
    <row r="132">
      <c r="B132" s="36" t="inlineStr">
        <is>
          <t>V2-037</t>
        </is>
      </c>
      <c r="C132" s="36" t="inlineStr">
        <is>
          <t>V2</t>
        </is>
      </c>
      <c r="D132" s="36" t="inlineStr">
        <is>
          <t>VDR</t>
        </is>
      </c>
      <c r="E132" s="37" t="inlineStr">
        <is>
          <t>Questions-réponses</t>
        </is>
      </c>
      <c r="F132" s="37" t="inlineStr">
        <is>
          <t>Statuts, catégories, pièces jointes et journalisation des actions</t>
        </is>
      </c>
      <c r="G132" s="37" t="inlineStr">
        <is>
          <t>Chaque création / réponse / clôture journalisée</t>
        </is>
      </c>
      <c r="H132" s="38" t="n">
        <v>4</v>
      </c>
      <c r="I132" s="36" t="inlineStr">
        <is>
          <t>Moyenne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46339</v>
      </c>
      <c r="Q132" s="40" t="n">
        <v>46345</v>
      </c>
      <c r="R132" s="40" t="n"/>
      <c r="S132" s="37" t="inlineStr"/>
      <c r="T132" s="36" t="inlineStr">
        <is>
          <t>Non</t>
        </is>
      </c>
      <c r="U132" s="13">
        <f>IF($B132="","",IF(AND(J132&lt;&gt;"Complétée",J132&lt;&gt;"Abandonnée",Q132&lt;&gt;"",TODAY()&gt;Q132),"En retard",""))</f>
        <v/>
      </c>
      <c r="V132" s="37" t="n"/>
    </row>
    <row r="133">
      <c r="B133" s="36" t="inlineStr">
        <is>
          <t>V2-038</t>
        </is>
      </c>
      <c r="C133" s="36" t="inlineStr">
        <is>
          <t>V2</t>
        </is>
      </c>
      <c r="D133" s="36" t="inlineStr">
        <is>
          <t>VDR</t>
        </is>
      </c>
      <c r="E133" s="37" t="inlineStr">
        <is>
          <t>Questions-réponses</t>
        </is>
      </c>
      <c r="F133" s="37" t="inlineStr">
        <is>
          <t>Écrans Q&amp;R</t>
        </is>
      </c>
      <c r="G133" s="37" t="inlineStr">
        <is>
          <t>Filtre par statut et par document</t>
        </is>
      </c>
      <c r="H133" s="38" t="n">
        <v>5</v>
      </c>
      <c r="I133" s="36" t="inlineStr">
        <is>
          <t>Moyenne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46340</v>
      </c>
      <c r="Q133" s="40" t="n">
        <v>46347</v>
      </c>
      <c r="R133" s="40" t="n"/>
      <c r="S133" s="37" t="inlineStr"/>
      <c r="T133" s="36" t="inlineStr">
        <is>
          <t>Non</t>
        </is>
      </c>
      <c r="U133" s="13">
        <f>IF($B133="","",IF(AND(J133&lt;&gt;"Complétée",J133&lt;&gt;"Abandonnée",Q133&lt;&gt;"",TODAY()&gt;Q133),"En retard",""))</f>
        <v/>
      </c>
      <c r="V133" s="37" t="n"/>
    </row>
    <row r="134">
      <c r="B134" s="36" t="inlineStr">
        <is>
          <t>V2-039</t>
        </is>
      </c>
      <c r="C134" s="36" t="inlineStr">
        <is>
          <t>V2</t>
        </is>
      </c>
      <c r="D134" s="36" t="inlineStr">
        <is>
          <t>TRV</t>
        </is>
      </c>
      <c r="E134" s="37" t="inlineStr">
        <is>
          <t>QA et sécurité</t>
        </is>
      </c>
      <c r="F134" s="37" t="inlineStr">
        <is>
          <t>Storybook du design system, alimenté par les mêmes composants que le laboratoire</t>
        </is>
      </c>
      <c r="G134" s="37" t="inlineStr">
        <is>
          <t>Le designer revoit chaque variante sans passer par l'application</t>
        </is>
      </c>
      <c r="H134" s="38" t="n">
        <v>3</v>
      </c>
      <c r="I134" s="36" t="inlineStr">
        <is>
          <t>Moyenne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46341</v>
      </c>
      <c r="Q134" s="40" t="n">
        <v>46346</v>
      </c>
      <c r="R134" s="40" t="n"/>
      <c r="S134" s="37" t="inlineStr">
        <is>
          <t>Designer UI/UX confirmé</t>
        </is>
      </c>
      <c r="T134" s="36" t="inlineStr">
        <is>
          <t>Non</t>
        </is>
      </c>
      <c r="U134" s="13">
        <f>IF($B134="","",IF(AND(J134&lt;&gt;"Complétée",J134&lt;&gt;"Abandonnée",Q134&lt;&gt;"",TODAY()&gt;Q134),"En retard",""))</f>
        <v/>
      </c>
      <c r="V134" s="37" t="n"/>
    </row>
    <row r="135">
      <c r="B135" s="36" t="inlineStr">
        <is>
          <t>V2-040</t>
        </is>
      </c>
      <c r="C135" s="36" t="inlineStr">
        <is>
          <t>V2</t>
        </is>
      </c>
      <c r="D135" s="36" t="inlineStr">
        <is>
          <t>TRV</t>
        </is>
      </c>
      <c r="E135" s="37" t="inlineStr">
        <is>
          <t>QA et sécurité</t>
        </is>
      </c>
      <c r="F135" s="37" t="inlineStr">
        <is>
          <t>Tests de contournement de palier et de fuite T0 / T1 (DISCLOSURE_LEAK)</t>
        </is>
      </c>
      <c r="G135" s="37" t="inlineStr">
        <is>
          <t>Zéro fuite sur les 12 cas de référence</t>
        </is>
      </c>
      <c r="H135" s="38" t="n">
        <v>6</v>
      </c>
      <c r="I135" s="36" t="inlineStr">
        <is>
          <t>Haute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46341</v>
      </c>
      <c r="Q135" s="40" t="n">
        <v>46350</v>
      </c>
      <c r="R135" s="40" t="n"/>
      <c r="S135" s="37" t="inlineStr"/>
      <c r="T135" s="36" t="inlineStr">
        <is>
          <t>Non</t>
        </is>
      </c>
      <c r="U135" s="13">
        <f>IF($B135="","",IF(AND(J135&lt;&gt;"Complétée",J135&lt;&gt;"Abandonnée",Q135&lt;&gt;"",TODAY()&gt;Q135),"En retard",""))</f>
        <v/>
      </c>
      <c r="V135" s="37" t="n"/>
    </row>
    <row r="136">
      <c r="B136" s="36" t="inlineStr">
        <is>
          <t>V2-041</t>
        </is>
      </c>
      <c r="C136" s="36" t="inlineStr">
        <is>
          <t>V2</t>
        </is>
      </c>
      <c r="D136" s="36" t="inlineStr">
        <is>
          <t>TRV</t>
        </is>
      </c>
      <c r="E136" s="37" t="inlineStr">
        <is>
          <t>QA et sécurité</t>
        </is>
      </c>
      <c r="F136" s="37" t="inlineStr">
        <is>
          <t>Tests de révocation et d'expiration (REVOKED_ACCESS_ALLOWED)</t>
        </is>
      </c>
      <c r="G136" s="37" t="inlineStr">
        <is>
          <t>Utilisateur révoqué sans accès résiduel</t>
        </is>
      </c>
      <c r="H136" s="38" t="n">
        <v>4</v>
      </c>
      <c r="I136" s="36" t="inlineStr">
        <is>
          <t>Haute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46342</v>
      </c>
      <c r="Q136" s="40" t="n">
        <v>46348</v>
      </c>
      <c r="R136" s="40" t="n"/>
      <c r="S136" s="37" t="inlineStr"/>
      <c r="T136" s="36" t="inlineStr">
        <is>
          <t>Non</t>
        </is>
      </c>
      <c r="U136" s="13">
        <f>IF($B136="","",IF(AND(J136&lt;&gt;"Complétée",J136&lt;&gt;"Abandonnée",Q136&lt;&gt;"",TODAY()&gt;Q136),"En retard",""))</f>
        <v/>
      </c>
      <c r="V136" s="37" t="n"/>
    </row>
    <row r="137">
      <c r="B137" s="36" t="inlineStr">
        <is>
          <t>V2-042</t>
        </is>
      </c>
      <c r="C137" s="36" t="inlineStr">
        <is>
          <t>V2</t>
        </is>
      </c>
      <c r="D137" s="36" t="inlineStr">
        <is>
          <t>TRV</t>
        </is>
      </c>
      <c r="E137" s="37" t="inlineStr">
        <is>
          <t>QA et sécurité</t>
        </is>
      </c>
      <c r="F137" s="37" t="inlineStr">
        <is>
          <t>Revue de sécurité interne et préparation du périmètre de pentest</t>
        </is>
      </c>
      <c r="G137" s="37" t="inlineStr">
        <is>
          <t>Périmètre de pentest rédigé</t>
        </is>
      </c>
      <c r="H137" s="38" t="n">
        <v>5</v>
      </c>
      <c r="I137" s="36" t="inlineStr">
        <is>
          <t>Haute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46343</v>
      </c>
      <c r="Q137" s="40" t="n">
        <v>46350</v>
      </c>
      <c r="R137" s="40" t="n"/>
      <c r="S137" s="37" t="inlineStr"/>
      <c r="T137" s="36" t="inlineStr">
        <is>
          <t>Non</t>
        </is>
      </c>
      <c r="U137" s="13">
        <f>IF($B137="","",IF(AND(J137&lt;&gt;"Complétée",J137&lt;&gt;"Abandonnée",Q137&lt;&gt;"",TODAY()&gt;Q137),"En retard",""))</f>
        <v/>
      </c>
      <c r="V137" s="37" t="n"/>
    </row>
    <row r="138">
      <c r="B138" s="36" t="inlineStr">
        <is>
          <t>V2-043</t>
        </is>
      </c>
      <c r="C138" s="36" t="inlineStr">
        <is>
          <t>V2</t>
        </is>
      </c>
      <c r="D138" s="36" t="inlineStr">
        <is>
          <t>TRV</t>
        </is>
      </c>
      <c r="E138" s="37" t="inlineStr">
        <is>
          <t>QA et sécurité</t>
        </is>
      </c>
      <c r="F138" s="37" t="inlineStr">
        <is>
          <t>Recette V2 et corrections</t>
        </is>
      </c>
      <c r="G138" s="37" t="inlineStr">
        <is>
          <t>Zéro anomalie bloquante ouverte</t>
        </is>
      </c>
      <c r="H138" s="38" t="n">
        <v>5</v>
      </c>
      <c r="I138" s="36" t="inlineStr">
        <is>
          <t>Haute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46344</v>
      </c>
      <c r="Q138" s="40" t="n">
        <v>46351</v>
      </c>
      <c r="R138" s="40" t="n"/>
      <c r="S138" s="37" t="inlineStr"/>
      <c r="T138" s="36" t="inlineStr">
        <is>
          <t>Non</t>
        </is>
      </c>
      <c r="U138" s="13">
        <f>IF($B138="","",IF(AND(J138&lt;&gt;"Complétée",J138&lt;&gt;"Abandonnée",Q138&lt;&gt;"",TODAY()&gt;Q138),"En retard",""))</f>
        <v/>
      </c>
      <c r="V138" s="37" t="n"/>
    </row>
    <row r="139">
      <c r="B139" s="36" t="inlineStr">
        <is>
          <t>V3-001</t>
        </is>
      </c>
      <c r="C139" s="36" t="inlineStr">
        <is>
          <t>V3</t>
        </is>
      </c>
      <c r="D139" s="36" t="inlineStr">
        <is>
          <t>NEG</t>
        </is>
      </c>
      <c r="E139" s="37" t="inlineStr">
        <is>
          <t>Conception</t>
        </is>
      </c>
      <c r="F139" s="37" t="inlineStr">
        <is>
          <t>Conception de la négociation et de la réalisation : machine à états complète (offre, LOI, audit, réalisation), registre des points ouverts, événements de frais</t>
        </is>
      </c>
      <c r="G139" s="37" t="inlineStr">
        <is>
          <t>Chaque transition est spécifiée avec ses préconditions et ses effets journalisés</t>
        </is>
      </c>
      <c r="H139" s="38" t="n">
        <v>3</v>
      </c>
      <c r="I139" s="36" t="inlineStr">
        <is>
          <t>Haute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46352</v>
      </c>
      <c r="Q139" s="40" t="n">
        <v>46357</v>
      </c>
      <c r="R139" s="40" t="n"/>
      <c r="S139" s="37" t="inlineStr"/>
      <c r="T139" s="36" t="inlineStr">
        <is>
          <t>Oui</t>
        </is>
      </c>
      <c r="U139" s="13">
        <f>IF($B139="","",IF(AND(J139&lt;&gt;"Complétée",J139&lt;&gt;"Abandonnée",Q139&lt;&gt;"",TODAY()&gt;Q139),"En retard",""))</f>
        <v/>
      </c>
      <c r="V139" s="37" t="n"/>
    </row>
    <row r="140">
      <c r="B140" s="36" t="inlineStr">
        <is>
          <t>V3-002</t>
        </is>
      </c>
      <c r="C140" s="36" t="inlineStr">
        <is>
          <t>V3</t>
        </is>
      </c>
      <c r="D140" s="36" t="inlineStr">
        <is>
          <t>FIN</t>
        </is>
      </c>
      <c r="E140" s="37" t="inlineStr">
        <is>
          <t>Conception</t>
        </is>
      </c>
      <c r="F140" s="37" t="inlineStr">
        <is>
          <t>Conception du moteur de frais et de rétrocession : barème versionné sous drapeau juridique, journal de calcul recalculable, rapport trimestriel</t>
        </is>
      </c>
      <c r="G140" s="37" t="inlineStr">
        <is>
          <t>Un calcul peut être rejoué à l'identique à partir du journal ; barème inactif sans avis écrit</t>
        </is>
      </c>
      <c r="H140" s="38" t="n">
        <v>2</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46352</v>
      </c>
      <c r="Q140" s="40" t="n">
        <v>46355</v>
      </c>
      <c r="R140" s="40" t="n"/>
      <c r="S140" s="37" t="inlineStr"/>
      <c r="T140" s="36" t="inlineStr">
        <is>
          <t>Non</t>
        </is>
      </c>
      <c r="U140" s="13">
        <f>IF($B140="","",IF(AND(J140&lt;&gt;"Complétée",J140&lt;&gt;"Abandonnée",Q140&lt;&gt;"",TODAY()&gt;Q140),"En retard",""))</f>
        <v/>
      </c>
      <c r="V140" s="37" t="n"/>
    </row>
    <row r="141">
      <c r="B141" s="36" t="inlineStr">
        <is>
          <t>V3-003</t>
        </is>
      </c>
      <c r="C141" s="36" t="inlineStr">
        <is>
          <t>V3</t>
        </is>
      </c>
      <c r="D141" s="36" t="inlineStr">
        <is>
          <t>LEG</t>
        </is>
      </c>
      <c r="E141" s="37" t="inlineStr">
        <is>
          <t>Conception</t>
        </is>
      </c>
      <c r="F141" s="37" t="inlineStr">
        <is>
          <t>Conception LegalTech : modèle de gabarit versionné, variables, génération PDF, mention obligatoire, traçabilité de la revue du conseil</t>
        </is>
      </c>
      <c r="G141" s="37" t="inlineStr">
        <is>
          <t>Schéma de gabarit validé avec le conseil juridique</t>
        </is>
      </c>
      <c r="H141" s="38" t="n">
        <v>2</v>
      </c>
      <c r="I141" s="36" t="inlineStr">
        <is>
          <t>Moyenne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46353</v>
      </c>
      <c r="Q141" s="40" t="n">
        <v>46356</v>
      </c>
      <c r="R141" s="40" t="n"/>
      <c r="S141" s="37" t="inlineStr"/>
      <c r="T141" s="36" t="inlineStr">
        <is>
          <t>Non</t>
        </is>
      </c>
      <c r="U141" s="13">
        <f>IF($B141="","",IF(AND(J141&lt;&gt;"Complétée",J141&lt;&gt;"Abandonnée",Q141&lt;&gt;"",TODAY()&gt;Q141),"En retard",""))</f>
        <v/>
      </c>
      <c r="V141" s="37" t="n"/>
    </row>
    <row r="142">
      <c r="B142" s="36" t="inlineStr">
        <is>
          <t>V3-004</t>
        </is>
      </c>
      <c r="C142" s="36" t="inlineStr">
        <is>
          <t>V3</t>
        </is>
      </c>
      <c r="D142" s="36" t="inlineStr">
        <is>
          <t>OPS</t>
        </is>
      </c>
      <c r="E142" s="37" t="inlineStr">
        <is>
          <t>Exploitation</t>
        </is>
      </c>
      <c r="F142" s="37" t="inlineStr">
        <is>
          <t>Acheminement des alertes d'exploitation : seuils, canal d'astreinte, accusé de prise en charge</t>
        </is>
      </c>
      <c r="G142" s="37" t="inlineStr">
        <is>
          <t>Une erreur serveur répétée réveille quelqu'un, sans dépendre d'une console consultée à la main</t>
        </is>
      </c>
      <c r="H142" s="38" t="n">
        <v>3</v>
      </c>
      <c r="I142" s="36" t="inlineStr">
        <is>
          <t>Haute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46353</v>
      </c>
      <c r="Q142" s="40" t="n">
        <v>46358</v>
      </c>
      <c r="R142" s="40" t="n"/>
      <c r="S142" s="37" t="inlineStr"/>
      <c r="T142" s="36" t="inlineStr">
        <is>
          <t>Non</t>
        </is>
      </c>
      <c r="U142" s="13">
        <f>IF($B142="","",IF(AND(J142&lt;&gt;"Complétée",J142&lt;&gt;"Abandonnée",Q142&lt;&gt;"",TODAY()&gt;Q142),"En retard",""))</f>
        <v/>
      </c>
      <c r="V142" s="37" t="n"/>
    </row>
    <row r="143">
      <c r="B143" s="36" t="inlineStr">
        <is>
          <t>V3-005</t>
        </is>
      </c>
      <c r="C143" s="36" t="inlineStr">
        <is>
          <t>V3</t>
        </is>
      </c>
      <c r="D143" s="36" t="inlineStr">
        <is>
          <t>OPS</t>
        </is>
      </c>
      <c r="E143" s="37" t="inlineStr">
        <is>
          <t>Exploitation</t>
        </is>
      </c>
      <c r="F143" s="37" t="inlineStr">
        <is>
          <t>Chiffrement au repos du stockage objet par un KMS géré et rotation documentée des clés</t>
        </is>
      </c>
      <c r="G143" s="37" t="inlineStr">
        <is>
          <t>La clé de développement de MinIO n'existe plus en production ; la rotation est éprouvée</t>
        </is>
      </c>
      <c r="H143" s="38" t="n">
        <v>3</v>
      </c>
      <c r="I143" s="36" t="inlineStr">
        <is>
          <t>Haute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46354</v>
      </c>
      <c r="Q143" s="40" t="n">
        <v>46359</v>
      </c>
      <c r="R143" s="40" t="n"/>
      <c r="S143" s="37" t="inlineStr"/>
      <c r="T143" s="36" t="inlineStr">
        <is>
          <t>Non</t>
        </is>
      </c>
      <c r="U143" s="13">
        <f>IF($B143="","",IF(AND(J143&lt;&gt;"Complétée",J143&lt;&gt;"Abandonnée",Q143&lt;&gt;"",TODAY()&gt;Q143),"En retard",""))</f>
        <v/>
      </c>
      <c r="V143" s="37" t="n"/>
    </row>
    <row r="144">
      <c r="B144" s="36" t="inlineStr">
        <is>
          <t>V3-006</t>
        </is>
      </c>
      <c r="C144" s="36" t="inlineStr">
        <is>
          <t>V3</t>
        </is>
      </c>
      <c r="D144" s="36" t="inlineStr">
        <is>
          <t>SUP</t>
        </is>
      </c>
      <c r="E144" s="37" t="inlineStr">
        <is>
          <t>Support</t>
        </is>
      </c>
      <c r="F144" s="37" t="inlineStr">
        <is>
          <t>Procédure de purge et de rétention des pièces et des valeurs déclarées (effacement encadré par le DPO)</t>
        </is>
      </c>
      <c r="G144" s="37" t="inlineStr">
        <is>
          <t>Durées de conservation écrites, effacement tracé et irréversible</t>
        </is>
      </c>
      <c r="H144" s="38" t="n">
        <v>3</v>
      </c>
      <c r="I144" s="36" t="inlineStr">
        <is>
          <t>Haute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46354</v>
      </c>
      <c r="Q144" s="40" t="n">
        <v>46359</v>
      </c>
      <c r="R144" s="40" t="n"/>
      <c r="S144" s="37" t="inlineStr">
        <is>
          <t>DPO désigné</t>
        </is>
      </c>
      <c r="T144" s="36" t="inlineStr">
        <is>
          <t>Non</t>
        </is>
      </c>
      <c r="U144" s="13">
        <f>IF($B144="","",IF(AND(J144&lt;&gt;"Complétée",J144&lt;&gt;"Abandonnée",Q144&lt;&gt;"",TODAY()&gt;Q144),"En retard",""))</f>
        <v/>
      </c>
      <c r="V144" s="37" t="n"/>
    </row>
    <row r="145">
      <c r="B145" s="36" t="inlineStr">
        <is>
          <t>V3-007</t>
        </is>
      </c>
      <c r="C145" s="36" t="inlineStr">
        <is>
          <t>V3</t>
        </is>
      </c>
      <c r="D145" s="36" t="inlineStr">
        <is>
          <t>OPS</t>
        </is>
      </c>
      <c r="E145" s="37" t="inlineStr">
        <is>
          <t>Conception</t>
        </is>
      </c>
      <c r="F145" s="37" t="inlineStr">
        <is>
          <t>Conception de l'exploitation et du support : SLA 99,5 %, supervision, sauvegardes et restauration, procédure d'incident, accès privilégiés et mode break-glass journalisé</t>
        </is>
      </c>
      <c r="G145" s="37" t="inlineStr">
        <is>
          <t>Plan d'exploitation relu ; chaque accès privilégié est tracé et limité dans le temps</t>
        </is>
      </c>
      <c r="H145" s="38" t="n">
        <v>3</v>
      </c>
      <c r="I145" s="36" t="inlineStr">
        <is>
          <t>Haute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46355</v>
      </c>
      <c r="Q145" s="40" t="n">
        <v>46360</v>
      </c>
      <c r="R145" s="40" t="n"/>
      <c r="S145" s="37" t="inlineStr"/>
      <c r="T145" s="36" t="inlineStr">
        <is>
          <t>Non</t>
        </is>
      </c>
      <c r="U145" s="13">
        <f>IF($B145="","",IF(AND(J145&lt;&gt;"Complétée",J145&lt;&gt;"Abandonnée",Q145&lt;&gt;"",TODAY()&gt;Q145),"En retard",""))</f>
        <v/>
      </c>
      <c r="V145" s="37" t="n"/>
    </row>
    <row r="146">
      <c r="B146" s="36" t="inlineStr">
        <is>
          <t>V3-008</t>
        </is>
      </c>
      <c r="C146" s="36" t="inlineStr">
        <is>
          <t>V3</t>
        </is>
      </c>
      <c r="D146" s="36" t="inlineStr">
        <is>
          <t>LEG</t>
        </is>
      </c>
      <c r="E146" s="37" t="inlineStr">
        <is>
          <t>LegalTech OHADA</t>
        </is>
      </c>
      <c r="F146" s="37" t="inlineStr">
        <is>
          <t>Modèles versionnés : NDA, LOI, pacte simplifié, SPA, cession d'actifs, contrat de travail (Code du travail togolais)</t>
        </is>
      </c>
      <c r="G146" s="37" t="inlineStr">
        <is>
          <t>Chaque modèle porte version et référence du conseil</t>
        </is>
      </c>
      <c r="H146" s="38" t="n">
        <v>8</v>
      </c>
      <c r="I146" s="36" t="inlineStr">
        <is>
          <t>Haute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46355</v>
      </c>
      <c r="Q146" s="40" t="n">
        <v>46367</v>
      </c>
      <c r="R146" s="40" t="n"/>
      <c r="S146" s="37" t="inlineStr"/>
      <c r="T146" s="36" t="inlineStr">
        <is>
          <t>Non</t>
        </is>
      </c>
      <c r="U146" s="13">
        <f>IF($B146="","",IF(AND(J146&lt;&gt;"Complétée",J146&lt;&gt;"Abandonnée",Q146&lt;&gt;"",TODAY()&gt;Q146),"En retard",""))</f>
        <v/>
      </c>
      <c r="V146" s="37" t="n"/>
    </row>
    <row r="147">
      <c r="B147" s="36" t="inlineStr">
        <is>
          <t>V3-009</t>
        </is>
      </c>
      <c r="C147" s="36" t="inlineStr">
        <is>
          <t>V3</t>
        </is>
      </c>
      <c r="D147" s="36" t="inlineStr">
        <is>
          <t>LEG</t>
        </is>
      </c>
      <c r="E147" s="37" t="inlineStr">
        <is>
          <t>LegalTech OHADA</t>
        </is>
      </c>
      <c r="F147" s="37" t="inlineStr">
        <is>
          <t>Moteur de génération PDF avec variables et mention 'aide à la rédaction, pas un conseil juridique'</t>
        </is>
      </c>
      <c r="G147" s="37" t="inlineStr">
        <is>
          <t>Mention présente sur chaque document généré</t>
        </is>
      </c>
      <c r="H147" s="38" t="n">
        <v>7</v>
      </c>
      <c r="I147" s="36" t="inlineStr">
        <is>
          <t>Haute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46356</v>
      </c>
      <c r="Q147" s="40" t="n">
        <v>46366</v>
      </c>
      <c r="R147" s="40" t="n"/>
      <c r="S147" s="37" t="inlineStr"/>
      <c r="T147" s="36" t="inlineStr">
        <is>
          <t>Non</t>
        </is>
      </c>
      <c r="U147" s="13">
        <f>IF($B147="","",IF(AND(J147&lt;&gt;"Complétée",J147&lt;&gt;"Abandonnée",Q147&lt;&gt;"",TODAY()&gt;Q147),"En retard",""))</f>
        <v/>
      </c>
      <c r="V147" s="37" t="n"/>
    </row>
    <row r="148">
      <c r="B148" s="36" t="inlineStr">
        <is>
          <t>V3-010</t>
        </is>
      </c>
      <c r="C148" s="36" t="inlineStr">
        <is>
          <t>V3</t>
        </is>
      </c>
      <c r="D148" s="36" t="inlineStr">
        <is>
          <t>LEG</t>
        </is>
      </c>
      <c r="E148" s="37" t="inlineStr">
        <is>
          <t>LegalTech OHADA</t>
        </is>
      </c>
      <c r="F148" s="37" t="inlineStr">
        <is>
          <t>Revue des modèles par le conseil juridique (coordination)</t>
        </is>
      </c>
      <c r="G148" s="37" t="inlineStr">
        <is>
          <t>Avis écrit archivé par modèle</t>
        </is>
      </c>
      <c r="H148" s="38" t="n">
        <v>4</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46357</v>
      </c>
      <c r="Q148" s="40" t="n">
        <v>46363</v>
      </c>
      <c r="R148" s="40" t="n"/>
      <c r="S148" s="37" t="inlineStr"/>
      <c r="T148" s="36" t="inlineStr">
        <is>
          <t>Oui</t>
        </is>
      </c>
      <c r="U148" s="13">
        <f>IF($B148="","",IF(AND(J148&lt;&gt;"Complétée",J148&lt;&gt;"Abandonnée",Q148&lt;&gt;"",TODAY()&gt;Q148),"En retard",""))</f>
        <v/>
      </c>
      <c r="V148" s="37" t="n"/>
    </row>
    <row r="149">
      <c r="B149" s="36" t="inlineStr">
        <is>
          <t>V3-011</t>
        </is>
      </c>
      <c r="C149" s="36" t="inlineStr">
        <is>
          <t>V3</t>
        </is>
      </c>
      <c r="D149" s="36" t="inlineStr">
        <is>
          <t>LEG</t>
        </is>
      </c>
      <c r="E149" s="37" t="inlineStr">
        <is>
          <t>LegalTech OHADA</t>
        </is>
      </c>
      <c r="F149" s="37" t="inlineStr">
        <is>
          <t>Liaison avec transferRestrictions : alertes clauses d'agrément et de préemption</t>
        </is>
      </c>
      <c r="G149" s="37" t="inlineStr">
        <is>
          <t>Alerte affichée dès qu'une restriction existe</t>
        </is>
      </c>
      <c r="H149" s="38" t="n">
        <v>3</v>
      </c>
      <c r="I149" s="36" t="inlineStr">
        <is>
          <t>Moyenne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46358</v>
      </c>
      <c r="Q149" s="40" t="n">
        <v>46363</v>
      </c>
      <c r="R149" s="40" t="n"/>
      <c r="S149" s="37" t="inlineStr"/>
      <c r="T149" s="36" t="inlineStr">
        <is>
          <t>Non</t>
        </is>
      </c>
      <c r="U149" s="13">
        <f>IF($B149="","",IF(AND(J149&lt;&gt;"Complétée",J149&lt;&gt;"Abandonnée",Q149&lt;&gt;"",TODAY()&gt;Q149),"En retard",""))</f>
        <v/>
      </c>
      <c r="V149" s="37" t="n"/>
    </row>
    <row r="150">
      <c r="B150" s="36" t="inlineStr">
        <is>
          <t>V3-012</t>
        </is>
      </c>
      <c r="C150" s="36" t="inlineStr">
        <is>
          <t>V3</t>
        </is>
      </c>
      <c r="D150" s="36" t="inlineStr">
        <is>
          <t>LEG</t>
        </is>
      </c>
      <c r="E150" s="37" t="inlineStr">
        <is>
          <t>Conformité fiscale</t>
        </is>
      </c>
      <c r="F150" s="37" t="inlineStr">
        <is>
          <t>Intégration du module fiscal partenaire (simulation, attestation) derrière drapeau</t>
        </is>
      </c>
      <c r="G150" s="37" t="inlineStr">
        <is>
          <t>TaxeFacile confirmé comme service ; intégration fonctionnelle et responsabilités cadrées en V3-050 ; API fiscale et attestation uniquement si disponibles et justifiées</t>
        </is>
      </c>
      <c r="H150" s="38" t="n">
        <v>6</v>
      </c>
      <c r="I150" s="36" t="inlineStr">
        <is>
          <t>Moyenne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46359</v>
      </c>
      <c r="Q150" s="40" t="n">
        <v>46368</v>
      </c>
      <c r="R150" s="40" t="n"/>
      <c r="S150" s="37" t="inlineStr">
        <is>
          <t>Partenaire fiscal confirmé</t>
        </is>
      </c>
      <c r="T150" s="36" t="inlineStr">
        <is>
          <t>Non</t>
        </is>
      </c>
      <c r="U150" s="13">
        <f>IF($B150="","",IF(AND(J150&lt;&gt;"Complétée",J150&lt;&gt;"Abandonnée",Q150&lt;&gt;"",TODAY()&gt;Q150),"En retard",""))</f>
        <v/>
      </c>
      <c r="V150" s="37" t="n"/>
    </row>
    <row r="151">
      <c r="B151" s="36" t="inlineStr">
        <is>
          <t>V3-013</t>
        </is>
      </c>
      <c r="C151" s="36" t="inlineStr">
        <is>
          <t>V3</t>
        </is>
      </c>
      <c r="D151" s="36" t="inlineStr">
        <is>
          <t>LEG</t>
        </is>
      </c>
      <c r="E151" s="37" t="inlineStr">
        <is>
          <t>LegalTech OHADA</t>
        </is>
      </c>
      <c r="F151" s="37" t="inlineStr">
        <is>
          <t>Écrans LegalTech</t>
        </is>
      </c>
      <c r="G151" s="37" t="inlineStr">
        <is>
          <t>Quota de documents par palier respecté</t>
        </is>
      </c>
      <c r="H151" s="38" t="n">
        <v>2</v>
      </c>
      <c r="I151" s="36" t="inlineStr">
        <is>
          <t>Moyenne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46360</v>
      </c>
      <c r="Q151" s="40" t="n">
        <v>46363</v>
      </c>
      <c r="R151" s="40" t="n"/>
      <c r="S151" s="37" t="inlineStr"/>
      <c r="T151" s="36" t="inlineStr">
        <is>
          <t>Non</t>
        </is>
      </c>
      <c r="U151" s="13">
        <f>IF($B151="","",IF(AND(J151&lt;&gt;"Complétée",J151&lt;&gt;"Abandonnée",Q151&lt;&gt;"",TODAY()&gt;Q151),"En retard",""))</f>
        <v/>
      </c>
      <c r="V151" s="37" t="n"/>
    </row>
    <row r="152">
      <c r="B152" s="36" t="inlineStr">
        <is>
          <t>V3-014</t>
        </is>
      </c>
      <c r="C152" s="36" t="inlineStr">
        <is>
          <t>V3</t>
        </is>
      </c>
      <c r="D152" s="36" t="inlineStr">
        <is>
          <t>NEG</t>
        </is>
      </c>
      <c r="E152" s="37" t="inlineStr">
        <is>
          <t>Négociation</t>
        </is>
      </c>
      <c r="F152" s="37" t="inlineStr">
        <is>
          <t>Offre et contre-offre structurées et versionnées</t>
        </is>
      </c>
      <c r="G152" s="37" t="inlineStr">
        <is>
          <t>Toutes les versions conservées</t>
        </is>
      </c>
      <c r="H152" s="38" t="n">
        <v>6</v>
      </c>
      <c r="I152" s="36" t="inlineStr">
        <is>
          <t>Haute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46360</v>
      </c>
      <c r="Q152" s="40" t="n">
        <v>46369</v>
      </c>
      <c r="R152" s="40" t="n"/>
      <c r="S152" s="37" t="inlineStr"/>
      <c r="T152" s="36" t="inlineStr">
        <is>
          <t>Non</t>
        </is>
      </c>
      <c r="U152" s="13">
        <f>IF($B152="","",IF(AND(J152&lt;&gt;"Complétée",J152&lt;&gt;"Abandonnée",Q152&lt;&gt;"",TODAY()&gt;Q152),"En retard",""))</f>
        <v/>
      </c>
      <c r="V152" s="37" t="n"/>
    </row>
    <row r="153">
      <c r="B153" s="36" t="inlineStr">
        <is>
          <t>V3-015</t>
        </is>
      </c>
      <c r="C153" s="36" t="inlineStr">
        <is>
          <t>V3</t>
        </is>
      </c>
      <c r="D153" s="36" t="inlineStr">
        <is>
          <t>NEG</t>
        </is>
      </c>
      <c r="E153" s="37" t="inlineStr">
        <is>
          <t>Négociation</t>
        </is>
      </c>
      <c r="F153" s="37" t="inlineStr">
        <is>
          <t>Générateur de LOI branché sur LegalTech</t>
        </is>
      </c>
      <c r="G153" s="37" t="inlineStr">
        <is>
          <t>LOI générée depuis l'offre acceptée</t>
        </is>
      </c>
      <c r="H153" s="38" t="n">
        <v>4</v>
      </c>
      <c r="I153" s="36" t="inlineStr">
        <is>
          <t>Haute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46361</v>
      </c>
      <c r="Q153" s="40" t="n">
        <v>46367</v>
      </c>
      <c r="R153" s="40" t="n"/>
      <c r="S153" s="37" t="inlineStr">
        <is>
          <t>Moteur de génération</t>
        </is>
      </c>
      <c r="T153" s="36" t="inlineStr">
        <is>
          <t>Non</t>
        </is>
      </c>
      <c r="U153" s="13">
        <f>IF($B153="","",IF(AND(J153&lt;&gt;"Complétée",J153&lt;&gt;"Abandonnée",Q153&lt;&gt;"",TODAY()&gt;Q153),"En retard",""))</f>
        <v/>
      </c>
      <c r="V153" s="37" t="n"/>
    </row>
    <row r="154">
      <c r="B154" s="36" t="inlineStr">
        <is>
          <t>V3-016</t>
        </is>
      </c>
      <c r="C154" s="36" t="inlineStr">
        <is>
          <t>V3</t>
        </is>
      </c>
      <c r="D154" s="36" t="inlineStr">
        <is>
          <t>NEG</t>
        </is>
      </c>
      <c r="E154" s="37" t="inlineStr">
        <is>
          <t>Audit d'acquisition</t>
        </is>
      </c>
      <c r="F154" s="37" t="inlineStr">
        <is>
          <t>Registre des points ouverts d'audit d'acquisition (P15)</t>
        </is>
      </c>
      <c r="G154" s="37" t="inlineStr">
        <is>
          <t>Chaque point porte propriétaire, échéance, statut</t>
        </is>
      </c>
      <c r="H154" s="38" t="n">
        <v>6</v>
      </c>
      <c r="I154" s="36" t="inlineStr">
        <is>
          <t>Haute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46362</v>
      </c>
      <c r="Q154" s="40" t="n">
        <v>46371</v>
      </c>
      <c r="R154" s="40" t="n"/>
      <c r="S154" s="37" t="inlineStr"/>
      <c r="T154" s="36" t="inlineStr">
        <is>
          <t>Non</t>
        </is>
      </c>
      <c r="U154" s="13">
        <f>IF($B154="","",IF(AND(J154&lt;&gt;"Complétée",J154&lt;&gt;"Abandonnée",Q154&lt;&gt;"",TODAY()&gt;Q154),"En retard",""))</f>
        <v/>
      </c>
      <c r="V154" s="37" t="n"/>
    </row>
    <row r="155">
      <c r="B155" s="36" t="inlineStr">
        <is>
          <t>V3-017</t>
        </is>
      </c>
      <c r="C155" s="36" t="inlineStr">
        <is>
          <t>V3</t>
        </is>
      </c>
      <c r="D155" s="36" t="inlineStr">
        <is>
          <t>NEG</t>
        </is>
      </c>
      <c r="E155" s="37" t="inlineStr">
        <is>
          <t>Audit d'acquisition</t>
        </is>
      </c>
      <c r="F155" s="37" t="inlineStr">
        <is>
          <t>Décision poursuivre / renégocier / abandonner avec motifs structurés</t>
        </is>
      </c>
      <c r="G155" s="37" t="inlineStr">
        <is>
          <t>Motif obligatoire à l'abandon</t>
        </is>
      </c>
      <c r="H155" s="38" t="n">
        <v>3</v>
      </c>
      <c r="I155" s="36" t="inlineStr">
        <is>
          <t>Moyenne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46362</v>
      </c>
      <c r="Q155" s="40" t="n">
        <v>46367</v>
      </c>
      <c r="R155" s="40" t="n"/>
      <c r="S155" s="37" t="inlineStr"/>
      <c r="T155" s="36" t="inlineStr">
        <is>
          <t>Non</t>
        </is>
      </c>
      <c r="U155" s="13">
        <f>IF($B155="","",IF(AND(J155&lt;&gt;"Complétée",J155&lt;&gt;"Abandonnée",Q155&lt;&gt;"",TODAY()&gt;Q155),"En retard",""))</f>
        <v/>
      </c>
      <c r="V155" s="37" t="n"/>
    </row>
    <row r="156">
      <c r="B156" s="36" t="inlineStr">
        <is>
          <t>V3-018</t>
        </is>
      </c>
      <c r="C156" s="36" t="inlineStr">
        <is>
          <t>V3</t>
        </is>
      </c>
      <c r="D156" s="36" t="inlineStr">
        <is>
          <t>NEG</t>
        </is>
      </c>
      <c r="E156" s="37" t="inlineStr">
        <is>
          <t>Négociation</t>
        </is>
      </c>
      <c r="F156" s="37" t="inlineStr">
        <is>
          <t>Écrans négociation et audit</t>
        </is>
      </c>
      <c r="G156" s="37" t="inlineStr">
        <is>
          <t>Conditions sensibles visibles uniquement en T2</t>
        </is>
      </c>
      <c r="H156" s="38" t="n">
        <v>6</v>
      </c>
      <c r="I156" s="36" t="inlineStr">
        <is>
          <t>Moyenne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46363</v>
      </c>
      <c r="Q156" s="40" t="n">
        <v>46372</v>
      </c>
      <c r="R156" s="40" t="n"/>
      <c r="S156" s="37" t="inlineStr"/>
      <c r="T156" s="36" t="inlineStr">
        <is>
          <t>Non</t>
        </is>
      </c>
      <c r="U156" s="13">
        <f>IF($B156="","",IF(AND(J156&lt;&gt;"Complétée",J156&lt;&gt;"Abandonnée",Q156&lt;&gt;"",TODAY()&gt;Q156),"En retard",""))</f>
        <v/>
      </c>
      <c r="V156" s="37" t="n"/>
    </row>
    <row r="157">
      <c r="B157" s="36" t="inlineStr">
        <is>
          <t>V3-019</t>
        </is>
      </c>
      <c r="C157" s="36" t="inlineStr">
        <is>
          <t>V3</t>
        </is>
      </c>
      <c r="D157" s="36" t="inlineStr">
        <is>
          <t>REA</t>
        </is>
      </c>
      <c r="E157" s="37" t="inlineStr">
        <is>
          <t>Réalisation</t>
        </is>
      </c>
      <c r="F157" s="37" t="inlineStr">
        <is>
          <t>Statut de réalisation (réalisé, différé, abandonné) et dossier de preuves</t>
        </is>
      </c>
      <c r="G157" s="37" t="inlineStr">
        <is>
          <t>Résultat présenté avec son niveau de preuve</t>
        </is>
      </c>
      <c r="H157" s="38" t="n">
        <v>5</v>
      </c>
      <c r="I157" s="36" t="inlineStr">
        <is>
          <t>Haute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46364</v>
      </c>
      <c r="Q157" s="40" t="n">
        <v>46371</v>
      </c>
      <c r="R157" s="40" t="n"/>
      <c r="S157" s="37" t="inlineStr"/>
      <c r="T157" s="36" t="inlineStr">
        <is>
          <t>Non</t>
        </is>
      </c>
      <c r="U157" s="13">
        <f>IF($B157="","",IF(AND(J157&lt;&gt;"Complétée",J157&lt;&gt;"Abandonnée",Q157&lt;&gt;"",TODAY()&gt;Q157),"En retard",""))</f>
        <v/>
      </c>
      <c r="V157" s="37" t="n"/>
    </row>
    <row r="158">
      <c r="B158" s="36" t="inlineStr">
        <is>
          <t>V3-020</t>
        </is>
      </c>
      <c r="C158" s="36" t="inlineStr">
        <is>
          <t>V3</t>
        </is>
      </c>
      <c r="D158" s="36" t="inlineStr">
        <is>
          <t>REA</t>
        </is>
      </c>
      <c r="E158" s="37" t="inlineStr">
        <is>
          <t>Réalisation</t>
        </is>
      </c>
      <c r="F158" s="37" t="inlineStr">
        <is>
          <t>Références de formalités externes (RCCM) et confirmations des parties</t>
        </is>
      </c>
      <c r="G158" s="37" t="inlineStr">
        <is>
          <t>Référence RCCM stockée avec horodatage</t>
        </is>
      </c>
      <c r="H158" s="38" t="n">
        <v>3</v>
      </c>
      <c r="I158" s="36" t="inlineStr">
        <is>
          <t>Moyenne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46365</v>
      </c>
      <c r="Q158" s="40" t="n">
        <v>46370</v>
      </c>
      <c r="R158" s="40" t="n"/>
      <c r="S158" s="37" t="inlineStr"/>
      <c r="T158" s="36" t="inlineStr">
        <is>
          <t>Non</t>
        </is>
      </c>
      <c r="U158" s="13">
        <f>IF($B158="","",IF(AND(J158&lt;&gt;"Complétée",J158&lt;&gt;"Abandonnée",Q158&lt;&gt;"",TODAY()&gt;Q158),"En retard",""))</f>
        <v/>
      </c>
      <c r="V158" s="37" t="n"/>
    </row>
    <row r="159">
      <c r="B159" s="36" t="inlineStr">
        <is>
          <t>V3-021</t>
        </is>
      </c>
      <c r="C159" s="36" t="inlineStr">
        <is>
          <t>V3</t>
        </is>
      </c>
      <c r="D159" s="36" t="inlineStr">
        <is>
          <t>REA</t>
        </is>
      </c>
      <c r="E159" s="37" t="inlineStr">
        <is>
          <t>Réalisation</t>
        </is>
      </c>
      <c r="F159" s="37" t="inlineStr">
        <is>
          <t>Création automatique du FeeEvent (PENDING ou SUSPENDED) à l'entrée en CLOSED_REPORTED</t>
        </is>
      </c>
      <c r="G159" s="37" t="inlineStr">
        <is>
          <t>Aucune réalisation sans FeeEvent (test)</t>
        </is>
      </c>
      <c r="H159" s="38" t="n">
        <v>4</v>
      </c>
      <c r="I159" s="36" t="inlineStr">
        <is>
          <t>Haute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46365</v>
      </c>
      <c r="Q159" s="40" t="n">
        <v>46371</v>
      </c>
      <c r="R159" s="40" t="n"/>
      <c r="S159" s="37" t="inlineStr"/>
      <c r="T159" s="36" t="inlineStr">
        <is>
          <t>Non</t>
        </is>
      </c>
      <c r="U159" s="13">
        <f>IF($B159="","",IF(AND(J159&lt;&gt;"Complétée",J159&lt;&gt;"Abandonnée",Q159&lt;&gt;"",TODAY()&gt;Q159),"En retard",""))</f>
        <v/>
      </c>
      <c r="V159" s="37" t="n"/>
    </row>
    <row r="160">
      <c r="B160" s="36" t="inlineStr">
        <is>
          <t>V3-022</t>
        </is>
      </c>
      <c r="C160" s="36" t="inlineStr">
        <is>
          <t>V3</t>
        </is>
      </c>
      <c r="D160" s="36" t="inlineStr">
        <is>
          <t>REA</t>
        </is>
      </c>
      <c r="E160" s="37" t="inlineStr">
        <is>
          <t>Réalisation</t>
        </is>
      </c>
      <c r="F160" s="37" t="inlineStr">
        <is>
          <t>Écrans réalisation</t>
        </is>
      </c>
      <c r="G160" s="37" t="inlineStr">
        <is>
          <t>Statut lisible par les deux parties</t>
        </is>
      </c>
      <c r="H160" s="38" t="n">
        <v>3</v>
      </c>
      <c r="I160" s="36" t="inlineStr">
        <is>
          <t>Moyenne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46366</v>
      </c>
      <c r="Q160" s="40" t="n">
        <v>46371</v>
      </c>
      <c r="R160" s="40" t="n"/>
      <c r="S160" s="37" t="inlineStr"/>
      <c r="T160" s="36" t="inlineStr">
        <is>
          <t>Non</t>
        </is>
      </c>
      <c r="U160" s="13">
        <f>IF($B160="","",IF(AND(J160&lt;&gt;"Complétée",J160&lt;&gt;"Abandonnée",Q160&lt;&gt;"",TODAY()&gt;Q160),"En retard",""))</f>
        <v/>
      </c>
      <c r="V160" s="37" t="n"/>
    </row>
    <row r="161">
      <c r="B161" s="36" t="inlineStr">
        <is>
          <t>V3-023</t>
        </is>
      </c>
      <c r="C161" s="36" t="inlineStr">
        <is>
          <t>V3</t>
        </is>
      </c>
      <c r="D161" s="36" t="inlineStr">
        <is>
          <t>FIN</t>
        </is>
      </c>
      <c r="E161" s="37" t="inlineStr">
        <is>
          <t>Finance</t>
        </is>
      </c>
      <c r="F161" s="37" t="inlineStr">
        <is>
          <t>Enregistrement des revenus, catégories contractuelles et attribution</t>
        </is>
      </c>
      <c r="G161" s="37" t="inlineStr">
        <is>
          <t>Chaque revenu rattaché à une catégorie et un canal</t>
        </is>
      </c>
      <c r="H161" s="38" t="n">
        <v>5</v>
      </c>
      <c r="I161" s="36" t="inlineStr">
        <is>
          <t>Haute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46366</v>
      </c>
      <c r="Q161" s="40" t="n">
        <v>46373</v>
      </c>
      <c r="R161" s="40" t="n"/>
      <c r="S161" s="37" t="inlineStr"/>
      <c r="T161" s="36" t="inlineStr">
        <is>
          <t>Non</t>
        </is>
      </c>
      <c r="U161" s="13">
        <f>IF($B161="","",IF(AND(J161&lt;&gt;"Complétée",J161&lt;&gt;"Abandonnée",Q161&lt;&gt;"",TODAY()&gt;Q161),"En retard",""))</f>
        <v/>
      </c>
      <c r="V161" s="37" t="n"/>
    </row>
    <row r="162">
      <c r="B162" s="36" t="inlineStr">
        <is>
          <t>V3-024</t>
        </is>
      </c>
      <c r="C162" s="36" t="inlineStr">
        <is>
          <t>V3</t>
        </is>
      </c>
      <c r="D162" s="36" t="inlineStr">
        <is>
          <t>FIN</t>
        </is>
      </c>
      <c r="E162" s="37" t="inlineStr">
        <is>
          <t>Finance</t>
        </is>
      </c>
      <c r="F162" s="37" t="inlineStr">
        <is>
          <t>Calcul du revenu net (déductions contractuelles) avec décomposition stockée</t>
        </is>
      </c>
      <c r="G162" s="37" t="inlineStr">
        <is>
          <t>Décomposition auditable ligne par ligne</t>
        </is>
      </c>
      <c r="H162" s="38" t="n">
        <v>5</v>
      </c>
      <c r="I162" s="36" t="inlineStr">
        <is>
          <t>Haute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46367</v>
      </c>
      <c r="Q162" s="40" t="n">
        <v>46374</v>
      </c>
      <c r="R162" s="40" t="n"/>
      <c r="S162" s="37" t="inlineStr"/>
      <c r="T162" s="36" t="inlineStr">
        <is>
          <t>Non</t>
        </is>
      </c>
      <c r="U162" s="13">
        <f>IF($B162="","",IF(AND(J162&lt;&gt;"Complétée",J162&lt;&gt;"Abandonnée",Q162&lt;&gt;"",TODAY()&gt;Q162),"En retard",""))</f>
        <v/>
      </c>
      <c r="V162" s="37" t="n"/>
    </row>
    <row r="163">
      <c r="B163" s="36" t="inlineStr">
        <is>
          <t>V3-025</t>
        </is>
      </c>
      <c r="C163" s="36" t="inlineStr">
        <is>
          <t>V3</t>
        </is>
      </c>
      <c r="D163" s="36" t="inlineStr">
        <is>
          <t>FIN</t>
        </is>
      </c>
      <c r="E163" s="37" t="inlineStr">
        <is>
          <t>Finance</t>
        </is>
      </c>
      <c r="F163" s="37" t="inlineStr">
        <is>
          <t>Barème de frais par tranche et minimum garanti, sous drapeau juridique DP-RPS-021</t>
        </is>
      </c>
      <c r="G163" s="37" t="inlineStr">
        <is>
          <t>Barème inactif tant que le drapeau est fermé</t>
        </is>
      </c>
      <c r="H163" s="38" t="n">
        <v>5</v>
      </c>
      <c r="I163" s="36" t="inlineStr">
        <is>
          <t>Haute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46368</v>
      </c>
      <c r="Q163" s="40" t="n">
        <v>46375</v>
      </c>
      <c r="R163" s="40" t="n"/>
      <c r="S163" s="37" t="inlineStr">
        <is>
          <t>Avis juridique écrit</t>
        </is>
      </c>
      <c r="T163" s="36" t="inlineStr">
        <is>
          <t>Non</t>
        </is>
      </c>
      <c r="U163" s="13">
        <f>IF($B163="","",IF(AND(J163&lt;&gt;"Complétée",J163&lt;&gt;"Abandonnée",Q163&lt;&gt;"",TODAY()&gt;Q163),"En retard",""))</f>
        <v/>
      </c>
      <c r="V163" s="37" t="n"/>
    </row>
    <row r="164">
      <c r="B164" s="36" t="inlineStr">
        <is>
          <t>V3-026</t>
        </is>
      </c>
      <c r="C164" s="36" t="inlineStr">
        <is>
          <t>V3</t>
        </is>
      </c>
      <c r="D164" s="36" t="inlineStr">
        <is>
          <t>FIN</t>
        </is>
      </c>
      <c r="E164" s="37" t="inlineStr">
        <is>
          <t>Finance</t>
        </is>
      </c>
      <c r="F164" s="37" t="inlineStr">
        <is>
          <t>Rétrocession par catégorie (90/10, 50/50, 70/30) et test d'éligibilité</t>
        </is>
      </c>
      <c r="G164" s="37" t="inlineStr">
        <is>
          <t>Transaction non attribuée exclue automatiquement</t>
        </is>
      </c>
      <c r="H164" s="38" t="n">
        <v>6</v>
      </c>
      <c r="I164" s="36" t="inlineStr">
        <is>
          <t>Haute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46369</v>
      </c>
      <c r="Q164" s="40" t="n">
        <v>46378</v>
      </c>
      <c r="R164" s="40" t="n"/>
      <c r="S164" s="37" t="inlineStr"/>
      <c r="T164" s="36" t="inlineStr">
        <is>
          <t>Non</t>
        </is>
      </c>
      <c r="U164" s="13">
        <f>IF($B164="","",IF(AND(J164&lt;&gt;"Complétée",J164&lt;&gt;"Abandonnée",Q164&lt;&gt;"",TODAY()&gt;Q164),"En retard",""))</f>
        <v/>
      </c>
      <c r="V164" s="37" t="n"/>
    </row>
    <row r="165">
      <c r="B165" s="36" t="inlineStr">
        <is>
          <t>V3-027</t>
        </is>
      </c>
      <c r="C165" s="36" t="inlineStr">
        <is>
          <t>V3</t>
        </is>
      </c>
      <c r="D165" s="36" t="inlineStr">
        <is>
          <t>FIN</t>
        </is>
      </c>
      <c r="E165" s="37" t="inlineStr">
        <is>
          <t>Finance</t>
        </is>
      </c>
      <c r="F165" s="37" t="inlineStr">
        <is>
          <t>Journal de calcul recalculable sans accès au code source</t>
        </is>
      </c>
      <c r="G165" s="37" t="inlineStr">
        <is>
          <t>Recalcul indépendant identique au centime</t>
        </is>
      </c>
      <c r="H165" s="38" t="n">
        <v>5</v>
      </c>
      <c r="I165" s="36" t="inlineStr">
        <is>
          <t>Haute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46370</v>
      </c>
      <c r="Q165" s="40" t="n">
        <v>46377</v>
      </c>
      <c r="R165" s="40" t="n"/>
      <c r="S165" s="37" t="inlineStr"/>
      <c r="T165" s="36" t="inlineStr">
        <is>
          <t>Non</t>
        </is>
      </c>
      <c r="U165" s="13">
        <f>IF($B165="","",IF(AND(J165&lt;&gt;"Complétée",J165&lt;&gt;"Abandonnée",Q165&lt;&gt;"",TODAY()&gt;Q165),"En retard",""))</f>
        <v/>
      </c>
      <c r="V165" s="37" t="n"/>
    </row>
    <row r="166">
      <c r="B166" s="36" t="inlineStr">
        <is>
          <t>V3-028</t>
        </is>
      </c>
      <c r="C166" s="36" t="inlineStr">
        <is>
          <t>V3</t>
        </is>
      </c>
      <c r="D166" s="36" t="inlineStr">
        <is>
          <t>FIN</t>
        </is>
      </c>
      <c r="E166" s="37" t="inlineStr">
        <is>
          <t>Finance</t>
        </is>
      </c>
      <c r="F166" s="37" t="inlineStr">
        <is>
          <t>Reporting continu, rapport trimestriel archivé, fenêtre de contestation 30 jours</t>
        </is>
      </c>
      <c r="G166" s="37" t="inlineStr">
        <is>
          <t>Rapport immuable après archivage</t>
        </is>
      </c>
      <c r="H166" s="38" t="n">
        <v>6</v>
      </c>
      <c r="I166" s="36" t="inlineStr">
        <is>
          <t>Haute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46371</v>
      </c>
      <c r="Q166" s="40" t="n">
        <v>46380</v>
      </c>
      <c r="R166" s="40" t="n"/>
      <c r="S166" s="37" t="inlineStr"/>
      <c r="T166" s="36" t="inlineStr">
        <is>
          <t>Non</t>
        </is>
      </c>
      <c r="U166" s="13">
        <f>IF($B166="","",IF(AND(J166&lt;&gt;"Complétée",J166&lt;&gt;"Abandonnée",Q166&lt;&gt;"",TODAY()&gt;Q166),"En retard",""))</f>
        <v/>
      </c>
      <c r="V166" s="37" t="n"/>
    </row>
    <row r="167">
      <c r="B167" s="36" t="inlineStr">
        <is>
          <t>V3-029</t>
        </is>
      </c>
      <c r="C167" s="36" t="inlineStr">
        <is>
          <t>V3</t>
        </is>
      </c>
      <c r="D167" s="36" t="inlineStr">
        <is>
          <t>FIN</t>
        </is>
      </c>
      <c r="E167" s="37" t="inlineStr">
        <is>
          <t>Finance</t>
        </is>
      </c>
      <c r="F167" s="37" t="inlineStr">
        <is>
          <t>Export d'audit scopé (jamais le code ni les données d'autres clients)</t>
        </is>
      </c>
      <c r="G167" s="37" t="inlineStr">
        <is>
          <t>Export vérifié par le contrôle CCI-Togo</t>
        </is>
      </c>
      <c r="H167" s="38" t="n">
        <v>3</v>
      </c>
      <c r="I167" s="36" t="inlineStr">
        <is>
          <t>Moyenne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46372</v>
      </c>
      <c r="Q167" s="40" t="n">
        <v>46377</v>
      </c>
      <c r="R167" s="40" t="n"/>
      <c r="S167" s="37" t="inlineStr"/>
      <c r="T167" s="36" t="inlineStr">
        <is>
          <t>Non</t>
        </is>
      </c>
      <c r="U167" s="13">
        <f>IF($B167="","",IF(AND(J167&lt;&gt;"Complétée",J167&lt;&gt;"Abandonnée",Q167&lt;&gt;"",TODAY()&gt;Q167),"En retard",""))</f>
        <v/>
      </c>
      <c r="V167" s="37" t="n"/>
    </row>
    <row r="168">
      <c r="B168" s="36" t="inlineStr">
        <is>
          <t>V3-030</t>
        </is>
      </c>
      <c r="C168" s="36" t="inlineStr">
        <is>
          <t>V3</t>
        </is>
      </c>
      <c r="D168" s="36" t="inlineStr">
        <is>
          <t>SUP</t>
        </is>
      </c>
      <c r="E168" s="37" t="inlineStr">
        <is>
          <t>Support</t>
        </is>
      </c>
      <c r="F168" s="37" t="inlineStr">
        <is>
          <t>Système de tickets et sévérités P1 à P4 avec délais contractuels</t>
        </is>
      </c>
      <c r="G168" s="37" t="inlineStr">
        <is>
          <t>Délai d'accusé mesuré par sévérité</t>
        </is>
      </c>
      <c r="H168" s="38" t="n">
        <v>4</v>
      </c>
      <c r="I168" s="36" t="inlineStr">
        <is>
          <t>Moyenne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46372</v>
      </c>
      <c r="Q168" s="40" t="n">
        <v>46378</v>
      </c>
      <c r="R168" s="40" t="n"/>
      <c r="S168" s="37" t="inlineStr"/>
      <c r="T168" s="36" t="inlineStr">
        <is>
          <t>Non</t>
        </is>
      </c>
      <c r="U168" s="13">
        <f>IF($B168="","",IF(AND(J168&lt;&gt;"Complétée",J168&lt;&gt;"Abandonnée",Q168&lt;&gt;"",TODAY()&gt;Q168),"En retard",""))</f>
        <v/>
      </c>
      <c r="V168" s="37" t="n"/>
    </row>
    <row r="169">
      <c r="B169" s="36" t="inlineStr">
        <is>
          <t>V3-031</t>
        </is>
      </c>
      <c r="C169" s="36" t="inlineStr">
        <is>
          <t>V3</t>
        </is>
      </c>
      <c r="D169" s="36" t="inlineStr">
        <is>
          <t>SUP</t>
        </is>
      </c>
      <c r="E169" s="37" t="inlineStr">
        <is>
          <t>Support</t>
        </is>
      </c>
      <c r="F169" s="37" t="inlineStr">
        <is>
          <t>Accès privilégié motivé, scopé, expirant, avec notification du propriétaire du dossier</t>
        </is>
      </c>
      <c r="G169" s="37" t="inlineStr">
        <is>
          <t>Propriétaire notifié à chaque accès</t>
        </is>
      </c>
      <c r="H169" s="38" t="n">
        <v>4</v>
      </c>
      <c r="I169" s="36" t="inlineStr">
        <is>
          <t>Haute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46373</v>
      </c>
      <c r="Q169" s="40" t="n">
        <v>46379</v>
      </c>
      <c r="R169" s="40" t="n"/>
      <c r="S169" s="37" t="inlineStr"/>
      <c r="T169" s="36" t="inlineStr">
        <is>
          <t>Non</t>
        </is>
      </c>
      <c r="U169" s="13">
        <f>IF($B169="","",IF(AND(J169&lt;&gt;"Complétée",J169&lt;&gt;"Abandonnée",Q169&lt;&gt;"",TODAY()&gt;Q169),"En retard",""))</f>
        <v/>
      </c>
      <c r="V169" s="37" t="n"/>
    </row>
    <row r="170">
      <c r="B170" s="36" t="inlineStr">
        <is>
          <t>V3-032</t>
        </is>
      </c>
      <c r="C170" s="36" t="inlineStr">
        <is>
          <t>V3</t>
        </is>
      </c>
      <c r="D170" s="36" t="inlineStr">
        <is>
          <t>SUP</t>
        </is>
      </c>
      <c r="E170" s="37" t="inlineStr">
        <is>
          <t>Support</t>
        </is>
      </c>
      <c r="F170" s="37" t="inlineStr">
        <is>
          <t>Mode 'break-glass' journalisé pour l'administration</t>
        </is>
      </c>
      <c r="G170" s="37" t="inlineStr">
        <is>
          <t>Chaque usage journalisé avec motif et approbateur</t>
        </is>
      </c>
      <c r="H170" s="38" t="n">
        <v>2</v>
      </c>
      <c r="I170" s="36" t="inlineStr">
        <is>
          <t>Haute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46373</v>
      </c>
      <c r="Q170" s="40" t="n">
        <v>46376</v>
      </c>
      <c r="R170" s="40" t="n"/>
      <c r="S170" s="37" t="inlineStr"/>
      <c r="T170" s="36" t="inlineStr">
        <is>
          <t>Non</t>
        </is>
      </c>
      <c r="U170" s="13">
        <f>IF($B170="","",IF(AND(J170&lt;&gt;"Complétée",J170&lt;&gt;"Abandonnée",Q170&lt;&gt;"",TODAY()&gt;Q170),"En retard",""))</f>
        <v/>
      </c>
      <c r="V170" s="37" t="n"/>
    </row>
    <row r="171">
      <c r="B171" s="36" t="inlineStr">
        <is>
          <t>V3-033</t>
        </is>
      </c>
      <c r="C171" s="36" t="inlineStr">
        <is>
          <t>V3</t>
        </is>
      </c>
      <c r="D171" s="36" t="inlineStr">
        <is>
          <t>OPS</t>
        </is>
      </c>
      <c r="E171" s="37" t="inlineStr">
        <is>
          <t>Portes de conformité</t>
        </is>
      </c>
      <c r="F171" s="37" t="inlineStr">
        <is>
          <t>Déclaration IPDCP et autorisation de transfert transfrontalier (G1, G2)</t>
        </is>
      </c>
      <c r="G171" s="37" t="inlineStr">
        <is>
          <t>Récépissés archivés</t>
        </is>
      </c>
      <c r="H171" s="38" t="n">
        <v>5</v>
      </c>
      <c r="I171" s="36" t="inlineStr">
        <is>
          <t>Haute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46374</v>
      </c>
      <c r="Q171" s="40" t="n">
        <v>46381</v>
      </c>
      <c r="R171" s="40" t="n"/>
      <c r="S171" s="37" t="inlineStr"/>
      <c r="T171" s="36" t="inlineStr">
        <is>
          <t>Oui</t>
        </is>
      </c>
      <c r="U171" s="13">
        <f>IF($B171="","",IF(AND(J171&lt;&gt;"Complétée",J171&lt;&gt;"Abandonnée",Q171&lt;&gt;"",TODAY()&gt;Q171),"En retard",""))</f>
        <v/>
      </c>
      <c r="V171" s="37" t="n"/>
    </row>
    <row r="172">
      <c r="B172" s="36" t="inlineStr">
        <is>
          <t>V3-034</t>
        </is>
      </c>
      <c r="C172" s="36" t="inlineStr">
        <is>
          <t>V3</t>
        </is>
      </c>
      <c r="D172" s="36" t="inlineStr">
        <is>
          <t>OPS</t>
        </is>
      </c>
      <c r="E172" s="37" t="inlineStr">
        <is>
          <t>Portes de conformité</t>
        </is>
      </c>
      <c r="F172" s="37" t="inlineStr">
        <is>
          <t>Revue juridique NDA, CGU, politique de confidentialité (G4)</t>
        </is>
      </c>
      <c r="G172" s="37" t="inlineStr">
        <is>
          <t>Avis écrit archivé</t>
        </is>
      </c>
      <c r="H172" s="38" t="n">
        <v>3</v>
      </c>
      <c r="I172" s="36" t="inlineStr">
        <is>
          <t>Haute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46374</v>
      </c>
      <c r="Q172" s="40" t="n">
        <v>46379</v>
      </c>
      <c r="R172" s="40" t="n"/>
      <c r="S172" s="37" t="inlineStr"/>
      <c r="T172" s="36" t="inlineStr">
        <is>
          <t>Non</t>
        </is>
      </c>
      <c r="U172" s="13">
        <f>IF($B172="","",IF(AND(J172&lt;&gt;"Complétée",J172&lt;&gt;"Abandonnée",Q172&lt;&gt;"",TODAY()&gt;Q172),"En retard",""))</f>
        <v/>
      </c>
      <c r="V172" s="37" t="n"/>
    </row>
    <row r="173">
      <c r="B173" s="36" t="inlineStr">
        <is>
          <t>V3-035</t>
        </is>
      </c>
      <c r="C173" s="36" t="inlineStr">
        <is>
          <t>V3</t>
        </is>
      </c>
      <c r="D173" s="36" t="inlineStr">
        <is>
          <t>OPS</t>
        </is>
      </c>
      <c r="E173" s="37" t="inlineStr">
        <is>
          <t>Portes de conformité</t>
        </is>
      </c>
      <c r="F173" s="37" t="inlineStr">
        <is>
          <t>Avis juridique écrit sur le RPS (G5) et vérification des tests de plafond (G6)</t>
        </is>
      </c>
      <c r="G173" s="37" t="inlineStr">
        <is>
          <t>Avis et rapport de tests archivés</t>
        </is>
      </c>
      <c r="H173" s="38" t="n">
        <v>4</v>
      </c>
      <c r="I173" s="36" t="inlineStr">
        <is>
          <t>Haute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46375</v>
      </c>
      <c r="Q173" s="40" t="n">
        <v>46381</v>
      </c>
      <c r="R173" s="40" t="n"/>
      <c r="S173" s="37" t="inlineStr"/>
      <c r="T173" s="36" t="inlineStr">
        <is>
          <t>Non</t>
        </is>
      </c>
      <c r="U173" s="13">
        <f>IF($B173="","",IF(AND(J173&lt;&gt;"Complétée",J173&lt;&gt;"Abandonnée",Q173&lt;&gt;"",TODAY()&gt;Q173),"En retard",""))</f>
        <v/>
      </c>
      <c r="V173" s="37" t="n"/>
    </row>
    <row r="174">
      <c r="B174" s="36" t="inlineStr">
        <is>
          <t>V3-036</t>
        </is>
      </c>
      <c r="C174" s="36" t="inlineStr">
        <is>
          <t>V3</t>
        </is>
      </c>
      <c r="D174" s="36" t="inlineStr">
        <is>
          <t>OPS</t>
        </is>
      </c>
      <c r="E174" s="37" t="inlineStr">
        <is>
          <t>Portes de conformité</t>
        </is>
      </c>
      <c r="F174" s="37" t="inlineStr">
        <is>
          <t>Audit du texte d'interface : aucune allégation non prouvée (G7)</t>
        </is>
      </c>
      <c r="G174" s="37" t="inlineStr">
        <is>
          <t>Zéro occurrence de 'sécurisé', 'certifié' non justifiée</t>
        </is>
      </c>
      <c r="H174" s="38" t="n">
        <v>3</v>
      </c>
      <c r="I174" s="36" t="inlineStr">
        <is>
          <t>Moyenne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46376</v>
      </c>
      <c r="Q174" s="40" t="n">
        <v>46381</v>
      </c>
      <c r="R174" s="40" t="n"/>
      <c r="S174" s="37" t="inlineStr"/>
      <c r="T174" s="36" t="inlineStr">
        <is>
          <t>Non</t>
        </is>
      </c>
      <c r="U174" s="13">
        <f>IF($B174="","",IF(AND(J174&lt;&gt;"Complétée",J174&lt;&gt;"Abandonnée",Q174&lt;&gt;"",TODAY()&gt;Q174),"En retard",""))</f>
        <v/>
      </c>
      <c r="V174" s="37" t="n"/>
    </row>
    <row r="175">
      <c r="B175" s="36" t="inlineStr">
        <is>
          <t>V3-037</t>
        </is>
      </c>
      <c r="C175" s="36" t="inlineStr">
        <is>
          <t>V3</t>
        </is>
      </c>
      <c r="D175" s="36" t="inlineStr">
        <is>
          <t>OPS</t>
        </is>
      </c>
      <c r="E175" s="37" t="inlineStr">
        <is>
          <t>Portes de conformité</t>
        </is>
      </c>
      <c r="F175" s="37" t="inlineStr">
        <is>
          <t>Recalcul indépendant de la rétrocession (G8)</t>
        </is>
      </c>
      <c r="G175" s="37" t="inlineStr">
        <is>
          <t>Rapprochement signé par la Finance</t>
        </is>
      </c>
      <c r="H175" s="38" t="n">
        <v>3</v>
      </c>
      <c r="I175" s="36" t="inlineStr">
        <is>
          <t>Moyenne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46376</v>
      </c>
      <c r="Q175" s="40" t="n">
        <v>46381</v>
      </c>
      <c r="R175" s="40" t="n"/>
      <c r="S175" s="37" t="inlineStr"/>
      <c r="T175" s="36" t="inlineStr">
        <is>
          <t>Non</t>
        </is>
      </c>
      <c r="U175" s="13">
        <f>IF($B175="","",IF(AND(J175&lt;&gt;"Complétée",J175&lt;&gt;"Abandonnée",Q175&lt;&gt;"",TODAY()&gt;Q175),"En retard",""))</f>
        <v/>
      </c>
      <c r="V175" s="37" t="n"/>
    </row>
    <row r="176">
      <c r="B176" s="36" t="inlineStr">
        <is>
          <t>V3-038</t>
        </is>
      </c>
      <c r="C176" s="36" t="inlineStr">
        <is>
          <t>V3</t>
        </is>
      </c>
      <c r="D176" s="36" t="inlineStr">
        <is>
          <t>OPS</t>
        </is>
      </c>
      <c r="E176" s="37" t="inlineStr">
        <is>
          <t>Portes de conformité</t>
        </is>
      </c>
      <c r="F176" s="37" t="inlineStr">
        <is>
          <t>Nomination du DPO et processus d'effacement (G9)</t>
        </is>
      </c>
      <c r="G176" s="37" t="inlineStr">
        <is>
          <t>DPO nommé, procédure publiée</t>
        </is>
      </c>
      <c r="H176" s="38" t="n">
        <v>2</v>
      </c>
      <c r="I176" s="36" t="inlineStr">
        <is>
          <t>Haute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46377</v>
      </c>
      <c r="Q176" s="40" t="n">
        <v>46380</v>
      </c>
      <c r="R176" s="40" t="n"/>
      <c r="S176" s="37" t="inlineStr"/>
      <c r="T176" s="36" t="inlineStr">
        <is>
          <t>Non</t>
        </is>
      </c>
      <c r="U176" s="13">
        <f>IF($B176="","",IF(AND(J176&lt;&gt;"Complétée",J176&lt;&gt;"Abandonnée",Q176&lt;&gt;"",TODAY()&gt;Q176),"En retard",""))</f>
        <v/>
      </c>
      <c r="V176" s="37" t="n"/>
    </row>
    <row r="177">
      <c r="B177" s="36" t="inlineStr">
        <is>
          <t>V3-039</t>
        </is>
      </c>
      <c r="C177" s="36" t="inlineStr">
        <is>
          <t>V3</t>
        </is>
      </c>
      <c r="D177" s="36" t="inlineStr">
        <is>
          <t>OPS</t>
        </is>
      </c>
      <c r="E177" s="37" t="inlineStr">
        <is>
          <t>Portes de conformité</t>
        </is>
      </c>
      <c r="F177" s="37" t="inlineStr">
        <is>
          <t>Pentest indépendant et remédiation des constats critiques et élevés (G10)</t>
        </is>
      </c>
      <c r="G177" s="37" t="inlineStr">
        <is>
          <t>Rapport de pentest sans constat critique ouvert</t>
        </is>
      </c>
      <c r="H177" s="38" t="n">
        <v>5</v>
      </c>
      <c r="I177" s="36" t="inlineStr">
        <is>
          <t>Haute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46377</v>
      </c>
      <c r="Q177" s="40" t="n">
        <v>46384</v>
      </c>
      <c r="R177" s="40" t="n"/>
      <c r="S177" s="37" t="inlineStr"/>
      <c r="T177" s="36" t="inlineStr">
        <is>
          <t>Oui</t>
        </is>
      </c>
      <c r="U177" s="13">
        <f>IF($B177="","",IF(AND(J177&lt;&gt;"Complétée",J177&lt;&gt;"Abandonnée",Q177&lt;&gt;"",TODAY()&gt;Q177),"En retard",""))</f>
        <v/>
      </c>
      <c r="V177" s="37" t="n"/>
    </row>
    <row r="178">
      <c r="B178" s="36" t="inlineStr">
        <is>
          <t>V3-040</t>
        </is>
      </c>
      <c r="C178" s="36" t="inlineStr">
        <is>
          <t>V3</t>
        </is>
      </c>
      <c r="D178" s="36" t="inlineStr">
        <is>
          <t>OPS</t>
        </is>
      </c>
      <c r="E178" s="37" t="inlineStr">
        <is>
          <t>Exploitation</t>
        </is>
      </c>
      <c r="F178" s="37" t="inlineStr">
        <is>
          <t>Supervision, alertes, mesure de disponibilité mensuelle (SLA 99,5 %)</t>
        </is>
      </c>
      <c r="G178" s="37" t="inlineStr">
        <is>
          <t>Tableau de disponibilité mensuel généré</t>
        </is>
      </c>
      <c r="H178" s="38" t="n">
        <v>6</v>
      </c>
      <c r="I178" s="36" t="inlineStr">
        <is>
          <t>Haute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46378</v>
      </c>
      <c r="Q178" s="40" t="n">
        <v>46386</v>
      </c>
      <c r="R178" s="40" t="n"/>
      <c r="S178" s="37" t="inlineStr"/>
      <c r="T178" s="36" t="inlineStr">
        <is>
          <t>Non</t>
        </is>
      </c>
      <c r="U178" s="13">
        <f>IF($B178="","",IF(AND(J178&lt;&gt;"Complétée",J178&lt;&gt;"Abandonnée",Q178&lt;&gt;"",TODAY()&gt;Q178),"En retard",""))</f>
        <v/>
      </c>
      <c r="V178" s="37" t="n"/>
    </row>
    <row r="179">
      <c r="B179" s="36" t="inlineStr">
        <is>
          <t>V3-041</t>
        </is>
      </c>
      <c r="C179" s="36" t="inlineStr">
        <is>
          <t>V3</t>
        </is>
      </c>
      <c r="D179" s="36" t="inlineStr">
        <is>
          <t>OPS</t>
        </is>
      </c>
      <c r="E179" s="37" t="inlineStr">
        <is>
          <t>Exploitation</t>
        </is>
      </c>
      <c r="F179" s="37" t="inlineStr">
        <is>
          <t>Sauvegardes chiffrées et test de restauration (RPO 1 h, RTO 4 h)</t>
        </is>
      </c>
      <c r="G179" s="37" t="inlineStr">
        <is>
          <t>Restauration complète en moins de 4 h documentée</t>
        </is>
      </c>
      <c r="H179" s="38" t="n">
        <v>5</v>
      </c>
      <c r="I179" s="36" t="inlineStr">
        <is>
          <t>Haute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46379</v>
      </c>
      <c r="Q179" s="40" t="n">
        <v>46386</v>
      </c>
      <c r="R179" s="40" t="n"/>
      <c r="S179" s="37" t="inlineStr"/>
      <c r="T179" s="36" t="inlineStr">
        <is>
          <t>Non</t>
        </is>
      </c>
      <c r="U179" s="13">
        <f>IF($B179="","",IF(AND(J179&lt;&gt;"Complétée",J179&lt;&gt;"Abandonnée",Q179&lt;&gt;"",TODAY()&gt;Q179),"En retard",""))</f>
        <v/>
      </c>
      <c r="V179" s="37" t="n"/>
    </row>
    <row r="180">
      <c r="B180" s="36" t="inlineStr">
        <is>
          <t>V3-042</t>
        </is>
      </c>
      <c r="C180" s="36" t="inlineStr">
        <is>
          <t>V3</t>
        </is>
      </c>
      <c r="D180" s="36" t="inlineStr">
        <is>
          <t>OPS</t>
        </is>
      </c>
      <c r="E180" s="37" t="inlineStr">
        <is>
          <t>Exploitation</t>
        </is>
      </c>
      <c r="F180" s="37" t="inlineStr">
        <is>
          <t>Procédure d'incident, analyse de cause racine, rollback</t>
        </is>
      </c>
      <c r="G180" s="37" t="inlineStr">
        <is>
          <t>Procédure testée sur un incident simulé</t>
        </is>
      </c>
      <c r="H180" s="38" t="n">
        <v>4</v>
      </c>
      <c r="I180" s="36" t="inlineStr">
        <is>
          <t>Moyenne</t>
        </is>
      </c>
      <c r="J180" s="36" t="inlineStr">
        <is>
          <t>Backlog</t>
        </is>
      </c>
      <c r="K180" s="39" t="n"/>
      <c r="L180" s="16">
        <f>IF($B180="","",IF(J180="Complétée",1,IF(J180="Abandonnée",0,IF(K180&lt;&gt;"",K180,IFERROR(VLOOKUP(J180,Parametres!$B$6:$C$12,2,FALSE),0)))))</f>
        <v/>
      </c>
      <c r="M180" s="15">
        <f>IF($B180="","",IF(J180="Abandonnée",0,H180))</f>
        <v/>
      </c>
      <c r="N180" s="15">
        <f>IF($B180="","",M180*L180)</f>
        <v/>
      </c>
      <c r="O180" s="37" t="n"/>
      <c r="P180" s="40" t="n">
        <v>46379</v>
      </c>
      <c r="Q180" s="40" t="n">
        <v>46385</v>
      </c>
      <c r="R180" s="40" t="n"/>
      <c r="S180" s="37" t="inlineStr"/>
      <c r="T180" s="36" t="inlineStr">
        <is>
          <t>Non</t>
        </is>
      </c>
      <c r="U180" s="13">
        <f>IF($B180="","",IF(AND(J180&lt;&gt;"Complétée",J180&lt;&gt;"Abandonnée",Q180&lt;&gt;"",TODAY()&gt;Q180),"En retard",""))</f>
        <v/>
      </c>
      <c r="V180" s="37" t="n"/>
    </row>
    <row r="181">
      <c r="B181" s="36" t="inlineStr">
        <is>
          <t>V3-043</t>
        </is>
      </c>
      <c r="C181" s="36" t="inlineStr">
        <is>
          <t>V3</t>
        </is>
      </c>
      <c r="D181" s="36" t="inlineStr">
        <is>
          <t>OPS</t>
        </is>
      </c>
      <c r="E181" s="37" t="inlineStr">
        <is>
          <t>Exploitation</t>
        </is>
      </c>
      <c r="F181" s="37" t="inlineStr">
        <is>
          <t>Rotation des clés, gestion des secrets, scan de dépendances en CI</t>
        </is>
      </c>
      <c r="G181" s="37" t="inlineStr">
        <is>
          <t>Build échoue sur vulnérabilité critique</t>
        </is>
      </c>
      <c r="H181" s="38" t="n">
        <v>5</v>
      </c>
      <c r="I181" s="36" t="inlineStr">
        <is>
          <t>Haute</t>
        </is>
      </c>
      <c r="J181" s="36" t="inlineStr">
        <is>
          <t>Backlog</t>
        </is>
      </c>
      <c r="K181" s="39" t="n"/>
      <c r="L181" s="16">
        <f>IF($B181="","",IF(J181="Complétée",1,IF(J181="Abandonnée",0,IF(K181&lt;&gt;"",K181,IFERROR(VLOOKUP(J181,Parametres!$B$6:$C$12,2,FALSE),0)))))</f>
        <v/>
      </c>
      <c r="M181" s="15">
        <f>IF($B181="","",IF(J181="Abandonnée",0,H181))</f>
        <v/>
      </c>
      <c r="N181" s="15">
        <f>IF($B181="","",M181*L181)</f>
        <v/>
      </c>
      <c r="O181" s="37" t="n"/>
      <c r="P181" s="40" t="n">
        <v>46380</v>
      </c>
      <c r="Q181" s="40" t="n">
        <v>46386</v>
      </c>
      <c r="R181" s="40" t="n"/>
      <c r="S181" s="37" t="inlineStr"/>
      <c r="T181" s="36" t="inlineStr">
        <is>
          <t>Non</t>
        </is>
      </c>
      <c r="U181" s="13">
        <f>IF($B181="","",IF(AND(J181&lt;&gt;"Complétée",J181&lt;&gt;"Abandonnée",Q181&lt;&gt;"",TODAY()&gt;Q181),"En retard",""))</f>
        <v/>
      </c>
      <c r="V181" s="37" t="n"/>
    </row>
    <row r="182">
      <c r="B182" s="36" t="inlineStr">
        <is>
          <t>V4-001</t>
        </is>
      </c>
      <c r="C182" s="36" t="inlineStr">
        <is>
          <t>V4</t>
        </is>
      </c>
      <c r="D182" s="36" t="inlineStr">
        <is>
          <t>REB</t>
        </is>
      </c>
      <c r="E182" s="37" t="inlineStr">
        <is>
          <t>Conception</t>
        </is>
      </c>
      <c r="F182" s="37" t="inlineStr">
        <is>
          <t>Conception Alerte &amp; Rebond : confidentialité renforcée, signalement, actifs en difficulté et lien avec le périmètre RPS</t>
        </is>
      </c>
      <c r="G182" s="37" t="inlineStr">
        <is>
          <t>Modèle de données et parcours validés ; aucune fuite d'identité d'une entreprise en difficulté</t>
        </is>
      </c>
      <c r="H182" s="38" t="n">
        <v>3</v>
      </c>
      <c r="I182" s="36" t="inlineStr">
        <is>
          <t>Haute</t>
        </is>
      </c>
      <c r="J182" s="36" t="inlineStr">
        <is>
          <t>Backlog</t>
        </is>
      </c>
      <c r="K182" s="39" t="n"/>
      <c r="L182" s="16">
        <f>IF($B182="","",IF(J182="Complétée",1,IF(J182="Abandonnée",0,IF(K182&lt;&gt;"",K182,IFERROR(VLOOKUP(J182,Parametres!$B$6:$C$12,2,FALSE),0)))))</f>
        <v/>
      </c>
      <c r="M182" s="15">
        <f>IF($B182="","",IF(J182="Abandonnée",0,H182))</f>
        <v/>
      </c>
      <c r="N182" s="15">
        <f>IF($B182="","",M182*L182)</f>
        <v/>
      </c>
      <c r="O182" s="37" t="n"/>
      <c r="P182" s="40" t="n">
        <v>46387</v>
      </c>
      <c r="Q182" s="40" t="n">
        <v>46392</v>
      </c>
      <c r="R182" s="40" t="n"/>
      <c r="S182" s="37" t="inlineStr"/>
      <c r="T182" s="36" t="inlineStr">
        <is>
          <t>Oui</t>
        </is>
      </c>
      <c r="U182" s="13">
        <f>IF($B182="","",IF(AND(J182&lt;&gt;"Complétée",J182&lt;&gt;"Abandonnée",Q182&lt;&gt;"",TODAY()&gt;Q182),"En retard",""))</f>
        <v/>
      </c>
      <c r="V182" s="37" t="n"/>
    </row>
    <row r="183">
      <c r="B183" s="36" t="inlineStr">
        <is>
          <t>V4-002</t>
        </is>
      </c>
      <c r="C183" s="36" t="inlineStr">
        <is>
          <t>V4</t>
        </is>
      </c>
      <c r="D183" s="36" t="inlineStr">
        <is>
          <t>CNX</t>
        </is>
      </c>
      <c r="E183" s="37" t="inlineStr">
        <is>
          <t>Conception</t>
        </is>
      </c>
      <c r="F183" s="37" t="inlineStr">
        <is>
          <t>Conception Deal-Connect et Guichet Diaspora complets : billetterie et sponsoring via Remo.co, rendez-vous mutuels, profil diaspora, rapport post-événement</t>
        </is>
      </c>
      <c r="G183" s="37" t="inlineStr">
        <is>
          <t>Séquences et contrats d'échange avec Remo.co validés sur la documentation à jour</t>
        </is>
      </c>
      <c r="H183" s="38" t="n">
        <v>2</v>
      </c>
      <c r="I183" s="36" t="inlineStr">
        <is>
          <t>Haute</t>
        </is>
      </c>
      <c r="J183" s="36" t="inlineStr">
        <is>
          <t>Backlog</t>
        </is>
      </c>
      <c r="K183" s="39" t="n"/>
      <c r="L183" s="16">
        <f>IF($B183="","",IF(J183="Complétée",1,IF(J183="Abandonnée",0,IF(K183&lt;&gt;"",K183,IFERROR(VLOOKUP(J183,Parametres!$B$6:$C$12,2,FALSE),0)))))</f>
        <v/>
      </c>
      <c r="M183" s="15">
        <f>IF($B183="","",IF(J183="Abandonnée",0,H183))</f>
        <v/>
      </c>
      <c r="N183" s="15">
        <f>IF($B183="","",M183*L183)</f>
        <v/>
      </c>
      <c r="O183" s="37" t="n"/>
      <c r="P183" s="40" t="n">
        <v>46388</v>
      </c>
      <c r="Q183" s="40" t="n">
        <v>46391</v>
      </c>
      <c r="R183" s="40" t="n"/>
      <c r="S183" s="37" t="inlineStr"/>
      <c r="T183" s="36" t="inlineStr">
        <is>
          <t>Non</t>
        </is>
      </c>
      <c r="U183" s="13">
        <f>IF($B183="","",IF(AND(J183&lt;&gt;"Complétée",J183&lt;&gt;"Abandonnée",Q183&lt;&gt;"",TODAY()&gt;Q183),"En retard",""))</f>
        <v/>
      </c>
      <c r="V183" s="37" t="n"/>
    </row>
    <row r="184">
      <c r="B184" s="36" t="inlineStr">
        <is>
          <t>V4-003</t>
        </is>
      </c>
      <c r="C184" s="36" t="inlineStr">
        <is>
          <t>V4</t>
        </is>
      </c>
      <c r="D184" s="36" t="inlineStr">
        <is>
          <t>EXP</t>
        </is>
      </c>
      <c r="E184" s="37" t="inlineStr">
        <is>
          <t>Conception</t>
        </is>
      </c>
      <c r="F184" s="37" t="inlineStr">
        <is>
          <t>Conception Deal-Experts : mobilisation d'expert indépendant, conflit d'intérêts, périmètre de mission, traçabilité</t>
        </is>
      </c>
      <c r="G184" s="37" t="inlineStr">
        <is>
          <t>Contrôles K13.1 à K13.5 couverts ; articulation avec les missions V2/V3 confirmée</t>
        </is>
      </c>
      <c r="H184" s="38" t="n">
        <v>2</v>
      </c>
      <c r="I184" s="36" t="inlineStr">
        <is>
          <t>Moyenne</t>
        </is>
      </c>
      <c r="J184" s="36" t="inlineStr">
        <is>
          <t>Backlog</t>
        </is>
      </c>
      <c r="K184" s="39" t="n"/>
      <c r="L184" s="16">
        <f>IF($B184="","",IF(J184="Complétée",1,IF(J184="Abandonnée",0,IF(K184&lt;&gt;"",K184,IFERROR(VLOOKUP(J184,Parametres!$B$6:$C$12,2,FALSE),0)))))</f>
        <v/>
      </c>
      <c r="M184" s="15">
        <f>IF($B184="","",IF(J184="Abandonnée",0,H184))</f>
        <v/>
      </c>
      <c r="N184" s="15">
        <f>IF($B184="","",M184*L184)</f>
        <v/>
      </c>
      <c r="O184" s="37" t="n"/>
      <c r="P184" s="40" t="n">
        <v>46389</v>
      </c>
      <c r="Q184" s="40" t="n">
        <v>46392</v>
      </c>
      <c r="R184" s="40" t="n"/>
      <c r="S184" s="37" t="inlineStr">
        <is>
          <t>A04 : articulation P13</t>
        </is>
      </c>
      <c r="T184" s="36" t="inlineStr">
        <is>
          <t>Non</t>
        </is>
      </c>
      <c r="U184" s="13">
        <f>IF($B184="","",IF(AND(J184&lt;&gt;"Complétée",J184&lt;&gt;"Abandonnée",Q184&lt;&gt;"",TODAY()&gt;Q184),"En retard",""))</f>
        <v/>
      </c>
      <c r="V184" s="37" t="n"/>
    </row>
    <row r="185">
      <c r="B185" s="36" t="inlineStr">
        <is>
          <t>V4-004</t>
        </is>
      </c>
      <c r="C185" s="36" t="inlineStr">
        <is>
          <t>V4</t>
        </is>
      </c>
      <c r="D185" s="36" t="inlineStr">
        <is>
          <t>REB</t>
        </is>
      </c>
      <c r="E185" s="37" t="inlineStr">
        <is>
          <t>Alerte &amp; Rebond</t>
        </is>
      </c>
      <c r="F185" s="37" t="inlineStr">
        <is>
          <t>Auto-diagnostic : arbre logique et score de santé financière</t>
        </is>
      </c>
      <c r="G185" s="37" t="inlineStr">
        <is>
          <t>Score expliqué, jamais un conseil personnalisé</t>
        </is>
      </c>
      <c r="H185" s="38" t="n">
        <v>6</v>
      </c>
      <c r="I185" s="36" t="inlineStr">
        <is>
          <t>Haute</t>
        </is>
      </c>
      <c r="J185" s="36" t="inlineStr">
        <is>
          <t>Backlog</t>
        </is>
      </c>
      <c r="K185" s="39" t="n"/>
      <c r="L185" s="16">
        <f>IF($B185="","",IF(J185="Complétée",1,IF(J185="Abandonnée",0,IF(K185&lt;&gt;"",K185,IFERROR(VLOOKUP(J185,Parametres!$B$6:$C$12,2,FALSE),0)))))</f>
        <v/>
      </c>
      <c r="M185" s="15">
        <f>IF($B185="","",IF(J185="Abandonnée",0,H185))</f>
        <v/>
      </c>
      <c r="N185" s="15">
        <f>IF($B185="","",M185*L185)</f>
        <v/>
      </c>
      <c r="O185" s="37" t="n"/>
      <c r="P185" s="40" t="n">
        <v>46389</v>
      </c>
      <c r="Q185" s="40" t="n">
        <v>46398</v>
      </c>
      <c r="R185" s="40" t="n"/>
      <c r="S185" s="37" t="inlineStr"/>
      <c r="T185" s="36" t="inlineStr">
        <is>
          <t>Non</t>
        </is>
      </c>
      <c r="U185" s="13">
        <f>IF($B185="","",IF(AND(J185&lt;&gt;"Complétée",J185&lt;&gt;"Abandonnée",Q185&lt;&gt;"",TODAY()&gt;Q185),"En retard",""))</f>
        <v/>
      </c>
      <c r="V185" s="37" t="n"/>
    </row>
    <row r="186">
      <c r="B186" s="36" t="inlineStr">
        <is>
          <t>V4-005</t>
        </is>
      </c>
      <c r="C186" s="36" t="inlineStr">
        <is>
          <t>V4</t>
        </is>
      </c>
      <c r="D186" s="36" t="inlineStr">
        <is>
          <t>REB</t>
        </is>
      </c>
      <c r="E186" s="37" t="inlineStr">
        <is>
          <t>Alerte &amp; Rebond</t>
        </is>
      </c>
      <c r="F186" s="37" t="inlineStr">
        <is>
          <t>Dossier de crise confidentiel, INVITE_ONLY, registre d'investisseurs de retournement</t>
        </is>
      </c>
      <c r="G186" s="37" t="inlineStr">
        <is>
          <t>Dossier absent de toute recherche ouverte (test négatif)</t>
        </is>
      </c>
      <c r="H186" s="38" t="n">
        <v>6</v>
      </c>
      <c r="I186" s="36" t="inlineStr">
        <is>
          <t>Haute</t>
        </is>
      </c>
      <c r="J186" s="36" t="inlineStr">
        <is>
          <t>Backlog</t>
        </is>
      </c>
      <c r="K186" s="39" t="n"/>
      <c r="L186" s="16">
        <f>IF($B186="","",IF(J186="Complétée",1,IF(J186="Abandonnée",0,IF(K186&lt;&gt;"",K186,IFERROR(VLOOKUP(J186,Parametres!$B$6:$C$12,2,FALSE),0)))))</f>
        <v/>
      </c>
      <c r="M186" s="15">
        <f>IF($B186="","",IF(J186="Abandonnée",0,H186))</f>
        <v/>
      </c>
      <c r="N186" s="15">
        <f>IF($B186="","",M186*L186)</f>
        <v/>
      </c>
      <c r="O186" s="37" t="n"/>
      <c r="P186" s="40" t="n">
        <v>46391</v>
      </c>
      <c r="Q186" s="40" t="n">
        <v>46400</v>
      </c>
      <c r="R186" s="40" t="n"/>
      <c r="S186" s="37" t="inlineStr"/>
      <c r="T186" s="36" t="inlineStr">
        <is>
          <t>Non</t>
        </is>
      </c>
      <c r="U186" s="13">
        <f>IF($B186="","",IF(AND(J186&lt;&gt;"Complétée",J186&lt;&gt;"Abandonnée",Q186&lt;&gt;"",TODAY()&gt;Q186),"En retard",""))</f>
        <v/>
      </c>
      <c r="V186" s="37" t="n"/>
    </row>
    <row r="187">
      <c r="B187" s="36" t="inlineStr">
        <is>
          <t>V4-006</t>
        </is>
      </c>
      <c r="C187" s="36" t="inlineStr">
        <is>
          <t>V4</t>
        </is>
      </c>
      <c r="D187" s="36" t="inlineStr">
        <is>
          <t>REB</t>
        </is>
      </c>
      <c r="E187" s="37" t="inlineStr">
        <is>
          <t>Alerte &amp; Rebond</t>
        </is>
      </c>
      <c r="F187" s="37" t="inlineStr">
        <is>
          <t>Signalement statutaire (mandataire de justice) et avertissement sur les clauses bancaires</t>
        </is>
      </c>
      <c r="G187" s="37" t="inlineStr">
        <is>
          <t>Avertissement affiché avant tout changement de visibilité</t>
        </is>
      </c>
      <c r="H187" s="38" t="n">
        <v>3</v>
      </c>
      <c r="I187" s="36" t="inlineStr">
        <is>
          <t>Moyenne</t>
        </is>
      </c>
      <c r="J187" s="36" t="inlineStr">
        <is>
          <t>Backlog</t>
        </is>
      </c>
      <c r="K187" s="39" t="n"/>
      <c r="L187" s="16">
        <f>IF($B187="","",IF(J187="Complétée",1,IF(J187="Abandonnée",0,IF(K187&lt;&gt;"",K187,IFERROR(VLOOKUP(J187,Parametres!$B$6:$C$12,2,FALSE),0)))))</f>
        <v/>
      </c>
      <c r="M187" s="15">
        <f>IF($B187="","",IF(J187="Abandonnée",0,H187))</f>
        <v/>
      </c>
      <c r="N187" s="15">
        <f>IF($B187="","",M187*L187)</f>
        <v/>
      </c>
      <c r="O187" s="37" t="n"/>
      <c r="P187" s="40" t="n">
        <v>46393</v>
      </c>
      <c r="Q187" s="40" t="n">
        <v>46398</v>
      </c>
      <c r="R187" s="40" t="n"/>
      <c r="S187" s="37" t="inlineStr"/>
      <c r="T187" s="36" t="inlineStr">
        <is>
          <t>Non</t>
        </is>
      </c>
      <c r="U187" s="13">
        <f>IF($B187="","",IF(AND(J187&lt;&gt;"Complétée",J187&lt;&gt;"Abandonnée",Q187&lt;&gt;"",TODAY()&gt;Q187),"En retard",""))</f>
        <v/>
      </c>
      <c r="V187" s="37" t="n"/>
    </row>
    <row r="188">
      <c r="B188" s="36" t="inlineStr">
        <is>
          <t>V4-007</t>
        </is>
      </c>
      <c r="C188" s="36" t="inlineStr">
        <is>
          <t>V4</t>
        </is>
      </c>
      <c r="D188" s="36" t="inlineStr">
        <is>
          <t>REB</t>
        </is>
      </c>
      <c r="E188" s="37" t="inlineStr">
        <is>
          <t>Actifs en difficulté</t>
        </is>
      </c>
      <c r="F188" s="37" t="inlineStr">
        <is>
          <t>Listings d'actifs par catégorie : créances, immobilier, équipement, flotte</t>
        </is>
      </c>
      <c r="G188" s="37" t="inlineStr">
        <is>
          <t>Jeu de champs distinct par catégorie</t>
        </is>
      </c>
      <c r="H188" s="38" t="n">
        <v>7</v>
      </c>
      <c r="I188" s="36" t="inlineStr">
        <is>
          <t>Haute</t>
        </is>
      </c>
      <c r="J188" s="36" t="inlineStr">
        <is>
          <t>Backlog</t>
        </is>
      </c>
      <c r="K188" s="39" t="n"/>
      <c r="L188" s="16">
        <f>IF($B188="","",IF(J188="Complétée",1,IF(J188="Abandonnée",0,IF(K188&lt;&gt;"",K188,IFERROR(VLOOKUP(J188,Parametres!$B$6:$C$12,2,FALSE),0)))))</f>
        <v/>
      </c>
      <c r="M188" s="15">
        <f>IF($B188="","",IF(J188="Abandonnée",0,H188))</f>
        <v/>
      </c>
      <c r="N188" s="15">
        <f>IF($B188="","",M188*L188)</f>
        <v/>
      </c>
      <c r="O188" s="37" t="n"/>
      <c r="P188" s="40" t="n">
        <v>46394</v>
      </c>
      <c r="Q188" s="40" t="n">
        <v>46404</v>
      </c>
      <c r="R188" s="40" t="n"/>
      <c r="S188" s="37" t="inlineStr"/>
      <c r="T188" s="36" t="inlineStr">
        <is>
          <t>Non</t>
        </is>
      </c>
      <c r="U188" s="13">
        <f>IF($B188="","",IF(AND(J188&lt;&gt;"Complétée",J188&lt;&gt;"Abandonnée",Q188&lt;&gt;"",TODAY()&gt;Q188),"En retard",""))</f>
        <v/>
      </c>
      <c r="V188" s="37" t="n"/>
    </row>
    <row r="189">
      <c r="B189" s="36" t="inlineStr">
        <is>
          <t>V4-008</t>
        </is>
      </c>
      <c r="C189" s="36" t="inlineStr">
        <is>
          <t>V4</t>
        </is>
      </c>
      <c r="D189" s="36" t="inlineStr">
        <is>
          <t>REB</t>
        </is>
      </c>
      <c r="E189" s="37" t="inlineStr">
        <is>
          <t>Actifs en difficulté</t>
        </is>
      </c>
      <c r="F189" s="37" t="inlineStr">
        <is>
          <t>Coupe-circuit opérateur : retrait immédiat de toutes les surfaces et caches</t>
        </is>
      </c>
      <c r="G189" s="37" t="inlineStr">
        <is>
          <t>Retrait effectif en moins de 60 s</t>
        </is>
      </c>
      <c r="H189" s="38" t="n">
        <v>3</v>
      </c>
      <c r="I189" s="36" t="inlineStr">
        <is>
          <t>Haute</t>
        </is>
      </c>
      <c r="J189" s="36" t="inlineStr">
        <is>
          <t>Backlog</t>
        </is>
      </c>
      <c r="K189" s="39" t="n"/>
      <c r="L189" s="16">
        <f>IF($B189="","",IF(J189="Complétée",1,IF(J189="Abandonnée",0,IF(K189&lt;&gt;"",K189,IFERROR(VLOOKUP(J189,Parametres!$B$6:$C$12,2,FALSE),0)))))</f>
        <v/>
      </c>
      <c r="M189" s="15">
        <f>IF($B189="","",IF(J189="Abandonnée",0,H189))</f>
        <v/>
      </c>
      <c r="N189" s="15">
        <f>IF($B189="","",M189*L189)</f>
        <v/>
      </c>
      <c r="O189" s="37" t="n"/>
      <c r="P189" s="40" t="n">
        <v>46396</v>
      </c>
      <c r="Q189" s="40" t="n">
        <v>46401</v>
      </c>
      <c r="R189" s="40" t="n"/>
      <c r="S189" s="37" t="inlineStr"/>
      <c r="T189" s="36" t="inlineStr">
        <is>
          <t>Non</t>
        </is>
      </c>
      <c r="U189" s="13">
        <f>IF($B189="","",IF(AND(J189&lt;&gt;"Complétée",J189&lt;&gt;"Abandonnée",Q189&lt;&gt;"",TODAY()&gt;Q189),"En retard",""))</f>
        <v/>
      </c>
      <c r="V189" s="37" t="n"/>
    </row>
    <row r="190">
      <c r="B190" s="36" t="inlineStr">
        <is>
          <t>V4-009</t>
        </is>
      </c>
      <c r="C190" s="36" t="inlineStr">
        <is>
          <t>V4</t>
        </is>
      </c>
      <c r="D190" s="36" t="inlineStr">
        <is>
          <t>REB</t>
        </is>
      </c>
      <c r="E190" s="37" t="inlineStr">
        <is>
          <t>Alerte &amp; Rebond</t>
        </is>
      </c>
      <c r="F190" s="37" t="inlineStr">
        <is>
          <t>Ingestion des annonces de dissolution / liquidation (flux CFE)</t>
        </is>
      </c>
      <c r="G190" s="37" t="inlineStr">
        <is>
          <t>Flux importé quotidiennement</t>
        </is>
      </c>
      <c r="H190" s="38" t="n">
        <v>5</v>
      </c>
      <c r="I190" s="36" t="inlineStr">
        <is>
          <t>Basse</t>
        </is>
      </c>
      <c r="J190" s="36" t="inlineStr">
        <is>
          <t>Backlog</t>
        </is>
      </c>
      <c r="K190" s="39" t="n"/>
      <c r="L190" s="16">
        <f>IF($B190="","",IF(J190="Complétée",1,IF(J190="Abandonnée",0,IF(K190&lt;&gt;"",K190,IFERROR(VLOOKUP(J190,Parametres!$B$6:$C$12,2,FALSE),0)))))</f>
        <v/>
      </c>
      <c r="M190" s="15">
        <f>IF($B190="","",IF(J190="Abandonnée",0,H190))</f>
        <v/>
      </c>
      <c r="N190" s="15">
        <f>IF($B190="","",M190*L190)</f>
        <v/>
      </c>
      <c r="O190" s="37" t="n"/>
      <c r="P190" s="40" t="n">
        <v>46397</v>
      </c>
      <c r="Q190" s="40" t="n">
        <v>46404</v>
      </c>
      <c r="R190" s="40" t="n"/>
      <c r="S190" s="37" t="inlineStr"/>
      <c r="T190" s="36" t="inlineStr">
        <is>
          <t>Non</t>
        </is>
      </c>
      <c r="U190" s="13">
        <f>IF($B190="","",IF(AND(J190&lt;&gt;"Complétée",J190&lt;&gt;"Abandonnée",Q190&lt;&gt;"",TODAY()&gt;Q190),"En retard",""))</f>
        <v/>
      </c>
      <c r="V190" s="37" t="n"/>
    </row>
    <row r="191">
      <c r="B191" s="36" t="inlineStr">
        <is>
          <t>V4-010</t>
        </is>
      </c>
      <c r="C191" s="36" t="inlineStr">
        <is>
          <t>V4</t>
        </is>
      </c>
      <c r="D191" s="36" t="inlineStr">
        <is>
          <t>REB</t>
        </is>
      </c>
      <c r="E191" s="37" t="inlineStr">
        <is>
          <t>Alerte &amp; Rebond</t>
        </is>
      </c>
      <c r="F191" s="37" t="inlineStr">
        <is>
          <t>Écrans Alerte &amp; Rebond</t>
        </is>
      </c>
      <c r="G191" s="37" t="inlineStr">
        <is>
          <t>Confidentialité par défaut sur chaque écran</t>
        </is>
      </c>
      <c r="H191" s="38" t="n">
        <v>5</v>
      </c>
      <c r="I191" s="36" t="inlineStr">
        <is>
          <t>Moyenne</t>
        </is>
      </c>
      <c r="J191" s="36" t="inlineStr">
        <is>
          <t>Backlog</t>
        </is>
      </c>
      <c r="K191" s="39" t="n"/>
      <c r="L191" s="16">
        <f>IF($B191="","",IF(J191="Complétée",1,IF(J191="Abandonnée",0,IF(K191&lt;&gt;"",K191,IFERROR(VLOOKUP(J191,Parametres!$B$6:$C$12,2,FALSE),0)))))</f>
        <v/>
      </c>
      <c r="M191" s="15">
        <f>IF($B191="","",IF(J191="Abandonnée",0,H191))</f>
        <v/>
      </c>
      <c r="N191" s="15">
        <f>IF($B191="","",M191*L191)</f>
        <v/>
      </c>
      <c r="O191" s="37" t="n"/>
      <c r="P191" s="40" t="n">
        <v>46398</v>
      </c>
      <c r="Q191" s="40" t="n">
        <v>46405</v>
      </c>
      <c r="R191" s="40" t="n"/>
      <c r="S191" s="37" t="inlineStr"/>
      <c r="T191" s="36" t="inlineStr">
        <is>
          <t>Non</t>
        </is>
      </c>
      <c r="U191" s="13">
        <f>IF($B191="","",IF(AND(J191&lt;&gt;"Complétée",J191&lt;&gt;"Abandonnée",Q191&lt;&gt;"",TODAY()&gt;Q191),"En retard",""))</f>
        <v/>
      </c>
      <c r="V191" s="37" t="n"/>
    </row>
    <row r="192">
      <c r="B192" s="36" t="inlineStr">
        <is>
          <t>V4-011</t>
        </is>
      </c>
      <c r="C192" s="36" t="inlineStr">
        <is>
          <t>V4</t>
        </is>
      </c>
      <c r="D192" s="36" t="inlineStr">
        <is>
          <t>CNX</t>
        </is>
      </c>
      <c r="E192" s="37" t="inlineStr">
        <is>
          <t>Deal-Connect</t>
        </is>
      </c>
      <c r="F192" s="37" t="inlineStr">
        <is>
          <t>Stands, billetterie et sponsoring avec catégorisation des revenus</t>
        </is>
      </c>
      <c r="G192" s="37" t="inlineStr">
        <is>
          <t>Revenus catégorisés pour la rétrocession</t>
        </is>
      </c>
      <c r="H192" s="38" t="n">
        <v>6</v>
      </c>
      <c r="I192" s="36" t="inlineStr">
        <is>
          <t>Moyenne</t>
        </is>
      </c>
      <c r="J192" s="36" t="inlineStr">
        <is>
          <t>Backlog</t>
        </is>
      </c>
      <c r="K192" s="39" t="n"/>
      <c r="L192" s="16">
        <f>IF($B192="","",IF(J192="Complétée",1,IF(J192="Abandonnée",0,IF(K192&lt;&gt;"",K192,IFERROR(VLOOKUP(J192,Parametres!$B$6:$C$12,2,FALSE),0)))))</f>
        <v/>
      </c>
      <c r="M192" s="15">
        <f>IF($B192="","",IF(J192="Abandonnée",0,H192))</f>
        <v/>
      </c>
      <c r="N192" s="15">
        <f>IF($B192="","",M192*L192)</f>
        <v/>
      </c>
      <c r="O192" s="37" t="n"/>
      <c r="P192" s="40" t="n">
        <v>46400</v>
      </c>
      <c r="Q192" s="40" t="n">
        <v>46409</v>
      </c>
      <c r="R192" s="40" t="n"/>
      <c r="S192" s="37" t="inlineStr"/>
      <c r="T192" s="36" t="inlineStr">
        <is>
          <t>Non</t>
        </is>
      </c>
      <c r="U192" s="13">
        <f>IF($B192="","",IF(AND(J192&lt;&gt;"Complétée",J192&lt;&gt;"Abandonnée",Q192&lt;&gt;"",TODAY()&gt;Q192),"En retard",""))</f>
        <v/>
      </c>
      <c r="V192" s="37" t="n"/>
    </row>
    <row r="193">
      <c r="B193" s="36" t="inlineStr">
        <is>
          <t>V4-012</t>
        </is>
      </c>
      <c r="C193" s="36" t="inlineStr">
        <is>
          <t>V4</t>
        </is>
      </c>
      <c r="D193" s="36" t="inlineStr">
        <is>
          <t>CNX</t>
        </is>
      </c>
      <c r="E193" s="37" t="inlineStr">
        <is>
          <t>Deal-Connect</t>
        </is>
      </c>
      <c r="F193" s="37" t="inlineStr">
        <is>
          <t>Rendez-vous mutuels opt-in et suggestions par règles</t>
        </is>
      </c>
      <c r="G193" s="37" t="inlineStr">
        <is>
          <t>Aucun rendez-vous sans double accord</t>
        </is>
      </c>
      <c r="H193" s="38" t="n">
        <v>4</v>
      </c>
      <c r="I193" s="36" t="inlineStr">
        <is>
          <t>Moyenne</t>
        </is>
      </c>
      <c r="J193" s="36" t="inlineStr">
        <is>
          <t>Backlog</t>
        </is>
      </c>
      <c r="K193" s="39" t="n"/>
      <c r="L193" s="16">
        <f>IF($B193="","",IF(J193="Complétée",1,IF(J193="Abandonnée",0,IF(K193&lt;&gt;"",K193,IFERROR(VLOOKUP(J193,Parametres!$B$6:$C$12,2,FALSE),0)))))</f>
        <v/>
      </c>
      <c r="M193" s="15">
        <f>IF($B193="","",IF(J193="Abandonnée",0,H193))</f>
        <v/>
      </c>
      <c r="N193" s="15">
        <f>IF($B193="","",M193*L193)</f>
        <v/>
      </c>
      <c r="O193" s="37" t="n"/>
      <c r="P193" s="40" t="n">
        <v>46401</v>
      </c>
      <c r="Q193" s="40" t="n">
        <v>46407</v>
      </c>
      <c r="R193" s="40" t="n"/>
      <c r="S193" s="37" t="inlineStr"/>
      <c r="T193" s="36" t="inlineStr">
        <is>
          <t>Non</t>
        </is>
      </c>
      <c r="U193" s="13">
        <f>IF($B193="","",IF(AND(J193&lt;&gt;"Complétée",J193&lt;&gt;"Abandonnée",Q193&lt;&gt;"",TODAY()&gt;Q193),"En retard",""))</f>
        <v/>
      </c>
      <c r="V193" s="37" t="n"/>
    </row>
    <row r="194">
      <c r="B194" s="36" t="inlineStr">
        <is>
          <t>V4-013</t>
        </is>
      </c>
      <c r="C194" s="36" t="inlineStr">
        <is>
          <t>V4</t>
        </is>
      </c>
      <c r="D194" s="36" t="inlineStr">
        <is>
          <t>CNX</t>
        </is>
      </c>
      <c r="E194" s="37" t="inlineStr">
        <is>
          <t>Deal-Connect</t>
        </is>
      </c>
      <c r="F194" s="37" t="inlineStr">
        <is>
          <t>Rapport post-événement : participation, rendez-vous, satisfaction</t>
        </is>
      </c>
      <c r="G194" s="37" t="inlineStr">
        <is>
          <t>Rapport agrégé sans donnée nominative</t>
        </is>
      </c>
      <c r="H194" s="38" t="n">
        <v>4</v>
      </c>
      <c r="I194" s="36" t="inlineStr">
        <is>
          <t>Moyenne</t>
        </is>
      </c>
      <c r="J194" s="36" t="inlineStr">
        <is>
          <t>Backlog</t>
        </is>
      </c>
      <c r="K194" s="39" t="n"/>
      <c r="L194" s="16">
        <f>IF($B194="","",IF(J194="Complétée",1,IF(J194="Abandonnée",0,IF(K194&lt;&gt;"",K194,IFERROR(VLOOKUP(J194,Parametres!$B$6:$C$12,2,FALSE),0)))))</f>
        <v/>
      </c>
      <c r="M194" s="15">
        <f>IF($B194="","",IF(J194="Abandonnée",0,H194))</f>
        <v/>
      </c>
      <c r="N194" s="15">
        <f>IF($B194="","",M194*L194)</f>
        <v/>
      </c>
      <c r="O194" s="37" t="n"/>
      <c r="P194" s="40" t="n">
        <v>46403</v>
      </c>
      <c r="Q194" s="40" t="n">
        <v>46409</v>
      </c>
      <c r="R194" s="40" t="n"/>
      <c r="S194" s="37" t="inlineStr"/>
      <c r="T194" s="36" t="inlineStr">
        <is>
          <t>Non</t>
        </is>
      </c>
      <c r="U194" s="13">
        <f>IF($B194="","",IF(AND(J194&lt;&gt;"Complétée",J194&lt;&gt;"Abandonnée",Q194&lt;&gt;"",TODAY()&gt;Q194),"En retard",""))</f>
        <v/>
      </c>
      <c r="V194" s="37" t="n"/>
    </row>
    <row r="195">
      <c r="B195" s="36" t="inlineStr">
        <is>
          <t>V4-014</t>
        </is>
      </c>
      <c r="C195" s="36" t="inlineStr">
        <is>
          <t>V4</t>
        </is>
      </c>
      <c r="D195" s="36" t="inlineStr">
        <is>
          <t>CNX</t>
        </is>
      </c>
      <c r="E195" s="37" t="inlineStr">
        <is>
          <t>Deal-Connect</t>
        </is>
      </c>
      <c r="F195" s="37" t="inlineStr">
        <is>
          <t>Écrans Deal-Connect</t>
        </is>
      </c>
      <c r="G195" s="37" t="inlineStr">
        <is>
          <t>Aucun contenu à caractère de titre financier sur les stands</t>
        </is>
      </c>
      <c r="H195" s="38" t="n">
        <v>5</v>
      </c>
      <c r="I195" s="36" t="inlineStr">
        <is>
          <t>Moyenne</t>
        </is>
      </c>
      <c r="J195" s="36" t="inlineStr">
        <is>
          <t>Backlog</t>
        </is>
      </c>
      <c r="K195" s="39" t="n"/>
      <c r="L195" s="16">
        <f>IF($B195="","",IF(J195="Complétée",1,IF(J195="Abandonnée",0,IF(K195&lt;&gt;"",K195,IFERROR(VLOOKUP(J195,Parametres!$B$6:$C$12,2,FALSE),0)))))</f>
        <v/>
      </c>
      <c r="M195" s="15">
        <f>IF($B195="","",IF(J195="Abandonnée",0,H195))</f>
        <v/>
      </c>
      <c r="N195" s="15">
        <f>IF($B195="","",M195*L195)</f>
        <v/>
      </c>
      <c r="O195" s="37" t="n"/>
      <c r="P195" s="40" t="n">
        <v>46404</v>
      </c>
      <c r="Q195" s="40" t="n">
        <v>46411</v>
      </c>
      <c r="R195" s="40" t="n"/>
      <c r="S195" s="37" t="inlineStr"/>
      <c r="T195" s="36" t="inlineStr">
        <is>
          <t>Non</t>
        </is>
      </c>
      <c r="U195" s="13">
        <f>IF($B195="","",IF(AND(J195&lt;&gt;"Complétée",J195&lt;&gt;"Abandonnée",Q195&lt;&gt;"",TODAY()&gt;Q195),"En retard",""))</f>
        <v/>
      </c>
      <c r="V195" s="37" t="n"/>
    </row>
    <row r="196">
      <c r="B196" s="36" t="inlineStr">
        <is>
          <t>V4-015</t>
        </is>
      </c>
      <c r="C196" s="36" t="inlineStr">
        <is>
          <t>V4</t>
        </is>
      </c>
      <c r="D196" s="36" t="inlineStr">
        <is>
          <t>DIA</t>
        </is>
      </c>
      <c r="E196" s="37" t="inlineStr">
        <is>
          <t>Guichet Diaspora</t>
        </is>
      </c>
      <c r="F196" s="37" t="inlineStr">
        <is>
          <t>Profil investisseur diaspora, préférences, liste de suivi</t>
        </is>
      </c>
      <c r="G196" s="37" t="inlineStr">
        <is>
          <t>Preuve de capacité avec date d'expiration</t>
        </is>
      </c>
      <c r="H196" s="38" t="n">
        <v>5</v>
      </c>
      <c r="I196" s="36" t="inlineStr">
        <is>
          <t>Haute</t>
        </is>
      </c>
      <c r="J196" s="36" t="inlineStr">
        <is>
          <t>Backlog</t>
        </is>
      </c>
      <c r="K196" s="39" t="n"/>
      <c r="L196" s="16">
        <f>IF($B196="","",IF(J196="Complétée",1,IF(J196="Abandonnée",0,IF(K196&lt;&gt;"",K196,IFERROR(VLOOKUP(J196,Parametres!$B$6:$C$12,2,FALSE),0)))))</f>
        <v/>
      </c>
      <c r="M196" s="15">
        <f>IF($B196="","",IF(J196="Abandonnée",0,H196))</f>
        <v/>
      </c>
      <c r="N196" s="15">
        <f>IF($B196="","",M196*L196)</f>
        <v/>
      </c>
      <c r="O196" s="37" t="n"/>
      <c r="P196" s="40" t="n">
        <v>46405</v>
      </c>
      <c r="Q196" s="40" t="n">
        <v>46412</v>
      </c>
      <c r="R196" s="40" t="n"/>
      <c r="S196" s="37" t="inlineStr"/>
      <c r="T196" s="36" t="inlineStr">
        <is>
          <t>Non</t>
        </is>
      </c>
      <c r="U196" s="13">
        <f>IF($B196="","",IF(AND(J196&lt;&gt;"Complétée",J196&lt;&gt;"Abandonnée",Q196&lt;&gt;"",TODAY()&gt;Q196),"En retard",""))</f>
        <v/>
      </c>
      <c r="V196" s="37" t="n"/>
    </row>
    <row r="197">
      <c r="B197" s="36" t="inlineStr">
        <is>
          <t>V4-016</t>
        </is>
      </c>
      <c r="C197" s="36" t="inlineStr">
        <is>
          <t>V4</t>
        </is>
      </c>
      <c r="D197" s="36" t="inlineStr">
        <is>
          <t>DIA</t>
        </is>
      </c>
      <c r="E197" s="37" t="inlineStr">
        <is>
          <t>Guichet Diaspora</t>
        </is>
      </c>
      <c r="F197" s="37" t="inlineStr">
        <is>
          <t>Présentation des contraintes transfrontalières et taux de change indicatif daté</t>
        </is>
      </c>
      <c r="G197" s="37" t="inlineStr">
        <is>
          <t>Taux affiché avec source et date</t>
        </is>
      </c>
      <c r="H197" s="38" t="n">
        <v>5</v>
      </c>
      <c r="I197" s="36" t="inlineStr">
        <is>
          <t>Haute</t>
        </is>
      </c>
      <c r="J197" s="36" t="inlineStr">
        <is>
          <t>Backlog</t>
        </is>
      </c>
      <c r="K197" s="39" t="n"/>
      <c r="L197" s="16">
        <f>IF($B197="","",IF(J197="Complétée",1,IF(J197="Abandonnée",0,IF(K197&lt;&gt;"",K197,IFERROR(VLOOKUP(J197,Parametres!$B$6:$C$12,2,FALSE),0)))))</f>
        <v/>
      </c>
      <c r="M197" s="15">
        <f>IF($B197="","",IF(J197="Abandonnée",0,H197))</f>
        <v/>
      </c>
      <c r="N197" s="15">
        <f>IF($B197="","",M197*L197)</f>
        <v/>
      </c>
      <c r="O197" s="37" t="n"/>
      <c r="P197" s="40" t="n">
        <v>46407</v>
      </c>
      <c r="Q197" s="40" t="n">
        <v>46414</v>
      </c>
      <c r="R197" s="40" t="n"/>
      <c r="S197" s="37" t="inlineStr"/>
      <c r="T197" s="36" t="inlineStr">
        <is>
          <t>Non</t>
        </is>
      </c>
      <c r="U197" s="13">
        <f>IF($B197="","",IF(AND(J197&lt;&gt;"Complétée",J197&lt;&gt;"Abandonnée",Q197&lt;&gt;"",TODAY()&gt;Q197),"En retard",""))</f>
        <v/>
      </c>
      <c r="V197" s="37" t="n"/>
    </row>
    <row r="198">
      <c r="B198" s="36" t="inlineStr">
        <is>
          <t>V4-017</t>
        </is>
      </c>
      <c r="C198" s="36" t="inlineStr">
        <is>
          <t>V4</t>
        </is>
      </c>
      <c r="D198" s="36" t="inlineStr">
        <is>
          <t>DIA</t>
        </is>
      </c>
      <c r="E198" s="37" t="inlineStr">
        <is>
          <t>Guichet Diaspora</t>
        </is>
      </c>
      <c r="F198" s="37" t="inlineStr">
        <is>
          <t>Renvoi vers banque / conseil pour les aspects réglementés</t>
        </is>
      </c>
      <c r="G198" s="37" t="inlineStr">
        <is>
          <t>Aucun conseil de change fourni par la plateforme</t>
        </is>
      </c>
      <c r="H198" s="38" t="n">
        <v>3</v>
      </c>
      <c r="I198" s="36" t="inlineStr">
        <is>
          <t>Haute</t>
        </is>
      </c>
      <c r="J198" s="36" t="inlineStr">
        <is>
          <t>Backlog</t>
        </is>
      </c>
      <c r="K198" s="39" t="n"/>
      <c r="L198" s="16">
        <f>IF($B198="","",IF(J198="Complétée",1,IF(J198="Abandonnée",0,IF(K198&lt;&gt;"",K198,IFERROR(VLOOKUP(J198,Parametres!$B$6:$C$12,2,FALSE),0)))))</f>
        <v/>
      </c>
      <c r="M198" s="15">
        <f>IF($B198="","",IF(J198="Abandonnée",0,H198))</f>
        <v/>
      </c>
      <c r="N198" s="15">
        <f>IF($B198="","",M198*L198)</f>
        <v/>
      </c>
      <c r="O198" s="37" t="n"/>
      <c r="P198" s="40" t="n">
        <v>46408</v>
      </c>
      <c r="Q198" s="40" t="n">
        <v>46413</v>
      </c>
      <c r="R198" s="40" t="n"/>
      <c r="S198" s="37" t="inlineStr"/>
      <c r="T198" s="36" t="inlineStr">
        <is>
          <t>Non</t>
        </is>
      </c>
      <c r="U198" s="13">
        <f>IF($B198="","",IF(AND(J198&lt;&gt;"Complétée",J198&lt;&gt;"Abandonnée",Q198&lt;&gt;"",TODAY()&gt;Q198),"En retard",""))</f>
        <v/>
      </c>
      <c r="V198" s="37" t="n"/>
    </row>
    <row r="199">
      <c r="B199" s="36" t="inlineStr">
        <is>
          <t>V4-018</t>
        </is>
      </c>
      <c r="C199" s="36" t="inlineStr">
        <is>
          <t>V4</t>
        </is>
      </c>
      <c r="D199" s="36" t="inlineStr">
        <is>
          <t>DIA</t>
        </is>
      </c>
      <c r="E199" s="37" t="inlineStr">
        <is>
          <t>Guichet Diaspora</t>
        </is>
      </c>
      <c r="F199" s="37" t="inlineStr">
        <is>
          <t>Signal de demande diaspora (agrégé, anonymisé)</t>
        </is>
      </c>
      <c r="G199" s="37" t="inlineStr">
        <is>
          <t>Aucune donnée nominative dans le signal</t>
        </is>
      </c>
      <c r="H199" s="38" t="n">
        <v>3</v>
      </c>
      <c r="I199" s="36" t="inlineStr">
        <is>
          <t>Basse</t>
        </is>
      </c>
      <c r="J199" s="36" t="inlineStr">
        <is>
          <t>Backlog</t>
        </is>
      </c>
      <c r="K199" s="39" t="n"/>
      <c r="L199" s="16">
        <f>IF($B199="","",IF(J199="Complétée",1,IF(J199="Abandonnée",0,IF(K199&lt;&gt;"",K199,IFERROR(VLOOKUP(J199,Parametres!$B$6:$C$12,2,FALSE),0)))))</f>
        <v/>
      </c>
      <c r="M199" s="15">
        <f>IF($B199="","",IF(J199="Abandonnée",0,H199))</f>
        <v/>
      </c>
      <c r="N199" s="15">
        <f>IF($B199="","",M199*L199)</f>
        <v/>
      </c>
      <c r="O199" s="37" t="n"/>
      <c r="P199" s="40" t="n">
        <v>46409</v>
      </c>
      <c r="Q199" s="40" t="n">
        <v>46414</v>
      </c>
      <c r="R199" s="40" t="n"/>
      <c r="S199" s="37" t="inlineStr"/>
      <c r="T199" s="36" t="inlineStr">
        <is>
          <t>Non</t>
        </is>
      </c>
      <c r="U199" s="13">
        <f>IF($B199="","",IF(AND(J199&lt;&gt;"Complétée",J199&lt;&gt;"Abandonnée",Q199&lt;&gt;"",TODAY()&gt;Q199),"En retard",""))</f>
        <v/>
      </c>
      <c r="V199" s="37" t="n"/>
    </row>
    <row r="200">
      <c r="B200" s="36" t="inlineStr">
        <is>
          <t>V4-019</t>
        </is>
      </c>
      <c r="C200" s="36" t="inlineStr">
        <is>
          <t>V4</t>
        </is>
      </c>
      <c r="D200" s="36" t="inlineStr">
        <is>
          <t>DIA</t>
        </is>
      </c>
      <c r="E200" s="37" t="inlineStr">
        <is>
          <t>Guichet Diaspora</t>
        </is>
      </c>
      <c r="F200" s="37" t="inlineStr">
        <is>
          <t>Écrans Guichet Diaspora</t>
        </is>
      </c>
      <c r="G200" s="37" t="inlineStr">
        <is>
          <t>Contraintes affichées avant la phase finale</t>
        </is>
      </c>
      <c r="H200" s="38" t="n">
        <v>5</v>
      </c>
      <c r="I200" s="36" t="inlineStr">
        <is>
          <t>Moyenne</t>
        </is>
      </c>
      <c r="J200" s="36" t="inlineStr">
        <is>
          <t>Backlog</t>
        </is>
      </c>
      <c r="K200" s="39" t="n"/>
      <c r="L200" s="16">
        <f>IF($B200="","",IF(J200="Complétée",1,IF(J200="Abandonnée",0,IF(K200&lt;&gt;"",K200,IFERROR(VLOOKUP(J200,Parametres!$B$6:$C$12,2,FALSE),0)))))</f>
        <v/>
      </c>
      <c r="M200" s="15">
        <f>IF($B200="","",IF(J200="Abandonnée",0,H200))</f>
        <v/>
      </c>
      <c r="N200" s="15">
        <f>IF($B200="","",M200*L200)</f>
        <v/>
      </c>
      <c r="O200" s="37" t="n"/>
      <c r="P200" s="40" t="n">
        <v>46410</v>
      </c>
      <c r="Q200" s="40" t="n">
        <v>46417</v>
      </c>
      <c r="R200" s="40" t="n"/>
      <c r="S200" s="37" t="inlineStr"/>
      <c r="T200" s="36" t="inlineStr">
        <is>
          <t>Non</t>
        </is>
      </c>
      <c r="U200" s="13">
        <f>IF($B200="","",IF(AND(J200&lt;&gt;"Complétée",J200&lt;&gt;"Abandonnée",Q200&lt;&gt;"",TODAY()&gt;Q200),"En retard",""))</f>
        <v/>
      </c>
      <c r="V200" s="37" t="n"/>
    </row>
    <row r="201">
      <c r="B201" s="36" t="inlineStr">
        <is>
          <t>V4-020</t>
        </is>
      </c>
      <c r="C201" s="36" t="inlineStr">
        <is>
          <t>V4</t>
        </is>
      </c>
      <c r="D201" s="36" t="inlineStr">
        <is>
          <t>EXP</t>
        </is>
      </c>
      <c r="E201" s="37" t="inlineStr">
        <is>
          <t>Deal-Experts</t>
        </is>
      </c>
      <c r="F201" s="37" t="inlineStr">
        <is>
          <t>Registre d'experts qualifiés et déclaration de conflit d'intérêts</t>
        </is>
      </c>
      <c r="G201" s="37" t="inlineStr">
        <is>
          <t>Conflit déclaré avant toute proposition</t>
        </is>
      </c>
      <c r="H201" s="38" t="n">
        <v>5</v>
      </c>
      <c r="I201" s="36" t="inlineStr">
        <is>
          <t>Moyenne</t>
        </is>
      </c>
      <c r="J201" s="36" t="inlineStr">
        <is>
          <t>Backlog</t>
        </is>
      </c>
      <c r="K201" s="39" t="n"/>
      <c r="L201" s="16">
        <f>IF($B201="","",IF(J201="Complétée",1,IF(J201="Abandonnée",0,IF(K201&lt;&gt;"",K201,IFERROR(VLOOKUP(J201,Parametres!$B$6:$C$12,2,FALSE),0)))))</f>
        <v/>
      </c>
      <c r="M201" s="15">
        <f>IF($B201="","",IF(J201="Abandonnée",0,H201))</f>
        <v/>
      </c>
      <c r="N201" s="15">
        <f>IF($B201="","",M201*L201)</f>
        <v/>
      </c>
      <c r="O201" s="37" t="n"/>
      <c r="P201" s="40" t="n">
        <v>46412</v>
      </c>
      <c r="Q201" s="40" t="n">
        <v>46419</v>
      </c>
      <c r="R201" s="40" t="n"/>
      <c r="S201" s="37" t="inlineStr">
        <is>
          <t>A04 : articulation P13</t>
        </is>
      </c>
      <c r="T201" s="36" t="inlineStr">
        <is>
          <t>Non</t>
        </is>
      </c>
      <c r="U201" s="13">
        <f>IF($B201="","",IF(AND(J201&lt;&gt;"Complétée",J201&lt;&gt;"Abandonnée",Q201&lt;&gt;"",TODAY()&gt;Q201),"En retard",""))</f>
        <v/>
      </c>
      <c r="V201" s="37" t="n"/>
    </row>
    <row r="202">
      <c r="B202" s="36" t="inlineStr">
        <is>
          <t>V4-021</t>
        </is>
      </c>
      <c r="C202" s="36" t="inlineStr">
        <is>
          <t>V4</t>
        </is>
      </c>
      <c r="D202" s="36" t="inlineStr">
        <is>
          <t>EXP</t>
        </is>
      </c>
      <c r="E202" s="37" t="inlineStr">
        <is>
          <t>Deal-Experts</t>
        </is>
      </c>
      <c r="F202" s="37" t="inlineStr">
        <is>
          <t>Routage du besoin, propositions, sélection par le client</t>
        </is>
      </c>
      <c r="G202" s="37" t="inlineStr">
        <is>
          <t>Client choisit seul, DealPME n'oriente pas le fond</t>
        </is>
      </c>
      <c r="H202" s="38" t="n">
        <v>5</v>
      </c>
      <c r="I202" s="36" t="inlineStr">
        <is>
          <t>Moyenne</t>
        </is>
      </c>
      <c r="J202" s="36" t="inlineStr">
        <is>
          <t>Backlog</t>
        </is>
      </c>
      <c r="K202" s="39" t="n"/>
      <c r="L202" s="16">
        <f>IF($B202="","",IF(J202="Complétée",1,IF(J202="Abandonnée",0,IF(K202&lt;&gt;"",K202,IFERROR(VLOOKUP(J202,Parametres!$B$6:$C$12,2,FALSE),0)))))</f>
        <v/>
      </c>
      <c r="M202" s="15">
        <f>IF($B202="","",IF(J202="Abandonnée",0,H202))</f>
        <v/>
      </c>
      <c r="N202" s="15">
        <f>IF($B202="","",M202*L202)</f>
        <v/>
      </c>
      <c r="O202" s="37" t="n"/>
      <c r="P202" s="40" t="n">
        <v>46413</v>
      </c>
      <c r="Q202" s="40" t="n">
        <v>46420</v>
      </c>
      <c r="R202" s="40" t="n"/>
      <c r="S202" s="37" t="inlineStr"/>
      <c r="T202" s="36" t="inlineStr">
        <is>
          <t>Non</t>
        </is>
      </c>
      <c r="U202" s="13">
        <f>IF($B202="","",IF(AND(J202&lt;&gt;"Complétée",J202&lt;&gt;"Abandonnée",Q202&lt;&gt;"",TODAY()&gt;Q202),"En retard",""))</f>
        <v/>
      </c>
      <c r="V202" s="37" t="n"/>
    </row>
    <row r="203">
      <c r="B203" s="36" t="inlineStr">
        <is>
          <t>V4-022</t>
        </is>
      </c>
      <c r="C203" s="36" t="inlineStr">
        <is>
          <t>V4</t>
        </is>
      </c>
      <c r="D203" s="36" t="inlineStr">
        <is>
          <t>EXP</t>
        </is>
      </c>
      <c r="E203" s="37" t="inlineStr">
        <is>
          <t>Deal-Experts</t>
        </is>
      </c>
      <c r="F203" s="37" t="inlineStr">
        <is>
          <t>Accès temporaire scopé en lecture, expiration à la remise du livrable</t>
        </is>
      </c>
      <c r="G203" s="37" t="inlineStr">
        <is>
          <t>Accès fermé automatiquement à la livraison</t>
        </is>
      </c>
      <c r="H203" s="38" t="n">
        <v>5</v>
      </c>
      <c r="I203" s="36" t="inlineStr">
        <is>
          <t>Haute</t>
        </is>
      </c>
      <c r="J203" s="36" t="inlineStr">
        <is>
          <t>Backlog</t>
        </is>
      </c>
      <c r="K203" s="39" t="n"/>
      <c r="L203" s="16">
        <f>IF($B203="","",IF(J203="Complétée",1,IF(J203="Abandonnée",0,IF(K203&lt;&gt;"",K203,IFERROR(VLOOKUP(J203,Parametres!$B$6:$C$12,2,FALSE),0)))))</f>
        <v/>
      </c>
      <c r="M203" s="15">
        <f>IF($B203="","",IF(J203="Abandonnée",0,H203))</f>
        <v/>
      </c>
      <c r="N203" s="15">
        <f>IF($B203="","",M203*L203)</f>
        <v/>
      </c>
      <c r="O203" s="37" t="n"/>
      <c r="P203" s="40" t="n">
        <v>46415</v>
      </c>
      <c r="Q203" s="40" t="n">
        <v>46422</v>
      </c>
      <c r="R203" s="40" t="n"/>
      <c r="S203" s="37" t="inlineStr"/>
      <c r="T203" s="36" t="inlineStr">
        <is>
          <t>Non</t>
        </is>
      </c>
      <c r="U203" s="13">
        <f>IF($B203="","",IF(AND(J203&lt;&gt;"Complétée",J203&lt;&gt;"Abandonnée",Q203&lt;&gt;"",TODAY()&gt;Q203),"En retard",""))</f>
        <v/>
      </c>
      <c r="V203" s="37" t="n"/>
    </row>
    <row r="204">
      <c r="B204" s="36" t="inlineStr">
        <is>
          <t>V4-023</t>
        </is>
      </c>
      <c r="C204" s="36" t="inlineStr">
        <is>
          <t>V4</t>
        </is>
      </c>
      <c r="D204" s="36" t="inlineStr">
        <is>
          <t>EXP</t>
        </is>
      </c>
      <c r="E204" s="37" t="inlineStr">
        <is>
          <t>Deal-Experts</t>
        </is>
      </c>
      <c r="F204" s="37" t="inlineStr">
        <is>
          <t>Contrat direct client-expert (hors facturation DealPME) et journal</t>
        </is>
      </c>
      <c r="G204" s="37" t="inlineStr">
        <is>
          <t>Aucune facturation de prestation par DealPME</t>
        </is>
      </c>
      <c r="H204" s="38" t="n">
        <v>3</v>
      </c>
      <c r="I204" s="36" t="inlineStr">
        <is>
          <t>Moyenne</t>
        </is>
      </c>
      <c r="J204" s="36" t="inlineStr">
        <is>
          <t>Backlog</t>
        </is>
      </c>
      <c r="K204" s="39" t="n"/>
      <c r="L204" s="16">
        <f>IF($B204="","",IF(J204="Complétée",1,IF(J204="Abandonnée",0,IF(K204&lt;&gt;"",K204,IFERROR(VLOOKUP(J204,Parametres!$B$6:$C$12,2,FALSE),0)))))</f>
        <v/>
      </c>
      <c r="M204" s="15">
        <f>IF($B204="","",IF(J204="Abandonnée",0,H204))</f>
        <v/>
      </c>
      <c r="N204" s="15">
        <f>IF($B204="","",M204*L204)</f>
        <v/>
      </c>
      <c r="O204" s="37" t="n"/>
      <c r="P204" s="40" t="n">
        <v>46416</v>
      </c>
      <c r="Q204" s="40" t="n">
        <v>46421</v>
      </c>
      <c r="R204" s="40" t="n"/>
      <c r="S204" s="37" t="inlineStr"/>
      <c r="T204" s="36" t="inlineStr">
        <is>
          <t>Non</t>
        </is>
      </c>
      <c r="U204" s="13">
        <f>IF($B204="","",IF(AND(J204&lt;&gt;"Complétée",J204&lt;&gt;"Abandonnée",Q204&lt;&gt;"",TODAY()&gt;Q204),"En retard",""))</f>
        <v/>
      </c>
      <c r="V204" s="37" t="n"/>
    </row>
    <row r="205">
      <c r="B205" s="36" t="inlineStr">
        <is>
          <t>V4-024</t>
        </is>
      </c>
      <c r="C205" s="36" t="inlineStr">
        <is>
          <t>V4</t>
        </is>
      </c>
      <c r="D205" s="36" t="inlineStr">
        <is>
          <t>EXP</t>
        </is>
      </c>
      <c r="E205" s="37" t="inlineStr">
        <is>
          <t>Deal-Experts</t>
        </is>
      </c>
      <c r="F205" s="37" t="inlineStr">
        <is>
          <t>Écrans Deal-Experts</t>
        </is>
      </c>
      <c r="G205" s="37" t="inlineStr">
        <is>
          <t>Aucun contenu d'expert imputé à DealPME</t>
        </is>
      </c>
      <c r="H205" s="38" t="n">
        <v>2</v>
      </c>
      <c r="I205" s="36" t="inlineStr">
        <is>
          <t>Basse</t>
        </is>
      </c>
      <c r="J205" s="36" t="inlineStr">
        <is>
          <t>Backlog</t>
        </is>
      </c>
      <c r="K205" s="39" t="n"/>
      <c r="L205" s="16">
        <f>IF($B205="","",IF(J205="Complétée",1,IF(J205="Abandonnée",0,IF(K205&lt;&gt;"",K205,IFERROR(VLOOKUP(J205,Parametres!$B$6:$C$12,2,FALSE),0)))))</f>
        <v/>
      </c>
      <c r="M205" s="15">
        <f>IF($B205="","",IF(J205="Abandonnée",0,H205))</f>
        <v/>
      </c>
      <c r="N205" s="15">
        <f>IF($B205="","",M205*L205)</f>
        <v/>
      </c>
      <c r="O205" s="37" t="n"/>
      <c r="P205" s="40" t="n">
        <v>46417</v>
      </c>
      <c r="Q205" s="40" t="n">
        <v>46420</v>
      </c>
      <c r="R205" s="40" t="n"/>
      <c r="S205" s="37" t="inlineStr"/>
      <c r="T205" s="36" t="inlineStr">
        <is>
          <t>Non</t>
        </is>
      </c>
      <c r="U205" s="13">
        <f>IF($B205="","",IF(AND(J205&lt;&gt;"Complétée",J205&lt;&gt;"Abandonnée",Q205&lt;&gt;"",TODAY()&gt;Q205),"En retard",""))</f>
        <v/>
      </c>
      <c r="V205" s="37" t="n"/>
    </row>
    <row r="206">
      <c r="B206" s="36" t="inlineStr">
        <is>
          <t>V5-001</t>
        </is>
      </c>
      <c r="C206" s="36" t="inlineStr">
        <is>
          <t>V5</t>
        </is>
      </c>
      <c r="D206" s="36" t="inlineStr">
        <is>
          <t>VDR-IA</t>
        </is>
      </c>
      <c r="E206" s="37" t="inlineStr">
        <is>
          <t>Conception</t>
        </is>
      </c>
      <c r="F206" s="37" t="inlineStr">
        <is>
          <t>Conception VDR Intelligence : pare-feu de divulgation avant récupération, pipeline d'ingestion, indexation filtrée par permission, contrat de réponse avec citations et insuffisance</t>
        </is>
      </c>
      <c r="G206" s="37" t="inlineStr">
        <is>
          <t>Spécification relue sur les 12 cas de référence ; aucune étape 'récupérer puis masquer'</t>
        </is>
      </c>
      <c r="H206" s="38" t="n">
        <v>5</v>
      </c>
      <c r="I206" s="36" t="inlineStr">
        <is>
          <t>Haute</t>
        </is>
      </c>
      <c r="J206" s="36" t="inlineStr">
        <is>
          <t>Backlog</t>
        </is>
      </c>
      <c r="K206" s="39" t="n"/>
      <c r="L206" s="16">
        <f>IF($B206="","",IF(J206="Complétée",1,IF(J206="Abandonnée",0,IF(K206&lt;&gt;"",K206,IFERROR(VLOOKUP(J206,Parametres!$B$6:$C$12,2,FALSE),0)))))</f>
        <v/>
      </c>
      <c r="M206" s="15">
        <f>IF($B206="","",IF(J206="Abandonnée",0,H206))</f>
        <v/>
      </c>
      <c r="N206" s="15">
        <f>IF($B206="","",M206*L206)</f>
        <v/>
      </c>
      <c r="O206" s="37" t="n"/>
      <c r="P206" s="40" t="n">
        <v>46424</v>
      </c>
      <c r="Q206" s="40" t="n">
        <v>46431</v>
      </c>
      <c r="R206" s="40" t="n"/>
      <c r="S206" s="37" t="inlineStr"/>
      <c r="T206" s="36" t="inlineStr">
        <is>
          <t>Oui</t>
        </is>
      </c>
      <c r="U206" s="13">
        <f>IF($B206="","",IF(AND(J206&lt;&gt;"Complétée",J206&lt;&gt;"Abandonnée",Q206&lt;&gt;"",TODAY()&gt;Q206),"En retard",""))</f>
        <v/>
      </c>
      <c r="V206" s="37" t="n"/>
    </row>
    <row r="207">
      <c r="B207" s="36" t="inlineStr">
        <is>
          <t>V5-002</t>
        </is>
      </c>
      <c r="C207" s="36" t="inlineStr">
        <is>
          <t>V5</t>
        </is>
      </c>
      <c r="D207" s="36" t="inlineStr">
        <is>
          <t>OPS</t>
        </is>
      </c>
      <c r="E207" s="37" t="inlineStr">
        <is>
          <t>Conception</t>
        </is>
      </c>
      <c r="F207" s="37" t="inlineStr">
        <is>
          <t>Revue de sécurité de conception IA : modèle de menaces (injection par document, fuite inter-dossiers, réutilisation des données par le fournisseur)</t>
        </is>
      </c>
      <c r="G207" s="37" t="inlineStr">
        <is>
          <t>Chaque menace reliée à un test QA IA ou à une clause du contrat fournisseur</t>
        </is>
      </c>
      <c r="H207" s="38" t="n">
        <v>3</v>
      </c>
      <c r="I207" s="36" t="inlineStr">
        <is>
          <t>Haute</t>
        </is>
      </c>
      <c r="J207" s="36" t="inlineStr">
        <is>
          <t>Backlog</t>
        </is>
      </c>
      <c r="K207" s="39" t="n"/>
      <c r="L207" s="16">
        <f>IF($B207="","",IF(J207="Complétée",1,IF(J207="Abandonnée",0,IF(K207&lt;&gt;"",K207,IFERROR(VLOOKUP(J207,Parametres!$B$6:$C$12,2,FALSE),0)))))</f>
        <v/>
      </c>
      <c r="M207" s="15">
        <f>IF($B207="","",IF(J207="Abandonnée",0,H207))</f>
        <v/>
      </c>
      <c r="N207" s="15">
        <f>IF($B207="","",M207*L207)</f>
        <v/>
      </c>
      <c r="O207" s="37" t="n"/>
      <c r="P207" s="40" t="n">
        <v>46425</v>
      </c>
      <c r="Q207" s="40" t="n">
        <v>46430</v>
      </c>
      <c r="R207" s="40" t="n"/>
      <c r="S207" s="37" t="inlineStr"/>
      <c r="T207" s="36" t="inlineStr">
        <is>
          <t>Non</t>
        </is>
      </c>
      <c r="U207" s="13">
        <f>IF($B207="","",IF(AND(J207&lt;&gt;"Complétée",J207&lt;&gt;"Abandonnée",Q207&lt;&gt;"",TODAY()&gt;Q207),"En retard",""))</f>
        <v/>
      </c>
      <c r="V207" s="37" t="n"/>
    </row>
    <row r="208">
      <c r="B208" s="36" t="inlineStr">
        <is>
          <t>V5-003</t>
        </is>
      </c>
      <c r="C208" s="36" t="inlineStr">
        <is>
          <t>V5</t>
        </is>
      </c>
      <c r="D208" s="36" t="inlineStr">
        <is>
          <t>VDR-IA</t>
        </is>
      </c>
      <c r="E208" s="37" t="inlineStr">
        <is>
          <t>Fournisseur IA</t>
        </is>
      </c>
      <c r="F208" s="37" t="inlineStr">
        <is>
          <t>Qualification et contrat du fournisseur IA (confidentialité, hébergement, aucune réutilisation des données)</t>
        </is>
      </c>
      <c r="G208" s="37" t="inlineStr">
        <is>
          <t>Contrat signé avec clauses de confidentialité</t>
        </is>
      </c>
      <c r="H208" s="38" t="n">
        <v>5</v>
      </c>
      <c r="I208" s="36" t="inlineStr">
        <is>
          <t>Haute</t>
        </is>
      </c>
      <c r="J208" s="36" t="inlineStr">
        <is>
          <t>Backlog</t>
        </is>
      </c>
      <c r="K208" s="39" t="n"/>
      <c r="L208" s="16">
        <f>IF($B208="","",IF(J208="Complétée",1,IF(J208="Abandonnée",0,IF(K208&lt;&gt;"",K208,IFERROR(VLOOKUP(J208,Parametres!$B$6:$C$12,2,FALSE),0)))))</f>
        <v/>
      </c>
      <c r="M208" s="15">
        <f>IF($B208="","",IF(J208="Abandonnée",0,H208))</f>
        <v/>
      </c>
      <c r="N208" s="15">
        <f>IF($B208="","",M208*L208)</f>
        <v/>
      </c>
      <c r="O208" s="37" t="n"/>
      <c r="P208" s="40" t="n">
        <v>46425</v>
      </c>
      <c r="Q208" s="40" t="n">
        <v>46432</v>
      </c>
      <c r="R208" s="40" t="n"/>
      <c r="S208" s="37" t="inlineStr"/>
      <c r="T208" s="36" t="inlineStr">
        <is>
          <t>Oui</t>
        </is>
      </c>
      <c r="U208" s="13">
        <f>IF($B208="","",IF(AND(J208&lt;&gt;"Complétée",J208&lt;&gt;"Abandonnée",Q208&lt;&gt;"",TODAY()&gt;Q208),"En retard",""))</f>
        <v/>
      </c>
      <c r="V208" s="37" t="n"/>
    </row>
    <row r="209">
      <c r="B209" s="36" t="inlineStr">
        <is>
          <t>V5-004</t>
        </is>
      </c>
      <c r="C209" s="36" t="inlineStr">
        <is>
          <t>V5</t>
        </is>
      </c>
      <c r="D209" s="36" t="inlineStr">
        <is>
          <t>VDR-IA</t>
        </is>
      </c>
      <c r="E209" s="37" t="inlineStr">
        <is>
          <t>Fournisseur IA</t>
        </is>
      </c>
      <c r="F209" s="37" t="inlineStr">
        <is>
          <t>Dossier de conformité IA : politique, drapeaux fonctionnels, journal des politiques</t>
        </is>
      </c>
      <c r="G209" s="37" t="inlineStr">
        <is>
          <t>Chaque changement de politique audité</t>
        </is>
      </c>
      <c r="H209" s="38" t="n">
        <v>5</v>
      </c>
      <c r="I209" s="36" t="inlineStr">
        <is>
          <t>Haute</t>
        </is>
      </c>
      <c r="J209" s="36" t="inlineStr">
        <is>
          <t>Backlog</t>
        </is>
      </c>
      <c r="K209" s="39" t="n"/>
      <c r="L209" s="16">
        <f>IF($B209="","",IF(J209="Complétée",1,IF(J209="Abandonnée",0,IF(K209&lt;&gt;"",K209,IFERROR(VLOOKUP(J209,Parametres!$B$6:$C$12,2,FALSE),0)))))</f>
        <v/>
      </c>
      <c r="M209" s="15">
        <f>IF($B209="","",IF(J209="Abandonnée",0,H209))</f>
        <v/>
      </c>
      <c r="N209" s="15">
        <f>IF($B209="","",M209*L209)</f>
        <v/>
      </c>
      <c r="O209" s="37" t="n"/>
      <c r="P209" s="40" t="n">
        <v>46426</v>
      </c>
      <c r="Q209" s="40" t="n">
        <v>46433</v>
      </c>
      <c r="R209" s="40" t="n"/>
      <c r="S209" s="37" t="inlineStr"/>
      <c r="T209" s="36" t="inlineStr">
        <is>
          <t>Non</t>
        </is>
      </c>
      <c r="U209" s="13">
        <f>IF($B209="","",IF(AND(J209&lt;&gt;"Complétée",J209&lt;&gt;"Abandonnée",Q209&lt;&gt;"",TODAY()&gt;Q209),"En retard",""))</f>
        <v/>
      </c>
      <c r="V209" s="37" t="n"/>
    </row>
    <row r="210">
      <c r="B210" s="36" t="inlineStr">
        <is>
          <t>V5-005</t>
        </is>
      </c>
      <c r="C210" s="36" t="inlineStr">
        <is>
          <t>V5</t>
        </is>
      </c>
      <c r="D210" s="36" t="inlineStr">
        <is>
          <t>VDR-IA</t>
        </is>
      </c>
      <c r="E210" s="37" t="inlineStr">
        <is>
          <t>Ingestion</t>
        </is>
      </c>
      <c r="F210" s="37" t="inlineStr">
        <is>
          <t>Pipeline d'ingestion : classification, OCR, ancres de page, empreinte de version</t>
        </is>
      </c>
      <c r="G210" s="37" t="inlineStr">
        <is>
          <t>États UPLOADED à PUBLISHED implémentés</t>
        </is>
      </c>
      <c r="H210" s="38" t="n">
        <v>8</v>
      </c>
      <c r="I210" s="36" t="inlineStr">
        <is>
          <t>Haute</t>
        </is>
      </c>
      <c r="J210" s="36" t="inlineStr">
        <is>
          <t>Backlog</t>
        </is>
      </c>
      <c r="K210" s="39" t="n"/>
      <c r="L210" s="16">
        <f>IF($B210="","",IF(J210="Complétée",1,IF(J210="Abandonnée",0,IF(K210&lt;&gt;"",K210,IFERROR(VLOOKUP(J210,Parametres!$B$6:$C$12,2,FALSE),0)))))</f>
        <v/>
      </c>
      <c r="M210" s="15">
        <f>IF($B210="","",IF(J210="Abandonnée",0,H210))</f>
        <v/>
      </c>
      <c r="N210" s="15">
        <f>IF($B210="","",M210*L210)</f>
        <v/>
      </c>
      <c r="O210" s="37" t="n"/>
      <c r="P210" s="40" t="n">
        <v>46426</v>
      </c>
      <c r="Q210" s="40" t="n">
        <v>46438</v>
      </c>
      <c r="R210" s="40" t="n"/>
      <c r="S210" s="37" t="inlineStr"/>
      <c r="T210" s="36" t="inlineStr">
        <is>
          <t>Non</t>
        </is>
      </c>
      <c r="U210" s="13">
        <f>IF($B210="","",IF(AND(J210&lt;&gt;"Complétée",J210&lt;&gt;"Abandonnée",Q210&lt;&gt;"",TODAY()&gt;Q210),"En retard",""))</f>
        <v/>
      </c>
      <c r="V210" s="37" t="n"/>
    </row>
    <row r="211">
      <c r="B211" s="36" t="inlineStr">
        <is>
          <t>V5-006</t>
        </is>
      </c>
      <c r="C211" s="36" t="inlineStr">
        <is>
          <t>V5</t>
        </is>
      </c>
      <c r="D211" s="36" t="inlineStr">
        <is>
          <t>VDR-IA</t>
        </is>
      </c>
      <c r="E211" s="37" t="inlineStr">
        <is>
          <t>Ingestion</t>
        </is>
      </c>
      <c r="F211" s="37" t="inlineStr">
        <is>
          <t>Indexation filtrée par permission (permission_scope_hash)</t>
        </is>
      </c>
      <c r="G211" s="37" t="inlineStr">
        <is>
          <t>Aucun chunk indexé hors périmètre autorisé</t>
        </is>
      </c>
      <c r="H211" s="38" t="n">
        <v>8</v>
      </c>
      <c r="I211" s="36" t="inlineStr">
        <is>
          <t>Haute</t>
        </is>
      </c>
      <c r="J211" s="36" t="inlineStr">
        <is>
          <t>Backlog</t>
        </is>
      </c>
      <c r="K211" s="39" t="n"/>
      <c r="L211" s="16">
        <f>IF($B211="","",IF(J211="Complétée",1,IF(J211="Abandonnée",0,IF(K211&lt;&gt;"",K211,IFERROR(VLOOKUP(J211,Parametres!$B$6:$C$12,2,FALSE),0)))))</f>
        <v/>
      </c>
      <c r="M211" s="15">
        <f>IF($B211="","",IF(J211="Abandonnée",0,H211))</f>
        <v/>
      </c>
      <c r="N211" s="15">
        <f>IF($B211="","",M211*L211)</f>
        <v/>
      </c>
      <c r="O211" s="37" t="n"/>
      <c r="P211" s="40" t="n">
        <v>46427</v>
      </c>
      <c r="Q211" s="40" t="n">
        <v>46439</v>
      </c>
      <c r="R211" s="40" t="n"/>
      <c r="S211" s="37" t="inlineStr"/>
      <c r="T211" s="36" t="inlineStr">
        <is>
          <t>Non</t>
        </is>
      </c>
      <c r="U211" s="13">
        <f>IF($B211="","",IF(AND(J211&lt;&gt;"Complétée",J211&lt;&gt;"Abandonnée",Q211&lt;&gt;"",TODAY()&gt;Q211),"En retard",""))</f>
        <v/>
      </c>
      <c r="V211" s="37" t="n"/>
    </row>
    <row r="212">
      <c r="B212" s="36" t="inlineStr">
        <is>
          <t>V5-007</t>
        </is>
      </c>
      <c r="C212" s="36" t="inlineStr">
        <is>
          <t>V5</t>
        </is>
      </c>
      <c r="D212" s="36" t="inlineStr">
        <is>
          <t>VDR-IA</t>
        </is>
      </c>
      <c r="E212" s="37" t="inlineStr">
        <is>
          <t>DealLens</t>
        </is>
      </c>
      <c r="F212" s="37" t="inlineStr">
        <is>
          <t>Pare-feu de divulgation avant récupération (10 étapes, jamais 'récupérer puis masquer')</t>
        </is>
      </c>
      <c r="G212" s="37" t="inlineStr">
        <is>
          <t>Test AI-01 : aucun document inaccessible cité</t>
        </is>
      </c>
      <c r="H212" s="38" t="n">
        <v>8</v>
      </c>
      <c r="I212" s="36" t="inlineStr">
        <is>
          <t>Haute</t>
        </is>
      </c>
      <c r="J212" s="36" t="inlineStr">
        <is>
          <t>Backlog</t>
        </is>
      </c>
      <c r="K212" s="39" t="n"/>
      <c r="L212" s="16">
        <f>IF($B212="","",IF(J212="Complétée",1,IF(J212="Abandonnée",0,IF(K212&lt;&gt;"",K212,IFERROR(VLOOKUP(J212,Parametres!$B$6:$C$12,2,FALSE),0)))))</f>
        <v/>
      </c>
      <c r="M212" s="15">
        <f>IF($B212="","",IF(J212="Abandonnée",0,H212))</f>
        <v/>
      </c>
      <c r="N212" s="15">
        <f>IF($B212="","",M212*L212)</f>
        <v/>
      </c>
      <c r="O212" s="37" t="n"/>
      <c r="P212" s="40" t="n">
        <v>46428</v>
      </c>
      <c r="Q212" s="40" t="n">
        <v>46440</v>
      </c>
      <c r="R212" s="40" t="n"/>
      <c r="S212" s="37" t="inlineStr"/>
      <c r="T212" s="36" t="inlineStr">
        <is>
          <t>Non</t>
        </is>
      </c>
      <c r="U212" s="13">
        <f>IF($B212="","",IF(AND(J212&lt;&gt;"Complétée",J212&lt;&gt;"Abandonnée",Q212&lt;&gt;"",TODAY()&gt;Q212),"En retard",""))</f>
        <v/>
      </c>
      <c r="V212" s="37" t="n"/>
    </row>
    <row r="213">
      <c r="B213" s="36" t="inlineStr">
        <is>
          <t>V5-008</t>
        </is>
      </c>
      <c r="C213" s="36" t="inlineStr">
        <is>
          <t>V5</t>
        </is>
      </c>
      <c r="D213" s="36" t="inlineStr">
        <is>
          <t>VDR-IA</t>
        </is>
      </c>
      <c r="E213" s="37" t="inlineStr">
        <is>
          <t>DealLens</t>
        </is>
      </c>
      <c r="F213" s="37" t="inlineStr">
        <is>
          <t>Contrat de réponse DealLens : citations, niveau de confiance, réponse d'insuffisance</t>
        </is>
      </c>
      <c r="G213" s="37" t="inlineStr">
        <is>
          <t>Test AI-04 : INSUFFISANT sans spéculation</t>
        </is>
      </c>
      <c r="H213" s="38" t="n">
        <v>6</v>
      </c>
      <c r="I213" s="36" t="inlineStr">
        <is>
          <t>Haute</t>
        </is>
      </c>
      <c r="J213" s="36" t="inlineStr">
        <is>
          <t>Backlog</t>
        </is>
      </c>
      <c r="K213" s="39" t="n"/>
      <c r="L213" s="16">
        <f>IF($B213="","",IF(J213="Complétée",1,IF(J213="Abandonnée",0,IF(K213&lt;&gt;"",K213,IFERROR(VLOOKUP(J213,Parametres!$B$6:$C$12,2,FALSE),0)))))</f>
        <v/>
      </c>
      <c r="M213" s="15">
        <f>IF($B213="","",IF(J213="Abandonnée",0,H213))</f>
        <v/>
      </c>
      <c r="N213" s="15">
        <f>IF($B213="","",M213*L213)</f>
        <v/>
      </c>
      <c r="O213" s="37" t="n"/>
      <c r="P213" s="40" t="n">
        <v>46429</v>
      </c>
      <c r="Q213" s="40" t="n">
        <v>46438</v>
      </c>
      <c r="R213" s="40" t="n"/>
      <c r="S213" s="37" t="inlineStr"/>
      <c r="T213" s="36" t="inlineStr">
        <is>
          <t>Non</t>
        </is>
      </c>
      <c r="U213" s="13">
        <f>IF($B213="","",IF(AND(J213&lt;&gt;"Complétée",J213&lt;&gt;"Abandonnée",Q213&lt;&gt;"",TODAY()&gt;Q213),"En retard",""))</f>
        <v/>
      </c>
      <c r="V213" s="37" t="n"/>
    </row>
    <row r="214">
      <c r="B214" s="36" t="inlineStr">
        <is>
          <t>V5-009</t>
        </is>
      </c>
      <c r="C214" s="36" t="inlineStr">
        <is>
          <t>V5</t>
        </is>
      </c>
      <c r="D214" s="36" t="inlineStr">
        <is>
          <t>VDR-IA</t>
        </is>
      </c>
      <c r="E214" s="37" t="inlineStr">
        <is>
          <t>DealLens</t>
        </is>
      </c>
      <c r="F214" s="37" t="inlineStr">
        <is>
          <t>DealLens mode document et mode salle entière</t>
        </is>
      </c>
      <c r="G214" s="37" t="inlineStr">
        <is>
          <t>Les deux modes journalisent AI_QUERY_COMPLETED</t>
        </is>
      </c>
      <c r="H214" s="38" t="n">
        <v>8</v>
      </c>
      <c r="I214" s="36" t="inlineStr">
        <is>
          <t>Haute</t>
        </is>
      </c>
      <c r="J214" s="36" t="inlineStr">
        <is>
          <t>Backlog</t>
        </is>
      </c>
      <c r="K214" s="39" t="n"/>
      <c r="L214" s="16">
        <f>IF($B214="","",IF(J214="Complétée",1,IF(J214="Abandonnée",0,IF(K214&lt;&gt;"",K214,IFERROR(VLOOKUP(J214,Parametres!$B$6:$C$12,2,FALSE),0)))))</f>
        <v/>
      </c>
      <c r="M214" s="15">
        <f>IF($B214="","",IF(J214="Abandonnée",0,H214))</f>
        <v/>
      </c>
      <c r="N214" s="15">
        <f>IF($B214="","",M214*L214)</f>
        <v/>
      </c>
      <c r="O214" s="37" t="n"/>
      <c r="P214" s="40" t="n">
        <v>46430</v>
      </c>
      <c r="Q214" s="40" t="n">
        <v>46442</v>
      </c>
      <c r="R214" s="40" t="n"/>
      <c r="S214" s="37" t="inlineStr"/>
      <c r="T214" s="36" t="inlineStr">
        <is>
          <t>Non</t>
        </is>
      </c>
      <c r="U214" s="13">
        <f>IF($B214="","",IF(AND(J214&lt;&gt;"Complétée",J214&lt;&gt;"Abandonnée",Q214&lt;&gt;"",TODAY()&gt;Q214),"En retard",""))</f>
        <v/>
      </c>
      <c r="V214" s="37" t="n"/>
    </row>
    <row r="215">
      <c r="B215" s="36" t="inlineStr">
        <is>
          <t>V5-010</t>
        </is>
      </c>
      <c r="C215" s="36" t="inlineStr">
        <is>
          <t>V5</t>
        </is>
      </c>
      <c r="D215" s="36" t="inlineStr">
        <is>
          <t>VDR-IA</t>
        </is>
      </c>
      <c r="E215" s="37" t="inlineStr">
        <is>
          <t>DealLens</t>
        </is>
      </c>
      <c r="F215" s="37" t="inlineStr">
        <is>
          <t>Vérification de chaque citation contre l'ensemble autorisé</t>
        </is>
      </c>
      <c r="G215" s="37" t="inlineStr">
        <is>
          <t>Test AI-03 : chaque citation ouvre la bonne page</t>
        </is>
      </c>
      <c r="H215" s="38" t="n">
        <v>5</v>
      </c>
      <c r="I215" s="36" t="inlineStr">
        <is>
          <t>Haute</t>
        </is>
      </c>
      <c r="J215" s="36" t="inlineStr">
        <is>
          <t>Backlog</t>
        </is>
      </c>
      <c r="K215" s="39" t="n"/>
      <c r="L215" s="16">
        <f>IF($B215="","",IF(J215="Complétée",1,IF(J215="Abandonnée",0,IF(K215&lt;&gt;"",K215,IFERROR(VLOOKUP(J215,Parametres!$B$6:$C$12,2,FALSE),0)))))</f>
        <v/>
      </c>
      <c r="M215" s="15">
        <f>IF($B215="","",IF(J215="Abandonnée",0,H215))</f>
        <v/>
      </c>
      <c r="N215" s="15">
        <f>IF($B215="","",M215*L215)</f>
        <v/>
      </c>
      <c r="O215" s="37" t="n"/>
      <c r="P215" s="40" t="n">
        <v>46431</v>
      </c>
      <c r="Q215" s="40" t="n">
        <v>46438</v>
      </c>
      <c r="R215" s="40" t="n"/>
      <c r="S215" s="37" t="inlineStr"/>
      <c r="T215" s="36" t="inlineStr">
        <is>
          <t>Non</t>
        </is>
      </c>
      <c r="U215" s="13">
        <f>IF($B215="","",IF(AND(J215&lt;&gt;"Complétée",J215&lt;&gt;"Abandonnée",Q215&lt;&gt;"",TODAY()&gt;Q215),"En retard",""))</f>
        <v/>
      </c>
      <c r="V215" s="37" t="n"/>
    </row>
    <row r="216">
      <c r="B216" s="36" t="inlineStr">
        <is>
          <t>V5-011</t>
        </is>
      </c>
      <c r="C216" s="36" t="inlineStr">
        <is>
          <t>V5</t>
        </is>
      </c>
      <c r="D216" s="36" t="inlineStr">
        <is>
          <t>VDR-IA</t>
        </is>
      </c>
      <c r="E216" s="37" t="inlineStr">
        <is>
          <t>Surfaces</t>
        </is>
      </c>
      <c r="F216" s="37" t="inlineStr">
        <is>
          <t>Cockpit : couverture par domaine, priorités de revue</t>
        </is>
      </c>
      <c r="G216" s="37" t="inlineStr">
        <is>
          <t>Couverture jamais présentée comme un avis d'audit</t>
        </is>
      </c>
      <c r="H216" s="38" t="n">
        <v>6</v>
      </c>
      <c r="I216" s="36" t="inlineStr">
        <is>
          <t>Moyenne</t>
        </is>
      </c>
      <c r="J216" s="36" t="inlineStr">
        <is>
          <t>Backlog</t>
        </is>
      </c>
      <c r="K216" s="39" t="n"/>
      <c r="L216" s="16">
        <f>IF($B216="","",IF(J216="Complétée",1,IF(J216="Abandonnée",0,IF(K216&lt;&gt;"",K216,IFERROR(VLOOKUP(J216,Parametres!$B$6:$C$12,2,FALSE),0)))))</f>
        <v/>
      </c>
      <c r="M216" s="15">
        <f>IF($B216="","",IF(J216="Abandonnée",0,H216))</f>
        <v/>
      </c>
      <c r="N216" s="15">
        <f>IF($B216="","",M216*L216)</f>
        <v/>
      </c>
      <c r="O216" s="37" t="n"/>
      <c r="P216" s="40" t="n">
        <v>46431</v>
      </c>
      <c r="Q216" s="40" t="n">
        <v>46440</v>
      </c>
      <c r="R216" s="40" t="n"/>
      <c r="S216" s="37" t="inlineStr"/>
      <c r="T216" s="36" t="inlineStr">
        <is>
          <t>Non</t>
        </is>
      </c>
      <c r="U216" s="13">
        <f>IF($B216="","",IF(AND(J216&lt;&gt;"Complétée",J216&lt;&gt;"Abandonnée",Q216&lt;&gt;"",TODAY()&gt;Q216),"En retard",""))</f>
        <v/>
      </c>
      <c r="V216" s="37" t="n"/>
    </row>
    <row r="217">
      <c r="B217" s="36" t="inlineStr">
        <is>
          <t>V5-012</t>
        </is>
      </c>
      <c r="C217" s="36" t="inlineStr">
        <is>
          <t>V5</t>
        </is>
      </c>
      <c r="D217" s="36" t="inlineStr">
        <is>
          <t>VDR-IA</t>
        </is>
      </c>
      <c r="E217" s="37" t="inlineStr">
        <is>
          <t>Surfaces</t>
        </is>
      </c>
      <c r="F217" s="37" t="inlineStr">
        <is>
          <t>Issue Radar : registre structuré de risques</t>
        </is>
      </c>
      <c r="G217" s="37" t="inlineStr">
        <is>
          <t>Chaque risque porte preuve, propriétaire, impact</t>
        </is>
      </c>
      <c r="H217" s="38" t="n">
        <v>7</v>
      </c>
      <c r="I217" s="36" t="inlineStr">
        <is>
          <t>Moyenne</t>
        </is>
      </c>
      <c r="J217" s="36" t="inlineStr">
        <is>
          <t>Backlog</t>
        </is>
      </c>
      <c r="K217" s="39" t="n"/>
      <c r="L217" s="16">
        <f>IF($B217="","",IF(J217="Complétée",1,IF(J217="Abandonnée",0,IF(K217&lt;&gt;"",K217,IFERROR(VLOOKUP(J217,Parametres!$B$6:$C$12,2,FALSE),0)))))</f>
        <v/>
      </c>
      <c r="M217" s="15">
        <f>IF($B217="","",IF(J217="Abandonnée",0,H217))</f>
        <v/>
      </c>
      <c r="N217" s="15">
        <f>IF($B217="","",M217*L217)</f>
        <v/>
      </c>
      <c r="O217" s="37" t="n"/>
      <c r="P217" s="40" t="n">
        <v>46432</v>
      </c>
      <c r="Q217" s="40" t="n">
        <v>46442</v>
      </c>
      <c r="R217" s="40" t="n"/>
      <c r="S217" s="37" t="inlineStr"/>
      <c r="T217" s="36" t="inlineStr">
        <is>
          <t>Non</t>
        </is>
      </c>
      <c r="U217" s="13">
        <f>IF($B217="","",IF(AND(J217&lt;&gt;"Complétée",J217&lt;&gt;"Abandonnée",Q217&lt;&gt;"",TODAY()&gt;Q217),"En retard",""))</f>
        <v/>
      </c>
      <c r="V217" s="37" t="n"/>
    </row>
    <row r="218">
      <c r="B218" s="36" t="inlineStr">
        <is>
          <t>V5-013</t>
        </is>
      </c>
      <c r="C218" s="36" t="inlineStr">
        <is>
          <t>V5</t>
        </is>
      </c>
      <c r="D218" s="36" t="inlineStr">
        <is>
          <t>VDR-IA</t>
        </is>
      </c>
      <c r="E218" s="37" t="inlineStr">
        <is>
          <t>Surfaces</t>
        </is>
      </c>
      <c r="F218" s="37" t="inlineStr">
        <is>
          <t>Evidence Map : graphe typé (SUPPORTS, CONTRADICTS, RAISES, RESOLVES, EVIDENCES)</t>
        </is>
      </c>
      <c r="G218" s="37" t="inlineStr">
        <is>
          <t>Graphe navigable depuis un document</t>
        </is>
      </c>
      <c r="H218" s="38" t="n">
        <v>8</v>
      </c>
      <c r="I218" s="36" t="inlineStr">
        <is>
          <t>Moyenne</t>
        </is>
      </c>
      <c r="J218" s="36" t="inlineStr">
        <is>
          <t>Backlog</t>
        </is>
      </c>
      <c r="K218" s="39" t="n"/>
      <c r="L218" s="16">
        <f>IF($B218="","",IF(J218="Complétée",1,IF(J218="Abandonnée",0,IF(K218&lt;&gt;"",K218,IFERROR(VLOOKUP(J218,Parametres!$B$6:$C$12,2,FALSE),0)))))</f>
        <v/>
      </c>
      <c r="M218" s="15">
        <f>IF($B218="","",IF(J218="Abandonnée",0,H218))</f>
        <v/>
      </c>
      <c r="N218" s="15">
        <f>IF($B218="","",M218*L218)</f>
        <v/>
      </c>
      <c r="O218" s="37" t="n"/>
      <c r="P218" s="40" t="n">
        <v>46433</v>
      </c>
      <c r="Q218" s="40" t="n">
        <v>46445</v>
      </c>
      <c r="R218" s="40" t="n"/>
      <c r="S218" s="37" t="inlineStr"/>
      <c r="T218" s="36" t="inlineStr">
        <is>
          <t>Non</t>
        </is>
      </c>
      <c r="U218" s="13">
        <f>IF($B218="","",IF(AND(J218&lt;&gt;"Complétée",J218&lt;&gt;"Abandonnée",Q218&lt;&gt;"",TODAY()&gt;Q218),"En retard",""))</f>
        <v/>
      </c>
      <c r="V218" s="37" t="n"/>
    </row>
    <row r="219">
      <c r="B219" s="36" t="inlineStr">
        <is>
          <t>V5-014</t>
        </is>
      </c>
      <c r="C219" s="36" t="inlineStr">
        <is>
          <t>V5</t>
        </is>
      </c>
      <c r="D219" s="36" t="inlineStr">
        <is>
          <t>VDR-IA</t>
        </is>
      </c>
      <c r="E219" s="37" t="inlineStr">
        <is>
          <t>Surfaces</t>
        </is>
      </c>
      <c r="F219" s="37" t="inlineStr">
        <is>
          <t>Atelier Q&amp;R avec rôles et brouillons IA jamais soumis automatiquement</t>
        </is>
      </c>
      <c r="G219" s="37" t="inlineStr">
        <is>
          <t>Test AI-06 : brouillon reste DRAFT</t>
        </is>
      </c>
      <c r="H219" s="38" t="n">
        <v>7</v>
      </c>
      <c r="I219" s="36" t="inlineStr">
        <is>
          <t>Haute</t>
        </is>
      </c>
      <c r="J219" s="36" t="inlineStr">
        <is>
          <t>Backlog</t>
        </is>
      </c>
      <c r="K219" s="39" t="n"/>
      <c r="L219" s="16">
        <f>IF($B219="","",IF(J219="Complétée",1,IF(J219="Abandonnée",0,IF(K219&lt;&gt;"",K219,IFERROR(VLOOKUP(J219,Parametres!$B$6:$C$12,2,FALSE),0)))))</f>
        <v/>
      </c>
      <c r="M219" s="15">
        <f>IF($B219="","",IF(J219="Abandonnée",0,H219))</f>
        <v/>
      </c>
      <c r="N219" s="15">
        <f>IF($B219="","",M219*L219)</f>
        <v/>
      </c>
      <c r="O219" s="37" t="n"/>
      <c r="P219" s="40" t="n">
        <v>46434</v>
      </c>
      <c r="Q219" s="40" t="n">
        <v>46444</v>
      </c>
      <c r="R219" s="40" t="n"/>
      <c r="S219" s="37" t="inlineStr"/>
      <c r="T219" s="36" t="inlineStr">
        <is>
          <t>Non</t>
        </is>
      </c>
      <c r="U219" s="13">
        <f>IF($B219="","",IF(AND(J219&lt;&gt;"Complétée",J219&lt;&gt;"Abandonnée",Q219&lt;&gt;"",TODAY()&gt;Q219),"En retard",""))</f>
        <v/>
      </c>
      <c r="V219" s="37" t="n"/>
    </row>
    <row r="220">
      <c r="B220" s="36" t="inlineStr">
        <is>
          <t>V5-015</t>
        </is>
      </c>
      <c r="C220" s="36" t="inlineStr">
        <is>
          <t>V5</t>
        </is>
      </c>
      <c r="D220" s="36" t="inlineStr">
        <is>
          <t>VDR-IA</t>
        </is>
      </c>
      <c r="E220" s="37" t="inlineStr">
        <is>
          <t>Surfaces</t>
        </is>
      </c>
      <c r="F220" s="37" t="inlineStr">
        <is>
          <t>Engagement Pulse (descriptif, jamais 'probabilité de closing')</t>
        </is>
      </c>
      <c r="G220" s="37" t="inlineStr">
        <is>
          <t>Libellé vérifié par l'audit de texte</t>
        </is>
      </c>
      <c r="H220" s="38" t="n">
        <v>4</v>
      </c>
      <c r="I220" s="36" t="inlineStr">
        <is>
          <t>Basse</t>
        </is>
      </c>
      <c r="J220" s="36" t="inlineStr">
        <is>
          <t>Backlog</t>
        </is>
      </c>
      <c r="K220" s="39" t="n"/>
      <c r="L220" s="16">
        <f>IF($B220="","",IF(J220="Complétée",1,IF(J220="Abandonnée",0,IF(K220&lt;&gt;"",K220,IFERROR(VLOOKUP(J220,Parametres!$B$6:$C$12,2,FALSE),0)))))</f>
        <v/>
      </c>
      <c r="M220" s="15">
        <f>IF($B220="","",IF(J220="Abandonnée",0,H220))</f>
        <v/>
      </c>
      <c r="N220" s="15">
        <f>IF($B220="","",M220*L220)</f>
        <v/>
      </c>
      <c r="O220" s="37" t="n"/>
      <c r="P220" s="40" t="n">
        <v>46435</v>
      </c>
      <c r="Q220" s="40" t="n">
        <v>46441</v>
      </c>
      <c r="R220" s="40" t="n"/>
      <c r="S220" s="37" t="inlineStr"/>
      <c r="T220" s="36" t="inlineStr">
        <is>
          <t>Non</t>
        </is>
      </c>
      <c r="U220" s="13">
        <f>IF($B220="","",IF(AND(J220&lt;&gt;"Complétée",J220&lt;&gt;"Abandonnée",Q220&lt;&gt;"",TODAY()&gt;Q220),"En retard",""))</f>
        <v/>
      </c>
      <c r="V220" s="37" t="n"/>
    </row>
    <row r="221">
      <c r="B221" s="36" t="inlineStr">
        <is>
          <t>V5-016</t>
        </is>
      </c>
      <c r="C221" s="36" t="inlineStr">
        <is>
          <t>V5</t>
        </is>
      </c>
      <c r="D221" s="36" t="inlineStr">
        <is>
          <t>VDR-IA</t>
        </is>
      </c>
      <c r="E221" s="37" t="inlineStr">
        <is>
          <t>Surfaces</t>
        </is>
      </c>
      <c r="F221" s="37" t="inlineStr">
        <is>
          <t>Rapprochement financier (Financial Tie-Out) avec matérialité configurable</t>
        </is>
      </c>
      <c r="G221" s="37" t="inlineStr">
        <is>
          <t>Écart présenté comme point de rapprochement</t>
        </is>
      </c>
      <c r="H221" s="38" t="n">
        <v>7</v>
      </c>
      <c r="I221" s="36" t="inlineStr">
        <is>
          <t>Moyenne</t>
        </is>
      </c>
      <c r="J221" s="36" t="inlineStr">
        <is>
          <t>Backlog</t>
        </is>
      </c>
      <c r="K221" s="39" t="n"/>
      <c r="L221" s="16">
        <f>IF($B221="","",IF(J221="Complétée",1,IF(J221="Abandonnée",0,IF(K221&lt;&gt;"",K221,IFERROR(VLOOKUP(J221,Parametres!$B$6:$C$12,2,FALSE),0)))))</f>
        <v/>
      </c>
      <c r="M221" s="15">
        <f>IF($B221="","",IF(J221="Abandonnée",0,H221))</f>
        <v/>
      </c>
      <c r="N221" s="15">
        <f>IF($B221="","",M221*L221)</f>
        <v/>
      </c>
      <c r="O221" s="37" t="n"/>
      <c r="P221" s="40" t="n">
        <v>46435</v>
      </c>
      <c r="Q221" s="40" t="n">
        <v>46445</v>
      </c>
      <c r="R221" s="40" t="n"/>
      <c r="S221" s="37" t="inlineStr"/>
      <c r="T221" s="36" t="inlineStr">
        <is>
          <t>Non</t>
        </is>
      </c>
      <c r="U221" s="13">
        <f>IF($B221="","",IF(AND(J221&lt;&gt;"Complétée",J221&lt;&gt;"Abandonnée",Q221&lt;&gt;"",TODAY()&gt;Q221),"En retard",""))</f>
        <v/>
      </c>
      <c r="V221" s="37" t="n"/>
    </row>
    <row r="222">
      <c r="B222" s="36" t="inlineStr">
        <is>
          <t>V5-017</t>
        </is>
      </c>
      <c r="C222" s="36" t="inlineStr">
        <is>
          <t>V5</t>
        </is>
      </c>
      <c r="D222" s="36" t="inlineStr">
        <is>
          <t>VDR-IA</t>
        </is>
      </c>
      <c r="E222" s="37" t="inlineStr">
        <is>
          <t>Surfaces</t>
        </is>
      </c>
      <c r="F222" s="37" t="inlineStr">
        <is>
          <t>Intelligence de version : diff textuel et sémantique, matérialité proposée</t>
        </is>
      </c>
      <c r="G222" s="37" t="inlineStr">
        <is>
          <t>Test DOC-03 : nouvelle version n'hérite pas de l'analyse</t>
        </is>
      </c>
      <c r="H222" s="38" t="n">
        <v>6</v>
      </c>
      <c r="I222" s="36" t="inlineStr">
        <is>
          <t>Moyenne</t>
        </is>
      </c>
      <c r="J222" s="36" t="inlineStr">
        <is>
          <t>Backlog</t>
        </is>
      </c>
      <c r="K222" s="39" t="n"/>
      <c r="L222" s="16">
        <f>IF($B222="","",IF(J222="Complétée",1,IF(J222="Abandonnée",0,IF(K222&lt;&gt;"",K222,IFERROR(VLOOKUP(J222,Parametres!$B$6:$C$12,2,FALSE),0)))))</f>
        <v/>
      </c>
      <c r="M222" s="15">
        <f>IF($B222="","",IF(J222="Abandonnée",0,H222))</f>
        <v/>
      </c>
      <c r="N222" s="15">
        <f>IF($B222="","",M222*L222)</f>
        <v/>
      </c>
      <c r="O222" s="37" t="n"/>
      <c r="P222" s="40" t="n">
        <v>46436</v>
      </c>
      <c r="Q222" s="40" t="n">
        <v>46445</v>
      </c>
      <c r="R222" s="40" t="n"/>
      <c r="S222" s="37" t="inlineStr"/>
      <c r="T222" s="36" t="inlineStr">
        <is>
          <t>Non</t>
        </is>
      </c>
      <c r="U222" s="13">
        <f>IF($B222="","",IF(AND(J222&lt;&gt;"Complétée",J222&lt;&gt;"Abandonnée",Q222&lt;&gt;"",TODAY()&gt;Q222),"En retard",""))</f>
        <v/>
      </c>
      <c r="V222" s="37" t="n"/>
    </row>
    <row r="223">
      <c r="B223" s="36" t="inlineStr">
        <is>
          <t>V5-018</t>
        </is>
      </c>
      <c r="C223" s="36" t="inlineStr">
        <is>
          <t>V5</t>
        </is>
      </c>
      <c r="D223" s="36" t="inlineStr">
        <is>
          <t>VDR-IA</t>
        </is>
      </c>
      <c r="E223" s="37" t="inlineStr">
        <is>
          <t>Surfaces</t>
        </is>
      </c>
      <c r="F223" s="37" t="inlineStr">
        <is>
          <t>Caviardage assisté avec revue humaine élément par élément</t>
        </is>
      </c>
      <c r="G223" s="37" t="inlineStr">
        <is>
          <t>Original jamais écrasé</t>
        </is>
      </c>
      <c r="H223" s="38" t="n">
        <v>7</v>
      </c>
      <c r="I223" s="36" t="inlineStr">
        <is>
          <t>Moyenne</t>
        </is>
      </c>
      <c r="J223" s="36" t="inlineStr">
        <is>
          <t>Backlog</t>
        </is>
      </c>
      <c r="K223" s="39" t="n"/>
      <c r="L223" s="16">
        <f>IF($B223="","",IF(J223="Complétée",1,IF(J223="Abandonnée",0,IF(K223&lt;&gt;"",K223,IFERROR(VLOOKUP(J223,Parametres!$B$6:$C$12,2,FALSE),0)))))</f>
        <v/>
      </c>
      <c r="M223" s="15">
        <f>IF($B223="","",IF(J223="Abandonnée",0,H223))</f>
        <v/>
      </c>
      <c r="N223" s="15">
        <f>IF($B223="","",M223*L223)</f>
        <v/>
      </c>
      <c r="O223" s="37" t="n"/>
      <c r="P223" s="40" t="n">
        <v>46437</v>
      </c>
      <c r="Q223" s="40" t="n">
        <v>46446</v>
      </c>
      <c r="R223" s="40" t="n"/>
      <c r="S223" s="37" t="inlineStr"/>
      <c r="T223" s="36" t="inlineStr">
        <is>
          <t>Non</t>
        </is>
      </c>
      <c r="U223" s="13">
        <f>IF($B223="","",IF(AND(J223&lt;&gt;"Complétée",J223&lt;&gt;"Abandonnée",Q223&lt;&gt;"",TODAY()&gt;Q223),"En retard",""))</f>
        <v/>
      </c>
      <c r="V223" s="37" t="n"/>
    </row>
    <row r="224">
      <c r="B224" s="36" t="inlineStr">
        <is>
          <t>V5-019</t>
        </is>
      </c>
      <c r="C224" s="36" t="inlineStr">
        <is>
          <t>V5</t>
        </is>
      </c>
      <c r="D224" s="36" t="inlineStr">
        <is>
          <t>VDR-IA</t>
        </is>
      </c>
      <c r="E224" s="37" t="inlineStr">
        <is>
          <t>Accès</t>
        </is>
      </c>
      <c r="F224" s="37" t="inlineStr">
        <is>
          <t>Accès et Clean Team, MFA step-up sur changements de permission</t>
        </is>
      </c>
      <c r="G224" s="37" t="inlineStr">
        <is>
          <t>Test AI-02 : Clean Team exclue de la recherche standard</t>
        </is>
      </c>
      <c r="H224" s="38" t="n">
        <v>6</v>
      </c>
      <c r="I224" s="36" t="inlineStr">
        <is>
          <t>Haute</t>
        </is>
      </c>
      <c r="J224" s="36" t="inlineStr">
        <is>
          <t>Backlog</t>
        </is>
      </c>
      <c r="K224" s="39" t="n"/>
      <c r="L224" s="16">
        <f>IF($B224="","",IF(J224="Complétée",1,IF(J224="Abandonnée",0,IF(K224&lt;&gt;"",K224,IFERROR(VLOOKUP(J224,Parametres!$B$6:$C$12,2,FALSE),0)))))</f>
        <v/>
      </c>
      <c r="M224" s="15">
        <f>IF($B224="","",IF(J224="Abandonnée",0,H224))</f>
        <v/>
      </c>
      <c r="N224" s="15">
        <f>IF($B224="","",M224*L224)</f>
        <v/>
      </c>
      <c r="O224" s="37" t="n"/>
      <c r="P224" s="40" t="n">
        <v>46438</v>
      </c>
      <c r="Q224" s="40" t="n">
        <v>46446</v>
      </c>
      <c r="R224" s="40" t="n"/>
      <c r="S224" s="37" t="inlineStr"/>
      <c r="T224" s="36" t="inlineStr">
        <is>
          <t>Non</t>
        </is>
      </c>
      <c r="U224" s="13">
        <f>IF($B224="","",IF(AND(J224&lt;&gt;"Complétée",J224&lt;&gt;"Abandonnée",Q224&lt;&gt;"",TODAY()&gt;Q224),"En retard",""))</f>
        <v/>
      </c>
      <c r="V224" s="37" t="n"/>
    </row>
    <row r="225">
      <c r="B225" s="36" t="inlineStr">
        <is>
          <t>V5-020</t>
        </is>
      </c>
      <c r="C225" s="36" t="inlineStr">
        <is>
          <t>V5</t>
        </is>
      </c>
      <c r="D225" s="36" t="inlineStr">
        <is>
          <t>VDR-IA</t>
        </is>
      </c>
      <c r="E225" s="37" t="inlineStr">
        <is>
          <t>Accès</t>
        </is>
      </c>
      <c r="F225" s="37" t="inlineStr">
        <is>
          <t>Audit append-only sans contenu sensible ni texte de réponse IA</t>
        </is>
      </c>
      <c r="G225" s="37" t="inlineStr">
        <is>
          <t>Journal ne contient que identifiants, action, résultat</t>
        </is>
      </c>
      <c r="H225" s="38" t="n">
        <v>4</v>
      </c>
      <c r="I225" s="36" t="inlineStr">
        <is>
          <t>Haute</t>
        </is>
      </c>
      <c r="J225" s="36" t="inlineStr">
        <is>
          <t>Backlog</t>
        </is>
      </c>
      <c r="K225" s="39" t="n"/>
      <c r="L225" s="16">
        <f>IF($B225="","",IF(J225="Complétée",1,IF(J225="Abandonnée",0,IF(K225&lt;&gt;"",K225,IFERROR(VLOOKUP(J225,Parametres!$B$6:$C$12,2,FALSE),0)))))</f>
        <v/>
      </c>
      <c r="M225" s="15">
        <f>IF($B225="","",IF(J225="Abandonnée",0,H225))</f>
        <v/>
      </c>
      <c r="N225" s="15">
        <f>IF($B225="","",M225*L225)</f>
        <v/>
      </c>
      <c r="O225" s="37" t="n"/>
      <c r="P225" s="40" t="n">
        <v>46439</v>
      </c>
      <c r="Q225" s="40" t="n">
        <v>46445</v>
      </c>
      <c r="R225" s="40" t="n"/>
      <c r="S225" s="37" t="inlineStr"/>
      <c r="T225" s="36" t="inlineStr">
        <is>
          <t>Non</t>
        </is>
      </c>
      <c r="U225" s="13">
        <f>IF($B225="","",IF(AND(J225&lt;&gt;"Complétée",J225&lt;&gt;"Abandonnée",Q225&lt;&gt;"",TODAY()&gt;Q225),"En retard",""))</f>
        <v/>
      </c>
      <c r="V225" s="37" t="n"/>
    </row>
    <row r="226">
      <c r="B226" s="36" t="inlineStr">
        <is>
          <t>V5-021</t>
        </is>
      </c>
      <c r="C226" s="36" t="inlineStr">
        <is>
          <t>V5</t>
        </is>
      </c>
      <c r="D226" s="36" t="inlineStr">
        <is>
          <t>VDR-IA</t>
        </is>
      </c>
      <c r="E226" s="37" t="inlineStr">
        <is>
          <t>Surfaces</t>
        </is>
      </c>
      <c r="F226" s="37" t="inlineStr">
        <is>
          <t>Écrans VDR Intelligence (9 surfaces, responsive)</t>
        </is>
      </c>
      <c r="G226" s="37" t="inlineStr">
        <is>
          <t>Mobile : document, DealLens, Q&amp;R prioritaires</t>
        </is>
      </c>
      <c r="H226" s="38" t="n">
        <v>10</v>
      </c>
      <c r="I226" s="36" t="inlineStr">
        <is>
          <t>Haute</t>
        </is>
      </c>
      <c r="J226" s="36" t="inlineStr">
        <is>
          <t>Backlog</t>
        </is>
      </c>
      <c r="K226" s="39" t="n"/>
      <c r="L226" s="16">
        <f>IF($B226="","",IF(J226="Complétée",1,IF(J226="Abandonnée",0,IF(K226&lt;&gt;"",K226,IFERROR(VLOOKUP(J226,Parametres!$B$6:$C$12,2,FALSE),0)))))</f>
        <v/>
      </c>
      <c r="M226" s="15">
        <f>IF($B226="","",IF(J226="Abandonnée",0,H226))</f>
        <v/>
      </c>
      <c r="N226" s="15">
        <f>IF($B226="","",M226*L226)</f>
        <v/>
      </c>
      <c r="O226" s="37" t="n"/>
      <c r="P226" s="40" t="n">
        <v>46439</v>
      </c>
      <c r="Q226" s="40" t="n">
        <v>46446</v>
      </c>
      <c r="R226" s="40" t="n"/>
      <c r="S226" s="37" t="inlineStr"/>
      <c r="T226" s="36" t="inlineStr">
        <is>
          <t>Non</t>
        </is>
      </c>
      <c r="U226" s="13">
        <f>IF($B226="","",IF(AND(J226&lt;&gt;"Complétée",J226&lt;&gt;"Abandonnée",Q226&lt;&gt;"",TODAY()&gt;Q226),"En retard",""))</f>
        <v/>
      </c>
      <c r="V226" s="37" t="n"/>
    </row>
    <row r="227">
      <c r="B227" s="36" t="inlineStr">
        <is>
          <t>V5-022</t>
        </is>
      </c>
      <c r="C227" s="36" t="inlineStr">
        <is>
          <t>V5</t>
        </is>
      </c>
      <c r="D227" s="36" t="inlineStr">
        <is>
          <t>VDR-IA</t>
        </is>
      </c>
      <c r="E227" s="37" t="inlineStr">
        <is>
          <t>QA IA</t>
        </is>
      </c>
      <c r="F227" s="37" t="inlineStr">
        <is>
          <t>Tests AI-01 à AI-06, DOC-01 à DOC-03, Q&amp;A-01, UI-01</t>
        </is>
      </c>
      <c r="G227" s="37" t="inlineStr">
        <is>
          <t>Tous les tests P0 passent</t>
        </is>
      </c>
      <c r="H227" s="38" t="n">
        <v>10</v>
      </c>
      <c r="I227" s="36" t="inlineStr">
        <is>
          <t>Haute</t>
        </is>
      </c>
      <c r="J227" s="36" t="inlineStr">
        <is>
          <t>Backlog</t>
        </is>
      </c>
      <c r="K227" s="39" t="n"/>
      <c r="L227" s="16">
        <f>IF($B227="","",IF(J227="Complétée",1,IF(J227="Abandonnée",0,IF(K227&lt;&gt;"",K227,IFERROR(VLOOKUP(J227,Parametres!$B$6:$C$12,2,FALSE),0)))))</f>
        <v/>
      </c>
      <c r="M227" s="15">
        <f>IF($B227="","",IF(J227="Abandonnée",0,H227))</f>
        <v/>
      </c>
      <c r="N227" s="15">
        <f>IF($B227="","",M227*L227)</f>
        <v/>
      </c>
      <c r="O227" s="37" t="n"/>
      <c r="P227" s="40" t="n">
        <v>46440</v>
      </c>
      <c r="Q227" s="40" t="n">
        <v>46446</v>
      </c>
      <c r="R227" s="40" t="n"/>
      <c r="S227" s="37" t="inlineStr"/>
      <c r="T227" s="36" t="inlineStr">
        <is>
          <t>Non</t>
        </is>
      </c>
      <c r="U227" s="13">
        <f>IF($B227="","",IF(AND(J227&lt;&gt;"Complétée",J227&lt;&gt;"Abandonnée",Q227&lt;&gt;"",TODAY()&gt;Q227),"En retard",""))</f>
        <v/>
      </c>
      <c r="V227" s="37" t="n"/>
    </row>
    <row r="228">
      <c r="B228" s="36" t="inlineStr">
        <is>
          <t>V5-023</t>
        </is>
      </c>
      <c r="C228" s="36" t="inlineStr">
        <is>
          <t>V5</t>
        </is>
      </c>
      <c r="D228" s="36" t="inlineStr">
        <is>
          <t>VDR-IA</t>
        </is>
      </c>
      <c r="E228" s="37" t="inlineStr">
        <is>
          <t>QA IA</t>
        </is>
      </c>
      <c r="F228" s="37" t="inlineStr">
        <is>
          <t>Performance : viewer progressif, streaming des réponses, recherche &lt; 1,5 s</t>
        </is>
      </c>
      <c r="G228" s="37" t="inlineStr">
        <is>
          <t>Mesures sur réseau de référence</t>
        </is>
      </c>
      <c r="H228" s="38" t="n">
        <v>5</v>
      </c>
      <c r="I228" s="36" t="inlineStr">
        <is>
          <t>Moyenne</t>
        </is>
      </c>
      <c r="J228" s="36" t="inlineStr">
        <is>
          <t>Backlog</t>
        </is>
      </c>
      <c r="K228" s="39" t="n"/>
      <c r="L228" s="16">
        <f>IF($B228="","",IF(J228="Complétée",1,IF(J228="Abandonnée",0,IF(K228&lt;&gt;"",K228,IFERROR(VLOOKUP(J228,Parametres!$B$6:$C$12,2,FALSE),0)))))</f>
        <v/>
      </c>
      <c r="M228" s="15">
        <f>IF($B228="","",IF(J228="Abandonnée",0,H228))</f>
        <v/>
      </c>
      <c r="N228" s="15">
        <f>IF($B228="","",M228*L228)</f>
        <v/>
      </c>
      <c r="O228" s="37" t="n"/>
      <c r="P228" s="40" t="n">
        <v>46441</v>
      </c>
      <c r="Q228" s="40" t="n">
        <v>46446</v>
      </c>
      <c r="R228" s="40" t="n"/>
      <c r="S228" s="37" t="inlineStr"/>
      <c r="T228" s="36" t="inlineStr">
        <is>
          <t>Non</t>
        </is>
      </c>
      <c r="U228" s="13">
        <f>IF($B228="","",IF(AND(J228&lt;&gt;"Complétée",J228&lt;&gt;"Abandonnée",Q228&lt;&gt;"",TODAY()&gt;Q228),"En retard",""))</f>
        <v/>
      </c>
      <c r="V228" s="37" t="n"/>
    </row>
    <row r="229">
      <c r="B229" s="36" t="inlineStr">
        <is>
          <t>V5-024</t>
        </is>
      </c>
      <c r="C229" s="36" t="inlineStr">
        <is>
          <t>V5</t>
        </is>
      </c>
      <c r="D229" s="36" t="inlineStr">
        <is>
          <t>VDR-IA</t>
        </is>
      </c>
      <c r="E229" s="37" t="inlineStr">
        <is>
          <t>QA IA</t>
        </is>
      </c>
      <c r="F229" s="37" t="inlineStr">
        <is>
          <t>Recette V5 et corrections</t>
        </is>
      </c>
      <c r="G229" s="37" t="inlineStr">
        <is>
          <t>Zéro anomalie bloquante ouverte</t>
        </is>
      </c>
      <c r="H229" s="38" t="n">
        <v>5</v>
      </c>
      <c r="I229" s="36" t="inlineStr">
        <is>
          <t>Haute</t>
        </is>
      </c>
      <c r="J229" s="36" t="inlineStr">
        <is>
          <t>Backlog</t>
        </is>
      </c>
      <c r="K229" s="39" t="n"/>
      <c r="L229" s="16">
        <f>IF($B229="","",IF(J229="Complétée",1,IF(J229="Abandonnée",0,IF(K229&lt;&gt;"",K229,IFERROR(VLOOKUP(J229,Parametres!$B$6:$C$12,2,FALSE),0)))))</f>
        <v/>
      </c>
      <c r="M229" s="15">
        <f>IF($B229="","",IF(J229="Abandonnée",0,H229))</f>
        <v/>
      </c>
      <c r="N229" s="15">
        <f>IF($B229="","",M229*L229)</f>
        <v/>
      </c>
      <c r="O229" s="37" t="n"/>
      <c r="P229" s="40" t="n">
        <v>46442</v>
      </c>
      <c r="Q229" s="40" t="n">
        <v>46446</v>
      </c>
      <c r="R229" s="40" t="n"/>
      <c r="S229" s="37" t="inlineStr"/>
      <c r="T229" s="36" t="inlineStr">
        <is>
          <t>Non</t>
        </is>
      </c>
      <c r="U229" s="13">
        <f>IF($B229="","",IF(AND(J229&lt;&gt;"Complétée",J229&lt;&gt;"Abandonnée",Q229&lt;&gt;"",TODAY()&gt;Q229),"En retard",""))</f>
        <v/>
      </c>
      <c r="V229" s="37" t="n"/>
    </row>
    <row r="230">
      <c r="B230" s="36" t="inlineStr">
        <is>
          <t>V1-091</t>
        </is>
      </c>
      <c r="C230" s="36" t="inlineStr">
        <is>
          <t>V1</t>
        </is>
      </c>
      <c r="D230" s="36" t="inlineStr">
        <is>
          <t>TRV</t>
        </is>
      </c>
      <c r="E230" s="37" t="inlineStr">
        <is>
          <t>QA et livraison</t>
        </is>
      </c>
      <c r="F230" s="37" t="inlineStr">
        <is>
          <t>CI réellement bloquante : lint effectif et compilation de tous les workspaces sans erreur masquée</t>
        </is>
      </c>
      <c r="G230" s="37" t="inlineStr">
        <is>
          <t>Un défaut de lint ou de compilation web/worker fait échouer la CI ; supprimer le succès forcé de build:libs</t>
        </is>
      </c>
      <c r="H230" s="38" t="n">
        <v>2</v>
      </c>
      <c r="I230" s="36" t="inlineStr">
        <is>
          <t>Haute</t>
        </is>
      </c>
      <c r="J230" s="36" t="inlineStr">
        <is>
          <t>Complétée</t>
        </is>
      </c>
      <c r="K230" s="39" t="n">
        <v>1</v>
      </c>
      <c r="L230" s="16">
        <f>IF($B230="","",IF(J230="Complétée",1,IF(J230="Abandonnée",0,IF(K230&lt;&gt;"",K230,IFERROR(VLOOKUP(J230,Parametres!$B$6:$C$12,2,FALSE),0)))))</f>
        <v/>
      </c>
      <c r="M230" s="15">
        <f>IF($B230="","",IF(J230="Abandonnée",0,H230))</f>
        <v/>
      </c>
      <c r="N230" s="15">
        <f>IF($B230="","",M230*L230)</f>
        <v/>
      </c>
      <c r="O230" s="37" t="inlineStr">
        <is>
          <t>Abdou-Raouf</t>
        </is>
      </c>
      <c r="P230" s="40" t="n">
        <v>46279</v>
      </c>
      <c r="Q230" s="40" t="n">
        <v>46281</v>
      </c>
      <c r="R230" s="40" t="n">
        <v>46281</v>
      </c>
      <c r="S230" s="37" t="inlineStr"/>
      <c r="T230" s="36" t="inlineStr">
        <is>
          <t>Oui</t>
        </is>
      </c>
      <c r="U230" s="13">
        <f>IF($B230="","",IF(AND(J230&lt;&gt;"Complétée",J230&lt;&gt;"Abandonnée",Q230&lt;&gt;"",TODAY()&gt;Q230),"En retard",""))</f>
        <v/>
      </c>
      <c r="V230" s="37" t="inlineStr">
        <is>
          <t>Ajout audit 12/09/2026 ; charge initiale à revalider avec l'équipe ; voir docs/BILAN_AVANCEMENT_2026-09-12.md.</t>
        </is>
      </c>
    </row>
    <row r="231">
      <c r="B231" s="36" t="inlineStr">
        <is>
          <t>V1-092</t>
        </is>
      </c>
      <c r="C231" s="36" t="inlineStr">
        <is>
          <t>V1</t>
        </is>
      </c>
      <c r="D231" s="36" t="inlineStr">
        <is>
          <t>TRV</t>
        </is>
      </c>
      <c r="E231" s="37" t="inlineStr">
        <is>
          <t>QA et livraison</t>
        </is>
      </c>
      <c r="F231" s="37" t="inlineStr">
        <is>
          <t>Contrats et contrôles des parcours V1 : registre actionnable et preuves navigateur</t>
        </is>
      </c>
      <c r="G231" s="37" t="inlineStr">
        <is>
          <t>Contrats des parcours V1 documentés ; composants partagés inclus dans le scan ; aucun identifiant dynamique non couvert ; DEAD_CONTROL testé</t>
        </is>
      </c>
      <c r="H231" s="38" t="n">
        <v>3</v>
      </c>
      <c r="I231" s="36" t="inlineStr">
        <is>
          <t>Haute</t>
        </is>
      </c>
      <c r="J231" s="36" t="inlineStr">
        <is>
          <t>À faire</t>
        </is>
      </c>
      <c r="K231" s="39" t="n"/>
      <c r="L231" s="16">
        <f>IF($B231="","",IF(J231="Complétée",1,IF(J231="Abandonnée",0,IF(K231&lt;&gt;"",K231,IFERROR(VLOOKUP(J231,Parametres!$B$6:$C$12,2,FALSE),0)))))</f>
        <v/>
      </c>
      <c r="M231" s="15">
        <f>IF($B231="","",IF(J231="Abandonnée",0,H231))</f>
        <v/>
      </c>
      <c r="N231" s="15">
        <f>IF($B231="","",M231*L231)</f>
        <v/>
      </c>
      <c r="O231" s="37" t="inlineStr">
        <is>
          <t>Abdou-Raouf</t>
        </is>
      </c>
      <c r="P231" s="40" t="n">
        <v>46281</v>
      </c>
      <c r="Q231" s="40" t="n">
        <v>46304</v>
      </c>
      <c r="R231" s="40" t="n"/>
      <c r="S231" s="37" t="inlineStr">
        <is>
          <t>V1-091 ; A15</t>
        </is>
      </c>
      <c r="T231" s="36" t="inlineStr">
        <is>
          <t>Oui</t>
        </is>
      </c>
      <c r="U231" s="13">
        <f>IF($B231="","",IF(AND(J231&lt;&gt;"Complétée",J231&lt;&gt;"Abandonnée",Q231&lt;&gt;"",TODAY()&gt;Q231),"En retard",""))</f>
        <v/>
      </c>
      <c r="V231" s="37" t="inlineStr">
        <is>
          <t>Ajout audit 12/09/2026 ; charge initiale à revalider avec l'équipe ; voir docs/BILAN_AVANCEMENT_2026-09-12.md.</t>
        </is>
      </c>
    </row>
    <row r="232">
      <c r="B232" s="36" t="inlineStr">
        <is>
          <t>V1-093</t>
        </is>
      </c>
      <c r="C232" s="36" t="inlineStr">
        <is>
          <t>V1</t>
        </is>
      </c>
      <c r="D232" s="36" t="inlineStr">
        <is>
          <t>IDN</t>
        </is>
      </c>
      <c r="E232" s="37" t="inlineStr">
        <is>
          <t>Auth et rôles</t>
        </is>
      </c>
      <c r="F232" s="37" t="inlineStr">
        <is>
          <t>Adaptateur email effectif et sélection stricte des fournisseurs</t>
        </is>
      </c>
      <c r="G232" s="37" t="inlineStr">
        <is>
          <t>Message reçu via SMTP/Mailpit puis fournisseur retenu ; aucun mode réel ne retourne un faux connecteur ; erreur fournisseur explicite</t>
        </is>
      </c>
      <c r="H232" s="38" t="n">
        <v>3</v>
      </c>
      <c r="I232" s="36" t="inlineStr">
        <is>
          <t>Haute</t>
        </is>
      </c>
      <c r="J232" s="36" t="inlineStr">
        <is>
          <t>À faire</t>
        </is>
      </c>
      <c r="K232" s="39" t="n"/>
      <c r="L232" s="16">
        <f>IF($B232="","",IF(J232="Complétée",1,IF(J232="Abandonnée",0,IF(K232&lt;&gt;"",K232,IFERROR(VLOOKUP(J232,Parametres!$B$6:$C$12,2,FALSE),0)))))</f>
        <v/>
      </c>
      <c r="M232" s="15">
        <f>IF($B232="","",IF(J232="Abandonnée",0,H232))</f>
        <v/>
      </c>
      <c r="N232" s="15">
        <f>IF($B232="","",M232*L232)</f>
        <v/>
      </c>
      <c r="O232" s="37" t="inlineStr">
        <is>
          <t>Abdou-Raouf</t>
        </is>
      </c>
      <c r="P232" s="40" t="n">
        <v>46279</v>
      </c>
      <c r="Q232" s="40" t="n">
        <v>46286</v>
      </c>
      <c r="R232" s="40" t="n"/>
      <c r="S232" s="37" t="inlineStr">
        <is>
          <t>Choix fournisseur email pour la cible hors local</t>
        </is>
      </c>
      <c r="T232" s="36" t="inlineStr">
        <is>
          <t>Oui</t>
        </is>
      </c>
      <c r="U232" s="13">
        <f>IF($B232="","",IF(AND(J232&lt;&gt;"Complétée",J232&lt;&gt;"Abandonnée",Q232&lt;&gt;"",TODAY()&gt;Q232),"En retard",""))</f>
        <v/>
      </c>
      <c r="V232" s="37" t="inlineStr">
        <is>
          <t>Ajout audit 12/09/2026 ; charge initiale à revalider avec l'équipe ; voir docs/BILAN_AVANCEMENT_2026-09-12.md.</t>
        </is>
      </c>
    </row>
    <row r="233">
      <c r="B233" s="36" t="inlineStr">
        <is>
          <t>V1-094</t>
        </is>
      </c>
      <c r="C233" s="36" t="inlineStr">
        <is>
          <t>V1</t>
        </is>
      </c>
      <c r="D233" s="36" t="inlineStr">
        <is>
          <t>OPS</t>
        </is>
      </c>
      <c r="E233" s="37" t="inlineStr">
        <is>
          <t>Sécurité</t>
        </is>
      </c>
      <c r="F233" s="37" t="inlineStr">
        <is>
          <t>Persistance garantie des événements d'audit sensibles</t>
        </is>
      </c>
      <c r="G233" s="37" t="inlineStr">
        <is>
          <t>Action et preuve durables par transaction ou outbox ; panne du journal et rollback testés ; aucun succès perdu après arrêt du processus</t>
        </is>
      </c>
      <c r="H233" s="38" t="n">
        <v>3</v>
      </c>
      <c r="I233" s="36" t="inlineStr">
        <is>
          <t>Haute</t>
        </is>
      </c>
      <c r="J233" s="36" t="inlineStr">
        <is>
          <t>Complétée</t>
        </is>
      </c>
      <c r="K233" s="39" t="n">
        <v>1</v>
      </c>
      <c r="L233" s="16">
        <f>IF($B233="","",IF(J233="Complétée",1,IF(J233="Abandonnée",0,IF(K233&lt;&gt;"",K233,IFERROR(VLOOKUP(J233,Parametres!$B$6:$C$12,2,FALSE),0)))))</f>
        <v/>
      </c>
      <c r="M233" s="15">
        <f>IF($B233="","",IF(J233="Abandonnée",0,H233))</f>
        <v/>
      </c>
      <c r="N233" s="15">
        <f>IF($B233="","",M233*L233)</f>
        <v/>
      </c>
      <c r="O233" s="37" t="inlineStr">
        <is>
          <t>Abdou-Raouf</t>
        </is>
      </c>
      <c r="P233" s="40" t="n">
        <v>46281</v>
      </c>
      <c r="Q233" s="40" t="n">
        <v>46288</v>
      </c>
      <c r="R233" s="40" t="n">
        <v>46288</v>
      </c>
      <c r="S233" s="37" t="inlineStr">
        <is>
          <t>V1-045 ; AuditService.record</t>
        </is>
      </c>
      <c r="T233" s="36" t="inlineStr">
        <is>
          <t>Oui</t>
        </is>
      </c>
      <c r="U233" s="13">
        <f>IF($B233="","",IF(AND(J233&lt;&gt;"Complétée",J233&lt;&gt;"Abandonnée",Q233&lt;&gt;"",TODAY()&gt;Q233),"En retard",""))</f>
        <v/>
      </c>
      <c r="V233" s="37" t="inlineStr">
        <is>
          <t>Ajout audit 12/09/2026 ; charge initiale à revalider avec l'équipe ; voir docs/BILAN_AVANCEMENT_2026-09-12.md.</t>
        </is>
      </c>
    </row>
    <row r="234">
      <c r="B234" s="36" t="inlineStr">
        <is>
          <t>V2-044</t>
        </is>
      </c>
      <c r="C234" s="36" t="inlineStr">
        <is>
          <t>V2</t>
        </is>
      </c>
      <c r="D234" s="36" t="inlineStr">
        <is>
          <t>RPS</t>
        </is>
      </c>
      <c r="E234" s="37" t="inlineStr">
        <is>
          <t>Circuit RPS réel</t>
        </is>
      </c>
      <c r="F234" s="37" t="inlineStr">
        <is>
          <t>Durcissement RPS : admissions atomiques, journal append-only et identité interservices</t>
        </is>
      </c>
      <c r="G234" s="37" t="inlineStr">
        <is>
          <t>Admissions concurrentes ne dépassent pas le plafond ; chaîne séquentielle vérifiable ; UPDATE/DELETE refusés ; révocation ajoutée ; opérateur authentifié</t>
        </is>
      </c>
      <c r="H234" s="38" t="n">
        <v>5</v>
      </c>
      <c r="I234" s="36" t="inlineStr">
        <is>
          <t>Haute</t>
        </is>
      </c>
      <c r="J234" s="36" t="inlineStr">
        <is>
          <t>Backlog</t>
        </is>
      </c>
      <c r="K234" s="39" t="n"/>
      <c r="L234" s="16">
        <f>IF($B234="","",IF(J234="Complétée",1,IF(J234="Abandonnée",0,IF(K234&lt;&gt;"",K234,IFERROR(VLOOKUP(J234,Parametres!$B$6:$C$12,2,FALSE),0)))))</f>
        <v/>
      </c>
      <c r="M234" s="15">
        <f>IF($B234="","",IF(J234="Abandonnée",0,H234))</f>
        <v/>
      </c>
      <c r="N234" s="15">
        <f>IF($B234="","",M234*L234)</f>
        <v/>
      </c>
      <c r="O234" s="37" t="inlineStr">
        <is>
          <t>Abdou-Raouf</t>
        </is>
      </c>
      <c r="P234" s="40" t="n">
        <v>46311</v>
      </c>
      <c r="Q234" s="40" t="n">
        <v>46318</v>
      </c>
      <c r="R234" s="40" t="n"/>
      <c r="S234" s="37" t="inlineStr">
        <is>
          <t>V2-012 ; V2-014 ; V2-017</t>
        </is>
      </c>
      <c r="T234" s="36" t="inlineStr">
        <is>
          <t>Oui</t>
        </is>
      </c>
      <c r="U234" s="13">
        <f>IF($B234="","",IF(AND(J234&lt;&gt;"Complétée",J234&lt;&gt;"Abandonnée",Q234&lt;&gt;"",TODAY()&gt;Q234),"En retard",""))</f>
        <v/>
      </c>
      <c r="V234" s="37" t="inlineStr">
        <is>
          <t>Ajout audit 12/09/2026 ; charge initiale à revalider avec l'équipe ; voir docs/BILAN_AVANCEMENT_2026-09-12.md.</t>
        </is>
      </c>
    </row>
    <row r="235">
      <c r="B235" s="36" t="inlineStr">
        <is>
          <t>V2-045</t>
        </is>
      </c>
      <c r="C235" s="36" t="inlineStr">
        <is>
          <t>V2</t>
        </is>
      </c>
      <c r="D235" s="36" t="inlineStr">
        <is>
          <t>RPS</t>
        </is>
      </c>
      <c r="E235" s="37" t="inlineStr">
        <is>
          <t>Circuit RPS réel</t>
        </is>
      </c>
      <c r="F235" s="37" t="inlineStr">
        <is>
          <t>Branchement API vers RPS réel et refus par défaut en cas de panne</t>
        </is>
      </c>
      <c r="G235" s="37" t="inlineStr">
        <is>
          <t>Publication et communications passent par le RPS ; indisponibilité bloque la divulgation ; activation du drapeau seule insuffisante ; parcours intégré testé</t>
        </is>
      </c>
      <c r="H235" s="38" t="n">
        <v>4</v>
      </c>
      <c r="I235" s="36" t="inlineStr">
        <is>
          <t>Haute</t>
        </is>
      </c>
      <c r="J235" s="36" t="inlineStr">
        <is>
          <t>Backlog</t>
        </is>
      </c>
      <c r="K235" s="39" t="n"/>
      <c r="L235" s="16">
        <f>IF($B235="","",IF(J235="Complétée",1,IF(J235="Abandonnée",0,IF(K235&lt;&gt;"",K235,IFERROR(VLOOKUP(J235,Parametres!$B$6:$C$12,2,FALSE),0)))))</f>
        <v/>
      </c>
      <c r="M235" s="15">
        <f>IF($B235="","",IF(J235="Abandonnée",0,H235))</f>
        <v/>
      </c>
      <c r="N235" s="15">
        <f>IF($B235="","",M235*L235)</f>
        <v/>
      </c>
      <c r="O235" s="37" t="inlineStr">
        <is>
          <t>Abdou-Raouf</t>
        </is>
      </c>
      <c r="P235" s="40" t="n">
        <v>46317</v>
      </c>
      <c r="Q235" s="40" t="n">
        <v>46325</v>
      </c>
      <c r="R235" s="40" t="n"/>
      <c r="S235" s="37" t="inlineStr">
        <is>
          <t>V2-044 ; V2-001</t>
        </is>
      </c>
      <c r="T235" s="36" t="inlineStr">
        <is>
          <t>Oui</t>
        </is>
      </c>
      <c r="U235" s="13">
        <f>IF($B235="","",IF(AND(J235&lt;&gt;"Complétée",J235&lt;&gt;"Abandonnée",Q235&lt;&gt;"",TODAY()&gt;Q235),"En retard",""))</f>
        <v/>
      </c>
      <c r="V235" s="37" t="inlineStr">
        <is>
          <t>Ajout audit 12/09/2026 ; charge initiale à revalider avec l'équipe ; voir docs/BILAN_AVANCEMENT_2026-09-12.md.</t>
        </is>
      </c>
    </row>
    <row r="236">
      <c r="B236" s="36" t="inlineStr">
        <is>
          <t>V2-046</t>
        </is>
      </c>
      <c r="C236" s="36" t="inlineStr">
        <is>
          <t>V2</t>
        </is>
      </c>
      <c r="D236" s="36" t="inlineStr">
        <is>
          <t>IDN</t>
        </is>
      </c>
      <c r="E236" s="37" t="inlineStr">
        <is>
          <t>Mise en relation</t>
        </is>
      </c>
      <c r="F236" s="37" t="inlineStr">
        <is>
          <t>Vérification documentaire d'identité et qualification avec preuves (DP-IDN-050 / P08)</t>
        </is>
      </c>
      <c r="G236" s="37" t="inlineStr">
        <is>
          <t>Capture privée, revue humaine, OTP et recoupement registre tracés ; refus/expiration testés ; distinct de la simple vérification email ; sans biométrie</t>
        </is>
      </c>
      <c r="H236" s="38" t="n">
        <v>5</v>
      </c>
      <c r="I236" s="36" t="inlineStr">
        <is>
          <t>Haute</t>
        </is>
      </c>
      <c r="J236" s="36" t="inlineStr">
        <is>
          <t>Backlog</t>
        </is>
      </c>
      <c r="K236" s="39" t="n"/>
      <c r="L236" s="16">
        <f>IF($B236="","",IF(J236="Complétée",1,IF(J236="Abandonnée",0,IF(K236&lt;&gt;"",K236,IFERROR(VLOOKUP(J236,Parametres!$B$6:$C$12,2,FALSE),0)))))</f>
        <v/>
      </c>
      <c r="M236" s="15">
        <f>IF($B236="","",IF(J236="Abandonnée",0,H236))</f>
        <v/>
      </c>
      <c r="N236" s="15">
        <f>IF($B236="","",M236*L236)</f>
        <v/>
      </c>
      <c r="O236" s="37" t="inlineStr">
        <is>
          <t>Abdou-Raouf</t>
        </is>
      </c>
      <c r="P236" s="40" t="n">
        <v>46311</v>
      </c>
      <c r="Q236" s="40" t="n">
        <v>46323</v>
      </c>
      <c r="R236" s="40" t="n"/>
      <c r="S236" s="37" t="inlineStr">
        <is>
          <t>V1-028 ; V1-035 ; V1-093</t>
        </is>
      </c>
      <c r="T236" s="36" t="inlineStr">
        <is>
          <t>Oui</t>
        </is>
      </c>
      <c r="U236" s="13">
        <f>IF($B236="","",IF(AND(J236&lt;&gt;"Complétée",J236&lt;&gt;"Abandonnée",Q236&lt;&gt;"",TODAY()&gt;Q236),"En retard",""))</f>
        <v/>
      </c>
      <c r="V236" s="37" t="inlineStr">
        <is>
          <t>Ajout audit 12/09/2026 ; charge initiale à revalider avec l'équipe ; voir docs/BILAN_AVANCEMENT_2026-09-12.md.</t>
        </is>
      </c>
    </row>
    <row r="237">
      <c r="B237" s="36" t="inlineStr">
        <is>
          <t>V3-044</t>
        </is>
      </c>
      <c r="C237" s="36" t="inlineStr">
        <is>
          <t>V3</t>
        </is>
      </c>
      <c r="D237" s="36" t="inlineStr">
        <is>
          <t>IDN</t>
        </is>
      </c>
      <c r="E237" s="37" t="inlineStr">
        <is>
          <t>Facturation abonnements</t>
        </is>
      </c>
      <c r="F237" s="37" t="inlineStr">
        <is>
          <t>Abonnements prépayés, renouvellement, grâce et factures NIF (DP-IDN-041 à 045)</t>
        </is>
      </c>
      <c r="G237" s="37" t="inlineStr">
        <is>
          <t>Périodes prépayées ; lecture seule puis teaser puis suspension sans effacement ; facture NIF ; promotions et virement institutionnel tracés</t>
        </is>
      </c>
      <c r="H237" s="38" t="n">
        <v>8</v>
      </c>
      <c r="I237" s="36" t="inlineStr">
        <is>
          <t>Haute</t>
        </is>
      </c>
      <c r="J237" s="36" t="inlineStr">
        <is>
          <t>Backlog</t>
        </is>
      </c>
      <c r="K237" s="39" t="n"/>
      <c r="L237" s="16">
        <f>IF($B237="","",IF(J237="Complétée",1,IF(J237="Abandonnée",0,IF(K237&lt;&gt;"",K237,IFERROR(VLOOKUP(J237,Parametres!$B$6:$C$12,2,FALSE),0)))))</f>
        <v/>
      </c>
      <c r="M237" s="15">
        <f>IF($B237="","",IF(J237="Abandonnée",0,H237))</f>
        <v/>
      </c>
      <c r="N237" s="15">
        <f>IF($B237="","",M237*L237)</f>
        <v/>
      </c>
      <c r="O237" s="37" t="inlineStr">
        <is>
          <t>Abdou-Raouf</t>
        </is>
      </c>
      <c r="P237" s="40" t="n">
        <v>46352</v>
      </c>
      <c r="Q237" s="40" t="n">
        <v>46367</v>
      </c>
      <c r="R237" s="40" t="n"/>
      <c r="S237" s="37" t="inlineStr">
        <is>
          <t>V1-032 ; prestataire de paiement</t>
        </is>
      </c>
      <c r="T237" s="36" t="inlineStr">
        <is>
          <t>Oui</t>
        </is>
      </c>
      <c r="U237" s="13">
        <f>IF($B237="","",IF(AND(J237&lt;&gt;"Complétée",J237&lt;&gt;"Abandonnée",Q237&lt;&gt;"",TODAY()&gt;Q237),"En retard",""))</f>
        <v/>
      </c>
      <c r="V237" s="37" t="inlineStr">
        <is>
          <t>Ajout audit 12/09/2026 ; charge initiale à revalider avec l'équipe ; voir docs/BILAN_AVANCEMENT_2026-09-12.md.</t>
        </is>
      </c>
    </row>
    <row r="238">
      <c r="B238" s="36" t="inlineStr">
        <is>
          <t>V3-045</t>
        </is>
      </c>
      <c r="C238" s="36" t="inlineStr">
        <is>
          <t>V3</t>
        </is>
      </c>
      <c r="D238" s="36" t="inlineStr">
        <is>
          <t>FIN</t>
        </is>
      </c>
      <c r="E238" s="37" t="inlineStr">
        <is>
          <t>Facturation abonnements</t>
        </is>
      </c>
      <c r="F238" s="37" t="inlineStr">
        <is>
          <t>Paiement des services et rapprochement par rail (DP-OPS-030 à 032)</t>
        </is>
      </c>
      <c r="G238" s="37" t="inlineStr">
        <is>
          <t>Agrégateur principal et secours ; mobile money et carte diaspora ; états autorisé/capturé/réglé/rapproché datés ; rejeu et panne testés ; aucun séquestre de cession</t>
        </is>
      </c>
      <c r="H238" s="38" t="n">
        <v>8</v>
      </c>
      <c r="I238" s="36" t="inlineStr">
        <is>
          <t>Haute</t>
        </is>
      </c>
      <c r="J238" s="36" t="inlineStr">
        <is>
          <t>Backlog</t>
        </is>
      </c>
      <c r="K238" s="39" t="n"/>
      <c r="L238" s="16">
        <f>IF($B238="","",IF(J238="Complétée",1,IF(J238="Abandonnée",0,IF(K238&lt;&gt;"",K238,IFERROR(VLOOKUP(J238,Parametres!$B$6:$C$12,2,FALSE),0)))))</f>
        <v/>
      </c>
      <c r="M238" s="15">
        <f>IF($B238="","",IF(J238="Abandonnée",0,H238))</f>
        <v/>
      </c>
      <c r="N238" s="15">
        <f>IF($B238="","",M238*L238)</f>
        <v/>
      </c>
      <c r="O238" s="37" t="inlineStr">
        <is>
          <t>Abdou-Raouf</t>
        </is>
      </c>
      <c r="P238" s="40" t="n">
        <v>46352</v>
      </c>
      <c r="Q238" s="40" t="n">
        <v>46372</v>
      </c>
      <c r="R238" s="40" t="n"/>
      <c r="S238" s="37" t="inlineStr">
        <is>
          <t>Contrat agrégateur ; V1-023</t>
        </is>
      </c>
      <c r="T238" s="36" t="inlineStr">
        <is>
          <t>Oui</t>
        </is>
      </c>
      <c r="U238" s="13">
        <f>IF($B238="","",IF(AND(J238&lt;&gt;"Complétée",J238&lt;&gt;"Abandonnée",Q238&lt;&gt;"",TODAY()&gt;Q238),"En retard",""))</f>
        <v/>
      </c>
      <c r="V238" s="37" t="inlineStr">
        <is>
          <t>Ajout audit 12/09/2026 ; charge initiale à revalider avec l'équipe ; voir docs/BILAN_AVANCEMENT_2026-09-12.md.</t>
        </is>
      </c>
    </row>
    <row r="239">
      <c r="B239" s="36" t="inlineStr">
        <is>
          <t>V3-046</t>
        </is>
      </c>
      <c r="C239" s="36" t="inlineStr">
        <is>
          <t>V3</t>
        </is>
      </c>
      <c r="D239" s="36" t="inlineStr">
        <is>
          <t>OPS</t>
        </is>
      </c>
      <c r="E239" s="37" t="inlineStr">
        <is>
          <t>QA et livraison</t>
        </is>
      </c>
      <c r="F239" s="37" t="inlineStr">
        <is>
          <t>Tests de capacité et de réseau au niveau du pilote</t>
        </is>
      </c>
      <c r="G239" s="37" t="inlineStr">
        <is>
          <t>Scénarios à 2x la cible documentée ; latences, erreurs, viewer 3G et limites mesurées ; rapport archivé</t>
        </is>
      </c>
      <c r="H239" s="38" t="n">
        <v>4</v>
      </c>
      <c r="I239" s="36" t="inlineStr">
        <is>
          <t>Haute</t>
        </is>
      </c>
      <c r="J239" s="36" t="inlineStr">
        <is>
          <t>Backlog</t>
        </is>
      </c>
      <c r="K239" s="39" t="n"/>
      <c r="L239" s="16">
        <f>IF($B239="","",IF(J239="Complétée",1,IF(J239="Abandonnée",0,IF(K239&lt;&gt;"",K239,IFERROR(VLOOKUP(J239,Parametres!$B$6:$C$12,2,FALSE),0)))))</f>
        <v/>
      </c>
      <c r="M239" s="15">
        <f>IF($B239="","",IF(J239="Abandonnée",0,H239))</f>
        <v/>
      </c>
      <c r="N239" s="15">
        <f>IF($B239="","",M239*L239)</f>
        <v/>
      </c>
      <c r="O239" s="37" t="inlineStr">
        <is>
          <t>Abdou-Raouf</t>
        </is>
      </c>
      <c r="P239" s="40" t="n">
        <v>46370</v>
      </c>
      <c r="Q239" s="40" t="n">
        <v>46377</v>
      </c>
      <c r="R239" s="40" t="n"/>
      <c r="S239" s="37" t="inlineStr">
        <is>
          <t>V2-043 ; staging</t>
        </is>
      </c>
      <c r="T239" s="36" t="inlineStr">
        <is>
          <t>Oui</t>
        </is>
      </c>
      <c r="U239" s="13">
        <f>IF($B239="","",IF(AND(J239&lt;&gt;"Complétée",J239&lt;&gt;"Abandonnée",Q239&lt;&gt;"",TODAY()&gt;Q239),"En retard",""))</f>
        <v/>
      </c>
      <c r="V239" s="37" t="inlineStr">
        <is>
          <t>Ajout audit 12/09/2026 ; charge initiale à revalider avec l'équipe ; voir docs/BILAN_AVANCEMENT_2026-09-12.md.</t>
        </is>
      </c>
    </row>
    <row r="240">
      <c r="B240" s="36" t="inlineStr">
        <is>
          <t>V3-047</t>
        </is>
      </c>
      <c r="C240" s="36" t="inlineStr">
        <is>
          <t>V3</t>
        </is>
      </c>
      <c r="D240" s="36" t="inlineStr">
        <is>
          <t>TRV</t>
        </is>
      </c>
      <c r="E240" s="37" t="inlineStr">
        <is>
          <t>QA et livraison</t>
        </is>
      </c>
      <c r="F240" s="37" t="inlineStr">
        <is>
          <t>Recette V3 intégrée : transaction, facturation, exploitation et portes G1 à G10</t>
        </is>
      </c>
      <c r="G240" s="37" t="inlineStr">
        <is>
          <t>Parcours complet avec preuves ; restauration et incidents exercés ; aucun P0/P1 ouvert ; validation métier archivée avant livraison</t>
        </is>
      </c>
      <c r="H240" s="38" t="n">
        <v>4</v>
      </c>
      <c r="I240" s="36" t="inlineStr">
        <is>
          <t>Haute</t>
        </is>
      </c>
      <c r="J240" s="36" t="inlineStr">
        <is>
          <t>Backlog</t>
        </is>
      </c>
      <c r="K240" s="39" t="n"/>
      <c r="L240" s="16">
        <f>IF($B240="","",IF(J240="Complétée",1,IF(J240="Abandonnée",0,IF(K240&lt;&gt;"",K240,IFERROR(VLOOKUP(J240,Parametres!$B$6:$C$12,2,FALSE),0)))))</f>
        <v/>
      </c>
      <c r="M240" s="15">
        <f>IF($B240="","",IF(J240="Abandonnée",0,H240))</f>
        <v/>
      </c>
      <c r="N240" s="15">
        <f>IF($B240="","",M240*L240)</f>
        <v/>
      </c>
      <c r="O240" s="37" t="inlineStr">
        <is>
          <t>Abdou-Raouf</t>
        </is>
      </c>
      <c r="P240" s="40" t="n">
        <v>46377</v>
      </c>
      <c r="Q240" s="40" t="n">
        <v>46386</v>
      </c>
      <c r="R240" s="40" t="n"/>
      <c r="S240" s="37" t="inlineStr">
        <is>
          <t>V3-044 ; V3-045 ; V3-046 ; J11 ; J12</t>
        </is>
      </c>
      <c r="T240" s="36" t="inlineStr">
        <is>
          <t>Oui</t>
        </is>
      </c>
      <c r="U240" s="13">
        <f>IF($B240="","",IF(AND(J240&lt;&gt;"Complétée",J240&lt;&gt;"Abandonnée",Q240&lt;&gt;"",TODAY()&gt;Q240),"En retard",""))</f>
        <v/>
      </c>
      <c r="V240" s="37" t="inlineStr">
        <is>
          <t>Ajout audit 12/09/2026 ; charge initiale à revalider avec l'équipe ; voir docs/BILAN_AVANCEMENT_2026-09-12.md.</t>
        </is>
      </c>
    </row>
    <row r="241">
      <c r="B241" s="36" t="inlineStr">
        <is>
          <t>V4-025</t>
        </is>
      </c>
      <c r="C241" s="36" t="inlineStr">
        <is>
          <t>V4</t>
        </is>
      </c>
      <c r="D241" s="36" t="inlineStr">
        <is>
          <t>TRV</t>
        </is>
      </c>
      <c r="E241" s="37" t="inlineStr">
        <is>
          <t>QA et livraison</t>
        </is>
      </c>
      <c r="F241" s="37" t="inlineStr">
        <is>
          <t>Recette V4 intégrée : Rebond, Deal-Connect, Diaspora et Experts</t>
        </is>
      </c>
      <c r="G241" s="37" t="inlineStr">
        <is>
          <t>Parcours des quatre services, contrats partenaires, confidentialité et révocation expert testés ; preuves desktop/mobile ; corrections closes</t>
        </is>
      </c>
      <c r="H241" s="38" t="n">
        <v>4</v>
      </c>
      <c r="I241" s="36" t="inlineStr">
        <is>
          <t>Haute</t>
        </is>
      </c>
      <c r="J241" s="36" t="inlineStr">
        <is>
          <t>Backlog</t>
        </is>
      </c>
      <c r="K241" s="39" t="n"/>
      <c r="L241" s="16">
        <f>IF($B241="","",IF(J241="Complétée",1,IF(J241="Abandonnée",0,IF(K241&lt;&gt;"",K241,IFERROR(VLOOKUP(J241,Parametres!$B$6:$C$12,2,FALSE),0)))))</f>
        <v/>
      </c>
      <c r="M241" s="15">
        <f>IF($B241="","",IF(J241="Abandonnée",0,H241))</f>
        <v/>
      </c>
      <c r="N241" s="15">
        <f>IF($B241="","",M241*L241)</f>
        <v/>
      </c>
      <c r="O241" s="37" t="inlineStr">
        <is>
          <t>Abdou-Raouf</t>
        </is>
      </c>
      <c r="P241" s="40" t="n">
        <v>46419</v>
      </c>
      <c r="Q241" s="40" t="n">
        <v>46423</v>
      </c>
      <c r="R241" s="40" t="n"/>
      <c r="S241" s="37" t="inlineStr">
        <is>
          <t>V3-047 ; A04 ; connecteur Remo réel</t>
        </is>
      </c>
      <c r="T241" s="36" t="inlineStr">
        <is>
          <t>Oui</t>
        </is>
      </c>
      <c r="U241" s="13">
        <f>IF($B241="","",IF(AND(J241&lt;&gt;"Complétée",J241&lt;&gt;"Abandonnée",Q241&lt;&gt;"",TODAY()&gt;Q241),"En retard",""))</f>
        <v/>
      </c>
      <c r="V241" s="37" t="inlineStr">
        <is>
          <t>Ajout audit 12/09/2026 ; charge initiale à revalider avec l'équipe ; voir docs/BILAN_AVANCEMENT_2026-09-12.md.</t>
        </is>
      </c>
    </row>
    <row r="242">
      <c r="B242" s="36" t="inlineStr">
        <is>
          <t>V1-095</t>
        </is>
      </c>
      <c r="C242" s="36" t="inlineStr">
        <is>
          <t>V1</t>
        </is>
      </c>
      <c r="D242" s="36" t="inlineStr">
        <is>
          <t>MKT</t>
        </is>
      </c>
      <c r="E242" s="37" t="inlineStr">
        <is>
          <t>Marketplace actifs</t>
        </is>
      </c>
      <c r="F242" s="37" t="inlineStr">
        <is>
          <t>Correctif de messagerie : réponse ciblée du cédant et isolation des conversations</t>
        </is>
      </c>
      <c r="G242" s="37" t="inlineStr">
        <is>
          <t>Aller-retour reçu par le bon repreneur ; deux repreneurs ne lisent jamais leurs fils respectifs ; RLS et pièces jointes avant NDA testées</t>
        </is>
      </c>
      <c r="H242" s="38" t="n">
        <v>3</v>
      </c>
      <c r="I242" s="36" t="inlineStr">
        <is>
          <t>Haute</t>
        </is>
      </c>
      <c r="J242" s="36" t="inlineStr">
        <is>
          <t>Complétée</t>
        </is>
      </c>
      <c r="K242" s="39" t="n">
        <v>1</v>
      </c>
      <c r="L242" s="16">
        <f>IF($B242="","",IF(J242="Complétée",1,IF(J242="Abandonnée",0,IF(K242&lt;&gt;"",K242,IFERROR(VLOOKUP(J242,Parametres!$B$6:$C$12,2,FALSE),0)))))</f>
        <v/>
      </c>
      <c r="M242" s="15">
        <f>IF($B242="","",IF(J242="Abandonnée",0,H242))</f>
        <v/>
      </c>
      <c r="N242" s="15">
        <f>IF($B242="","",M242*L242)</f>
        <v/>
      </c>
      <c r="O242" s="37" t="inlineStr">
        <is>
          <t>Abdou-Raouf</t>
        </is>
      </c>
      <c r="P242" s="40" t="n">
        <v>46286</v>
      </c>
      <c r="Q242" s="40" t="n">
        <v>46290</v>
      </c>
      <c r="R242" s="40" t="n">
        <v>46290</v>
      </c>
      <c r="S242" s="37" t="inlineStr">
        <is>
          <t>V1-054</t>
        </is>
      </c>
      <c r="T242" s="36" t="inlineStr">
        <is>
          <t>Oui</t>
        </is>
      </c>
      <c r="U242" s="13">
        <f>IF($B242="","",IF(AND(J242&lt;&gt;"Complétée",J242&lt;&gt;"Abandonnée",Q242&lt;&gt;"",TODAY()&gt;Q242),"En retard",""))</f>
        <v/>
      </c>
      <c r="V242" s="37" t="inlineStr">
        <is>
          <t>Ajout audit 12/09/2026 ; charge initiale à revalider avec l'équipe ; voir docs/BILAN_AVANCEMENT_2026-09-12.md.</t>
        </is>
      </c>
    </row>
    <row r="243">
      <c r="B243" s="36" t="inlineStr">
        <is>
          <t>V1-096</t>
        </is>
      </c>
      <c r="C243" s="36" t="inlineStr">
        <is>
          <t>V1</t>
        </is>
      </c>
      <c r="D243" s="36" t="inlineStr">
        <is>
          <t>MKT</t>
        </is>
      </c>
      <c r="E243" s="37" t="inlineStr">
        <is>
          <t>Marketplace actifs</t>
        </is>
      </c>
      <c r="F243" s="37" t="inlineStr">
        <is>
          <t>Traitement des alertes sauvegardées : matching et envoi automatisé</t>
        </is>
      </c>
      <c r="G243" s="37" t="inlineStr">
        <is>
          <t>Nouvelle opportunité déclenche une notification avec opt-in ; révocation stoppe les envois ; aucun contenu hors palier ; reprise et dédoublonnage testés</t>
        </is>
      </c>
      <c r="H243" s="38" t="n">
        <v>4</v>
      </c>
      <c r="I243" s="36" t="inlineStr">
        <is>
          <t>Haute</t>
        </is>
      </c>
      <c r="J243" s="36" t="inlineStr">
        <is>
          <t>À faire</t>
        </is>
      </c>
      <c r="K243" s="39" t="n"/>
      <c r="L243" s="16">
        <f>IF($B243="","",IF(J243="Complétée",1,IF(J243="Abandonnée",0,IF(K243&lt;&gt;"",K243,IFERROR(VLOOKUP(J243,Parametres!$B$6:$C$12,2,FALSE),0)))))</f>
        <v/>
      </c>
      <c r="M243" s="15">
        <f>IF($B243="","",IF(J243="Abandonnée",0,H243))</f>
        <v/>
      </c>
      <c r="N243" s="15">
        <f>IF($B243="","",M243*L243)</f>
        <v/>
      </c>
      <c r="O243" s="37" t="inlineStr">
        <is>
          <t>Abdou-Raouf</t>
        </is>
      </c>
      <c r="P243" s="40" t="n">
        <v>46289</v>
      </c>
      <c r="Q243" s="40" t="n">
        <v>46297</v>
      </c>
      <c r="R243" s="40" t="n"/>
      <c r="S243" s="37" t="inlineStr">
        <is>
          <t>V1-055 ; V1-093</t>
        </is>
      </c>
      <c r="T243" s="36" t="inlineStr">
        <is>
          <t>Oui</t>
        </is>
      </c>
      <c r="U243" s="13">
        <f>IF($B243="","",IF(AND(J243&lt;&gt;"Complétée",J243&lt;&gt;"Abandonnée",Q243&lt;&gt;"",TODAY()&gt;Q243),"En retard",""))</f>
        <v/>
      </c>
      <c r="V243" s="37" t="inlineStr">
        <is>
          <t>Ajout audit 12/09/2026 ; charge initiale à revalider avec l'équipe ; voir docs/BILAN_AVANCEMENT_2026-09-12.md.</t>
        </is>
      </c>
    </row>
    <row r="244">
      <c r="B244" s="36" t="inlineStr">
        <is>
          <t>V1-097</t>
        </is>
      </c>
      <c r="C244" s="36" t="inlineStr">
        <is>
          <t>V1</t>
        </is>
      </c>
      <c r="D244" s="36" t="inlineStr">
        <is>
          <t>OPS</t>
        </is>
      </c>
      <c r="E244" s="37" t="inlineStr">
        <is>
          <t>Fondations</t>
        </is>
      </c>
      <c r="F244" s="37" t="inlineStr">
        <is>
          <t>Centralisation des journaux et déclenchement des alertes 5xx</t>
        </is>
      </c>
      <c r="G244" s="37" t="inlineStr">
        <is>
          <t>Journaux centralisés ; erreur serveur répétée déclenche une notification reçue ; preuve du test conservée</t>
        </is>
      </c>
      <c r="H244" s="38" t="n">
        <v>2</v>
      </c>
      <c r="I244" s="36" t="inlineStr">
        <is>
          <t>Haute</t>
        </is>
      </c>
      <c r="J244" s="36" t="inlineStr">
        <is>
          <t>À faire</t>
        </is>
      </c>
      <c r="K244" s="39" t="n"/>
      <c r="L244" s="16">
        <f>IF($B244="","",IF(J244="Complétée",1,IF(J244="Abandonnée",0,IF(K244&lt;&gt;"",K244,IFERROR(VLOOKUP(J244,Parametres!$B$6:$C$12,2,FALSE),0)))))</f>
        <v/>
      </c>
      <c r="M244" s="15">
        <f>IF($B244="","",IF(J244="Abandonnée",0,H244))</f>
        <v/>
      </c>
      <c r="N244" s="15">
        <f>IF($B244="","",M244*L244)</f>
        <v/>
      </c>
      <c r="O244" s="37" t="inlineStr">
        <is>
          <t>Abdou-Raouf</t>
        </is>
      </c>
      <c r="P244" s="40" t="n">
        <v>46300</v>
      </c>
      <c r="Q244" s="40" t="n">
        <v>46303</v>
      </c>
      <c r="R244" s="40" t="n"/>
      <c r="S244" s="37" t="inlineStr">
        <is>
          <t>V1-016 ; V1-009</t>
        </is>
      </c>
      <c r="T244" s="36" t="inlineStr">
        <is>
          <t>Oui</t>
        </is>
      </c>
      <c r="U244" s="13">
        <f>IF($B244="","",IF(AND(J244&lt;&gt;"Complétée",J244&lt;&gt;"Abandonnée",Q244&lt;&gt;"",TODAY()&gt;Q244),"En retard",""))</f>
        <v/>
      </c>
      <c r="V244" s="37" t="inlineStr">
        <is>
          <t>Ajout audit 12/09/2026 ; charge initiale à revalider avec l'équipe ; voir docs/BILAN_AVANCEMENT_2026-09-12.md.</t>
        </is>
      </c>
    </row>
    <row r="245">
      <c r="B245" s="36" t="inlineStr">
        <is>
          <t>V1-098</t>
        </is>
      </c>
      <c r="C245" s="36" t="inlineStr">
        <is>
          <t>V1</t>
        </is>
      </c>
      <c r="D245" s="36" t="inlineStr">
        <is>
          <t>OPS</t>
        </is>
      </c>
      <c r="E245" s="37" t="inlineStr">
        <is>
          <t>Fondations</t>
        </is>
      </c>
      <c r="F245" s="37" t="inlineStr">
        <is>
          <t>Automatisation des sauvegardes et durcissement du contrôle de restauration</t>
        </is>
      </c>
      <c r="G245" s="37" t="inlineStr">
        <is>
          <t>Sauvegarde quotidienne programmée ; aucune erreur pg_restore masquée ; comparaison au manifeste daté ; objets contrôlés ; preuve de restauration archivée</t>
        </is>
      </c>
      <c r="H245" s="38" t="n">
        <v>2</v>
      </c>
      <c r="I245" s="36" t="inlineStr">
        <is>
          <t>Haute</t>
        </is>
      </c>
      <c r="J245" s="36" t="inlineStr">
        <is>
          <t>À faire</t>
        </is>
      </c>
      <c r="K245" s="39" t="n"/>
      <c r="L245" s="16">
        <f>IF($B245="","",IF(J245="Complétée",1,IF(J245="Abandonnée",0,IF(K245&lt;&gt;"",K245,IFERROR(VLOOKUP(J245,Parametres!$B$6:$C$12,2,FALSE),0)))))</f>
        <v/>
      </c>
      <c r="M245" s="15">
        <f>IF($B245="","",IF(J245="Abandonnée",0,H245))</f>
        <v/>
      </c>
      <c r="N245" s="15">
        <f>IF($B245="","",M245*L245)</f>
        <v/>
      </c>
      <c r="O245" s="37" t="inlineStr">
        <is>
          <t>Abdou-Raouf</t>
        </is>
      </c>
      <c r="P245" s="40" t="n">
        <v>46301</v>
      </c>
      <c r="Q245" s="40" t="n">
        <v>46304</v>
      </c>
      <c r="R245" s="40" t="n"/>
      <c r="S245" s="37" t="inlineStr">
        <is>
          <t>V1-017</t>
        </is>
      </c>
      <c r="T245" s="36" t="inlineStr">
        <is>
          <t>Oui</t>
        </is>
      </c>
      <c r="U245" s="13">
        <f>IF($B245="","",IF(AND(J245&lt;&gt;"Complétée",J245&lt;&gt;"Abandonnée",Q245&lt;&gt;"",TODAY()&gt;Q245),"En retard",""))</f>
        <v/>
      </c>
      <c r="V245" s="37" t="inlineStr">
        <is>
          <t>Ajout audit 12/09/2026 ; charge initiale à revalider avec l'équipe ; voir docs/BILAN_AVANCEMENT_2026-09-12.md.</t>
        </is>
      </c>
    </row>
    <row r="246">
      <c r="B246" s="36" t="inlineStr">
        <is>
          <t>V1-099</t>
        </is>
      </c>
      <c r="C246" s="36" t="inlineStr">
        <is>
          <t>V1</t>
        </is>
      </c>
      <c r="D246" s="36" t="inlineStr">
        <is>
          <t>MKT</t>
        </is>
      </c>
      <c r="E246" s="37" t="inlineStr">
        <is>
          <t>Frontend et design</t>
        </is>
      </c>
      <c r="F246" s="37" t="inlineStr">
        <is>
          <t>Extension de la fiche opportunité : six onglets et états de divulgation</t>
        </is>
      </c>
      <c r="G246" s="37" t="inlineStr">
        <is>
          <t>Six onglets du corpus couverts avec états accessibles ou bloqués explicites ; aucune donnée T1/T2 inventée ou divulguée ; écarts de fidélité documentés et validés</t>
        </is>
      </c>
      <c r="H246" s="38" t="n">
        <v>3</v>
      </c>
      <c r="I246" s="36" t="inlineStr">
        <is>
          <t>Haute</t>
        </is>
      </c>
      <c r="J246" s="36" t="inlineStr">
        <is>
          <t>À faire</t>
        </is>
      </c>
      <c r="K246" s="39" t="n"/>
      <c r="L246" s="16">
        <f>IF($B246="","",IF(J246="Complétée",1,IF(J246="Abandonnée",0,IF(K246&lt;&gt;"",K246,IFERROR(VLOOKUP(J246,Parametres!$B$6:$C$12,2,FALSE),0)))))</f>
        <v/>
      </c>
      <c r="M246" s="15">
        <f>IF($B246="","",IF(J246="Abandonnée",0,H246))</f>
        <v/>
      </c>
      <c r="N246" s="15">
        <f>IF($B246="","",M246*L246)</f>
        <v/>
      </c>
      <c r="O246" s="37" t="inlineStr">
        <is>
          <t>Abdou-Raouf</t>
        </is>
      </c>
      <c r="P246" s="40" t="n">
        <v>46293</v>
      </c>
      <c r="Q246" s="40" t="n">
        <v>46302</v>
      </c>
      <c r="R246" s="40" t="n"/>
      <c r="S246" s="37" t="inlineStr">
        <is>
          <t>V1-057 ; V1-092</t>
        </is>
      </c>
      <c r="T246" s="36" t="inlineStr">
        <is>
          <t>Oui</t>
        </is>
      </c>
      <c r="U246" s="13">
        <f>IF($B246="","",IF(AND(J246&lt;&gt;"Complétée",J246&lt;&gt;"Abandonnée",Q246&lt;&gt;"",TODAY()&gt;Q246),"En retard",""))</f>
        <v/>
      </c>
      <c r="V246" s="37" t="inlineStr">
        <is>
          <t>Ajout audit 12/09/2026 ; charge initiale à revalider avec l'équipe ; voir docs/BILAN_AVANCEMENT_2026-09-12.md.</t>
        </is>
      </c>
    </row>
    <row r="247">
      <c r="B247" s="36" t="inlineStr">
        <is>
          <t>V1-100</t>
        </is>
      </c>
      <c r="C247" s="36" t="inlineStr">
        <is>
          <t>V1</t>
        </is>
      </c>
      <c r="D247" s="36" t="inlineStr">
        <is>
          <t>TRV</t>
        </is>
      </c>
      <c r="E247" s="37" t="inlineStr">
        <is>
          <t>QA et livraison</t>
        </is>
      </c>
      <c r="F247" s="37" t="inlineStr">
        <is>
          <t>Extension des tests aux parcours navigateur et archivage des preuves de recette</t>
        </is>
      </c>
      <c r="G247" s="37" t="inlineStr">
        <is>
          <t>Smoke API rejoué ; inscription, dossier, certification, publication et échange testés en navigateur ; états négatifs et mobile ; qa/e2e-results.json relié au commit</t>
        </is>
      </c>
      <c r="H247" s="38" t="n">
        <v>3</v>
      </c>
      <c r="I247" s="36" t="inlineStr">
        <is>
          <t>Haute</t>
        </is>
      </c>
      <c r="J247" s="36" t="inlineStr">
        <is>
          <t>À faire</t>
        </is>
      </c>
      <c r="K247" s="39" t="n"/>
      <c r="L247" s="16">
        <f>IF($B247="","",IF(J247="Complétée",1,IF(J247="Abandonnée",0,IF(K247&lt;&gt;"",K247,IFERROR(VLOOKUP(J247,Parametres!$B$6:$C$12,2,FALSE),0)))))</f>
        <v/>
      </c>
      <c r="M247" s="15">
        <f>IF($B247="","",IF(J247="Abandonnée",0,H247))</f>
        <v/>
      </c>
      <c r="N247" s="15">
        <f>IF($B247="","",M247*L247)</f>
        <v/>
      </c>
      <c r="O247" s="37" t="inlineStr">
        <is>
          <t>Abdou-Raouf</t>
        </is>
      </c>
      <c r="P247" s="40" t="n">
        <v>46303</v>
      </c>
      <c r="Q247" s="40" t="n">
        <v>46309</v>
      </c>
      <c r="R247" s="40" t="n"/>
      <c r="S247" s="37" t="inlineStr">
        <is>
          <t>V1-084 ; V1-085 ; V1-086 ; V1-092 ; V1-095 ; V1-099</t>
        </is>
      </c>
      <c r="T247" s="36" t="inlineStr">
        <is>
          <t>Oui</t>
        </is>
      </c>
      <c r="U247" s="13">
        <f>IF($B247="","",IF(AND(J247&lt;&gt;"Complétée",J247&lt;&gt;"Abandonnée",Q247&lt;&gt;"",TODAY()&gt;Q247),"En retard",""))</f>
        <v/>
      </c>
      <c r="V247" s="37" t="inlineStr">
        <is>
          <t>Ajout audit 12/09/2026 ; charge initiale à revalider avec l'équipe ; voir docs/BILAN_AVANCEMENT_2026-09-12.md.</t>
        </is>
      </c>
    </row>
    <row r="248">
      <c r="B248" s="36" t="inlineStr">
        <is>
          <t>V1-101</t>
        </is>
      </c>
      <c r="C248" s="36" t="inlineStr">
        <is>
          <t>V1</t>
        </is>
      </c>
      <c r="D248" s="36" t="inlineStr">
        <is>
          <t>IDN</t>
        </is>
      </c>
      <c r="E248" s="37" t="inlineStr">
        <is>
          <t>Auth et rôles</t>
        </is>
      </c>
      <c r="F248" s="37" t="inlineStr">
        <is>
          <t>Boîte SMS locale réutilisable : API HTTP, interface de réception et simulation d'incidents</t>
        </is>
      </c>
      <c r="G248" s="37" t="inlineStr">
        <is>
          <t>OTP lisible dans une boîte locale indépendante du métier ; filtres et API de test ; 429/5xx/timeout simulables ; aucune remise opérateur annoncée</t>
        </is>
      </c>
      <c r="H248" s="38" t="n">
        <v>4</v>
      </c>
      <c r="I248" s="36" t="inlineStr">
        <is>
          <t>Haute</t>
        </is>
      </c>
      <c r="J248" s="36" t="inlineStr">
        <is>
          <t>À faire</t>
        </is>
      </c>
      <c r="K248" s="39" t="n"/>
      <c r="L248" s="16">
        <f>IF($B248="","",IF(J248="Complétée",1,IF(J248="Abandonnée",0,IF(K248&lt;&gt;"",K248,IFERROR(VLOOKUP(J248,Parametres!$B$6:$C$12,2,FALSE),0)))))</f>
        <v/>
      </c>
      <c r="M248" s="15">
        <f>IF($B248="","",IF(J248="Abandonnée",0,H248))</f>
        <v/>
      </c>
      <c r="N248" s="15">
        <f>IF($B248="","",M248*L248)</f>
        <v/>
      </c>
      <c r="O248" s="37" t="inlineStr">
        <is>
          <t>Abdou-Raouf</t>
        </is>
      </c>
      <c r="P248" s="40" t="n">
        <v>46282</v>
      </c>
      <c r="Q248" s="40" t="n">
        <v>46288</v>
      </c>
      <c r="R248" s="40" t="n"/>
      <c r="S248" s="37" t="inlineStr">
        <is>
          <t>V1-091 ; SmsPort</t>
        </is>
      </c>
      <c r="T248" s="36" t="inlineStr">
        <is>
          <t>Oui</t>
        </is>
      </c>
      <c r="U248" s="13">
        <f>IF($B248="","",IF(AND(J248&lt;&gt;"Complétée",J248&lt;&gt;"Abandonnée",Q248&lt;&gt;"",TODAY()&gt;Q248),"En retard",""))</f>
        <v/>
      </c>
      <c r="V248" s="37" t="inlineStr">
        <is>
          <t>Réunion direction / précisions du chef de projet, 12/09/2026. Lot et preuves : docs/PLAN_EXECUTION.md. Charge initiale estimée ; dates des versions maintenues.</t>
        </is>
      </c>
    </row>
    <row r="249">
      <c r="B249" s="36" t="inlineStr">
        <is>
          <t>V1-102</t>
        </is>
      </c>
      <c r="C249" s="36" t="inlineStr">
        <is>
          <t>V1</t>
        </is>
      </c>
      <c r="D249" s="36" t="inlineStr">
        <is>
          <t>IDN</t>
        </is>
      </c>
      <c r="E249" s="37" t="inlineStr">
        <is>
          <t>QA et livraison</t>
        </is>
      </c>
      <c r="F249" s="37" t="inlineStr">
        <is>
          <t>Contrats email/SMS et bascule de fournisseur par configuration</t>
        </is>
      </c>
      <c r="G249" s="37" t="inlineStr">
        <is>
          <t>Même suite fake/local/sandbox ; aucun repli silencieux ; timeouts, rejeu, expiration et consommation OTP concurrente testés ; E2E lit les boîtes plutôt que devCode</t>
        </is>
      </c>
      <c r="H249" s="38" t="n">
        <v>2</v>
      </c>
      <c r="I249" s="36" t="inlineStr">
        <is>
          <t>Haute</t>
        </is>
      </c>
      <c r="J249" s="36" t="inlineStr">
        <is>
          <t>À faire</t>
        </is>
      </c>
      <c r="K249" s="39" t="n"/>
      <c r="L249" s="16">
        <f>IF($B249="","",IF(J249="Complétée",1,IF(J249="Abandonnée",0,IF(K249&lt;&gt;"",K249,IFERROR(VLOOKUP(J249,Parametres!$B$6:$C$12,2,FALSE),0)))))</f>
        <v/>
      </c>
      <c r="M249" s="15">
        <f>IF($B249="","",IF(J249="Abandonnée",0,H249))</f>
        <v/>
      </c>
      <c r="N249" s="15">
        <f>IF($B249="","",M249*L249)</f>
        <v/>
      </c>
      <c r="O249" s="37" t="inlineStr">
        <is>
          <t>Abdou-Raouf</t>
        </is>
      </c>
      <c r="P249" s="40" t="n">
        <v>46288</v>
      </c>
      <c r="Q249" s="40" t="n">
        <v>46290</v>
      </c>
      <c r="R249" s="40" t="n"/>
      <c r="S249" s="37" t="inlineStr">
        <is>
          <t>V1-093 ; V1-101 ; V1-028 pour recette opérateur</t>
        </is>
      </c>
      <c r="T249" s="36" t="inlineStr">
        <is>
          <t>Oui</t>
        </is>
      </c>
      <c r="U249" s="13">
        <f>IF($B249="","",IF(AND(J249&lt;&gt;"Complétée",J249&lt;&gt;"Abandonnée",Q249&lt;&gt;"",TODAY()&gt;Q249),"En retard",""))</f>
        <v/>
      </c>
      <c r="V249" s="37" t="inlineStr">
        <is>
          <t>Réunion direction / précisions du chef de projet, 12/09/2026. Lot et preuves : docs/PLAN_EXECUTION.md. Charge initiale estimée ; dates des versions maintenues.</t>
        </is>
      </c>
    </row>
    <row r="250">
      <c r="B250" s="36" t="inlineStr">
        <is>
          <t>V1-103</t>
        </is>
      </c>
      <c r="C250" s="36" t="inlineStr">
        <is>
          <t>V1</t>
        </is>
      </c>
      <c r="D250" s="36" t="inlineStr">
        <is>
          <t>TRV</t>
        </is>
      </c>
      <c r="E250" s="37" t="inlineStr">
        <is>
          <t>Conception</t>
        </is>
      </c>
      <c r="F250" s="37" t="inlineStr">
        <is>
          <t>Cartographie du corpus par module : exigences, écrans, reporting et preuves VDR</t>
        </is>
      </c>
      <c r="G250" s="37" t="inlineStr">
        <is>
          <t>Chaque famille de ressources inventoriée, autorité et doublons indiqués ; lien source &gt; tâche &gt; écran &gt; test ; références VDR et services consultables avant chaque lot</t>
        </is>
      </c>
      <c r="H250" s="38" t="n">
        <v>3</v>
      </c>
      <c r="I250" s="36" t="inlineStr">
        <is>
          <t>Haute</t>
        </is>
      </c>
      <c r="J250" s="36" t="inlineStr">
        <is>
          <t>À faire</t>
        </is>
      </c>
      <c r="K250" s="39" t="n"/>
      <c r="L250" s="16">
        <f>IF($B250="","",IF(J250="Complétée",1,IF(J250="Abandonnée",0,IF(K250&lt;&gt;"",K250,IFERROR(VLOOKUP(J250,Parametres!$B$6:$C$12,2,FALSE),0)))))</f>
        <v/>
      </c>
      <c r="M250" s="15">
        <f>IF($B250="","",IF(J250="Abandonnée",0,H250))</f>
        <v/>
      </c>
      <c r="N250" s="15">
        <f>IF($B250="","",M250*L250)</f>
        <v/>
      </c>
      <c r="O250" s="37" t="inlineStr">
        <is>
          <t>Abdou-Raouf</t>
        </is>
      </c>
      <c r="P250" s="40" t="n">
        <v>46279</v>
      </c>
      <c r="Q250" s="40" t="n">
        <v>46283</v>
      </c>
      <c r="R250" s="40" t="n"/>
      <c r="S250" s="37" t="inlineStr">
        <is>
          <t>Master Handoff ; V1-089</t>
        </is>
      </c>
      <c r="T250" s="36" t="inlineStr">
        <is>
          <t>Oui</t>
        </is>
      </c>
      <c r="U250" s="13">
        <f>IF($B250="","",IF(AND(J250&lt;&gt;"Complétée",J250&lt;&gt;"Abandonnée",Q250&lt;&gt;"",TODAY()&gt;Q250),"En retard",""))</f>
        <v/>
      </c>
      <c r="V250" s="37" t="inlineStr">
        <is>
          <t>Réunion direction / précisions du chef de projet, 12/09/2026. Lot et preuves : docs/PLAN_EXECUTION.md. Charge initiale estimée ; dates des versions maintenues.</t>
        </is>
      </c>
    </row>
    <row r="251">
      <c r="B251" s="36" t="inlineStr">
        <is>
          <t>V1-104</t>
        </is>
      </c>
      <c r="C251" s="36" t="inlineStr">
        <is>
          <t>V1</t>
        </is>
      </c>
      <c r="D251" s="36" t="inlineStr">
        <is>
          <t>CNX</t>
        </is>
      </c>
      <c r="E251" s="37" t="inlineStr">
        <is>
          <t>Deal-Connect (Remo)</t>
        </is>
      </c>
      <c r="F251" s="37" t="inlineStr">
        <is>
          <t>Qualification technique des abonnements événementiels et prototype d'intégration</t>
        </is>
      </c>
      <c r="G251" s="37" t="inlineStr">
        <is>
          <t>Essais organisateur/API : création, entrée, branding par événement, quotas simultanés, tables/scène et enregistrements ; comparaison des options disponibles ; preuves et limites documentées</t>
        </is>
      </c>
      <c r="H251" s="38" t="n">
        <v>4</v>
      </c>
      <c r="I251" s="36" t="inlineStr">
        <is>
          <t>Haute</t>
        </is>
      </c>
      <c r="J251" s="36" t="inlineStr">
        <is>
          <t>À faire</t>
        </is>
      </c>
      <c r="K251" s="39" t="n"/>
      <c r="L251" s="16">
        <f>IF($B251="","",IF(J251="Complétée",1,IF(J251="Abandonnée",0,IF(K251&lt;&gt;"",K251,IFERROR(VLOOKUP(J251,Parametres!$B$6:$C$12,2,FALSE),0)))))</f>
        <v/>
      </c>
      <c r="M251" s="15">
        <f>IF($B251="","",IF(J251="Abandonnée",0,H251))</f>
        <v/>
      </c>
      <c r="N251" s="15">
        <f>IF($B251="","",M251*L251)</f>
        <v/>
      </c>
      <c r="O251" s="37" t="inlineStr">
        <is>
          <t>Abdou-Raouf</t>
        </is>
      </c>
      <c r="P251" s="40" t="n">
        <v>46283</v>
      </c>
      <c r="Q251" s="40" t="n">
        <v>46289</v>
      </c>
      <c r="R251" s="40" t="n"/>
      <c r="S251" s="37" t="inlineStr">
        <is>
          <t>V1-067 ; A17 : accès et plans exacts</t>
        </is>
      </c>
      <c r="T251" s="36" t="inlineStr">
        <is>
          <t>Oui</t>
        </is>
      </c>
      <c r="U251" s="13">
        <f>IF($B251="","",IF(AND(J251&lt;&gt;"Complétée",J251&lt;&gt;"Abandonnée",Q251&lt;&gt;"",TODAY()&gt;Q251),"En retard",""))</f>
        <v/>
      </c>
      <c r="V251" s="37" t="inlineStr">
        <is>
          <t>Réunion direction / précisions du chef de projet, 12/09/2026. Lot et preuves : docs/PLAN_EXECUTION.md. Charge initiale estimée ; dates des versions maintenues.</t>
        </is>
      </c>
    </row>
    <row r="252">
      <c r="B252" s="36" t="inlineStr">
        <is>
          <t>V1-105</t>
        </is>
      </c>
      <c r="C252" s="36" t="inlineStr">
        <is>
          <t>V1</t>
        </is>
      </c>
      <c r="D252" s="36" t="inlineStr">
        <is>
          <t>CNX</t>
        </is>
      </c>
      <c r="E252" s="37" t="inlineStr">
        <is>
          <t>Deal-Connect (Remo)</t>
        </is>
      </c>
      <c r="F252" s="37" t="inlineStr">
        <is>
          <t>Console organisateur DealPME : création, personnalisation et gestion de l'événement</t>
        </is>
      </c>
      <c r="G252" s="37" t="inlineStr">
        <is>
          <t>Organisateur crée et publie depuis DealPME via API ; branding propre à l'événement ; état et erreurs de synchronisation visibles ; permissions et rejeu testés</t>
        </is>
      </c>
      <c r="H252" s="38" t="n">
        <v>5</v>
      </c>
      <c r="I252" s="36" t="inlineStr">
        <is>
          <t>Haute</t>
        </is>
      </c>
      <c r="J252" s="36" t="inlineStr">
        <is>
          <t>À faire</t>
        </is>
      </c>
      <c r="K252" s="39" t="n"/>
      <c r="L252" s="16">
        <f>IF($B252="","",IF(J252="Complétée",1,IF(J252="Abandonnée",0,IF(K252&lt;&gt;"",K252,IFERROR(VLOOKUP(J252,Parametres!$B$6:$C$12,2,FALSE),0)))))</f>
        <v/>
      </c>
      <c r="M252" s="15">
        <f>IF($B252="","",IF(J252="Abandonnée",0,H252))</f>
        <v/>
      </c>
      <c r="N252" s="15">
        <f>IF($B252="","",M252*L252)</f>
        <v/>
      </c>
      <c r="O252" s="37" t="inlineStr">
        <is>
          <t>Abdou-Raouf</t>
        </is>
      </c>
      <c r="P252" s="40" t="n">
        <v>46289</v>
      </c>
      <c r="Q252" s="40" t="n">
        <v>46300</v>
      </c>
      <c r="R252" s="40" t="n"/>
      <c r="S252" s="37" t="inlineStr">
        <is>
          <t>V1-068 ; V1-104 ; V1-106</t>
        </is>
      </c>
      <c r="T252" s="36" t="inlineStr">
        <is>
          <t>Oui</t>
        </is>
      </c>
      <c r="U252" s="13">
        <f>IF($B252="","",IF(AND(J252&lt;&gt;"Complétée",J252&lt;&gt;"Abandonnée",Q252&lt;&gt;"",TODAY()&gt;Q252),"En retard",""))</f>
        <v/>
      </c>
      <c r="V252" s="37" t="inlineStr">
        <is>
          <t>Réunion direction / précisions du chef de projet, 12/09/2026. Lot et preuves : docs/PLAN_EXECUTION.md. Charge initiale estimée ; dates des versions maintenues.</t>
        </is>
      </c>
    </row>
    <row r="253">
      <c r="B253" s="36" t="inlineStr">
        <is>
          <t>V1-106</t>
        </is>
      </c>
      <c r="C253" s="36" t="inlineStr">
        <is>
          <t>V1</t>
        </is>
      </c>
      <c r="D253" s="36" t="inlineStr">
        <is>
          <t>CNX</t>
        </is>
      </c>
      <c r="E253" s="37" t="inlineStr">
        <is>
          <t>Deal-Connect (Remo)</t>
        </is>
      </c>
      <c r="F253" s="37" t="inlineStr">
        <is>
          <t>Réservations du compte événementiel partagé : quotas, concurrence et séparation des produits</t>
        </is>
      </c>
      <c r="G253" s="37" t="inlineStr">
        <is>
          <t>Deux réservations concurrentes respectent le quota vérifié ; compte, produit et événement distincts ; annulation/reprise rapprochées ; créations hors registre explicitement couvertes ou signalées</t>
        </is>
      </c>
      <c r="H253" s="38" t="n">
        <v>3</v>
      </c>
      <c r="I253" s="36" t="inlineStr">
        <is>
          <t>Haute</t>
        </is>
      </c>
      <c r="J253" s="36" t="inlineStr">
        <is>
          <t>À faire</t>
        </is>
      </c>
      <c r="K253" s="39" t="n"/>
      <c r="L253" s="16">
        <f>IF($B253="","",IF(J253="Complétée",1,IF(J253="Abandonnée",0,IF(K253&lt;&gt;"",K253,IFERROR(VLOOKUP(J253,Parametres!$B$6:$C$12,2,FALSE),0)))))</f>
        <v/>
      </c>
      <c r="M253" s="15">
        <f>IF($B253="","",IF(J253="Abandonnée",0,H253))</f>
        <v/>
      </c>
      <c r="N253" s="15">
        <f>IF($B253="","",M253*L253)</f>
        <v/>
      </c>
      <c r="O253" s="37" t="inlineStr">
        <is>
          <t>Abdou-Raouf</t>
        </is>
      </c>
      <c r="P253" s="40" t="n">
        <v>46289</v>
      </c>
      <c r="Q253" s="40" t="n">
        <v>46294</v>
      </c>
      <c r="R253" s="40" t="n"/>
      <c r="S253" s="37" t="inlineStr">
        <is>
          <t>V1-104 ; A18 : quota simultané et usage multi-produits</t>
        </is>
      </c>
      <c r="T253" s="36" t="inlineStr">
        <is>
          <t>Oui</t>
        </is>
      </c>
      <c r="U253" s="13">
        <f>IF($B253="","",IF(AND(J253&lt;&gt;"Complétée",J253&lt;&gt;"Abandonnée",Q253&lt;&gt;"",TODAY()&gt;Q253),"En retard",""))</f>
        <v/>
      </c>
      <c r="V253" s="37" t="inlineStr">
        <is>
          <t>Réunion direction / précisions du chef de projet, 12/09/2026. Lot et preuves : docs/PLAN_EXECUTION.md. Charge initiale estimée ; dates des versions maintenues.</t>
        </is>
      </c>
    </row>
    <row r="254">
      <c r="B254" s="36" t="inlineStr">
        <is>
          <t>V1-107</t>
        </is>
      </c>
      <c r="C254" s="36" t="inlineStr">
        <is>
          <t>V1</t>
        </is>
      </c>
      <c r="D254" s="36" t="inlineStr">
        <is>
          <t>CNX</t>
        </is>
      </c>
      <c r="E254" s="37" t="inlineStr">
        <is>
          <t>Conception</t>
        </is>
      </c>
      <c r="F254" s="37" t="inlineStr">
        <is>
          <t>Prototype de captation des réunions : agent participant, exports et couverture des sessions</t>
        </is>
      </c>
      <c r="G254" s="37" t="inlineStr">
        <is>
          <t>Sur réunion synthétique : connexion autorisée, captation et arrêt démontrés ; scène et tables vérifiées séparément ; quotas agents, reprise et portions manquantes mesurés ; stratégie retenue tracée</t>
        </is>
      </c>
      <c r="H254" s="38" t="n">
        <v>3</v>
      </c>
      <c r="I254" s="36" t="inlineStr">
        <is>
          <t>Haute</t>
        </is>
      </c>
      <c r="J254" s="36" t="inlineStr">
        <is>
          <t>À faire</t>
        </is>
      </c>
      <c r="K254" s="39" t="n"/>
      <c r="L254" s="16">
        <f>IF($B254="","",IF(J254="Complétée",1,IF(J254="Abandonnée",0,IF(K254&lt;&gt;"",K254,IFERROR(VLOOKUP(J254,Parametres!$B$6:$C$12,2,FALSE),0)))))</f>
        <v/>
      </c>
      <c r="M254" s="15">
        <f>IF($B254="","",IF(J254="Abandonnée",0,H254))</f>
        <v/>
      </c>
      <c r="N254" s="15">
        <f>IF($B254="","",M254*L254)</f>
        <v/>
      </c>
      <c r="O254" s="37" t="inlineStr">
        <is>
          <t>Abdou-Raouf</t>
        </is>
      </c>
      <c r="P254" s="40" t="n">
        <v>46290</v>
      </c>
      <c r="Q254" s="40" t="n">
        <v>46297</v>
      </c>
      <c r="R254" s="40" t="n"/>
      <c r="S254" s="37" t="inlineStr">
        <is>
          <t>V1-104 ; A17 ; A21</t>
        </is>
      </c>
      <c r="T254" s="36" t="inlineStr">
        <is>
          <t>Oui</t>
        </is>
      </c>
      <c r="U254" s="13">
        <f>IF($B254="","",IF(AND(J254&lt;&gt;"Complétée",J254&lt;&gt;"Abandonnée",Q254&lt;&gt;"",TODAY()&gt;Q254),"En retard",""))</f>
        <v/>
      </c>
      <c r="V254" s="37" t="inlineStr">
        <is>
          <t>Réunion direction / précisions du chef de projet, 12/09/2026. Lot et preuves : docs/PLAN_EXECUTION.md. Charge initiale estimée ; dates des versions maintenues.</t>
        </is>
      </c>
    </row>
    <row r="255">
      <c r="B255" s="36" t="inlineStr">
        <is>
          <t>V1-108</t>
        </is>
      </c>
      <c r="C255" s="36" t="inlineStr">
        <is>
          <t>V1</t>
        </is>
      </c>
      <c r="D255" s="36" t="inlineStr">
        <is>
          <t>OPS</t>
        </is>
      </c>
      <c r="E255" s="37" t="inlineStr">
        <is>
          <t>Conception</t>
        </is>
      </c>
      <c r="F255" s="37" t="inlineStr">
        <is>
          <t>Dimensionnement du serveur dédié et demande d'accès pour DealPME et les services associés</t>
        </is>
      </c>
      <c r="G255" s="37" t="inlineStr">
        <is>
          <t>Spécifications et enveloppe stockage/sauvegarde envoyées et validées ; accès, DNS et isolation par service confirmés ; charge ASR/agents distinguée du serveur applicatif</t>
        </is>
      </c>
      <c r="H255" s="38" t="n">
        <v>2</v>
      </c>
      <c r="I255" s="36" t="inlineStr">
        <is>
          <t>Haute</t>
        </is>
      </c>
      <c r="J255" s="36" t="inlineStr">
        <is>
          <t>À faire</t>
        </is>
      </c>
      <c r="K255" s="39" t="n"/>
      <c r="L255" s="16">
        <f>IF($B255="","",IF(J255="Complétée",1,IF(J255="Abandonnée",0,IF(K255&lt;&gt;"",K255,IFERROR(VLOOKUP(J255,Parametres!$B$6:$C$12,2,FALSE),0)))))</f>
        <v/>
      </c>
      <c r="M255" s="15">
        <f>IF($B255="","",IF(J255="Abandonnée",0,H255))</f>
        <v/>
      </c>
      <c r="N255" s="15">
        <f>IF($B255="","",M255*L255)</f>
        <v/>
      </c>
      <c r="O255" s="37" t="inlineStr">
        <is>
          <t>Abdou-Raouf</t>
        </is>
      </c>
      <c r="P255" s="40" t="n">
        <v>46279</v>
      </c>
      <c r="Q255" s="40" t="n">
        <v>46283</v>
      </c>
      <c r="R255" s="40" t="n"/>
      <c r="S255" s="37" t="inlineStr">
        <is>
          <t>A19 : serveur dédié ; V1-009</t>
        </is>
      </c>
      <c r="T255" s="36" t="inlineStr">
        <is>
          <t>Oui</t>
        </is>
      </c>
      <c r="U255" s="13">
        <f>IF($B255="","",IF(AND(J255&lt;&gt;"Complétée",J255&lt;&gt;"Abandonnée",Q255&lt;&gt;"",TODAY()&gt;Q255),"En retard",""))</f>
        <v/>
      </c>
      <c r="V255" s="37" t="inlineStr">
        <is>
          <t>Réunion direction / précisions du chef de projet, 12/09/2026. Lot et preuves : docs/PLAN_EXECUTION.md. Charge initiale estimée ; dates des versions maintenues.</t>
        </is>
      </c>
    </row>
    <row r="256">
      <c r="B256" s="36" t="inlineStr">
        <is>
          <t>V2-047</t>
        </is>
      </c>
      <c r="C256" s="36" t="inlineStr">
        <is>
          <t>V2</t>
        </is>
      </c>
      <c r="D256" s="36" t="inlineStr">
        <is>
          <t>CNX</t>
        </is>
      </c>
      <c r="E256" s="37" t="inlineStr">
        <is>
          <t>Réunions et comptes rendus</t>
        </is>
      </c>
      <c r="F256" s="37" t="inlineStr">
        <is>
          <t>Mini-réunions privées depuis un dossier avec plusieurs repreneurs invités</t>
        </is>
      </c>
      <c r="G256" s="37" t="inlineStr">
        <is>
          <t>Création depuis le dossier ; invitations nominatives, consentement à visibilité mutuelle ; qualification/RPS/NDA selon palier ; accès revérifié à l'entrée ; révocation testée ; aucun listing public</t>
        </is>
      </c>
      <c r="H256" s="38" t="n">
        <v>6</v>
      </c>
      <c r="I256" s="36" t="inlineStr">
        <is>
          <t>Haute</t>
        </is>
      </c>
      <c r="J256" s="36" t="inlineStr">
        <is>
          <t>Backlog</t>
        </is>
      </c>
      <c r="K256" s="39" t="n"/>
      <c r="L256" s="16">
        <f>IF($B256="","",IF(J256="Complétée",1,IF(J256="Abandonnée",0,IF(K256&lt;&gt;"",K256,IFERROR(VLOOKUP(J256,Parametres!$B$6:$C$12,2,FALSE),0)))))</f>
        <v/>
      </c>
      <c r="M256" s="15">
        <f>IF($B256="","",IF(J256="Abandonnée",0,H256))</f>
        <v/>
      </c>
      <c r="N256" s="15">
        <f>IF($B256="","",M256*L256)</f>
        <v/>
      </c>
      <c r="O256" s="37" t="inlineStr">
        <is>
          <t>Abdou-Raouf</t>
        </is>
      </c>
      <c r="P256" s="40" t="n">
        <v>46328</v>
      </c>
      <c r="Q256" s="40" t="n">
        <v>46339</v>
      </c>
      <c r="R256" s="40" t="n"/>
      <c r="S256" s="37" t="inlineStr">
        <is>
          <t>V2-045 ; V2-046 ; V2-025 ; V1-106</t>
        </is>
      </c>
      <c r="T256" s="36" t="inlineStr">
        <is>
          <t>Oui</t>
        </is>
      </c>
      <c r="U256" s="13">
        <f>IF($B256="","",IF(AND(J256&lt;&gt;"Complétée",J256&lt;&gt;"Abandonnée",Q256&lt;&gt;"",TODAY()&gt;Q256),"En retard",""))</f>
        <v/>
      </c>
      <c r="V256" s="37" t="inlineStr">
        <is>
          <t>Réunion direction / précisions du chef de projet, 12/09/2026. Lot et preuves : docs/PLAN_EXECUTION.md. Charge initiale estimée ; dates des versions maintenues.</t>
        </is>
      </c>
    </row>
    <row r="257">
      <c r="B257" s="36" t="inlineStr">
        <is>
          <t>V2-048</t>
        </is>
      </c>
      <c r="C257" s="36" t="inlineStr">
        <is>
          <t>V2</t>
        </is>
      </c>
      <c r="D257" s="36" t="inlineStr">
        <is>
          <t>CNX</t>
        </is>
      </c>
      <c r="E257" s="37" t="inlineStr">
        <is>
          <t>Réunions et comptes rendus</t>
        </is>
      </c>
      <c r="F257" s="37" t="inlineStr">
        <is>
          <t>Connecteur réutilisable d'agent de réunion et captation résiliente</t>
        </is>
      </c>
      <c r="G257" s="37" t="inlineStr">
        <is>
          <t>Agent admis uniquement aux sessions autorisées ; états connecté/captation/partiel/échec ; reprise bornée, dédoublonnage, arrêt et couverture testés ; adaptateur réellement éprouvé sur la plateforme retenue</t>
        </is>
      </c>
      <c r="H257" s="38" t="n">
        <v>8</v>
      </c>
      <c r="I257" s="36" t="inlineStr">
        <is>
          <t>Haute</t>
        </is>
      </c>
      <c r="J257" s="36" t="inlineStr">
        <is>
          <t>Backlog</t>
        </is>
      </c>
      <c r="K257" s="39" t="n"/>
      <c r="L257" s="16">
        <f>IF($B257="","",IF(J257="Complétée",1,IF(J257="Abandonnée",0,IF(K257&lt;&gt;"",K257,IFERROR(VLOOKUP(J257,Parametres!$B$6:$C$12,2,FALSE),0)))))</f>
        <v/>
      </c>
      <c r="M257" s="15">
        <f>IF($B257="","",IF(J257="Abandonnée",0,H257))</f>
        <v/>
      </c>
      <c r="N257" s="15">
        <f>IF($B257="","",M257*L257)</f>
        <v/>
      </c>
      <c r="O257" s="37" t="inlineStr">
        <is>
          <t>Abdou-Raouf</t>
        </is>
      </c>
      <c r="P257" s="40" t="n">
        <v>46311</v>
      </c>
      <c r="Q257" s="40" t="n">
        <v>46330</v>
      </c>
      <c r="R257" s="40" t="n"/>
      <c r="S257" s="37" t="inlineStr">
        <is>
          <t>V1-107 ; A17 ; A21</t>
        </is>
      </c>
      <c r="T257" s="36" t="inlineStr">
        <is>
          <t>Oui</t>
        </is>
      </c>
      <c r="U257" s="13">
        <f>IF($B257="","",IF(AND(J257&lt;&gt;"Complétée",J257&lt;&gt;"Abandonnée",Q257&lt;&gt;"",TODAY()&gt;Q257),"En retard",""))</f>
        <v/>
      </c>
      <c r="V257" s="37" t="inlineStr">
        <is>
          <t>Réunion direction / précisions du chef de projet, 12/09/2026. Lot et preuves : docs/PLAN_EXECUTION.md. Charge initiale estimée ; dates des versions maintenues.</t>
        </is>
      </c>
    </row>
    <row r="258">
      <c r="B258" s="36" t="inlineStr">
        <is>
          <t>V2-049</t>
        </is>
      </c>
      <c r="C258" s="36" t="inlineStr">
        <is>
          <t>V2</t>
        </is>
      </c>
      <c r="D258" s="36" t="inlineStr">
        <is>
          <t>CNX</t>
        </is>
      </c>
      <c r="E258" s="37" t="inlineStr">
        <is>
          <t>Réunions et comptes rendus</t>
        </is>
      </c>
      <c r="F258" s="37" t="inlineStr">
        <is>
          <t>Transcription et compte rendu de contenu : sources, revue et distribution ciblée</t>
        </is>
      </c>
      <c r="G258" s="37" t="inlineStr">
        <is>
          <t>Segments horodatés et couverture visibles ; résumé sourcé avec moteur autorisé ; brouillon puis revue ; seuls participants autorisés reçoivent le lien ; import de transcript distingué du live</t>
        </is>
      </c>
      <c r="H258" s="38" t="n">
        <v>6</v>
      </c>
      <c r="I258" s="36" t="inlineStr">
        <is>
          <t>Haute</t>
        </is>
      </c>
      <c r="J258" s="36" t="inlineStr">
        <is>
          <t>Backlog</t>
        </is>
      </c>
      <c r="K258" s="39" t="n"/>
      <c r="L258" s="16">
        <f>IF($B258="","",IF(J258="Complétée",1,IF(J258="Abandonnée",0,IF(K258&lt;&gt;"",K258,IFERROR(VLOOKUP(J258,Parametres!$B$6:$C$12,2,FALSE),0)))))</f>
        <v/>
      </c>
      <c r="M258" s="15">
        <f>IF($B258="","",IF(J258="Abandonnée",0,H258))</f>
        <v/>
      </c>
      <c r="N258" s="15">
        <f>IF($B258="","",M258*L258)</f>
        <v/>
      </c>
      <c r="O258" s="37" t="inlineStr">
        <is>
          <t>Abdou-Raouf</t>
        </is>
      </c>
      <c r="P258" s="40" t="n">
        <v>46330</v>
      </c>
      <c r="Q258" s="40" t="n">
        <v>46344</v>
      </c>
      <c r="R258" s="40" t="n"/>
      <c r="S258" s="37" t="inlineStr">
        <is>
          <t>V2-048 ; V1-093 ; A21 : traitement audio et résumé</t>
        </is>
      </c>
      <c r="T258" s="36" t="inlineStr">
        <is>
          <t>Oui</t>
        </is>
      </c>
      <c r="U258" s="13">
        <f>IF($B258="","",IF(AND(J258&lt;&gt;"Complétée",J258&lt;&gt;"Abandonnée",Q258&lt;&gt;"",TODAY()&gt;Q258),"En retard",""))</f>
        <v/>
      </c>
      <c r="V258" s="37" t="inlineStr">
        <is>
          <t>Réunion direction / précisions du chef de projet, 12/09/2026. Lot et preuves : docs/PLAN_EXECUTION.md. Charge initiale estimée ; dates des versions maintenues.</t>
        </is>
      </c>
    </row>
    <row r="259">
      <c r="B259" s="36" t="inlineStr">
        <is>
          <t>V2-050</t>
        </is>
      </c>
      <c r="C259" s="36" t="inlineStr">
        <is>
          <t>V2</t>
        </is>
      </c>
      <c r="D259" s="36" t="inlineStr">
        <is>
          <t>OPS</t>
        </is>
      </c>
      <c r="E259" s="37" t="inlineStr">
        <is>
          <t>QA et sécurité</t>
        </is>
      </c>
      <c r="F259" s="37" t="inlineStr">
        <is>
          <t>Recette des agents et rapports : injections, permissions, révocation et reprises</t>
        </is>
      </c>
      <c r="G259" s="37" t="inlineStr">
        <is>
          <t>Une instruction dans un transcript ne change ni outils ni destinataires ; aucune fuite inter-session/produit ; révocation effective ; pannes audio/IA, sources manquantes et double envoi testés</t>
        </is>
      </c>
      <c r="H259" s="38" t="n">
        <v>4</v>
      </c>
      <c r="I259" s="36" t="inlineStr">
        <is>
          <t>Haute</t>
        </is>
      </c>
      <c r="J259" s="36" t="inlineStr">
        <is>
          <t>Backlog</t>
        </is>
      </c>
      <c r="K259" s="39" t="n"/>
      <c r="L259" s="16">
        <f>IF($B259="","",IF(J259="Complétée",1,IF(J259="Abandonnée",0,IF(K259&lt;&gt;"",K259,IFERROR(VLOOKUP(J259,Parametres!$B$6:$C$12,2,FALSE),0)))))</f>
        <v/>
      </c>
      <c r="M259" s="15">
        <f>IF($B259="","",IF(J259="Abandonnée",0,H259))</f>
        <v/>
      </c>
      <c r="N259" s="15">
        <f>IF($B259="","",M259*L259)</f>
        <v/>
      </c>
      <c r="O259" s="37" t="inlineStr">
        <is>
          <t>Abdou-Raouf</t>
        </is>
      </c>
      <c r="P259" s="40" t="n">
        <v>46344</v>
      </c>
      <c r="Q259" s="40" t="n">
        <v>46350</v>
      </c>
      <c r="R259" s="40" t="n"/>
      <c r="S259" s="37" t="inlineStr">
        <is>
          <t>V2-047 ; V2-048 ; V2-049</t>
        </is>
      </c>
      <c r="T259" s="36" t="inlineStr">
        <is>
          <t>Oui</t>
        </is>
      </c>
      <c r="U259" s="13">
        <f>IF($B259="","",IF(AND(J259&lt;&gt;"Complétée",J259&lt;&gt;"Abandonnée",Q259&lt;&gt;"",TODAY()&gt;Q259),"En retard",""))</f>
        <v/>
      </c>
      <c r="V259" s="37" t="inlineStr">
        <is>
          <t>Réunion direction / précisions du chef de projet, 12/09/2026. Lot et preuves : docs/PLAN_EXECUTION.md. Charge initiale estimée ; dates des versions maintenues.</t>
        </is>
      </c>
    </row>
    <row r="260">
      <c r="B260" s="36" t="inlineStr">
        <is>
          <t>V3-048</t>
        </is>
      </c>
      <c r="C260" s="36" t="inlineStr">
        <is>
          <t>V3</t>
        </is>
      </c>
      <c r="D260" s="36" t="inlineStr">
        <is>
          <t>LEG</t>
        </is>
      </c>
      <c r="E260" s="37" t="inlineStr">
        <is>
          <t>Catalogue de services</t>
        </is>
      </c>
      <c r="F260" s="37" t="inlineStr">
        <is>
          <t>Catalogue de services et prestataires avec TaxeFacile sélectionnable</t>
        </is>
      </c>
      <c r="G260" s="37" t="inlineStr">
        <is>
          <t>Service accessible depuis DealPME ; fiche, périmètre, prestataire, état de disponibilité et parcours de demande ; responsabilités du prestataire visibles ; aucune prestation fictive présentée comme exécutée</t>
        </is>
      </c>
      <c r="H260" s="38" t="n">
        <v>5</v>
      </c>
      <c r="I260" s="36" t="inlineStr">
        <is>
          <t>Haute</t>
        </is>
      </c>
      <c r="J260" s="36" t="inlineStr">
        <is>
          <t>Backlog</t>
        </is>
      </c>
      <c r="K260" s="39" t="n"/>
      <c r="L260" s="16">
        <f>IF($B260="","",IF(J260="Complétée",1,IF(J260="Abandonnée",0,IF(K260&lt;&gt;"",K260,IFERROR(VLOOKUP(J260,Parametres!$B$6:$C$12,2,FALSE),0)))))</f>
        <v/>
      </c>
      <c r="M260" s="15">
        <f>IF($B260="","",IF(J260="Abandonnée",0,H260))</f>
        <v/>
      </c>
      <c r="N260" s="15">
        <f>IF($B260="","",M260*L260)</f>
        <v/>
      </c>
      <c r="O260" s="37" t="inlineStr">
        <is>
          <t>Abdou-Raouf</t>
        </is>
      </c>
      <c r="P260" s="40" t="n">
        <v>46352</v>
      </c>
      <c r="Q260" s="40" t="n">
        <v>46364</v>
      </c>
      <c r="R260" s="40" t="n"/>
      <c r="S260" s="37" t="inlineStr">
        <is>
          <t>A06 ; A20 ; V3-049</t>
        </is>
      </c>
      <c r="T260" s="36" t="inlineStr">
        <is>
          <t>Oui</t>
        </is>
      </c>
      <c r="U260" s="13">
        <f>IF($B260="","",IF(AND(J260&lt;&gt;"Complétée",J260&lt;&gt;"Abandonnée",Q260&lt;&gt;"",TODAY()&gt;Q260),"En retard",""))</f>
        <v/>
      </c>
      <c r="V260" s="37" t="inlineStr">
        <is>
          <t>Réunion direction / précisions du chef de projet, 12/09/2026. Lot et preuves : docs/PLAN_EXECUTION.md. Charge initiale estimée ; dates des versions maintenues.</t>
        </is>
      </c>
    </row>
    <row r="261">
      <c r="B261" s="36" t="inlineStr">
        <is>
          <t>V3-049</t>
        </is>
      </c>
      <c r="C261" s="36" t="inlineStr">
        <is>
          <t>V3</t>
        </is>
      </c>
      <c r="D261" s="36" t="inlineStr">
        <is>
          <t>EXP</t>
        </is>
      </c>
      <c r="E261" s="37" t="inlineStr">
        <is>
          <t>Catalogue de services</t>
        </is>
      </c>
      <c r="F261" s="37" t="inlineStr">
        <is>
          <t>Référentiel commun des prestataires : inscription, screening, validation et publication du profil</t>
        </is>
      </c>
      <c r="G261" s="37" t="inlineStr">
        <is>
          <t>Identité/organisation réutilisées ; un profil prestataire de référence ; soumission, compléments, acceptation/refus, publication et suspension tracés ; liaison aux missions Experts V4 sans duplication</t>
        </is>
      </c>
      <c r="H261" s="38" t="n">
        <v>6</v>
      </c>
      <c r="I261" s="36" t="inlineStr">
        <is>
          <t>Haute</t>
        </is>
      </c>
      <c r="J261" s="36" t="inlineStr">
        <is>
          <t>Backlog</t>
        </is>
      </c>
      <c r="K261" s="39" t="n"/>
      <c r="L261" s="16">
        <f>IF($B261="","",IF(J261="Complétée",1,IF(J261="Abandonnée",0,IF(K261&lt;&gt;"",K261,IFERROR(VLOOKUP(J261,Parametres!$B$6:$C$12,2,FALSE),0)))))</f>
        <v/>
      </c>
      <c r="M261" s="15">
        <f>IF($B261="","",IF(J261="Abandonnée",0,H261))</f>
        <v/>
      </c>
      <c r="N261" s="15">
        <f>IF($B261="","",M261*L261)</f>
        <v/>
      </c>
      <c r="O261" s="37" t="inlineStr">
        <is>
          <t>Abdou-Raouf</t>
        </is>
      </c>
      <c r="P261" s="40" t="n">
        <v>46352</v>
      </c>
      <c r="Q261" s="40" t="n">
        <v>46360</v>
      </c>
      <c r="R261" s="40" t="n"/>
      <c r="S261" s="37" t="inlineStr">
        <is>
          <t>V2-046 ; A04 ; A20</t>
        </is>
      </c>
      <c r="T261" s="36" t="inlineStr">
        <is>
          <t>Oui</t>
        </is>
      </c>
      <c r="U261" s="13">
        <f>IF($B261="","",IF(AND(J261&lt;&gt;"Complétée",J261&lt;&gt;"Abandonnée",Q261&lt;&gt;"",TODAY()&gt;Q261),"En retard",""))</f>
        <v/>
      </c>
      <c r="V261" s="37" t="inlineStr">
        <is>
          <t>Réunion direction / précisions du chef de projet, 12/09/2026. Lot et preuves : docs/PLAN_EXECUTION.md. Charge initiale estimée ; dates des versions maintenues.</t>
        </is>
      </c>
    </row>
    <row r="262">
      <c r="B262" s="36" t="inlineStr">
        <is>
          <t>V3-050</t>
        </is>
      </c>
      <c r="C262" s="36" t="inlineStr">
        <is>
          <t>V3</t>
        </is>
      </c>
      <c r="D262" s="36" t="inlineStr">
        <is>
          <t>LEG</t>
        </is>
      </c>
      <c r="E262" s="37" t="inlineStr">
        <is>
          <t>Catalogue de services</t>
        </is>
      </c>
      <c r="F262" s="37" t="inlineStr">
        <is>
          <t>Parcours TaxeFacile : contrat d'échange, demande et suivi de prestation</t>
        </is>
      </c>
      <c r="G262" s="37" t="inlineStr">
        <is>
          <t>De la sélection au retour de statut ; API/SSO ou renvoi contrôlé selon capacités confirmées ; références et consentement tracés ; refus/panne testés ; données métier isolées sur hébergement mutualisé</t>
        </is>
      </c>
      <c r="H262" s="38" t="n">
        <v>5</v>
      </c>
      <c r="I262" s="36" t="inlineStr">
        <is>
          <t>Haute</t>
        </is>
      </c>
      <c r="J262" s="36" t="inlineStr">
        <is>
          <t>Backlog</t>
        </is>
      </c>
      <c r="K262" s="39" t="n"/>
      <c r="L262" s="16">
        <f>IF($B262="","",IF(J262="Complétée",1,IF(J262="Abandonnée",0,IF(K262&lt;&gt;"",K262,IFERROR(VLOOKUP(J262,Parametres!$B$6:$C$12,2,FALSE),0)))))</f>
        <v/>
      </c>
      <c r="M262" s="15">
        <f>IF($B262="","",IF(J262="Abandonnée",0,H262))</f>
        <v/>
      </c>
      <c r="N262" s="15">
        <f>IF($B262="","",M262*L262)</f>
        <v/>
      </c>
      <c r="O262" s="37" t="inlineStr">
        <is>
          <t>Abdou-Raouf</t>
        </is>
      </c>
      <c r="P262" s="40" t="n">
        <v>46364</v>
      </c>
      <c r="Q262" s="40" t="n">
        <v>46374</v>
      </c>
      <c r="R262" s="40" t="n"/>
      <c r="S262" s="37" t="inlineStr">
        <is>
          <t>V3-048 ; A20 ; V1-108</t>
        </is>
      </c>
      <c r="T262" s="36" t="inlineStr">
        <is>
          <t>Oui</t>
        </is>
      </c>
      <c r="U262" s="13">
        <f>IF($B262="","",IF(AND(J262&lt;&gt;"Complétée",J262&lt;&gt;"Abandonnée",Q262&lt;&gt;"",TODAY()&gt;Q262),"En retard",""))</f>
        <v/>
      </c>
      <c r="V262" s="37" t="inlineStr">
        <is>
          <t>Réunion direction / précisions du chef de projet, 12/09/2026. Lot et preuves : docs/PLAN_EXECUTION.md. Charge initiale estimée ; dates des versions maintenues.</t>
        </is>
      </c>
    </row>
    <row r="263">
      <c r="B263" s="36" t="inlineStr">
        <is>
          <t>V4-026</t>
        </is>
      </c>
      <c r="C263" s="36" t="inlineStr">
        <is>
          <t>V4</t>
        </is>
      </c>
      <c r="D263" s="36" t="inlineStr">
        <is>
          <t>CNX</t>
        </is>
      </c>
      <c r="E263" s="37" t="inlineStr">
        <is>
          <t>Deal-Connect</t>
        </is>
      </c>
      <c r="F263" s="37" t="inlineStr">
        <is>
          <t>Comptes rendus de contenu par session de salon et distribution aux participants concernés</t>
        </is>
      </c>
      <c r="G263" s="37" t="inlineStr">
        <is>
          <t>Présence par session vérifiée ; rapports sourcés et validés diffusés selon droits/préférences ; contenu d'une autre table absent ; couverture partielle explicitée ; statistiques P20 conservées séparément</t>
        </is>
      </c>
      <c r="H263" s="38" t="n">
        <v>5</v>
      </c>
      <c r="I263" s="36" t="inlineStr">
        <is>
          <t>Haute</t>
        </is>
      </c>
      <c r="J263" s="36" t="inlineStr">
        <is>
          <t>Backlog</t>
        </is>
      </c>
      <c r="K263" s="39" t="n"/>
      <c r="L263" s="16">
        <f>IF($B263="","",IF(J263="Complétée",1,IF(J263="Abandonnée",0,IF(K263&lt;&gt;"",K263,IFERROR(VLOOKUP(J263,Parametres!$B$6:$C$12,2,FALSE),0)))))</f>
        <v/>
      </c>
      <c r="M263" s="15">
        <f>IF($B263="","",IF(J263="Abandonnée",0,H263))</f>
        <v/>
      </c>
      <c r="N263" s="15">
        <f>IF($B263="","",M263*L263)</f>
        <v/>
      </c>
      <c r="O263" s="37" t="inlineStr">
        <is>
          <t>Abdou-Raouf</t>
        </is>
      </c>
      <c r="P263" s="40" t="n">
        <v>46405</v>
      </c>
      <c r="Q263" s="40" t="n">
        <v>46416</v>
      </c>
      <c r="R263" s="40" t="n"/>
      <c r="S263" s="37" t="inlineStr">
        <is>
          <t>V2-049 ; V2-050 ; connecteur sessions qualifié</t>
        </is>
      </c>
      <c r="T263" s="36" t="inlineStr">
        <is>
          <t>Oui</t>
        </is>
      </c>
      <c r="U263" s="13">
        <f>IF($B263="","",IF(AND(J263&lt;&gt;"Complétée",J263&lt;&gt;"Abandonnée",Q263&lt;&gt;"",TODAY()&gt;Q263),"En retard",""))</f>
        <v/>
      </c>
      <c r="V263" s="37" t="inlineStr">
        <is>
          <t>Réunion direction / précisions du chef de projet, 12/09/2026. Lot et preuves : docs/PLAN_EXECUTION.md. Charge initiale estimée ; dates des versions maintenues.</t>
        </is>
      </c>
    </row>
    <row r="264">
      <c r="B264" s="36" t="inlineStr">
        <is>
          <t>V1-109</t>
        </is>
      </c>
      <c r="C264" s="36" t="inlineStr">
        <is>
          <t>V1</t>
        </is>
      </c>
      <c r="D264" s="36" t="inlineStr">
        <is>
          <t>GOV</t>
        </is>
      </c>
      <c r="E264" s="37" t="inlineStr">
        <is>
          <t>Espace CCI-Togo</t>
        </is>
      </c>
      <c r="F264" s="37" t="inlineStr">
        <is>
          <t>Mock CFE/RCCM local et bascule API activée ou validation manuelle complète</t>
        </is>
      </c>
      <c r="G264" s="37" t="inlineStr">
        <is>
          <t>API désactivée : zéro appel réseau et décisions manuelles motivées ; API active/mock : trouvé, absent, divergent, 429/5xx/timeout ; provenance conservée ; remplacement par adaptateur réel ; aucune certification automatique</t>
        </is>
      </c>
      <c r="H264" s="38" t="n">
        <v>4</v>
      </c>
      <c r="I264" s="36" t="inlineStr">
        <is>
          <t>Haute</t>
        </is>
      </c>
      <c r="J264" s="36" t="inlineStr">
        <is>
          <t>À faire</t>
        </is>
      </c>
      <c r="K264" s="39" t="n"/>
      <c r="L264" s="16">
        <f>IF($B264="","",IF(J264="Complétée",1,IF(J264="Abandonnée",0,IF(K264&lt;&gt;"",K264,IFERROR(VLOOKUP(J264,Parametres!$B$6:$C$12,2,FALSE),0)))))</f>
        <v/>
      </c>
      <c r="M264" s="15">
        <f>IF($B264="","",IF(J264="Abandonnée",0,H264))</f>
        <v/>
      </c>
      <c r="N264" s="15">
        <f>IF($B264="","",M264*L264)</f>
        <v/>
      </c>
      <c r="O264" s="37" t="inlineStr">
        <is>
          <t>Abdou-Raouf</t>
        </is>
      </c>
      <c r="P264" s="40" t="n">
        <v>46286</v>
      </c>
      <c r="Q264" s="40" t="n">
        <v>46293</v>
      </c>
      <c r="R264" s="40" t="n"/>
      <c r="S264" s="37" t="inlineStr">
        <is>
          <t>V1-035 ; V1-091 ; D10</t>
        </is>
      </c>
      <c r="T264" s="36" t="inlineStr">
        <is>
          <t>Oui</t>
        </is>
      </c>
      <c r="U264" s="13">
        <f>IF($B264="","",IF(AND(J264&lt;&gt;"Complétée",J264&lt;&gt;"Abandonnée",Q264&lt;&gt;"",TODAY()&gt;Q264),"En retard",""))</f>
        <v/>
      </c>
      <c r="V264" s="37" t="inlineStr">
        <is>
          <t>Réunion direction / précisions du chef de projet, 12/09/2026. Lot et preuves : docs/PLAN_EXECUTION.md. Charge initiale estimée ; dates des versions maintenues.</t>
        </is>
      </c>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7.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18" t="inlineStr">
        <is>
          <t>FOND</t>
        </is>
      </c>
      <c r="C6" s="18" t="inlineStr">
        <is>
          <t>Fondations : modèle de données et bifurcation actif / titre</t>
        </is>
      </c>
      <c r="D6" s="43" t="inlineStr">
        <is>
          <t>Socle V0</t>
        </is>
      </c>
      <c r="E6" s="18" t="inlineStr">
        <is>
          <t>-</t>
        </is>
      </c>
      <c r="F6" s="18" t="inlineStr">
        <is>
          <t>V1</t>
        </is>
      </c>
      <c r="G6" s="44">
        <f>SUMIF(Taches!$D$6:$D$325,$B6,Taches!$M$6:$M$325)</f>
        <v/>
      </c>
      <c r="H6" s="15">
        <f>SUMIF(Taches!$D$6:$D$325,$B6,Taches!$N$6:$N$325)</f>
        <v/>
      </c>
      <c r="I6" s="16">
        <f>IF(G6=0,0,H6/G6)</f>
        <v/>
      </c>
      <c r="J6" s="12">
        <f>COUNTIFS(Taches!$D$6:$D$325,$B6,Taches!$J$6:$J$325,"&lt;&gt;Abandonnée",Taches!$B$6:$B$325,"&lt;&gt;")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18" t="inlineStr">
        <is>
          <t>TRV</t>
        </is>
      </c>
      <c r="C7" s="18" t="inlineStr">
        <is>
          <t>Transverse technique : infra, CI, design system, QA</t>
        </is>
      </c>
      <c r="D7" s="43" t="inlineStr">
        <is>
          <t>Socle V0</t>
        </is>
      </c>
      <c r="E7" s="18" t="inlineStr">
        <is>
          <t>-</t>
        </is>
      </c>
      <c r="F7" s="18" t="inlineStr">
        <is>
          <t>V1</t>
        </is>
      </c>
      <c r="G7" s="44">
        <f>SUMIF(Taches!$D$6:$D$325,$B7,Taches!$M$6:$M$325)</f>
        <v/>
      </c>
      <c r="H7" s="15">
        <f>SUMIF(Taches!$D$6:$D$325,$B7,Taches!$N$6:$N$325)</f>
        <v/>
      </c>
      <c r="I7" s="16">
        <f>IF(G7=0,0,H7/G7)</f>
        <v/>
      </c>
      <c r="J7" s="12">
        <f>COUNTIFS(Taches!$D$6:$D$325,$B7,Taches!$J$6:$J$325,"&lt;&gt;Abandonnée",Taches!$B$6:$B$325,"&lt;&gt;")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18" t="inlineStr">
        <is>
          <t>IDN</t>
        </is>
      </c>
      <c r="C8" s="18" t="inlineStr">
        <is>
          <t>Identité, abonnement et facturation</t>
        </is>
      </c>
      <c r="D8" s="43" t="inlineStr">
        <is>
          <t>Socle V0</t>
        </is>
      </c>
      <c r="E8" s="18" t="inlineStr">
        <is>
          <t>P08</t>
        </is>
      </c>
      <c r="F8" s="18" t="inlineStr">
        <is>
          <t>V1</t>
        </is>
      </c>
      <c r="G8" s="44">
        <f>SUMIF(Taches!$D$6:$D$325,$B8,Taches!$M$6:$M$325)</f>
        <v/>
      </c>
      <c r="H8" s="15">
        <f>SUMIF(Taches!$D$6:$D$325,$B8,Taches!$N$6:$N$325)</f>
        <v/>
      </c>
      <c r="I8" s="16">
        <f>IF(G8=0,0,H8/G8)</f>
        <v/>
      </c>
      <c r="J8" s="12">
        <f>COUNTIFS(Taches!$D$6:$D$325,$B8,Taches!$J$6:$J$325,"&lt;&gt;Abandonnée",Taches!$B$6:$B$325,"&lt;&gt;")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18" t="inlineStr">
        <is>
          <t>GOV</t>
        </is>
      </c>
      <c r="C9" s="18" t="inlineStr">
        <is>
          <t>Console institutionnelle CCI-Togo et gouvernance</t>
        </is>
      </c>
      <c r="D9" s="43" t="inlineStr">
        <is>
          <t>Socle V0</t>
        </is>
      </c>
      <c r="E9" s="18" t="inlineStr">
        <is>
          <t>P22</t>
        </is>
      </c>
      <c r="F9" s="18" t="inlineStr">
        <is>
          <t>V1</t>
        </is>
      </c>
      <c r="G9" s="44">
        <f>SUMIF(Taches!$D$6:$D$325,$B9,Taches!$M$6:$M$325)</f>
        <v/>
      </c>
      <c r="H9" s="15">
        <f>SUMIF(Taches!$D$6:$D$325,$B9,Taches!$N$6:$N$325)</f>
        <v/>
      </c>
      <c r="I9" s="16">
        <f>IF(G9=0,0,H9/G9)</f>
        <v/>
      </c>
      <c r="J9" s="12">
        <f>COUNTIFS(Taches!$D$6:$D$325,$B9,Taches!$J$6:$J$325,"&lt;&gt;Abandonnée",Taches!$B$6:$B$325,"&lt;&gt;")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18" t="inlineStr">
        <is>
          <t>CCI</t>
        </is>
      </c>
      <c r="C10" s="18" t="inlineStr">
        <is>
          <t>Deal-Ready : certification CCI-Togo</t>
        </is>
      </c>
      <c r="D10" s="43" t="inlineStr">
        <is>
          <t>Socle V0</t>
        </is>
      </c>
      <c r="E10" s="18" t="inlineStr">
        <is>
          <t>P06</t>
        </is>
      </c>
      <c r="F10" s="18" t="inlineStr">
        <is>
          <t>V1</t>
        </is>
      </c>
      <c r="G10" s="44">
        <f>SUMIF(Taches!$D$6:$D$325,$B10,Taches!$M$6:$M$325)</f>
        <v/>
      </c>
      <c r="H10" s="15">
        <f>SUMIF(Taches!$D$6:$D$325,$B10,Taches!$N$6:$N$325)</f>
        <v/>
      </c>
      <c r="I10" s="16">
        <f>IF(G10=0,0,H10/G10)</f>
        <v/>
      </c>
      <c r="J10" s="12">
        <f>COUNTIFS(Taches!$D$6:$D$325,$B10,Taches!$J$6:$J$325,"&lt;&gt;Abandonnée",Taches!$B$6:$B$325,"&lt;&gt;")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18" t="inlineStr">
        <is>
          <t>MKT</t>
        </is>
      </c>
      <c r="C11" s="18" t="inlineStr">
        <is>
          <t>Pass Transmission : dossier cédant, marketplace, évaluation indicative</t>
        </is>
      </c>
      <c r="D11" s="43" t="inlineStr">
        <is>
          <t>Socle V0</t>
        </is>
      </c>
      <c r="E11" s="18" t="inlineStr">
        <is>
          <t>P04, P05, P09</t>
        </is>
      </c>
      <c r="F11" s="18" t="inlineStr">
        <is>
          <t>V1</t>
        </is>
      </c>
      <c r="G11" s="44">
        <f>SUMIF(Taches!$D$6:$D$325,$B11,Taches!$M$6:$M$325)</f>
        <v/>
      </c>
      <c r="H11" s="15">
        <f>SUMIF(Taches!$D$6:$D$325,$B11,Taches!$N$6:$N$325)</f>
        <v/>
      </c>
      <c r="I11" s="16">
        <f>IF(G11=0,0,H11/G11)</f>
        <v/>
      </c>
      <c r="J11" s="12">
        <f>COUNTIFS(Taches!$D$6:$D$325,$B11,Taches!$J$6:$J$325,"&lt;&gt;Abandonnée",Taches!$B$6:$B$325,"&lt;&gt;")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18" t="inlineStr">
        <is>
          <t>RPS</t>
        </is>
      </c>
      <c r="C12" s="18" t="inlineStr">
        <is>
          <t>Regulatory Perimeter Service : divulgation T0/T1/T2</t>
        </is>
      </c>
      <c r="D12" s="43" t="inlineStr">
        <is>
          <t>Socle V0</t>
        </is>
      </c>
      <c r="E12" s="18" t="inlineStr">
        <is>
          <t>P07, P10</t>
        </is>
      </c>
      <c r="F12" s="18" t="inlineStr">
        <is>
          <t>V1 (démo) / V2 (réel)</t>
        </is>
      </c>
      <c r="G12" s="44">
        <f>SUMIF(Taches!$D$6:$D$325,$B12,Taches!$M$6:$M$325)</f>
        <v/>
      </c>
      <c r="H12" s="15">
        <f>SUMIF(Taches!$D$6:$D$325,$B12,Taches!$N$6:$N$325)</f>
        <v/>
      </c>
      <c r="I12" s="16">
        <f>IF(G12=0,0,H12/G12)</f>
        <v/>
      </c>
      <c r="J12" s="12">
        <f>COUNTIFS(Taches!$D$6:$D$325,$B12,Taches!$J$6:$J$325,"&lt;&gt;Abandonnée",Taches!$B$6:$B$325,"&lt;&gt;")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18" t="inlineStr">
        <is>
          <t>SIG</t>
        </is>
      </c>
      <c r="C13" s="18" t="inlineStr">
        <is>
          <t>Signature électronique et preuve</t>
        </is>
      </c>
      <c r="D13" s="45" t="inlineStr">
        <is>
          <t>Partenaire-dépendant</t>
        </is>
      </c>
      <c r="E13" s="18" t="inlineStr">
        <is>
          <t>P11</t>
        </is>
      </c>
      <c r="F13" s="18" t="inlineStr">
        <is>
          <t>V2</t>
        </is>
      </c>
      <c r="G13" s="44">
        <f>SUMIF(Taches!$D$6:$D$325,$B13,Taches!$M$6:$M$325)</f>
        <v/>
      </c>
      <c r="H13" s="15">
        <f>SUMIF(Taches!$D$6:$D$325,$B13,Taches!$N$6:$N$325)</f>
        <v/>
      </c>
      <c r="I13" s="16">
        <f>IF(G13=0,0,H13/G13)</f>
        <v/>
      </c>
      <c r="J13" s="12">
        <f>COUNTIFS(Taches!$D$6:$D$325,$B13,Taches!$J$6:$J$325,"&lt;&gt;Abandonnée",Taches!$B$6:$B$325,"&lt;&gt;")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18" t="inlineStr">
        <is>
          <t>VDR</t>
        </is>
      </c>
      <c r="C14" s="18" t="inlineStr">
        <is>
          <t>Data room et questions-réponses</t>
        </is>
      </c>
      <c r="D14" s="43" t="inlineStr">
        <is>
          <t>Socle V0</t>
        </is>
      </c>
      <c r="E14" s="18" t="inlineStr">
        <is>
          <t>P12</t>
        </is>
      </c>
      <c r="F14" s="18" t="inlineStr">
        <is>
          <t>V2</t>
        </is>
      </c>
      <c r="G14" s="44">
        <f>SUMIF(Taches!$D$6:$D$325,$B14,Taches!$M$6:$M$325)</f>
        <v/>
      </c>
      <c r="H14" s="15">
        <f>SUMIF(Taches!$D$6:$D$325,$B14,Taches!$N$6:$N$325)</f>
        <v/>
      </c>
      <c r="I14" s="16">
        <f>IF(G14=0,0,H14/G14)</f>
        <v/>
      </c>
      <c r="J14" s="12">
        <f>COUNTIFS(Taches!$D$6:$D$325,$B14,Taches!$J$6:$J$325,"&lt;&gt;Abandonnée",Taches!$B$6:$B$325,"&lt;&gt;")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18" t="inlineStr">
        <is>
          <t>NEG</t>
        </is>
      </c>
      <c r="C15" s="18" t="inlineStr">
        <is>
          <t>Négociation : offre, LOI, audit d'acquisition</t>
        </is>
      </c>
      <c r="D15" s="43" t="inlineStr">
        <is>
          <t>Socle V0</t>
        </is>
      </c>
      <c r="E15" s="18" t="inlineStr">
        <is>
          <t>P14, P15</t>
        </is>
      </c>
      <c r="F15" s="18" t="inlineStr">
        <is>
          <t>V3</t>
        </is>
      </c>
      <c r="G15" s="44">
        <f>SUMIF(Taches!$D$6:$D$325,$B15,Taches!$M$6:$M$325)</f>
        <v/>
      </c>
      <c r="H15" s="15">
        <f>SUMIF(Taches!$D$6:$D$325,$B15,Taches!$N$6:$N$325)</f>
        <v/>
      </c>
      <c r="I15" s="16">
        <f>IF(G15=0,0,H15/G15)</f>
        <v/>
      </c>
      <c r="J15" s="12">
        <f>COUNTIFS(Taches!$D$6:$D$325,$B15,Taches!$J$6:$J$325,"&lt;&gt;Abandonnée",Taches!$B$6:$B$325,"&lt;&gt;")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18" t="inlineStr">
        <is>
          <t>REA</t>
        </is>
      </c>
      <c r="C16" s="18" t="inlineStr">
        <is>
          <t>Réalisation et traçabilité de la transmission</t>
        </is>
      </c>
      <c r="D16" s="43" t="inlineStr">
        <is>
          <t>Socle V0</t>
        </is>
      </c>
      <c r="E16" s="18" t="inlineStr">
        <is>
          <t>P16</t>
        </is>
      </c>
      <c r="F16" s="18" t="inlineStr">
        <is>
          <t>V3</t>
        </is>
      </c>
      <c r="G16" s="44">
        <f>SUMIF(Taches!$D$6:$D$325,$B16,Taches!$M$6:$M$325)</f>
        <v/>
      </c>
      <c r="H16" s="15">
        <f>SUMIF(Taches!$D$6:$D$325,$B16,Taches!$N$6:$N$325)</f>
        <v/>
      </c>
      <c r="I16" s="16">
        <f>IF(G16=0,0,H16/G16)</f>
        <v/>
      </c>
      <c r="J16" s="12">
        <f>COUNTIFS(Taches!$D$6:$D$325,$B16,Taches!$J$6:$J$325,"&lt;&gt;Abandonnée",Taches!$B$6:$B$325,"&lt;&gt;")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18" t="inlineStr">
        <is>
          <t>LEG</t>
        </is>
      </c>
      <c r="C17" s="18" t="inlineStr">
        <is>
          <t>LegalTech OHADA et conformité fiscale</t>
        </is>
      </c>
      <c r="D17" s="45" t="inlineStr">
        <is>
          <t>Partenaire-dépendant</t>
        </is>
      </c>
      <c r="E17" s="18" t="inlineStr">
        <is>
          <t>P19</t>
        </is>
      </c>
      <c r="F17" s="18" t="inlineStr">
        <is>
          <t>V3</t>
        </is>
      </c>
      <c r="G17" s="44">
        <f>SUMIF(Taches!$D$6:$D$325,$B17,Taches!$M$6:$M$325)</f>
        <v/>
      </c>
      <c r="H17" s="15">
        <f>SUMIF(Taches!$D$6:$D$325,$B17,Taches!$N$6:$N$325)</f>
        <v/>
      </c>
      <c r="I17" s="16">
        <f>IF(G17=0,0,H17/G17)</f>
        <v/>
      </c>
      <c r="J17" s="12">
        <f>COUNTIFS(Taches!$D$6:$D$325,$B17,Taches!$J$6:$J$325,"&lt;&gt;Abandonnée",Taches!$B$6:$B$325,"&lt;&gt;")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TaxeFacile confirmé comme service par la direction ; contrat d'intégration à cadrer (A20)</t>
        </is>
      </c>
    </row>
    <row r="18">
      <c r="B18" s="18" t="inlineStr">
        <is>
          <t>FIN</t>
        </is>
      </c>
      <c r="C18" s="18" t="inlineStr">
        <is>
          <t>Finance : frais, rétrocession CCI, reporting</t>
        </is>
      </c>
      <c r="D18" s="43" t="inlineStr">
        <is>
          <t>Socle V0</t>
        </is>
      </c>
      <c r="E18" s="18" t="inlineStr">
        <is>
          <t>P24</t>
        </is>
      </c>
      <c r="F18" s="18" t="inlineStr">
        <is>
          <t>V3</t>
        </is>
      </c>
      <c r="G18" s="44">
        <f>SUMIF(Taches!$D$6:$D$325,$B18,Taches!$M$6:$M$325)</f>
        <v/>
      </c>
      <c r="H18" s="15">
        <f>SUMIF(Taches!$D$6:$D$325,$B18,Taches!$N$6:$N$325)</f>
        <v/>
      </c>
      <c r="I18" s="16">
        <f>IF(G18=0,0,H18/G18)</f>
        <v/>
      </c>
      <c r="J18" s="12">
        <f>COUNTIFS(Taches!$D$6:$D$325,$B18,Taches!$J$6:$J$325,"&lt;&gt;Abandonnée",Taches!$B$6:$B$325,"&lt;&gt;")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18" t="inlineStr">
        <is>
          <t>SUP</t>
        </is>
      </c>
      <c r="C19" s="18" t="inlineStr">
        <is>
          <t>Support et accès privilégiés</t>
        </is>
      </c>
      <c r="D19" s="43" t="inlineStr">
        <is>
          <t>Socle V0</t>
        </is>
      </c>
      <c r="E19" s="18" t="inlineStr">
        <is>
          <t>P23</t>
        </is>
      </c>
      <c r="F19" s="18" t="inlineStr">
        <is>
          <t>V3</t>
        </is>
      </c>
      <c r="G19" s="44">
        <f>SUMIF(Taches!$D$6:$D$325,$B19,Taches!$M$6:$M$325)</f>
        <v/>
      </c>
      <c r="H19" s="15">
        <f>SUMIF(Taches!$D$6:$D$325,$B19,Taches!$N$6:$N$325)</f>
        <v/>
      </c>
      <c r="I19" s="16">
        <f>IF(G19=0,0,H19/G19)</f>
        <v/>
      </c>
      <c r="J19" s="12">
        <f>COUNTIFS(Taches!$D$6:$D$325,$B19,Taches!$J$6:$J$325,"&lt;&gt;Abandonnée",Taches!$B$6:$B$325,"&lt;&gt;")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18" t="inlineStr">
        <is>
          <t>OPS</t>
        </is>
      </c>
      <c r="C20" s="18" t="inlineStr">
        <is>
          <t>Exploitation, sécurité, continuité (SLA 99,5 %)</t>
        </is>
      </c>
      <c r="D20" s="43" t="inlineStr">
        <is>
          <t>Socle V0</t>
        </is>
      </c>
      <c r="E20" s="18" t="inlineStr">
        <is>
          <t>P25</t>
        </is>
      </c>
      <c r="F20" s="18" t="inlineStr">
        <is>
          <t>V1 (base) / V3 (durci)</t>
        </is>
      </c>
      <c r="G20" s="44">
        <f>SUMIF(Taches!$D$6:$D$325,$B20,Taches!$M$6:$M$325)</f>
        <v/>
      </c>
      <c r="H20" s="15">
        <f>SUMIF(Taches!$D$6:$D$325,$B20,Taches!$N$6:$N$325)</f>
        <v/>
      </c>
      <c r="I20" s="16">
        <f>IF(G20=0,0,H20/G20)</f>
        <v/>
      </c>
      <c r="J20" s="12">
        <f>COUNTIFS(Taches!$D$6:$D$325,$B20,Taches!$J$6:$J$325,"&lt;&gt;Abandonnée",Taches!$B$6:$B$325,"&lt;&gt;")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18" t="inlineStr">
        <is>
          <t>REB</t>
        </is>
      </c>
      <c r="C21" s="18" t="inlineStr">
        <is>
          <t>Alerte &amp; Rebond : entreprises en difficulté</t>
        </is>
      </c>
      <c r="D21" s="43" t="inlineStr">
        <is>
          <t>Socle V0</t>
        </is>
      </c>
      <c r="E21" s="18" t="inlineStr">
        <is>
          <t>P17, P18</t>
        </is>
      </c>
      <c r="F21" s="18" t="inlineStr">
        <is>
          <t>V4</t>
        </is>
      </c>
      <c r="G21" s="44">
        <f>SUMIF(Taches!$D$6:$D$325,$B21,Taches!$M$6:$M$325)</f>
        <v/>
      </c>
      <c r="H21" s="15">
        <f>SUMIF(Taches!$D$6:$D$325,$B21,Taches!$N$6:$N$325)</f>
        <v/>
      </c>
      <c r="I21" s="16">
        <f>IF(G21=0,0,H21/G21)</f>
        <v/>
      </c>
      <c r="J21" s="12">
        <f>COUNTIFS(Taches!$D$6:$D$325,$B21,Taches!$J$6:$J$325,"&lt;&gt;Abandonnée",Taches!$B$6:$B$325,"&lt;&gt;")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18" t="inlineStr">
        <is>
          <t>CNX</t>
        </is>
      </c>
      <c r="C22" s="18" t="inlineStr">
        <is>
          <t>Deal-Connect : événements B2B (Remo.co)</t>
        </is>
      </c>
      <c r="D22" s="43" t="inlineStr">
        <is>
          <t>Socle V0</t>
        </is>
      </c>
      <c r="E22" s="18" t="inlineStr">
        <is>
          <t>P20</t>
        </is>
      </c>
      <c r="F22" s="18" t="inlineStr">
        <is>
          <t>V4</t>
        </is>
      </c>
      <c r="G22" s="44">
        <f>SUMIF(Taches!$D$6:$D$325,$B22,Taches!$M$6:$M$325)</f>
        <v/>
      </c>
      <c r="H22" s="15">
        <f>SUMIF(Taches!$D$6:$D$325,$B22,Taches!$N$6:$N$325)</f>
        <v/>
      </c>
      <c r="I22" s="16">
        <f>IF(G22=0,0,H22/G22)</f>
        <v/>
      </c>
      <c r="J22" s="12">
        <f>COUNTIFS(Taches!$D$6:$D$325,$B22,Taches!$J$6:$J$325,"&lt;&gt;Abandonnée",Taches!$B$6:$B$325,"&lt;&gt;")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18" t="inlineStr">
        <is>
          <t>DIA</t>
        </is>
      </c>
      <c r="C23" s="18" t="inlineStr">
        <is>
          <t>Guichet Diaspora et investissement</t>
        </is>
      </c>
      <c r="D23" s="43" t="inlineStr">
        <is>
          <t>Socle V0</t>
        </is>
      </c>
      <c r="E23" s="18" t="inlineStr">
        <is>
          <t>P21</t>
        </is>
      </c>
      <c r="F23" s="18" t="inlineStr">
        <is>
          <t>V4</t>
        </is>
      </c>
      <c r="G23" s="44">
        <f>SUMIF(Taches!$D$6:$D$325,$B23,Taches!$M$6:$M$325)</f>
        <v/>
      </c>
      <c r="H23" s="15">
        <f>SUMIF(Taches!$D$6:$D$325,$B23,Taches!$N$6:$N$325)</f>
        <v/>
      </c>
      <c r="I23" s="16">
        <f>IF(G23=0,0,H23/G23)</f>
        <v/>
      </c>
      <c r="J23" s="12">
        <f>COUNTIFS(Taches!$D$6:$D$325,$B23,Taches!$J$6:$J$325,"&lt;&gt;Abandonnée",Taches!$B$6:$B$325,"&lt;&gt;")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18" t="inlineStr">
        <is>
          <t>EXP</t>
        </is>
      </c>
      <c r="C24" s="18" t="inlineStr">
        <is>
          <t>Deal-Experts : mobilisation d'expert indépendant</t>
        </is>
      </c>
      <c r="D24" s="43" t="inlineStr">
        <is>
          <t>Socle V0</t>
        </is>
      </c>
      <c r="E24" s="18" t="inlineStr">
        <is>
          <t>P13</t>
        </is>
      </c>
      <c r="F24" s="18" t="inlineStr">
        <is>
          <t>V4</t>
        </is>
      </c>
      <c r="G24" s="44">
        <f>SUMIF(Taches!$D$6:$D$325,$B24,Taches!$M$6:$M$325)</f>
        <v/>
      </c>
      <c r="H24" s="15">
        <f>SUMIF(Taches!$D$6:$D$325,$B24,Taches!$N$6:$N$325)</f>
        <v/>
      </c>
      <c r="I24" s="16">
        <f>IF(G24=0,0,H24/G24)</f>
        <v/>
      </c>
      <c r="J24" s="12">
        <f>COUNTIFS(Taches!$D$6:$D$325,$B24,Taches!$J$6:$J$325,"&lt;&gt;Abandonnée",Taches!$B$6:$B$325,"&lt;&gt;")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Référentiel p. 23-24 : socle contractuel art. 12.3 ; articulation avec les besoins experts V2/V3 à confirmer (A04)</t>
        </is>
      </c>
    </row>
    <row r="25">
      <c r="B25" s="18" t="inlineStr">
        <is>
          <t>VDR-IA</t>
        </is>
      </c>
      <c r="C25" s="18" t="inlineStr">
        <is>
          <t>VDR Intelligence : DealLens et surfaces de diligence</t>
        </is>
      </c>
      <c r="D25" s="46" t="inlineStr">
        <is>
          <t>Extension conçue, non prod</t>
        </is>
      </c>
      <c r="E25" s="18" t="inlineStr">
        <is>
          <t>-</t>
        </is>
      </c>
      <c r="F25" s="18" t="inlineStr">
        <is>
          <t>V5</t>
        </is>
      </c>
      <c r="G25" s="44">
        <f>SUMIF(Taches!$D$6:$D$325,$B25,Taches!$M$6:$M$325)</f>
        <v/>
      </c>
      <c r="H25" s="15">
        <f>SUMIF(Taches!$D$6:$D$325,$B25,Taches!$N$6:$N$325)</f>
        <v/>
      </c>
      <c r="I25" s="16">
        <f>IF(G25=0,0,H25/G25)</f>
        <v/>
      </c>
      <c r="J25" s="12">
        <f>COUNTIFS(Taches!$D$6:$D$325,$B25,Taches!$J$6:$J$325,"&lt;&gt;Abandonnée",Taches!$B$6:$B$325,"&lt;&gt;")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9.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18" t="inlineStr">
        <is>
          <t>V1</t>
        </is>
      </c>
      <c r="C6" s="18"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18" t="inlineStr">
        <is>
          <t>V2</t>
        </is>
      </c>
      <c r="C7" s="18" t="inlineStr">
        <is>
          <t>Cession de titres en cercle restreint (RPS réel), signature électronique, data room et Q&amp;R</t>
        </is>
      </c>
      <c r="D7" s="40" t="n">
        <v>46311</v>
      </c>
      <c r="E7" s="40" t="n">
        <v>46351</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18" t="inlineStr">
        <is>
          <t>V3</t>
        </is>
      </c>
      <c r="C8" s="18" t="inlineStr">
        <is>
          <t>Négociation et réalisation, LegalTech OHADA, Finance et rétrocession, support, fermeture des portes de conformité</t>
        </is>
      </c>
      <c r="D8" s="40" t="n">
        <v>46352</v>
      </c>
      <c r="E8" s="40" t="n">
        <v>46386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18" t="inlineStr">
        <is>
          <t>V4</t>
        </is>
      </c>
      <c r="C9" s="18" t="inlineStr">
        <is>
          <t>Alerte &amp; Rebond, Deal-Connect (Remo.co), Guichet Diaspora, Deal-Experts</t>
        </is>
      </c>
      <c r="D9" s="40" t="n">
        <v>46387</v>
      </c>
      <c r="E9" s="40" t="n">
        <v>46423</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18" t="inlineStr">
        <is>
          <t>V5</t>
        </is>
      </c>
      <c r="C10" s="18" t="inlineStr">
        <is>
          <t>VDR Intelligence : DealLens, Evidence Map, Issue Radar, Clean Team</t>
        </is>
      </c>
      <c r="D10" s="40" t="n">
        <v>46424</v>
      </c>
      <c r="E10" s="40" t="n">
        <v>46446</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10.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1.xml><?xml version="1.0" encoding="utf-8"?>
<worksheet xmlns="http://schemas.openxmlformats.org/spreadsheetml/2006/main">
  <sheetPr>
    <tabColor rgb="00B07A2B"/>
    <outlinePr summaryBelow="1" summaryRight="1"/>
    <pageSetUpPr/>
  </sheetPr>
  <dimension ref="B2:K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18"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18" t="inlineStr">
        <is>
          <t>Conditionne la tenue du périmètre V1</t>
        </is>
      </c>
    </row>
    <row r="7">
      <c r="B7" s="54" t="inlineStr">
        <is>
          <t>J02</t>
        </is>
      </c>
      <c r="C7" s="18"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18" t="inlineStr">
        <is>
          <t>Sinon saisie manuelle supervisée</t>
        </is>
      </c>
    </row>
    <row r="8">
      <c r="B8" s="54" t="inlineStr">
        <is>
          <t>J03</t>
        </is>
      </c>
      <c r="C8" s="18"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18" t="inlineStr">
        <is>
          <t>Plus aucun ajout après cette date</t>
        </is>
      </c>
    </row>
    <row r="9">
      <c r="B9" s="54" t="inlineStr">
        <is>
          <t>J04</t>
        </is>
      </c>
      <c r="C9" s="18"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18" t="inlineStr">
        <is>
          <t>Proposition Bouley à confirmer</t>
        </is>
      </c>
    </row>
    <row r="10">
      <c r="B10" s="54" t="inlineStr">
        <is>
          <t>J05</t>
        </is>
      </c>
      <c r="C10" s="18"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18" t="inlineStr">
        <is>
          <t>Zéro anomalie bloquante ; QA du 13 au 15/10</t>
        </is>
      </c>
    </row>
    <row r="11">
      <c r="B11" s="54" t="inlineStr">
        <is>
          <t>J06</t>
        </is>
      </c>
      <c r="C11" s="18"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18" t="inlineStr">
        <is>
          <t>Le développement s'arrête, la QA prend le relais du 13 au 15/10</t>
        </is>
      </c>
    </row>
    <row r="12">
      <c r="B12" s="54" t="inlineStr">
        <is>
          <t>J07</t>
        </is>
      </c>
      <c r="C12" s="18"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18" t="inlineStr">
        <is>
          <t>Échéance ferme</t>
        </is>
      </c>
    </row>
    <row r="13">
      <c r="B13" s="54" t="inlineStr">
        <is>
          <t>J08</t>
        </is>
      </c>
      <c r="C13" s="18"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18" t="inlineStr">
        <is>
          <t>Bloquant pour l'intégration NDA</t>
        </is>
      </c>
    </row>
    <row r="14">
      <c r="B14" s="54" t="inlineStr">
        <is>
          <t>J19</t>
        </is>
      </c>
      <c r="C14" s="18" t="inlineStr">
        <is>
          <t>Pentest indépendant commandé</t>
        </is>
      </c>
      <c r="D14" s="54" t="inlineStr">
        <is>
          <t>V2</t>
        </is>
      </c>
      <c r="E14" s="40" t="n">
        <v>46336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18" t="inlineStr">
        <is>
          <t>Doit être réalisé avant la fermeture des portes en V3</t>
        </is>
      </c>
    </row>
    <row r="15">
      <c r="B15" s="54" t="inlineStr">
        <is>
          <t>J09</t>
        </is>
      </c>
      <c r="C15" s="18" t="inlineStr">
        <is>
          <t>Livraison V2</t>
        </is>
      </c>
      <c r="D15" s="54" t="inlineStr">
        <is>
          <t>V2</t>
        </is>
      </c>
      <c r="E15" s="40" t="n">
        <v>46351</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18" t="inlineStr">
        <is>
          <t>Date fixée le 10/09/2026</t>
        </is>
      </c>
    </row>
    <row r="16">
      <c r="B16" s="54" t="inlineStr">
        <is>
          <t>J10</t>
        </is>
      </c>
      <c r="C16" s="18" t="inlineStr">
        <is>
          <t>Avis juridique écrit sur le RPS et le barème de frais</t>
        </is>
      </c>
      <c r="D16" s="54" t="inlineStr">
        <is>
          <t>V3</t>
        </is>
      </c>
      <c r="E16" s="40" t="n">
        <v>46367</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18" t="inlineStr">
        <is>
          <t>Conditionne l'activation du barème</t>
        </is>
      </c>
    </row>
    <row r="17">
      <c r="B17" s="54" t="inlineStr">
        <is>
          <t>J11</t>
        </is>
      </c>
      <c r="C17" s="18" t="inlineStr">
        <is>
          <t>Pentest indépendant réalisé et remédié</t>
        </is>
      </c>
      <c r="D17" s="54" t="inlineStr">
        <is>
          <t>V3</t>
        </is>
      </c>
      <c r="E17" s="40" t="n">
        <v>46374</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18" t="inlineStr">
        <is>
          <t>Porte G10</t>
        </is>
      </c>
    </row>
    <row r="18">
      <c r="B18" s="54" t="inlineStr">
        <is>
          <t>J12</t>
        </is>
      </c>
      <c r="C18" s="18" t="inlineStr">
        <is>
          <t>Portes de conformité G1 à G10 fermées</t>
        </is>
      </c>
      <c r="D18" s="54" t="inlineStr">
        <is>
          <t>V3</t>
        </is>
      </c>
      <c r="E18" s="40" t="n">
        <v>46379</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18" t="inlineStr">
        <is>
          <t>Condition de lancement commercial</t>
        </is>
      </c>
    </row>
    <row r="19">
      <c r="B19" s="54" t="inlineStr">
        <is>
          <t>J13</t>
        </is>
      </c>
      <c r="C19" s="18" t="inlineStr">
        <is>
          <t>Livraison V3</t>
        </is>
      </c>
      <c r="D19" s="54" t="inlineStr">
        <is>
          <t>V3</t>
        </is>
      </c>
      <c r="E19" s="40" t="n">
        <v>46386</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18" t="inlineStr">
        <is>
          <t>Date fixée le 10/09/2026</t>
        </is>
      </c>
    </row>
    <row r="20">
      <c r="B20" s="54" t="inlineStr">
        <is>
          <t>J14</t>
        </is>
      </c>
      <c r="C20" s="18" t="inlineStr">
        <is>
          <t>Cadrage de l'intégration Remo.co validé</t>
        </is>
      </c>
      <c r="D20" s="54" t="inlineStr">
        <is>
          <t>V1</t>
        </is>
      </c>
      <c r="E20" s="40" t="n">
        <v>46283</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18" t="inlineStr">
        <is>
          <t>Bloque le connecteur Remo</t>
        </is>
      </c>
    </row>
    <row r="21">
      <c r="B21" s="54" t="inlineStr">
        <is>
          <t>J15</t>
        </is>
      </c>
      <c r="C21" s="18" t="inlineStr">
        <is>
          <t>Livraison V4</t>
        </is>
      </c>
      <c r="D21" s="54" t="inlineStr">
        <is>
          <t>V4</t>
        </is>
      </c>
      <c r="E21" s="40" t="n">
        <v>46423</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18" t="inlineStr">
        <is>
          <t>Date fixée le 10/09/2026</t>
        </is>
      </c>
    </row>
    <row r="22">
      <c r="B22" s="54" t="inlineStr">
        <is>
          <t>J16</t>
        </is>
      </c>
      <c r="C22" s="18" t="inlineStr">
        <is>
          <t>Contrat fournisseur IA signé</t>
        </is>
      </c>
      <c r="D22" s="54" t="inlineStr">
        <is>
          <t>V5</t>
        </is>
      </c>
      <c r="E22" s="40" t="n">
        <v>46402</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18" t="inlineStr">
        <is>
          <t>Bloquant pour DealLens ; consultation à lancer dès V2</t>
        </is>
      </c>
    </row>
    <row r="23">
      <c r="B23" s="54" t="inlineStr">
        <is>
          <t>J17</t>
        </is>
      </c>
      <c r="C23" s="18" t="inlineStr">
        <is>
          <t>Livraison V5</t>
        </is>
      </c>
      <c r="D23" s="54" t="inlineStr">
        <is>
          <t>V5</t>
        </is>
      </c>
      <c r="E23" s="40" t="n">
        <v>46446</v>
      </c>
      <c r="F23" s="37" t="inlineStr">
        <is>
          <t>À venir</t>
        </is>
      </c>
      <c r="G23" s="12">
        <f>IF(F23="Atteint","",E23-TODAY())</f>
        <v/>
      </c>
      <c r="H23" s="16">
        <f>IFERROR(VLOOKUP($D23,Versions!$B$6:$P$10,9,FALSE),0)</f>
        <v/>
      </c>
      <c r="I23" s="12">
        <f>IF(AND(F23&lt;&gt;"Atteint",F23&lt;&gt;"Abandonné",TODAY()&gt;E23),"Dépassé",IF(AND(F23&lt;&gt;"Atteint",F23&lt;&gt;"Abandonné",E23-TODAY()&lt;=7),"Cette semaine",""))</f>
        <v/>
      </c>
      <c r="J23" s="14">
        <f>IF(AND(F23&lt;&gt;"Atteint",F23&lt;&gt;"Abandonné",E23&gt;=TODAY()),E23,"")</f>
        <v/>
      </c>
      <c r="K23" s="18" t="inlineStr">
        <is>
          <t>Date fixée le 10/09/2026</t>
        </is>
      </c>
    </row>
    <row r="24">
      <c r="B24" s="54" t="inlineStr">
        <is>
          <t>J18</t>
        </is>
      </c>
      <c r="C24" s="18" t="inlineStr">
        <is>
          <t>Mise en service complète (lancement commercial)</t>
        </is>
      </c>
      <c r="D24" s="54" t="inlineStr">
        <is>
          <t>V5</t>
        </is>
      </c>
      <c r="E24" s="40" t="n">
        <v>46447</v>
      </c>
      <c r="F24" s="37" t="inlineStr">
        <is>
          <t>À venir</t>
        </is>
      </c>
      <c r="G24" s="12">
        <f>IF(F24="Atteint","",E24-TODAY())</f>
        <v/>
      </c>
      <c r="H24" s="16">
        <f>IFERROR(VLOOKUP($D24,Versions!$B$6:$P$10,9,FALSE),0)</f>
        <v/>
      </c>
      <c r="I24" s="12">
        <f>IF(AND(F24&lt;&gt;"Atteint",F24&lt;&gt;"Abandonné",TODAY()&gt;E24),"Dépassé",IF(AND(F24&lt;&gt;"Atteint",F24&lt;&gt;"Abandonné",E24-TODAY()&lt;=7),"Cette semaine",""))</f>
        <v/>
      </c>
      <c r="J24" s="14">
        <f>IF(AND(F24&lt;&gt;"Atteint",F24&lt;&gt;"Abandonné",E24&gt;=TODAY()),E24,"")</f>
        <v/>
      </c>
      <c r="K24" s="18" t="inlineStr">
        <is>
          <t>Exige les portes G1 à G10 fermées (J12) et le pentest remédié (J11)</t>
        </is>
      </c>
    </row>
  </sheetData>
  <conditionalFormatting sqref="I6:I24">
    <cfRule type="expression" priority="1" dxfId="1">
      <formula>I6="Dépassé"</formula>
    </cfRule>
    <cfRule type="expression" priority="2" dxfId="5">
      <formula>I6="Cette semaine"</formula>
    </cfRule>
  </conditionalFormatting>
  <conditionalFormatting sqref="F6:F24">
    <cfRule type="expression" priority="3" dxfId="2">
      <formula>F6="Atteint"</formula>
    </cfRule>
    <cfRule type="expression" priority="4" dxfId="5">
      <formula>F6="En risque"</formula>
    </cfRule>
  </conditionalFormatting>
  <dataValidations count="2">
    <dataValidation sqref="F6:F24" showDropDown="0" showInputMessage="0" showErrorMessage="0" allowBlank="1" type="list">
      <formula1>=Parametres!$N$6:$N$9</formula1>
    </dataValidation>
    <dataValidation sqref="D6:D24" showDropDown="0" showInputMessage="0" showErrorMessage="0" allowBlank="1" type="list">
      <formula1>=Parametres!$H$6:$H$10</formula1>
    </dataValidation>
  </dataValidations>
  <pageMargins left="0.75" right="0.75" top="1" bottom="1" header="0.5" footer="0.5"/>
</worksheet>
</file>

<file path=xl/worksheets/sheet12.xml><?xml version="1.0" encoding="utf-8"?>
<worksheet xmlns="http://schemas.openxmlformats.org/spreadsheetml/2006/main">
  <sheetPr>
    <tabColor rgb="008C3A3A"/>
    <outlinePr summaryBelow="1" summaryRight="1"/>
    <pageSetUpPr/>
  </sheetPr>
  <dimension ref="B2:L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18" t="inlineStr">
        <is>
          <t>Équipe de développement non confirmée ou sous-dimensionnée</t>
        </is>
      </c>
      <c r="D6" s="18" t="inlineStr">
        <is>
          <t>Organisation</t>
        </is>
      </c>
      <c r="E6" s="36" t="n">
        <v>4</v>
      </c>
      <c r="F6" s="36" t="n">
        <v>5</v>
      </c>
      <c r="G6" s="12">
        <f>E6*F6</f>
        <v/>
      </c>
      <c r="H6" s="12">
        <f>IF(G6&gt;=15,"Critique",IF(G6&gt;=8,"Élevé",IF(G6&gt;=4,"Moyen","Faible")))</f>
        <v/>
      </c>
      <c r="I6" s="54" t="inlineStr">
        <is>
          <t>V1</t>
        </is>
      </c>
      <c r="J6" s="18" t="inlineStr">
        <is>
          <t>Chef de projet</t>
        </is>
      </c>
      <c r="K6" s="18" t="inlineStr">
        <is>
          <t>Une seule personne enregistrée. Recalculer le reste à faire par version et affecter les responsables ; préserver les dates, soumettre toute coupe de périmètre à décision (A01). Ne pas retirer une démo RPS déjà construite.</t>
        </is>
      </c>
      <c r="L6" s="36" t="inlineStr">
        <is>
          <t>Ouvert</t>
        </is>
      </c>
    </row>
    <row r="7">
      <c r="B7" s="54" t="inlineStr">
        <is>
          <t>R02</t>
        </is>
      </c>
      <c r="C7" s="18" t="inlineStr">
        <is>
          <t>API CFE / RCCM indisponible ou non documentée</t>
        </is>
      </c>
      <c r="D7" s="18" t="inlineStr">
        <is>
          <t>Dépendance externe</t>
        </is>
      </c>
      <c r="E7" s="36" t="n">
        <v>3</v>
      </c>
      <c r="F7" s="36" t="n">
        <v>4</v>
      </c>
      <c r="G7" s="12">
        <f>E7*F7</f>
        <v/>
      </c>
      <c r="H7" s="12">
        <f>IF(G7&gt;=15,"Critique",IF(G7&gt;=8,"Élevé",IF(G7&gt;=4,"Moyen","Faible")))</f>
        <v/>
      </c>
      <c r="I7" s="54" t="inlineStr">
        <is>
          <t>V1</t>
        </is>
      </c>
      <c r="J7" s="18" t="inlineStr">
        <is>
          <t>Chef de projet</t>
        </is>
      </c>
      <c r="K7" s="18" t="inlineStr">
        <is>
          <t>V1-109 : mock HTTP pour avancer ; API désactivée = instruction manuelle ; contrat réel à qualifier sans modifier les parcours</t>
        </is>
      </c>
      <c r="L7" s="36" t="inlineStr">
        <is>
          <t>Ouvert</t>
        </is>
      </c>
    </row>
    <row r="8">
      <c r="B8" s="54" t="inlineStr">
        <is>
          <t>R03</t>
        </is>
      </c>
      <c r="C8" s="18" t="inlineStr">
        <is>
          <t>Designer UI/UX non disponible de bout en bout</t>
        </is>
      </c>
      <c r="D8" s="18" t="inlineStr">
        <is>
          <t>Organisation</t>
        </is>
      </c>
      <c r="E8" s="36" t="n">
        <v>3</v>
      </c>
      <c r="F8" s="36" t="n">
        <v>3</v>
      </c>
      <c r="G8" s="12">
        <f>E8*F8</f>
        <v/>
      </c>
      <c r="H8" s="12">
        <f>IF(G8&gt;=15,"Critique",IF(G8&gt;=8,"Élevé",IF(G8&gt;=4,"Moyen","Faible")))</f>
        <v/>
      </c>
      <c r="I8" s="54" t="inlineStr">
        <is>
          <t>V1</t>
        </is>
      </c>
      <c r="J8" s="18" t="inlineStr">
        <is>
          <t>M. Bruno</t>
        </is>
      </c>
      <c r="K8" s="18" t="inlineStr">
        <is>
          <t>Partir des références fournies ; proposer une revue ciblée au designer ; ses apports sont évalués avant intégration, sans bloquer le socle existant</t>
        </is>
      </c>
      <c r="L8" s="36" t="inlineStr">
        <is>
          <t>Ouvert</t>
        </is>
      </c>
    </row>
    <row r="9">
      <c r="B9" s="54" t="inlineStr">
        <is>
          <t>R04</t>
        </is>
      </c>
      <c r="C9" s="18" t="inlineStr">
        <is>
          <t>Périmètre V1 qui s'élargit pendant le mois</t>
        </is>
      </c>
      <c r="D9" s="18" t="inlineStr">
        <is>
          <t>Périmètre</t>
        </is>
      </c>
      <c r="E9" s="36" t="n">
        <v>4</v>
      </c>
      <c r="F9" s="36" t="n">
        <v>4</v>
      </c>
      <c r="G9" s="12">
        <f>E9*F9</f>
        <v/>
      </c>
      <c r="H9" s="12">
        <f>IF(G9&gt;=15,"Critique",IF(G9&gt;=8,"Élevé",IF(G9&gt;=4,"Moyen","Faible")))</f>
        <v/>
      </c>
      <c r="I9" s="54" t="inlineStr">
        <is>
          <t>V1</t>
        </is>
      </c>
      <c r="J9" s="18" t="inlineStr">
        <is>
          <t>Chef de projet</t>
        </is>
      </c>
      <c r="K9" s="18" t="inlineStr">
        <is>
          <t>Gel du périmètre à J03, toute demande passe par l'onglet Decisions</t>
        </is>
      </c>
      <c r="L9" s="36" t="inlineStr">
        <is>
          <t>Ouvert</t>
        </is>
      </c>
    </row>
    <row r="10">
      <c r="B10" s="54" t="inlineStr">
        <is>
          <t>R05</t>
        </is>
      </c>
      <c r="C10" s="18" t="inlineStr">
        <is>
          <t>Démonstration perçue comme un produit fini (sur-promesse)</t>
        </is>
      </c>
      <c r="D10" s="18" t="inlineStr">
        <is>
          <t>Communication</t>
        </is>
      </c>
      <c r="E10" s="36" t="n">
        <v>3</v>
      </c>
      <c r="F10" s="36" t="n">
        <v>4</v>
      </c>
      <c r="G10" s="12">
        <f>E10*F10</f>
        <v/>
      </c>
      <c r="H10" s="12">
        <f>IF(G10&gt;=15,"Critique",IF(G10&gt;=8,"Élevé",IF(G10&gt;=4,"Moyen","Faible")))</f>
        <v/>
      </c>
      <c r="I10" s="54" t="inlineStr">
        <is>
          <t>V1</t>
        </is>
      </c>
      <c r="J10" s="18" t="inlineStr">
        <is>
          <t>M. Bruno</t>
        </is>
      </c>
      <c r="K10" s="18" t="inlineStr">
        <is>
          <t>Note de cadrage V1, étiquette 'démonstration synthétique' sur chaque écran</t>
        </is>
      </c>
      <c r="L10" s="36" t="inlineStr">
        <is>
          <t>Ouvert</t>
        </is>
      </c>
    </row>
    <row r="11">
      <c r="B11" s="54" t="inlineStr">
        <is>
          <t>R06</t>
        </is>
      </c>
      <c r="C11" s="18" t="inlineStr">
        <is>
          <t>Prestataire de signature qualifiée non contractualisé à temps</t>
        </is>
      </c>
      <c r="D11" s="18" t="inlineStr">
        <is>
          <t>Dépendance externe</t>
        </is>
      </c>
      <c r="E11" s="36" t="n">
        <v>3</v>
      </c>
      <c r="F11" s="36" t="n">
        <v>4</v>
      </c>
      <c r="G11" s="12">
        <f>E11*F11</f>
        <v/>
      </c>
      <c r="H11" s="12">
        <f>IF(G11&gt;=15,"Critique",IF(G11&gt;=8,"Élevé",IF(G11&gt;=4,"Moyen","Faible")))</f>
        <v/>
      </c>
      <c r="I11" s="54" t="inlineStr">
        <is>
          <t>V2</t>
        </is>
      </c>
      <c r="J11" s="18" t="inlineStr">
        <is>
          <t>M. Bruno</t>
        </is>
      </c>
      <c r="K11" s="18" t="inlineStr">
        <is>
          <t>Lancer la consultation PSC/PSAE pendant V1 ; disposer d'un gabarit NDA revu en V2, sans attendre LegalTech V3 ; jalon J08 maintenu</t>
        </is>
      </c>
      <c r="L11" s="36" t="inlineStr">
        <is>
          <t>Ouvert</t>
        </is>
      </c>
    </row>
    <row r="12">
      <c r="B12" s="54" t="inlineStr">
        <is>
          <t>R07</t>
        </is>
      </c>
      <c r="C12" s="18" t="inlineStr">
        <is>
          <t>Retard des portes de conformité (IPDCP, DPO, pentest)</t>
        </is>
      </c>
      <c r="D12" s="18" t="inlineStr">
        <is>
          <t>Réglementaire</t>
        </is>
      </c>
      <c r="E12" s="36" t="n">
        <v>3</v>
      </c>
      <c r="F12" s="36" t="n">
        <v>5</v>
      </c>
      <c r="G12" s="12">
        <f>E12*F12</f>
        <v/>
      </c>
      <c r="H12" s="12">
        <f>IF(G12&gt;=15,"Critique",IF(G12&gt;=8,"Élevé",IF(G12&gt;=4,"Moyen","Faible")))</f>
        <v/>
      </c>
      <c r="I12" s="54" t="inlineStr">
        <is>
          <t>V3</t>
        </is>
      </c>
      <c r="J12" s="18" t="inlineStr">
        <is>
          <t>Conseil juridique / DPO</t>
        </is>
      </c>
      <c r="K12" s="18" t="inlineStr">
        <is>
          <t>Démarrer les démarches IPDCP pendant V2</t>
        </is>
      </c>
      <c r="L12" s="36" t="inlineStr">
        <is>
          <t>Ouvert</t>
        </is>
      </c>
    </row>
    <row r="13">
      <c r="B13" s="54" t="inlineStr">
        <is>
          <t>R08</t>
        </is>
      </c>
      <c r="C13" s="18" t="inlineStr">
        <is>
          <t>Contrat d'intégration TaxeFacile non défini</t>
        </is>
      </c>
      <c r="D13" s="18" t="inlineStr">
        <is>
          <t>Dépendance externe</t>
        </is>
      </c>
      <c r="E13" s="36" t="n">
        <v>3</v>
      </c>
      <c r="F13" s="36" t="n">
        <v>3</v>
      </c>
      <c r="G13" s="12">
        <f>E13*F13</f>
        <v/>
      </c>
      <c r="H13" s="12">
        <f>IF(G13&gt;=15,"Critique",IF(G13&gt;=8,"Élevé",IF(G13&gt;=4,"Moyen","Faible")))</f>
        <v/>
      </c>
      <c r="I13" s="54" t="inlineStr">
        <is>
          <t>V3</t>
        </is>
      </c>
      <c r="J13" s="18" t="inlineStr">
        <is>
          <t>M. Bruno</t>
        </is>
      </c>
      <c r="K13" s="18" t="inlineStr">
        <is>
          <t>Nom du service confirmé (A06) ; préciser API/SSO ou renvoi, demandes, statuts, responsabilités et isolation (A20 / V3-050)</t>
        </is>
      </c>
      <c r="L13" s="36" t="inlineStr">
        <is>
          <t>Ouvert</t>
        </is>
      </c>
    </row>
    <row r="14">
      <c r="B14" s="54" t="inlineStr">
        <is>
          <t>R09</t>
        </is>
      </c>
      <c r="C14" s="18" t="inlineStr">
        <is>
          <t>Périmètre de l'intégration Remo.co plus large que prévu</t>
        </is>
      </c>
      <c r="D14" s="18" t="inlineStr">
        <is>
          <t>Technique</t>
        </is>
      </c>
      <c r="E14" s="36" t="n">
        <v>3</v>
      </c>
      <c r="F14" s="36" t="n">
        <v>4</v>
      </c>
      <c r="G14" s="12">
        <f>E14*F14</f>
        <v/>
      </c>
      <c r="H14" s="12">
        <f>IF(G14&gt;=15,"Critique",IF(G14&gt;=8,"Élevé",IF(G14&gt;=4,"Moyen","Faible")))</f>
        <v/>
      </c>
      <c r="I14" s="54" t="inlineStr">
        <is>
          <t>V1</t>
        </is>
      </c>
      <c r="J14" s="18" t="inlineStr">
        <is>
          <t>Chef de projet</t>
        </is>
      </c>
      <c r="K14" s="18" t="inlineStr">
        <is>
          <t>V1-104 : tests des droits admin/API, limites, branding et enregistrements ; abonnement annoncé ne vaut pas contrat testé</t>
        </is>
      </c>
      <c r="L14" s="36" t="inlineStr">
        <is>
          <t>Ouvert</t>
        </is>
      </c>
    </row>
    <row r="15">
      <c r="B15" s="54" t="inlineStr">
        <is>
          <t>R10</t>
        </is>
      </c>
      <c r="C15" s="18" t="inlineStr">
        <is>
          <t>Fournisseur IA sans clauses de confidentialité acceptables</t>
        </is>
      </c>
      <c r="D15" s="18" t="inlineStr">
        <is>
          <t>Dépendance externe</t>
        </is>
      </c>
      <c r="E15" s="36" t="n">
        <v>3</v>
      </c>
      <c r="F15" s="36" t="n">
        <v>5</v>
      </c>
      <c r="G15" s="12">
        <f>E15*F15</f>
        <v/>
      </c>
      <c r="H15" s="12">
        <f>IF(G15&gt;=15,"Critique",IF(G15&gt;=8,"Élevé",IF(G15&gt;=4,"Moyen","Faible")))</f>
        <v/>
      </c>
      <c r="I15" s="54" t="inlineStr">
        <is>
          <t>V5</t>
        </is>
      </c>
      <c r="J15" s="18" t="inlineStr">
        <is>
          <t>Conseil juridique</t>
        </is>
      </c>
      <c r="K15" s="18" t="inlineStr">
        <is>
          <t>Consultation dès V2, clauses de non-réutilisation des données ; contrat attendu le 15/01/2027 (J16 et A08 alignés)</t>
        </is>
      </c>
      <c r="L15" s="36" t="inlineStr">
        <is>
          <t>Ouvert</t>
        </is>
      </c>
    </row>
    <row r="16">
      <c r="B16" s="54" t="inlineStr">
        <is>
          <t>R11</t>
        </is>
      </c>
      <c r="C16" s="18" t="inlineStr">
        <is>
          <t>Fuite de divulgation T0 / T1 sur un dossier titres en production</t>
        </is>
      </c>
      <c r="D16" s="18" t="inlineStr">
        <is>
          <t>Sécurité</t>
        </is>
      </c>
      <c r="E16" s="36" t="n">
        <v>2</v>
      </c>
      <c r="F16" s="36" t="n">
        <v>5</v>
      </c>
      <c r="G16" s="12">
        <f>E16*F16</f>
        <v/>
      </c>
      <c r="H16" s="12">
        <f>IF(G16&gt;=15,"Critique",IF(G16&gt;=8,"Élevé",IF(G16&gt;=4,"Moyen","Faible")))</f>
        <v/>
      </c>
      <c r="I16" s="54" t="inlineStr">
        <is>
          <t>V2</t>
        </is>
      </c>
      <c r="J16" s="18" t="inlineStr">
        <is>
          <t>Équipe de développement</t>
        </is>
      </c>
      <c r="K16" s="18" t="inlineStr">
        <is>
          <t>Allow-list serveur, tests DISCLOSURE_LEAK sur les 12 cas de référence</t>
        </is>
      </c>
      <c r="L16" s="36" t="inlineStr">
        <is>
          <t>Surveillé</t>
        </is>
      </c>
    </row>
    <row r="17">
      <c r="B17" s="54" t="inlineStr">
        <is>
          <t>R12</t>
        </is>
      </c>
      <c r="C17" s="18" t="inlineStr">
        <is>
          <t>Sur-ingénierie par rapport au plafond du pilote (2 000 comptes)</t>
        </is>
      </c>
      <c r="D17" s="18" t="inlineStr">
        <is>
          <t>Technique</t>
        </is>
      </c>
      <c r="E17" s="36" t="n">
        <v>2</v>
      </c>
      <c r="F17" s="36" t="n">
        <v>2</v>
      </c>
      <c r="G17" s="12">
        <f>E17*F17</f>
        <v/>
      </c>
      <c r="H17" s="12">
        <f>IF(G17&gt;=15,"Critique",IF(G17&gt;=8,"Élevé",IF(G17&gt;=4,"Moyen","Faible")))</f>
        <v/>
      </c>
      <c r="I17" s="54" t="inlineStr">
        <is>
          <t>V2</t>
        </is>
      </c>
      <c r="J17" s="18" t="inlineStr">
        <is>
          <t>Chef de projet</t>
        </is>
      </c>
      <c r="K17" s="18" t="inlineStr">
        <is>
          <t>Revue d'architecture à chaque version contre le plafond de capacité</t>
        </is>
      </c>
      <c r="L17" s="36" t="inlineStr">
        <is>
          <t>Surveillé</t>
        </is>
      </c>
    </row>
    <row r="18">
      <c r="B18" s="54" t="inlineStr">
        <is>
          <t>R14</t>
        </is>
      </c>
      <c r="C18" s="18" t="inlineStr">
        <is>
          <t>Calendrier V2 à V5 compressé (V5 : 153 j/p en trois semaines) avec lancement commercial au 01/03/2027</t>
        </is>
      </c>
      <c r="D18" s="18" t="inlineStr">
        <is>
          <t>Planning</t>
        </is>
      </c>
      <c r="E18" s="36" t="n">
        <v>4</v>
      </c>
      <c r="F18" s="36" t="n">
        <v>4</v>
      </c>
      <c r="G18" s="12">
        <f>E18*F18</f>
        <v/>
      </c>
      <c r="H18" s="12">
        <f>IF(G18&gt;=15,"Critique",IF(G18&gt;=8,"Élevé",IF(G18&gt;=4,"Moyen","Faible")))</f>
        <v/>
      </c>
      <c r="I18" s="54" t="inlineStr">
        <is>
          <t>V5</t>
        </is>
      </c>
      <c r="J18" s="18" t="inlineStr">
        <is>
          <t>Chef de projet</t>
        </is>
      </c>
      <c r="K18" s="18" t="inlineStr">
        <is>
          <t>Dimensionner l'équipe sur l'ETP requis affiché dans la feuille de route, ou déplacer les surfaces DealLens non essentielles après le lancement ; commander le pentest et le contrat IA dès V2</t>
        </is>
      </c>
      <c r="L18" s="36" t="inlineStr">
        <is>
          <t>Ouvert</t>
        </is>
      </c>
    </row>
    <row r="19">
      <c r="B19" s="54" t="inlineStr">
        <is>
          <t>R13</t>
        </is>
      </c>
      <c r="C19" s="18" t="inlineStr">
        <is>
          <t>Pentest indépendant reporté en V3 : la démonstration V1 tourne sans audit externe</t>
        </is>
      </c>
      <c r="D19" s="18" t="inlineStr">
        <is>
          <t>Sécurité</t>
        </is>
      </c>
      <c r="E19" s="36" t="n">
        <v>3</v>
      </c>
      <c r="F19" s="36" t="n">
        <v>4</v>
      </c>
      <c r="G19" s="12">
        <f>E19*F19</f>
        <v/>
      </c>
      <c r="H19" s="12">
        <f>IF(G19&gt;=15,"Critique",IF(G19&gt;=8,"Élevé",IF(G19&gt;=4,"Moyen","Faible")))</f>
        <v/>
      </c>
      <c r="I19" s="54" t="inlineStr">
        <is>
          <t>V1</t>
        </is>
      </c>
      <c r="J19" s="18" t="inlineStr">
        <is>
          <t>Chef de projet</t>
        </is>
      </c>
      <c r="K19" s="18" t="inlineStr">
        <is>
          <t>Revue de sécurité interne et scan de dépendances en V1 (lot Sécurité) ; aucun environnement accessible publiquement avant V3 ; commander le pentest dès V2</t>
        </is>
      </c>
      <c r="L19" s="36" t="inlineStr">
        <is>
          <t>Ouvert</t>
        </is>
      </c>
    </row>
    <row r="20">
      <c r="B20" s="54" t="inlineStr">
        <is>
          <t>R15</t>
        </is>
      </c>
      <c r="C20" s="18" t="inlineStr">
        <is>
          <t>Compléments d'intégration et de recette insuffisamment suivis</t>
        </is>
      </c>
      <c r="D20" s="18" t="inlineStr">
        <is>
          <t>Qualité du suivi</t>
        </is>
      </c>
      <c r="E20" s="36" t="n">
        <v>3</v>
      </c>
      <c r="F20" s="36" t="n">
        <v>4</v>
      </c>
      <c r="G20" s="12">
        <f>E20*F20</f>
        <v/>
      </c>
      <c r="H20" s="12">
        <f>IF(G20&gt;=15,"Critique",IF(G20&gt;=8,"Élevé",IF(G20&gt;=4,"Moyen","Faible")))</f>
        <v/>
      </c>
      <c r="I20" s="54" t="inlineStr">
        <is>
          <t>V1</t>
        </is>
      </c>
      <c r="J20" s="18" t="inlineStr">
        <is>
          <t>Chef de projet</t>
        </is>
      </c>
      <c r="K20" s="18" t="inlineStr">
        <is>
          <t>Acquis conservés ; correctifs, intégrations et preuves suivis dans des tâches distinctes, reliées aux travaux initiaux</t>
        </is>
      </c>
      <c r="L20" s="36" t="inlineStr">
        <is>
          <t>Ouvert</t>
        </is>
      </c>
    </row>
    <row r="21">
      <c r="B21" s="54" t="inlineStr">
        <is>
          <t>R16</t>
        </is>
      </c>
      <c r="C21" s="18" t="inlineStr">
        <is>
          <t>Paiements, facturation prépayée et KYC documentaire absents du plan détaillé</t>
        </is>
      </c>
      <c r="D21" s="18" t="inlineStr">
        <is>
          <t>Périmètre</t>
        </is>
      </c>
      <c r="E21" s="36" t="n">
        <v>4</v>
      </c>
      <c r="F21" s="36" t="n">
        <v>5</v>
      </c>
      <c r="G21" s="12">
        <f>E21*F21</f>
        <v/>
      </c>
      <c r="H21" s="12">
        <f>IF(G21&gt;=15,"Critique",IF(G21&gt;=8,"Élevé",IF(G21&gt;=4,"Moyen","Faible")))</f>
        <v/>
      </c>
      <c r="I21" s="54" t="inlineStr">
        <is>
          <t>V3</t>
        </is>
      </c>
      <c r="J21" s="18" t="inlineStr">
        <is>
          <t>Chef de projet</t>
        </is>
      </c>
      <c r="K21" s="18" t="inlineStr">
        <is>
          <t>Exigences v0 réintroduites en V2-046 et V3-044/045 ; consulter les fournisseurs pendant V1/V2 et revalider les charges sans déplacer les versions</t>
        </is>
      </c>
      <c r="L21" s="36" t="inlineStr">
        <is>
          <t>Ouvert</t>
        </is>
      </c>
    </row>
    <row r="22">
      <c r="B22" s="54" t="inlineStr">
        <is>
          <t>R17</t>
        </is>
      </c>
      <c r="C22" s="18" t="inlineStr">
        <is>
          <t>Admissions et journal RPS non protégés contre la concurrence</t>
        </is>
      </c>
      <c r="D22" s="18" t="inlineStr">
        <is>
          <t>Technique</t>
        </is>
      </c>
      <c r="E22" s="36" t="n">
        <v>4</v>
      </c>
      <c r="F22" s="36" t="n">
        <v>5</v>
      </c>
      <c r="G22" s="12">
        <f>E22*F22</f>
        <v/>
      </c>
      <c r="H22" s="12">
        <f>IF(G22&gt;=15,"Critique",IF(G22&gt;=8,"Élevé",IF(G22&gt;=4,"Moyen","Faible")))</f>
        <v/>
      </c>
      <c r="I22" s="54" t="inlineStr">
        <is>
          <t>V2</t>
        </is>
      </c>
      <c r="J22" s="18" t="inlineStr">
        <is>
          <t>Chef de projet</t>
        </is>
      </c>
      <c r="K22" s="18" t="inlineStr">
        <is>
          <t>V2-044 avant V2-045 : tests concurrents, transactions, append-only, identité interservices ; ne pas activer les titres sur la seule foi des tests unitaires</t>
        </is>
      </c>
      <c r="L22" s="36" t="inlineStr">
        <is>
          <t>Ouvert</t>
        </is>
      </c>
    </row>
    <row r="23">
      <c r="B23" s="54" t="inlineStr">
        <is>
          <t>R18</t>
        </is>
      </c>
      <c r="C23" s="18" t="inlineStr">
        <is>
          <t>Quota d'un événement simultané incompatible avec les mini-réunions et le compte partagé</t>
        </is>
      </c>
      <c r="D23" s="18" t="inlineStr">
        <is>
          <t>Dépendance externe</t>
        </is>
      </c>
      <c r="E23" s="36" t="n">
        <v>4</v>
      </c>
      <c r="F23" s="36" t="n">
        <v>4</v>
      </c>
      <c r="G23" s="12">
        <f>E23*F23</f>
        <v/>
      </c>
      <c r="H23" s="12">
        <f>IF(G23&gt;=15,"Critique",IF(G23&gt;=8,"Élevé",IF(G23&gt;=4,"Moyen","Faible")))</f>
        <v/>
      </c>
      <c r="I23" s="54" t="inlineStr">
        <is>
          <t>V1</t>
        </is>
      </c>
      <c r="J23" s="18" t="inlineStr">
        <is>
          <t>Chef de projet</t>
        </is>
      </c>
      <c r="K23" s="18" t="inlineStr">
        <is>
          <t>Confirmer A18 et tester V1-104 ; réservation commune V1-106 ; couvrir les créations externes ; comparaison des autres abonnements avant choix définitif</t>
        </is>
      </c>
      <c r="L23" s="36" t="inlineStr">
        <is>
          <t>Ouvert</t>
        </is>
      </c>
    </row>
    <row r="24">
      <c r="B24" s="54" t="inlineStr">
        <is>
          <t>R19</t>
        </is>
      </c>
      <c r="C24" s="18" t="inlineStr">
        <is>
          <t>Captation partielle ou rapport remis aux mauvais participants</t>
        </is>
      </c>
      <c r="D24" s="18" t="inlineStr">
        <is>
          <t>Technique</t>
        </is>
      </c>
      <c r="E24" s="36" t="n">
        <v>4</v>
      </c>
      <c r="F24" s="36" t="n">
        <v>4</v>
      </c>
      <c r="G24" s="12">
        <f>E24*F24</f>
        <v/>
      </c>
      <c r="H24" s="12">
        <f>IF(G24&gt;=15,"Critique",IF(G24&gt;=8,"Élevé",IF(G24&gt;=4,"Moyen","Faible")))</f>
        <v/>
      </c>
      <c r="I24" s="54" t="inlineStr">
        <is>
          <t>V2</t>
        </is>
      </c>
      <c r="J24" s="18" t="inlineStr">
        <is>
          <t>Chef de projet</t>
        </is>
      </c>
      <c r="K24" s="18" t="inlineStr">
        <is>
          <t>Prototype scène/tables V1-107 ; provenance et couverture visibles ; droits par session et révocation ; tests d'injection et de distribution V2-050</t>
        </is>
      </c>
      <c r="L24" s="36" t="inlineStr">
        <is>
          <t>Ouvert</t>
        </is>
      </c>
    </row>
  </sheetData>
  <conditionalFormatting sqref="H6:H74">
    <cfRule type="expression" priority="1" dxfId="1">
      <formula>H6="Critique"</formula>
    </cfRule>
    <cfRule type="expression" priority="2" dxfId="5">
      <formula>H6="Élevé"</formula>
    </cfRule>
    <cfRule type="expression" priority="3" dxfId="6">
      <formula>H6="Moyen"</formula>
    </cfRule>
  </conditionalFormatting>
  <conditionalFormatting sqref="L6:L74">
    <cfRule type="expression" priority="4" dxfId="2">
      <formula>L6="Clos"</formula>
    </cfRule>
  </conditionalFormatting>
  <dataValidations count="2">
    <dataValidation sqref="E6:F74" showDropDown="0" showInputMessage="0" showErrorMessage="0" allowBlank="0" type="whole" operator="between">
      <formula1>1</formula1>
      <formula2>5</formula2>
    </dataValidation>
    <dataValidation sqref="L6:L74" showDropDown="0" showInputMessage="0" showErrorMessage="0" allowBlank="1" type="list">
      <formula1>=Parametres!$P$6:$P$8</formula1>
    </dataValidation>
  </dataValidations>
  <pageMargins left="0.75" right="0.75" top="1" bottom="1" header="0.5" footer="0.5"/>
</worksheet>
</file>

<file path=xl/worksheets/sheet13.xml><?xml version="1.0" encoding="utf-8"?>
<worksheet xmlns="http://schemas.openxmlformats.org/spreadsheetml/2006/main">
  <sheetPr>
    <tabColor rgb="008C3A3A"/>
    <outlinePr summaryBelow="1" summaryRight="1"/>
    <pageSetUpPr/>
  </sheetPr>
  <dimension ref="B2:J2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34" customWidth="1" min="4" max="4"/>
    <col width="52" customWidth="1" min="5" max="5"/>
    <col width="10" customWidth="1" min="6" max="6"/>
    <col width="44" customWidth="1" min="7" max="7"/>
    <col width="14" customWidth="1" min="8" max="8"/>
    <col width="11" customWidth="1" min="9" max="9"/>
    <col width="24" customWidth="1" min="10" max="10"/>
  </cols>
  <sheetData>
    <row r="2">
      <c r="B2" s="1" t="inlineStr">
        <is>
          <t>Registre de sécurité</t>
        </is>
      </c>
    </row>
    <row r="3">
      <c r="B3" s="17" t="inlineStr">
        <is>
          <t>Chaque constat, son traitement, sa version cible et la tâche qui le porte. Le statut de la tâche est lu automatiquement dans l'onglet Taches.</t>
        </is>
      </c>
    </row>
    <row r="5" ht="30" customHeight="1">
      <c r="B5" s="11" t="inlineStr">
        <is>
          <t>ID</t>
        </is>
      </c>
      <c r="C5" s="11" t="inlineStr">
        <is>
          <t>Constat</t>
        </is>
      </c>
      <c r="D5" s="11" t="inlineStr">
        <is>
          <t>Risque si non traité</t>
        </is>
      </c>
      <c r="E5" s="11" t="inlineStr">
        <is>
          <t>Traitement et justification du calendrier</t>
        </is>
      </c>
      <c r="F5" s="11" t="inlineStr">
        <is>
          <t>Version cible</t>
        </is>
      </c>
      <c r="G5" s="11" t="inlineStr">
        <is>
          <t>Tâche liée (onglet Taches)</t>
        </is>
      </c>
      <c r="H5" s="11" t="inlineStr">
        <is>
          <t>Statut de la tâche</t>
        </is>
      </c>
      <c r="I5" s="11" t="inlineStr">
        <is>
          <t>Avancement</t>
        </is>
      </c>
      <c r="J5" s="11" t="inlineStr">
        <is>
          <t>Commentaire</t>
        </is>
      </c>
    </row>
    <row r="6" ht="58" customHeight="1">
      <c r="B6" s="54" t="inlineStr">
        <is>
          <t>S01</t>
        </is>
      </c>
      <c r="C6" s="18" t="inlineStr">
        <is>
          <t>L'API se connecte avec le rôle propriétaire de la base : les politiques RLS existent mais ne s'exercent pas</t>
        </is>
      </c>
      <c r="D6" s="18" t="inlineStr">
        <is>
          <t>Un défaut d'autorisation applicatif expose les dossiers d'un autre cédant</t>
        </is>
      </c>
      <c r="E6" s="18" t="inlineStr">
        <is>
          <t>Rôle dealpme_api sans contournement, contexte par transaction, test négatif</t>
        </is>
      </c>
      <c r="F6" s="54" t="inlineStr">
        <is>
          <t>V1</t>
        </is>
      </c>
      <c r="G6" s="18" t="inlineStr">
        <is>
          <t>RLS effective : rôle applicatif sans contournement, contexte app.organisation_id et app.roles par transaction</t>
        </is>
      </c>
      <c r="H6" s="12">
        <f>IF($G6="","Sans tâche",IFERROR(INDEX(Taches!$J$6:$J$325,MATCH($G6,Taches!$F$6:$F$325,0)),"À planifier"))</f>
        <v/>
      </c>
      <c r="I6" s="16">
        <f>IF($G6="","",IFERROR(INDEX(Taches!$L$6:$L$325,MATCH($G6,Taches!$F$6:$F$325,0)),0))</f>
        <v/>
      </c>
      <c r="J6" s="37" t="n"/>
    </row>
    <row r="7" ht="58" customHeight="1">
      <c r="B7" s="54" t="inlineStr">
        <is>
          <t>S02</t>
        </is>
      </c>
      <c r="C7" s="18" t="inlineStr">
        <is>
          <t>Aucune limitation de débit ni verrouillage après échecs de connexion</t>
        </is>
      </c>
      <c r="D7" s="18" t="inlineStr">
        <is>
          <t>Force brute sur /auth/login et sur les codes OTP</t>
        </is>
      </c>
      <c r="E7" s="18" t="inlineStr">
        <is>
          <t>Limitation par IP et par compte, verrouillage progressif, journal des échecs</t>
        </is>
      </c>
      <c r="F7" s="54" t="inlineStr">
        <is>
          <t>V1</t>
        </is>
      </c>
      <c r="G7" s="18" t="inlineStr">
        <is>
          <t>Anti-force-brute : limitation de débit par IP et par compte, verrouillage progressif, journal des échecs</t>
        </is>
      </c>
      <c r="H7" s="12">
        <f>IF($G7="","Sans tâche",IFERROR(INDEX(Taches!$J$6:$J$325,MATCH($G7,Taches!$F$6:$F$325,0)),"À planifier"))</f>
        <v/>
      </c>
      <c r="I7" s="16">
        <f>IF($G7="","",IFERROR(INDEX(Taches!$L$6:$L$325,MATCH($G7,Taches!$F$6:$F$325,0)),0))</f>
        <v/>
      </c>
      <c r="J7" s="37" t="n"/>
    </row>
    <row r="8" ht="58" customHeight="1">
      <c r="B8" s="54" t="inlineStr">
        <is>
          <t>S03</t>
        </is>
      </c>
      <c r="C8" s="18" t="inlineStr">
        <is>
          <t>Pas de vérification email ni de second facteur effectif</t>
        </is>
      </c>
      <c r="D8" s="18" t="inlineStr">
        <is>
          <t>Usurpation d'un compte officier ou administrateur</t>
        </is>
      </c>
      <c r="E8" s="18" t="inlineStr">
        <is>
          <t>Vérification email, MFA obligatoire pour les officiers CCI-Togo et les administrateurs</t>
        </is>
      </c>
      <c r="F8" s="54" t="inlineStr">
        <is>
          <t>V1</t>
        </is>
      </c>
      <c r="G8" s="18" t="inlineStr">
        <is>
          <t>Vérification email, MFA obligatoire pour les officiers CCI-Togo et les administrateurs, liaison OTP</t>
        </is>
      </c>
      <c r="H8" s="12">
        <f>IF($G8="","Sans tâche",IFERROR(INDEX(Taches!$J$6:$J$325,MATCH($G8,Taches!$F$6:$F$325,0)),"À planifier"))</f>
        <v/>
      </c>
      <c r="I8" s="16">
        <f>IF($G8="","",IFERROR(INDEX(Taches!$L$6:$L$325,MATCH($G8,Taches!$F$6:$F$325,0)),0))</f>
        <v/>
      </c>
      <c r="J8" s="37" t="n"/>
    </row>
    <row r="9" ht="58" customHeight="1">
      <c r="B9" s="54" t="inlineStr">
        <is>
          <t>S04</t>
        </is>
      </c>
      <c r="C9" s="18" t="inlineStr">
        <is>
          <t>Champs CONFIDENTIAL_DEAL (prix, valorisation) en clair en base</t>
        </is>
      </c>
      <c r="D9" s="18" t="inlineStr">
        <is>
          <t>Un dump de la base révèle les conditions des cessions</t>
        </is>
      </c>
      <c r="E9" s="18" t="inlineStr">
        <is>
          <t>Chiffrement applicatif, clé hors base, rotation documentée</t>
        </is>
      </c>
      <c r="F9" s="54" t="inlineStr">
        <is>
          <t>V1</t>
        </is>
      </c>
      <c r="G9" s="18" t="inlineStr">
        <is>
          <t>Chiffrement applicatif des champs CONFIDENTIAL_DEAL, clé gérée hors base, rotation documentée</t>
        </is>
      </c>
      <c r="H9" s="12">
        <f>IF($G9="","Sans tâche",IFERROR(INDEX(Taches!$J$6:$J$325,MATCH($G9,Taches!$F$6:$F$325,0)),"À planifier"))</f>
        <v/>
      </c>
      <c r="I9" s="16">
        <f>IF($G9="","",IFERROR(INDEX(Taches!$L$6:$L$325,MATCH($G9,Taches!$F$6:$F$325,0)),0))</f>
        <v/>
      </c>
      <c r="J9" s="37" t="n"/>
    </row>
    <row r="10" ht="58" customHeight="1">
      <c r="B10" s="54" t="inlineStr">
        <is>
          <t>S05</t>
        </is>
      </c>
      <c r="C10" s="18" t="inlineStr">
        <is>
          <t>Pas d'en-têtes de sécurité HTTP, pas de CORS explicite</t>
        </is>
      </c>
      <c r="D10" s="18" t="inlineStr">
        <is>
          <t>Injection de contenu, appels depuis des origines inconnues</t>
        </is>
      </c>
      <c r="E10" s="18" t="inlineStr">
        <is>
          <t>CSP, HSTS, CORS strict, cookies sécurisés, taille maximale des requêtes</t>
        </is>
      </c>
      <c r="F10" s="54" t="inlineStr">
        <is>
          <t>V1</t>
        </is>
      </c>
      <c r="G10" s="18" t="inlineStr">
        <is>
          <t>En-têtes de sécurité HTTP, CORS strict, cookies sécurisés, taille maximale des corps de requête</t>
        </is>
      </c>
      <c r="H10" s="12">
        <f>IF($G10="","Sans tâche",IFERROR(INDEX(Taches!$J$6:$J$325,MATCH($G10,Taches!$F$6:$F$325,0)),"À planifier"))</f>
        <v/>
      </c>
      <c r="I10" s="16">
        <f>IF($G10="","",IFERROR(INDEX(Taches!$L$6:$L$325,MATCH($G10,Taches!$F$6:$F$325,0)),0))</f>
        <v/>
      </c>
      <c r="J10" s="37" t="n"/>
    </row>
    <row r="11" ht="58" customHeight="1">
      <c r="B11" s="54" t="inlineStr">
        <is>
          <t>S06</t>
        </is>
      </c>
      <c r="C11" s="18" t="inlineStr">
        <is>
          <t>Idempotence en mémoire ; signatures de webhooks non vérifiées (faux connecteurs)</t>
        </is>
      </c>
      <c r="D11" s="18" t="inlineStr">
        <is>
          <t>Double effet sur rejeu ; webhook forgé accepté</t>
        </is>
      </c>
      <c r="E11" s="18" t="inlineStr">
        <is>
          <t>Idempotence en base, HMAC vérifié sur chaque webhook, test de rejeu</t>
        </is>
      </c>
      <c r="F11" s="54" t="inlineStr">
        <is>
          <t>V1</t>
        </is>
      </c>
      <c r="G11" s="18" t="inlineStr">
        <is>
          <t>Idempotence persistée en base et vérification de signature HMAC sur tous les webhooks</t>
        </is>
      </c>
      <c r="H11" s="12">
        <f>IF($G11="","Sans tâche",IFERROR(INDEX(Taches!$J$6:$J$325,MATCH($G11,Taches!$F$6:$F$325,0)),"À planifier"))</f>
        <v/>
      </c>
      <c r="I11" s="16">
        <f>IF($G11="","",IFERROR(INDEX(Taches!$L$6:$L$325,MATCH($G11,Taches!$F$6:$F$325,0)),0))</f>
        <v/>
      </c>
      <c r="J11" s="37" t="n"/>
    </row>
    <row r="12" ht="58" customHeight="1">
      <c r="B12" s="54" t="inlineStr">
        <is>
          <t>S07</t>
        </is>
      </c>
      <c r="C12" s="18" t="inlineStr">
        <is>
          <t>Mot de passe commun du jeu de démonstration</t>
        </is>
      </c>
      <c r="D12" s="18" t="inlineStr">
        <is>
          <t>Accès trivial si le jeu est chargé sur un environnement accessible</t>
        </is>
      </c>
      <c r="E12" s="18" t="inlineStr">
        <is>
          <t>Mots de passe uniques, chargement refusé hors développement</t>
        </is>
      </c>
      <c r="F12" s="54" t="inlineStr">
        <is>
          <t>V1</t>
        </is>
      </c>
      <c r="G12" s="18" t="inlineStr">
        <is>
          <t>Mots de passe de démonstration uniques par compte, jeu de démonstration interdit hors environnement local</t>
        </is>
      </c>
      <c r="H12" s="12">
        <f>IF($G12="","Sans tâche",IFERROR(INDEX(Taches!$J$6:$J$325,MATCH($G12,Taches!$F$6:$F$325,0)),"À planifier"))</f>
        <v/>
      </c>
      <c r="I12" s="16">
        <f>IF($G12="","",IFERROR(INDEX(Taches!$L$6:$L$325,MATCH($G12,Taches!$F$6:$F$325,0)),0))</f>
        <v/>
      </c>
      <c r="J12" s="37" t="n"/>
    </row>
    <row r="13" ht="58" customHeight="1">
      <c r="B13" s="54" t="inlineStr">
        <is>
          <t>S08</t>
        </is>
      </c>
      <c r="C13" s="18" t="inlineStr">
        <is>
          <t>Aucun scan de dépendances exécuté</t>
        </is>
      </c>
      <c r="D13" s="18" t="inlineStr">
        <is>
          <t>Vulnérabilité connue embarquée sans alerte</t>
        </is>
      </c>
      <c r="E13" s="18" t="inlineStr">
        <is>
          <t>Scan bloquant en CI sur vulnérabilité critique, revue interne selon la liste de contrôle v0</t>
        </is>
      </c>
      <c r="F13" s="54" t="inlineStr">
        <is>
          <t>V1</t>
        </is>
      </c>
      <c r="G13" s="18" t="inlineStr">
        <is>
          <t>Revue de sécurité interne (liste de contrôle v0 : paliers, URL pré-signées, compteur RPS) et scan de dépendances bloquant en CI</t>
        </is>
      </c>
      <c r="H13" s="12">
        <f>IF($G13="","Sans tâche",IFERROR(INDEX(Taches!$J$6:$J$325,MATCH($G13,Taches!$F$6:$F$325,0)),"À planifier"))</f>
        <v/>
      </c>
      <c r="I13" s="16">
        <f>IF($G13="","",IFERROR(INDEX(Taches!$L$6:$L$325,MATCH($G13,Taches!$F$6:$F$325,0)),0))</f>
        <v/>
      </c>
      <c r="J13" s="37" t="n"/>
    </row>
    <row r="14" ht="58" customHeight="1">
      <c r="B14" s="54" t="inlineStr">
        <is>
          <t>S15</t>
        </is>
      </c>
      <c r="C14" s="18" t="inlineStr">
        <is>
          <t>Les tables entreprise et vérification de registre n'étaient pas couvertes par la RLS : tout compte authentifié pouvait lire la raison sociale et l'état d'instruction d'une entreprise tierce (constat interne du 24/09/2026)</t>
        </is>
      </c>
      <c r="D14" s="18" t="inlineStr">
        <is>
          <t>Fuite d'information entre cédants concurrents</t>
        </is>
      </c>
      <c r="E14" s="18" t="inlineStr">
        <is>
          <t>Corrigé le jour même : RLS activée sur company et registry_record (propriétaire et institution), lectures de la console passées sous contexte officier, contrôle de fumée ajouté</t>
        </is>
      </c>
      <c r="F14" s="54" t="inlineStr">
        <is>
          <t>V1</t>
        </is>
      </c>
      <c r="G14" s="18" t="inlineStr">
        <is>
          <t>Tests négatifs : permissions serveur, accès non autorisés, contrôles morts</t>
        </is>
      </c>
      <c r="H14" s="12">
        <f>IF($G14="","Sans tâche",IFERROR(INDEX(Taches!$J$6:$J$325,MATCH($G14,Taches!$F$6:$F$325,0)),"À planifier"))</f>
        <v/>
      </c>
      <c r="I14" s="16">
        <f>IF($G14="","",IFERROR(INDEX(Taches!$L$6:$L$325,MATCH($G14,Taches!$F$6:$F$325,0)),0))</f>
        <v/>
      </c>
      <c r="J14" s="37" t="n"/>
    </row>
    <row r="15" ht="58" customHeight="1">
      <c r="B15" s="54" t="inlineStr">
        <is>
          <t>S16</t>
        </is>
      </c>
      <c r="C15" s="18" t="inlineStr">
        <is>
          <t>Une écriture refusée par la RLS ne lève pas d'erreur : elle ne touche aucune ligne. L'API annonçait une transition d'état qui n'avait pas eu lieu (constat interne du 02/10/2026)</t>
        </is>
      </c>
      <c r="D15" s="18" t="inlineStr">
        <is>
          <t>Décision affichée comme prise alors que rien n'a changé en base</t>
        </is>
      </c>
      <c r="E15" s="18" t="inlineStr">
        <is>
          <t>Corrigé le jour même : toute transition vérifie le nombre de lignes touchées et échoue en FORBIDDEN sinon ; politique RLS étroite ajoutée pour le renvoi en préparation par un officier ; contrôles de fumée ajoutés</t>
        </is>
      </c>
      <c r="F15" s="54" t="inlineStr">
        <is>
          <t>V1</t>
        </is>
      </c>
      <c r="G15" s="18" t="inlineStr">
        <is>
          <t>Tests négatifs : permissions serveur, accès non autorisés, contrôles morts</t>
        </is>
      </c>
      <c r="H15" s="12">
        <f>IF($G15="","Sans tâche",IFERROR(INDEX(Taches!$J$6:$J$325,MATCH($G15,Taches!$F$6:$F$325,0)),"À planifier"))</f>
        <v/>
      </c>
      <c r="I15" s="16">
        <f>IF($G15="","",IFERROR(INDEX(Taches!$L$6:$L$325,MATCH($G15,Taches!$F$6:$F$325,0)),0))</f>
        <v/>
      </c>
      <c r="J15" s="37" t="n"/>
    </row>
    <row r="16" ht="58" customHeight="1">
      <c r="B16" s="54" t="inlineStr">
        <is>
          <t>S17</t>
        </is>
      </c>
      <c r="C16" s="18" t="inlineStr">
        <is>
          <t>Une règle de conception écrite dans les conventions mais sans artefact ni test : le registre des contrôles d'interface était exigé par nos propres documents et n'existait nulle part (constat du 11/09/2026)</t>
        </is>
      </c>
      <c r="D16" s="18" t="inlineStr">
        <is>
          <t>Dérive silencieuse : 376 identifiants inventés, condition bloquante de recette non tenue</t>
        </is>
      </c>
      <c r="E16" s="18" t="inlineStr">
        <is>
          <t>Registre importé dans le dépôt (qa/registre-interactions.json) et test qui refuse tout identifiant inconnu ; preuve de couverture produite automatiquement</t>
        </is>
      </c>
      <c r="F16" s="54" t="inlineStr">
        <is>
          <t>V1</t>
        </is>
      </c>
      <c r="G16" s="18" t="inlineStr">
        <is>
          <t>Tests négatifs : permissions serveur, accès non autorisés, contrôles morts</t>
        </is>
      </c>
      <c r="H16" s="12">
        <f>IF($G16="","Sans tâche",IFERROR(INDEX(Taches!$J$6:$J$325,MATCH($G16,Taches!$F$6:$F$325,0)),"À planifier"))</f>
        <v/>
      </c>
      <c r="I16" s="16">
        <f>IF($G16="","",IFERROR(INDEX(Taches!$L$6:$L$325,MATCH($G16,Taches!$F$6:$F$325,0)),0))</f>
        <v/>
      </c>
      <c r="J16" s="37" t="n"/>
    </row>
    <row r="17" ht="58" customHeight="1">
      <c r="B17" s="54" t="inlineStr">
        <is>
          <t>S09</t>
        </is>
      </c>
      <c r="C17" s="18" t="inlineStr">
        <is>
          <t>Aucun pentest indépendant</t>
        </is>
      </c>
      <c r="D17" s="18" t="inlineStr">
        <is>
          <t>Failles non détectées par l'équipe elle-même</t>
        </is>
      </c>
      <c r="E17" s="18" t="inlineStr">
        <is>
          <t>Reporté en V3 (porte G10) : exige un prestataire externe et un périmètre stabilisé ; mitigation V1 = revue interne S08, aucun environnement public avant V3 ; commander le pentest dès V2</t>
        </is>
      </c>
      <c r="F17" s="54" t="inlineStr">
        <is>
          <t>V3</t>
        </is>
      </c>
      <c r="G17" s="18" t="inlineStr">
        <is>
          <t>Pentest indépendant et remédiation des constats critiques et élevés (G10)</t>
        </is>
      </c>
      <c r="H17" s="12">
        <f>IF($G17="","Sans tâche",IFERROR(INDEX(Taches!$J$6:$J$325,MATCH($G17,Taches!$F$6:$F$325,0)),"À planifier"))</f>
        <v/>
      </c>
      <c r="I17" s="16">
        <f>IF($G17="","",IFERROR(INDEX(Taches!$L$6:$L$325,MATCH($G17,Taches!$F$6:$F$325,0)),0))</f>
        <v/>
      </c>
      <c r="J17" s="37" t="n"/>
    </row>
    <row r="18" ht="58" customHeight="1">
      <c r="B18" s="54" t="inlineStr">
        <is>
          <t>S10</t>
        </is>
      </c>
      <c r="C18" s="18" t="inlineStr">
        <is>
          <t>Documents servis sans rendu serveur ni filigrane (data room absente en V1)</t>
        </is>
      </c>
      <c r="D18" s="18" t="inlineStr">
        <is>
          <t>Fuite de documents confidentiels</t>
        </is>
      </c>
      <c r="E18" s="18" t="inlineStr">
        <is>
          <t>Reporté en V2 avec la data room : rendu serveur, filigrane, URL pré-signées courtes, révocation en moins de 60 s ; V1 ne stocke aucun document de data room</t>
        </is>
      </c>
      <c r="F18" s="54" t="inlineStr">
        <is>
          <t>V2</t>
        </is>
      </c>
      <c r="G18" s="18" t="inlineStr">
        <is>
          <t>Visualiseur rendu serveur, page à page, chargement progressif (3G)</t>
        </is>
      </c>
      <c r="H18" s="12">
        <f>IF($G18="","Sans tâche",IFERROR(INDEX(Taches!$J$6:$J$325,MATCH($G18,Taches!$F$6:$F$325,0)),"À planifier"))</f>
        <v/>
      </c>
      <c r="I18" s="16">
        <f>IF($G18="","",IFERROR(INDEX(Taches!$L$6:$L$325,MATCH($G18,Taches!$F$6:$F$325,0)),0))</f>
        <v/>
      </c>
      <c r="J18" s="37" t="n"/>
    </row>
    <row r="19" ht="58" customHeight="1">
      <c r="B19" s="54" t="inlineStr">
        <is>
          <t>S11</t>
        </is>
      </c>
      <c r="C19" s="18" t="inlineStr">
        <is>
          <t>Preuve de signature non qualifiée (pas de NDA en V1)</t>
        </is>
      </c>
      <c r="D19" s="18" t="inlineStr">
        <is>
          <t>NDA non opposable</t>
        </is>
      </c>
      <c r="E19" s="18" t="inlineStr">
        <is>
          <t>Reporté en V2 : prestataire PSC accrédité ARCEP, archivage PSAE ; V1 n'exécute aucun NDA</t>
        </is>
      </c>
      <c r="F19" s="54" t="inlineStr">
        <is>
          <t>V2</t>
        </is>
      </c>
      <c r="G19" s="18" t="inlineStr">
        <is>
          <t>Intégration API de signature qualifiée, webhooks à signature vérifiée</t>
        </is>
      </c>
      <c r="H19" s="12">
        <f>IF($G19="","Sans tâche",IFERROR(INDEX(Taches!$J$6:$J$325,MATCH($G19,Taches!$F$6:$F$325,0)),"À planifier"))</f>
        <v/>
      </c>
      <c r="I19" s="16">
        <f>IF($G19="","",IFERROR(INDEX(Taches!$L$6:$L$325,MATCH($G19,Taches!$F$6:$F$325,0)),0))</f>
        <v/>
      </c>
      <c r="J19" s="37" t="n"/>
    </row>
    <row r="20" ht="58" customHeight="1">
      <c r="B20" s="54" t="inlineStr">
        <is>
          <t>S12</t>
        </is>
      </c>
      <c r="C20" s="18" t="inlineStr">
        <is>
          <t>Accès administrateur non tracé par mode break-glass</t>
        </is>
      </c>
      <c r="D20" s="18" t="inlineStr">
        <is>
          <t>Accès silencieux à des dossiers confidentiels</t>
        </is>
      </c>
      <c r="E20" s="18" t="inlineStr">
        <is>
          <t>Reporté en V3 avec le module support ; V1 : journal d'audit persisté sur toute action sensible, aucun endpoint d'accès aux données confidentielles pour l'administrateur</t>
        </is>
      </c>
      <c r="F20" s="54" t="inlineStr">
        <is>
          <t>V3</t>
        </is>
      </c>
      <c r="G20" s="18" t="inlineStr">
        <is>
          <t>Mode 'break-glass' journalisé pour l'administration</t>
        </is>
      </c>
      <c r="H20" s="12">
        <f>IF($G20="","Sans tâche",IFERROR(INDEX(Taches!$J$6:$J$325,MATCH($G20,Taches!$F$6:$F$325,0)),"À planifier"))</f>
        <v/>
      </c>
      <c r="I20" s="16">
        <f>IF($G20="","",IFERROR(INDEX(Taches!$L$6:$L$325,MATCH($G20,Taches!$F$6:$F$325,0)),0))</f>
        <v/>
      </c>
      <c r="J20" s="37" t="n"/>
    </row>
    <row r="21" ht="58" customHeight="1">
      <c r="B21" s="54" t="inlineStr">
        <is>
          <t>S13</t>
        </is>
      </c>
      <c r="C21" s="18" t="inlineStr">
        <is>
          <t>Vérification d'identité documentaire sans biométrie</t>
        </is>
      </c>
      <c r="D21" s="18" t="inlineStr">
        <is>
          <t>Usurpation d'identité au-delà de ce que le document capture</t>
        </is>
      </c>
      <c r="E21" s="18" t="inlineStr">
        <is>
          <t>Voulu par le v0 : biométrie interdite sans autorisation IPDCP (drapeau FEATURE_BIOMETRIC_KYC fermé) ; revue humaine et recoupement RCCM en V1</t>
        </is>
      </c>
      <c r="F21" s="54" t="inlineStr">
        <is>
          <t>P2</t>
        </is>
      </c>
      <c r="G21" s="18" t="inlineStr"/>
      <c r="H21" s="12">
        <f>IF($G21="","Sans tâche",IFERROR(INDEX(Taches!$J$6:$J$325,MATCH($G21,Taches!$F$6:$F$325,0)),"À planifier"))</f>
        <v/>
      </c>
      <c r="I21" s="16">
        <f>IF($G21="","",IFERROR(INDEX(Taches!$L$6:$L$325,MATCH($G21,Taches!$F$6:$F$325,0)),0))</f>
        <v/>
      </c>
      <c r="J21" s="37" t="n"/>
    </row>
    <row r="22" ht="58" customHeight="1">
      <c r="B22" s="54" t="inlineStr">
        <is>
          <t>S14</t>
        </is>
      </c>
      <c r="C22" s="18" t="inlineStr">
        <is>
          <t>Portes de conformité G1 à G10 non fermées (IPDCP, DPO, avis juridiques)</t>
        </is>
      </c>
      <c r="D22" s="18" t="inlineStr">
        <is>
          <t>Lancement commercial juridiquement exposé</t>
        </is>
      </c>
      <c r="E22" s="18" t="inlineStr">
        <is>
          <t>Reporté en V3 : condition explicite de lancement ; V1 est une démonstration à données synthétiques, jamais un service public</t>
        </is>
      </c>
      <c r="F22" s="54" t="inlineStr">
        <is>
          <t>V3</t>
        </is>
      </c>
      <c r="G22" s="18" t="inlineStr">
        <is>
          <t>Déclaration IPDCP et autorisation de transfert transfrontalier (G1, G2)</t>
        </is>
      </c>
      <c r="H22" s="12">
        <f>IF($G22="","Sans tâche",IFERROR(INDEX(Taches!$J$6:$J$325,MATCH($G22,Taches!$F$6:$F$325,0)),"À planifier"))</f>
        <v/>
      </c>
      <c r="I22" s="16">
        <f>IF($G22="","",IFERROR(INDEX(Taches!$L$6:$L$325,MATCH($G22,Taches!$F$6:$F$325,0)),0))</f>
        <v/>
      </c>
      <c r="J22" s="37" t="n"/>
    </row>
    <row r="24" ht="32" customHeight="1">
      <c r="B24" s="3" t="inlineStr">
        <is>
          <t>Règle</t>
        </is>
      </c>
      <c r="C24" s="20" t="inlineStr">
        <is>
          <t>Aucune tâche ne passe en Complétée sans son test négatif. Tout report de sécurité doit figurer ici avec sa justification, sa mitigation intermédiaire et sa version cible ; un report sans mitigation est refusé.</t>
        </is>
      </c>
    </row>
  </sheetData>
  <mergeCells count="1">
    <mergeCell ref="C24:J24"/>
  </mergeCells>
  <conditionalFormatting sqref="H6:H22">
    <cfRule type="expression" priority="1" dxfId="2">
      <formula>H6="Complétée"</formula>
    </cfRule>
    <cfRule type="expression" priority="2" dxfId="5">
      <formula>H6="En cours"</formula>
    </cfRule>
    <cfRule type="expression" priority="3" dxfId="1">
      <formula>H6="Bloquée"</formula>
    </cfRule>
  </conditionalFormatting>
  <conditionalFormatting sqref="I6:I22">
    <cfRule type="dataBar" priority="4">
      <dataBar>
        <cfvo type="num" val="0"/>
        <cfvo type="num" val="1"/>
        <color rgb="006678F1"/>
      </dataBar>
    </cfRule>
  </conditionalFormatting>
  <conditionalFormatting sqref="F6:F22">
    <cfRule type="expression" priority="5" dxfId="3">
      <formula>F6&lt;&gt;"V1"</formula>
    </cfRule>
  </conditionalFormatting>
  <pageMargins left="0.75" right="0.75" top="1" bottom="1" header="0.5" footer="0.5"/>
</worksheet>
</file>

<file path=xl/worksheets/sheet14.xml><?xml version="1.0" encoding="utf-8"?>
<worksheet xmlns="http://schemas.openxmlformats.org/spreadsheetml/2006/main">
  <sheetPr>
    <tabColor rgb="00B07A2B"/>
    <outlinePr summaryBelow="1" summaryRight="1"/>
    <pageSetUpPr/>
  </sheetPr>
  <dimension ref="B2:J36"/>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18" t="inlineStr">
        <is>
          <t>Périmètre cible</t>
        </is>
      </c>
      <c r="E6" s="18" t="inlineStr">
        <is>
          <t>Le cahier des charges v0 approuvé et le Référentiel P04-P25 sont retenus comme cible finale ; le blueprint v5 n'est pas retenu.</t>
        </is>
      </c>
      <c r="F6" s="36" t="inlineStr">
        <is>
          <t>Tranché</t>
        </is>
      </c>
      <c r="G6" s="18" t="inlineStr">
        <is>
          <t>M. Bruno</t>
        </is>
      </c>
      <c r="H6" s="18" t="inlineStr">
        <is>
          <t>Cadre toute la feuille de route</t>
        </is>
      </c>
      <c r="I6" s="18" t="inlineStr"/>
      <c r="J6" s="54" t="inlineStr"/>
    </row>
    <row r="7">
      <c r="B7" s="54" t="inlineStr">
        <is>
          <t>D02</t>
        </is>
      </c>
      <c r="C7" s="54" t="inlineStr">
        <is>
          <t>09/09/2026</t>
        </is>
      </c>
      <c r="D7" s="18" t="inlineStr">
        <is>
          <t>Deal-Connect / Guichet Diaspora</t>
        </is>
      </c>
      <c r="E7" s="18" t="inlineStr">
        <is>
          <t>Remo.co retenu comme connecteur externe pour les salons et rendez-vous virtuels.</t>
        </is>
      </c>
      <c r="F7" s="36" t="inlineStr">
        <is>
          <t>Tranché</t>
        </is>
      </c>
      <c r="G7" s="18" t="inlineStr">
        <is>
          <t>M. Bruno</t>
        </is>
      </c>
      <c r="H7" s="18" t="inlineStr">
        <is>
          <t>Intégration dès V1 ; périmètre d'intégration à cadrer</t>
        </is>
      </c>
      <c r="I7" s="18" t="inlineStr">
        <is>
          <t>Cadrage écrit sur la documentation API Remo</t>
        </is>
      </c>
      <c r="J7" s="54" t="inlineStr">
        <is>
          <t>18/09/2026</t>
        </is>
      </c>
    </row>
    <row r="8">
      <c r="B8" s="54" t="inlineStr">
        <is>
          <t>D04</t>
        </is>
      </c>
      <c r="C8" s="54" t="inlineStr">
        <is>
          <t>10/09/2026</t>
        </is>
      </c>
      <c r="D8" s="18" t="inlineStr">
        <is>
          <t>Lot Sécurité en V1</t>
        </is>
      </c>
      <c r="E8" s="18" t="inlineStr">
        <is>
          <t>Huit constats de sécurité traités avant la présentation (RLS effective, anti-force-brute, MFA, chiffrement applicatif, en-têtes, idempotence et signatures, revue interne, mots de passe de démonstration). Le pentest indépendant reste en V3 (porte G10).</t>
        </is>
      </c>
      <c r="F8" s="36" t="inlineStr">
        <is>
          <t>Tranché</t>
        </is>
      </c>
      <c r="G8" s="18" t="inlineStr">
        <is>
          <t>Chef de projet</t>
        </is>
      </c>
      <c r="H8" s="18" t="inlineStr">
        <is>
          <t>+19 j/p sur V1 ; voir l'onglet Securite</t>
        </is>
      </c>
      <c r="I8" s="18" t="inlineStr">
        <is>
          <t>Commencer par la RLS effective</t>
        </is>
      </c>
      <c r="J8" s="54" t="inlineStr">
        <is>
          <t>18/09/2026</t>
        </is>
      </c>
    </row>
    <row r="9">
      <c r="B9" s="54" t="inlineStr">
        <is>
          <t>D03</t>
        </is>
      </c>
      <c r="C9" s="54" t="inlineStr">
        <is>
          <t>09/09/2026</t>
        </is>
      </c>
      <c r="D9" s="18" t="inlineStr">
        <is>
          <t>Démonstration RPS en V1</t>
        </is>
      </c>
      <c r="E9" s="18" t="inlineStr">
        <is>
          <t>V1 inclut une démonstration maquettée du blocage de publication d'une cession de titres ; le circuit réel reste en V2.</t>
        </is>
      </c>
      <c r="F9" s="36" t="inlineStr">
        <is>
          <t>Tranché</t>
        </is>
      </c>
      <c r="G9" s="18" t="inlineStr">
        <is>
          <t>Chef de projet</t>
        </is>
      </c>
      <c r="H9" s="18" t="inlineStr">
        <is>
          <t>+20 j/p sur V1</t>
        </is>
      </c>
      <c r="I9" s="18" t="inlineStr"/>
      <c r="J9" s="54" t="inlineStr"/>
    </row>
    <row r="10">
      <c r="B10" s="54" t="inlineStr">
        <is>
          <t>A01</t>
        </is>
      </c>
      <c r="C10" s="54" t="inlineStr">
        <is>
          <t>09/09/2026</t>
        </is>
      </c>
      <c r="D10" s="18" t="inlineStr">
        <is>
          <t>Équipe de développement</t>
        </is>
      </c>
      <c r="E10" s="18" t="inlineStr">
        <is>
          <t>Taille et séniorité de l'équipe disponible dès maintenant ?</t>
        </is>
      </c>
      <c r="F10" s="36" t="inlineStr">
        <is>
          <t>Ouvert</t>
        </is>
      </c>
      <c r="G10" s="18" t="inlineStr">
        <is>
          <t>M. Bruno</t>
        </is>
      </c>
      <c r="H10" s="18" t="inlineStr">
        <is>
          <t>Détermine si V1 tient en 5 semaines ou nécessite des coupes</t>
        </is>
      </c>
      <c r="I10" s="18" t="inlineStr">
        <is>
          <t>Réponse attendue avant J01</t>
        </is>
      </c>
      <c r="J10" s="54" t="inlineStr">
        <is>
          <t>14/09/2026</t>
        </is>
      </c>
    </row>
    <row r="11">
      <c r="B11" s="54" t="inlineStr">
        <is>
          <t>A02</t>
        </is>
      </c>
      <c r="C11" s="54" t="inlineStr">
        <is>
          <t>09/09/2026</t>
        </is>
      </c>
      <c r="D11" s="18" t="inlineStr">
        <is>
          <t>API CFE / RCCM</t>
        </is>
      </c>
      <c r="E11" s="18" t="inlineStr">
        <is>
          <t>Automatisation souhaitée en réunion ; disponibilité et contrat réels encore inconnus. D10 : API désactivée = instruction manuelle ; API activée avec fournisseur mock = simulation locale.</t>
        </is>
      </c>
      <c r="F11" s="36" t="inlineStr">
        <is>
          <t>En discussion</t>
        </is>
      </c>
      <c r="G11" s="18" t="inlineStr">
        <is>
          <t>CCI-Togo</t>
        </is>
      </c>
      <c r="H11" s="18" t="inlineStr">
        <is>
          <t>Le développement local peut avancer ; la vérification réelle dépend des accès et de la source</t>
        </is>
      </c>
      <c r="I11" s="18" t="inlineStr">
        <is>
          <t>Obtenir documentation, sandbox, limites et référence de preuve ; conserver la reprise manuelle</t>
        </is>
      </c>
      <c r="J11" s="54" t="inlineStr">
        <is>
          <t>16/09/2026</t>
        </is>
      </c>
    </row>
    <row r="12">
      <c r="B12" s="54" t="inlineStr">
        <is>
          <t>A03</t>
        </is>
      </c>
      <c r="C12" s="54" t="inlineStr">
        <is>
          <t>09/09/2026</t>
        </is>
      </c>
      <c r="D12" s="18" t="inlineStr">
        <is>
          <t>Designer UI/UX</t>
        </is>
      </c>
      <c r="E12" s="18" t="inlineStr">
        <is>
          <t>Partir des références institutionnelles et VDR fournies ; évaluer une contribution ciblée du designer plutôt qu'une refonte imposée. Disponibilité et mission à confirmer.</t>
        </is>
      </c>
      <c r="F12" s="36" t="inlineStr">
        <is>
          <t>En discussion</t>
        </is>
      </c>
      <c r="G12" s="18" t="inlineStr">
        <is>
          <t>M. Bruno</t>
        </is>
      </c>
      <c r="H12" s="18" t="inlineStr">
        <is>
          <t>Préserve la cohérence du corpus et permet d'évaluer la valeur ajoutée</t>
        </is>
      </c>
      <c r="I12" s="18" t="inlineStr">
        <is>
          <t>Contacter le designer avec un écran de référence, objectifs et critères de revue</t>
        </is>
      </c>
      <c r="J12" s="54" t="inlineStr">
        <is>
          <t>18/09/2026</t>
        </is>
      </c>
    </row>
    <row r="13">
      <c r="B13" s="54" t="inlineStr">
        <is>
          <t>A04</t>
        </is>
      </c>
      <c r="C13" s="54" t="inlineStr">
        <is>
          <t>09/09/2026</t>
        </is>
      </c>
      <c r="D13" s="18" t="inlineStr">
        <is>
          <t>Articulation Deal-Experts (P13)</t>
        </is>
      </c>
      <c r="E13" s="18" t="inlineStr">
        <is>
          <t>Le référentiel p. 23-24 classe explicitement P13 en socle contractuel, art. 12.3. Confirmer l'organisation des missions nécessaires à Deal-Ready et à l'audit avant le module complet V4.</t>
        </is>
      </c>
      <c r="F13" s="36" t="inlineStr">
        <is>
          <t>Ouvert</t>
        </is>
      </c>
      <c r="G13" s="18" t="inlineStr">
        <is>
          <t>CCI-Togo</t>
        </is>
      </c>
      <c r="H13" s="18" t="inlineStr">
        <is>
          <t>V4 conservée ; responsabilités et accès experts des parcours antérieurs à expliciter</t>
        </is>
      </c>
      <c r="I13" s="18" t="inlineStr">
        <is>
          <t>Valider une modalité opérationnelle avec la CCI-Togo avant V2</t>
        </is>
      </c>
      <c r="J13" s="54" t="inlineStr">
        <is>
          <t>15/10/2026</t>
        </is>
      </c>
    </row>
    <row r="14">
      <c r="B14" s="54" t="inlineStr">
        <is>
          <t>A05</t>
        </is>
      </c>
      <c r="C14" s="54" t="inlineStr">
        <is>
          <t>09/09/2026</t>
        </is>
      </c>
      <c r="D14" s="18" t="inlineStr">
        <is>
          <t>Numérotation P01-P03</t>
        </is>
      </c>
      <c r="E14" s="18" t="inlineStr">
        <is>
          <t>Processus manquants ou numérotation volontaire à partir de P04 ?</t>
        </is>
      </c>
      <c r="F14" s="36" t="inlineStr">
        <is>
          <t>Ouvert</t>
        </is>
      </c>
      <c r="G14" s="18" t="inlineStr">
        <is>
          <t>CCI-Togo</t>
        </is>
      </c>
      <c r="H14" s="18" t="inlineStr">
        <is>
          <t>Faible impact sur le plan</t>
        </is>
      </c>
      <c r="I14" s="18" t="inlineStr">
        <is>
          <t>Confirmer avec le juridique</t>
        </is>
      </c>
      <c r="J14" s="54" t="inlineStr"/>
    </row>
    <row r="15">
      <c r="B15" s="54" t="inlineStr">
        <is>
          <t>A06</t>
        </is>
      </c>
      <c r="C15" s="54" t="inlineStr">
        <is>
          <t>09/09/2026</t>
        </is>
      </c>
      <c r="D15" s="18" t="inlineStr">
        <is>
          <t>Partenaire fiscal</t>
        </is>
      </c>
      <c r="E15" s="18" t="inlineStr">
        <is>
          <t>TaxeFacile confirmé comme service sélectionnable depuis DealPME lors de la réunion (49:04–51:30). Cette confirmation ne prouve pas l'existence d'une API fiscale ni d'une attestation automatique.</t>
        </is>
      </c>
      <c r="F15" s="36" t="inlineStr">
        <is>
          <t>Tranché</t>
        </is>
      </c>
      <c r="G15" s="18" t="inlineStr">
        <is>
          <t>M. Bruno</t>
        </is>
      </c>
      <c r="H15" s="18" t="inlineStr">
        <is>
          <t>Catalogue de services et référentiel prestataires à partager ; intégration détaillée en A20</t>
        </is>
      </c>
      <c r="I15" s="18" t="inlineStr">
        <is>
          <t>Préciser le parcours et les accès avec le responsable TaxeFacile</t>
        </is>
      </c>
      <c r="J15" s="54" t="inlineStr">
        <is>
          <t>30/11/2026</t>
        </is>
      </c>
    </row>
    <row r="16">
      <c r="B16" s="54" t="inlineStr">
        <is>
          <t>A07</t>
        </is>
      </c>
      <c r="C16" s="54" t="inlineStr">
        <is>
          <t>09/09/2026</t>
        </is>
      </c>
      <c r="D16" s="18" t="inlineStr">
        <is>
          <t>Charte du COPIL</t>
        </is>
      </c>
      <c r="E16" s="18" t="inlineStr">
        <is>
          <t>Composition, cadence exacte, règles de vote ?</t>
        </is>
      </c>
      <c r="F16" s="36" t="inlineStr">
        <is>
          <t>Ouvert</t>
        </is>
      </c>
      <c r="G16" s="18" t="inlineStr">
        <is>
          <t>CCI-Togo</t>
        </is>
      </c>
      <c r="H16" s="18" t="inlineStr">
        <is>
          <t>Gouvernance inter-version</t>
        </is>
      </c>
      <c r="I16" s="18" t="inlineStr">
        <is>
          <t>Récupérer l'annexe de la Convention</t>
        </is>
      </c>
      <c r="J16" s="54" t="inlineStr"/>
    </row>
    <row r="17">
      <c r="B17" s="54" t="inlineStr">
        <is>
          <t>A15</t>
        </is>
      </c>
      <c r="C17" s="54" t="inlineStr">
        <is>
          <t>11/09/2026</t>
        </is>
      </c>
      <c r="D17" s="18" t="inlineStr">
        <is>
          <t>Registre d'interactions</t>
        </is>
      </c>
      <c r="E17" s="18" t="inlineStr">
        <is>
          <t>Le registre officiel ne couvre que trois surfaces de référence et compte 76 identifiants, alors que le produit compte une vingtaine de surfaces. Décision interne conservée : reprendre les identifiants officiels sur leurs surfaces et étendre le registre pour le produit. Le test actuel vérifie l'appartenance statique, pas le comportement.</t>
        </is>
      </c>
      <c r="F17" s="36" t="inlineStr">
        <is>
          <t>Tranché</t>
        </is>
      </c>
      <c r="G17" s="18" t="inlineStr">
        <is>
          <t>Chef de projet</t>
        </is>
      </c>
      <c r="H17" s="18" t="inlineStr">
        <is>
          <t>Au 12/09 : 371 identifiants relevés, 365 contrats à documenter ; PASS de couverture ne vaut pas PASS de recette</t>
        </is>
      </c>
      <c r="I17" s="18" t="inlineStr">
        <is>
          <t>Documenter et tester les parcours V1 en V1-092, puis terminer et étendre en V2-003</t>
        </is>
      </c>
      <c r="J17" s="54" t="inlineStr">
        <is>
          <t>25/11/2026</t>
        </is>
      </c>
    </row>
    <row r="18">
      <c r="B18" s="54" t="inlineStr">
        <is>
          <t>A13</t>
        </is>
      </c>
      <c r="C18" s="54" t="inlineStr">
        <is>
          <t>02/10/2026</t>
        </is>
      </c>
      <c r="D18" s="18" t="inlineStr">
        <is>
          <t>Retrait d'une publication</t>
        </is>
      </c>
      <c r="E18" s="18" t="inlineStr">
        <is>
          <t>La machine à états du v0 ne prévoit aucun retour depuis LISTED_OPEN : un dossier publié ne peut être fermé qu'en l'abandonnant, ce qui est définitif. L'écran le dit désormais au lieu de promettre un retrait. Une suspension réversible est inscrite en V2, sous réserve d'un amendement accepté par M. Bruno.</t>
        </is>
      </c>
      <c r="F18" s="36" t="inlineStr">
        <is>
          <t>Ouvert</t>
        </is>
      </c>
      <c r="G18" s="18" t="inlineStr">
        <is>
          <t>M. Bruno</t>
        </is>
      </c>
      <c r="H18" s="18" t="inlineStr">
        <is>
          <t>Un cédant qui suspend une vente ne doit pas avoir à abandonner son dossier</t>
        </is>
      </c>
      <c r="I18" s="18" t="inlineStr">
        <is>
          <t>Trancher avant le début de V2</t>
        </is>
      </c>
      <c r="J18" s="54" t="inlineStr">
        <is>
          <t>16/10/2026</t>
        </is>
      </c>
    </row>
    <row r="19">
      <c r="B19" s="54" t="inlineStr">
        <is>
          <t>A12</t>
        </is>
      </c>
      <c r="C19" s="54" t="inlineStr">
        <is>
          <t>24/09/2026</t>
        </is>
      </c>
      <c r="D19" s="18" t="inlineStr">
        <is>
          <t>Certification visible dans le jeu de démonstration</t>
        </is>
      </c>
      <c r="E19" s="18" t="inlineStr">
        <is>
          <t>Aucune fixture de référence ne certifie un dossier publié : le badge Deal-Ready n'apparaîtrait jamais sur la place de marché pendant la démonstration. Le chargement de démonstration certifie donc PT-003, avec une portée explicite. Les fixtures restent intactes et demeurent l'oracle des tests.</t>
        </is>
      </c>
      <c r="F19" s="36" t="inlineStr">
        <is>
          <t>Tranché</t>
        </is>
      </c>
      <c r="G19" s="18" t="inlineStr">
        <is>
          <t>Chef de projet</t>
        </is>
      </c>
      <c r="H19" s="18" t="inlineStr">
        <is>
          <t>La démonstration montre les deux états, certifié et non certifié, sans altérer les cas de référence</t>
        </is>
      </c>
      <c r="I19" s="18" t="inlineStr">
        <is>
          <t>Confirmer le choix du dossier certifié avec M. Bruno avant la répétition générale</t>
        </is>
      </c>
      <c r="J19" s="54" t="inlineStr">
        <is>
          <t>12/10/2026</t>
        </is>
      </c>
    </row>
    <row r="20">
      <c r="B20" s="54" t="inlineStr">
        <is>
          <t>A11</t>
        </is>
      </c>
      <c r="C20" s="54" t="inlineStr">
        <is>
          <t>23/09/2026</t>
        </is>
      </c>
      <c r="D20" s="18" t="inlineStr">
        <is>
          <t>Formats acceptés en pièce de dossier</t>
        </is>
      </c>
      <c r="E20" s="18" t="inlineStr">
        <is>
          <t>Documents, tableurs, présentations et images sont acceptés, anciens formats compris (PDF, Word, Excel, PowerPoint, OpenDocument, RTF, CSV, texte, JPEG, PNG, WebP, TIFF, HEIC) : ces formats sont ceux qui circulent réellement au Togo. Tous passent par l'antivirus, ne sont jamais exécutés, et seuls les PDF et images s'ouvrent dans le navigateur, le reste se télécharge. Les archives compressées restent exclues (ADR 0007).</t>
        </is>
      </c>
      <c r="F20" s="36" t="inlineStr">
        <is>
          <t>Tranché</t>
        </is>
      </c>
      <c r="G20" s="18" t="inlineStr">
        <is>
          <t>Chef de projet</t>
        </is>
      </c>
      <c r="H20" s="18" t="inlineStr">
        <is>
          <t>Ergonomie réelle contre surface de risque, arbitrée par l'analyse antivirus obligatoire</t>
        </is>
      </c>
      <c r="I20" s="18" t="inlineStr">
        <is>
          <t>Revoir si le pentest de V3 signale un vecteur bureautique</t>
        </is>
      </c>
      <c r="J20" s="54" t="inlineStr">
        <is>
          <t>18/12/2026</t>
        </is>
      </c>
    </row>
    <row r="21">
      <c r="B21" s="54" t="inlineStr">
        <is>
          <t>A10</t>
        </is>
      </c>
      <c r="C21" s="54" t="inlineStr">
        <is>
          <t>15/09/2026</t>
        </is>
      </c>
      <c r="D21" s="18" t="inlineStr">
        <is>
          <t>Préalable à la certification</t>
        </is>
      </c>
      <c r="E21" s="18" t="inlineStr">
        <is>
          <t>L'octroi Deal-Ready exige une vérification RCCM ou CFE enregistrée pour l'entreprise ; le serveur refuse l'octroi sans elle (INVALID_TRANSITION). Le refus et le retrait restent possibles sans vérification.</t>
        </is>
      </c>
      <c r="F21" s="36" t="inlineStr">
        <is>
          <t>Tranché</t>
        </is>
      </c>
      <c r="G21" s="18" t="inlineStr">
        <is>
          <t>Chef de projet</t>
        </is>
      </c>
      <c r="H21" s="18" t="inlineStr">
        <is>
          <t>Évite un badge accordé sur des données uniquement déclaratives</t>
        </is>
      </c>
      <c r="I21" s="18" t="inlineStr">
        <is>
          <t>Confirmer la règle avec la CCI-Togo lors de la recette</t>
        </is>
      </c>
      <c r="J21" s="54" t="inlineStr">
        <is>
          <t>15/10/2026</t>
        </is>
      </c>
    </row>
    <row r="22">
      <c r="B22" s="54" t="inlineStr">
        <is>
          <t>A09</t>
        </is>
      </c>
      <c r="C22" s="54" t="inlineStr">
        <is>
          <t>10/09/2026</t>
        </is>
      </c>
      <c r="D22" s="18" t="inlineStr">
        <is>
          <t>Palette de l'application</t>
        </is>
      </c>
      <c r="E22" s="18" t="inlineStr">
        <is>
          <t>La charte de marque (Marine Encre #1C2751, Bleu Signal #6678F1, Barlow) et le design system produit (Marine #0B2B52, Signal #1769E8, Inter) diffèrent. L'application suit le design system produit (PT-001 = autorité visuelle) ; la charte régit le site public. À confirmer par le designer.</t>
        </is>
      </c>
      <c r="F22" s="36" t="inlineStr">
        <is>
          <t>Ouvert</t>
        </is>
      </c>
      <c r="G22" s="18" t="inlineStr">
        <is>
          <t>Designer UI/UX</t>
        </is>
      </c>
      <c r="H22" s="18" t="inlineStr">
        <is>
          <t>Cohérence visuelle entre application et site public</t>
        </is>
      </c>
      <c r="I22" s="18" t="inlineStr">
        <is>
          <t>Trancher dès la nomination du designer</t>
        </is>
      </c>
      <c r="J22" s="54" t="inlineStr">
        <is>
          <t>18/09/2026</t>
        </is>
      </c>
    </row>
    <row r="23">
      <c r="B23" s="54" t="inlineStr">
        <is>
          <t>A08</t>
        </is>
      </c>
      <c r="C23" s="54" t="inlineStr">
        <is>
          <t>09/09/2026</t>
        </is>
      </c>
      <c r="D23" s="18" t="inlineStr">
        <is>
          <t>Fournisseur IA (DealLens)</t>
        </is>
      </c>
      <c r="E23" s="18" t="inlineStr">
        <is>
          <t>Quel fournisseur, avec quelles clauses de confidentialité ?</t>
        </is>
      </c>
      <c r="F23" s="36" t="inlineStr">
        <is>
          <t>Ouvert</t>
        </is>
      </c>
      <c r="G23" s="18" t="inlineStr">
        <is>
          <t>Conseil juridique</t>
        </is>
      </c>
      <c r="H23" s="18" t="inlineStr">
        <is>
          <t>Bloque tout le lot V5</t>
        </is>
      </c>
      <c r="I23" s="18" t="inlineStr">
        <is>
          <t>Consultation dès V2 ; échéance alignée sur J16, avant le début de V5</t>
        </is>
      </c>
      <c r="J23" s="54" t="inlineStr">
        <is>
          <t>15/01/2027</t>
        </is>
      </c>
    </row>
    <row r="24">
      <c r="B24" s="54" t="inlineStr">
        <is>
          <t>D05</t>
        </is>
      </c>
      <c r="C24" s="54" t="inlineStr">
        <is>
          <t>12/09/2026</t>
        </is>
      </c>
      <c r="D24" s="18" t="inlineStr">
        <is>
          <t>Enrichissement du suivi et conservation des acquis</t>
        </is>
      </c>
      <c r="E24" s="18" t="inlineStr">
        <is>
          <t>Travaux réalisés, statuts et avancements historiques conservés. Compléments identifiés ajoutés sous des identifiants distincts ; socles V2 reconnus. Calendrier des versions et dates prévues historiques maintenus.</t>
        </is>
      </c>
      <c r="F24" s="36" t="inlineStr">
        <is>
          <t>Tranché</t>
        </is>
      </c>
      <c r="G24" s="18" t="inlineStr">
        <is>
          <t>Chef de projet</t>
        </is>
      </c>
      <c r="H24" s="18" t="inlineStr">
        <is>
          <t>Suivi enrichi sans retrait des réalisations ; charges additionnelles visibles</t>
        </is>
      </c>
      <c r="I24" s="18" t="inlineStr">
        <is>
          <t>Réaliser et clôturer les compléments au fil des livraisons</t>
        </is>
      </c>
      <c r="J24" s="54" t="inlineStr">
        <is>
          <t>18/09/2026</t>
        </is>
      </c>
    </row>
    <row r="25">
      <c r="B25" s="54" t="inlineStr">
        <is>
          <t>A16</t>
        </is>
      </c>
      <c r="C25" s="54" t="inlineStr">
        <is>
          <t>12/09/2026</t>
        </is>
      </c>
      <c r="D25" s="18" t="inlineStr">
        <is>
          <t>Prestataires email, SMS et paiement</t>
        </is>
      </c>
      <c r="E25" s="18" t="inlineStr">
        <is>
          <t>Confirmer les prestataires, les accès de test et le responsable de chaque intégration. Les adaptateurs factices ne valident pas un service réel.</t>
        </is>
      </c>
      <c r="F25" s="36" t="inlineStr">
        <is>
          <t>Ouvert</t>
        </is>
      </c>
      <c r="G25" s="18" t="inlineStr">
        <is>
          <t>M. Bruno</t>
        </is>
      </c>
      <c r="H25" s="18" t="inlineStr">
        <is>
          <t>Conditionne identité, notifications et facturation avant lancement</t>
        </is>
      </c>
      <c r="I25" s="18" t="inlineStr">
        <is>
          <t>Email/SMS dès V1 ; agrégateur principal et secours à cadrer pendant V2</t>
        </is>
      </c>
      <c r="J25" s="54" t="inlineStr">
        <is>
          <t>18/09/2026</t>
        </is>
      </c>
    </row>
    <row r="26">
      <c r="B26" s="54" t="inlineStr">
        <is>
          <t>D06</t>
        </is>
      </c>
      <c r="C26" s="54" t="inlineStr">
        <is>
          <t>12/09/2026</t>
        </is>
      </c>
      <c r="D26" s="18" t="inlineStr">
        <is>
          <t>Services et prestataires</t>
        </is>
      </c>
      <c r="E26" s="18" t="inlineStr">
        <is>
          <t>TaxeFacile fait partie des services à proposer ; réutiliser le parcours d'inscription, screening et validation des prestataires, avec un référentiel commun dans DealPME.</t>
        </is>
      </c>
      <c r="F26" s="36" t="inlineStr">
        <is>
          <t>Tranché</t>
        </is>
      </c>
      <c r="G26" s="18" t="inlineStr">
        <is>
          <t>M. Bruno</t>
        </is>
      </c>
      <c r="H26" s="18" t="inlineStr">
        <is>
          <t>V3-048/049/050 ; rattachement ultérieur aux missions Experts V4</t>
        </is>
      </c>
      <c r="I26" s="18" t="inlineStr">
        <is>
          <t>Spécifier le contrat TaxeFacile (A20)</t>
        </is>
      </c>
      <c r="J26" s="54" t="inlineStr">
        <is>
          <t>20/11/2026</t>
        </is>
      </c>
    </row>
    <row r="27">
      <c r="B27" s="54" t="inlineStr">
        <is>
          <t>D07</t>
        </is>
      </c>
      <c r="C27" s="54" t="inlineStr">
        <is>
          <t>12/09/2026</t>
        </is>
      </c>
      <c r="D27" s="18" t="inlineStr">
        <is>
          <t>Design et documentation</t>
        </is>
      </c>
      <c r="E27" s="18" t="inlineStr">
        <is>
          <t>Références fournies comme base, attention prioritaire au VDR ; cartographier les documents par module et évaluer les apports du designer contre cette base.</t>
        </is>
      </c>
      <c r="F27" s="36" t="inlineStr">
        <is>
          <t>Tranché</t>
        </is>
      </c>
      <c r="G27" s="18" t="inlineStr">
        <is>
          <t>M. Bruno</t>
        </is>
      </c>
      <c r="H27" s="18" t="inlineStr">
        <is>
          <t>V1-103 et V1-075 ; aucune remise à zéro du design existant</t>
        </is>
      </c>
      <c r="I27" s="18" t="inlineStr">
        <is>
          <t>Construire la carte source/tâche/écran/test</t>
        </is>
      </c>
      <c r="J27" s="54" t="inlineStr">
        <is>
          <t>18/09/2026</t>
        </is>
      </c>
    </row>
    <row r="28">
      <c r="B28" s="54" t="inlineStr">
        <is>
          <t>D08</t>
        </is>
      </c>
      <c r="C28" s="54" t="inlineStr">
        <is>
          <t>12/09/2026</t>
        </is>
      </c>
      <c r="D28" s="18" t="inlineStr">
        <is>
          <t>Hébergement et antivirus</t>
        </is>
      </c>
      <c r="E28" s="18" t="inlineStr">
        <is>
          <t>Préparer un serveur dédié à DealPME et aux services associés dont TaxeFacile ; antivirus intégré à l'environnement. Le socle ClamAV existant est conservé.</t>
        </is>
      </c>
      <c r="F28" s="36" t="inlineStr">
        <is>
          <t>Tranché</t>
        </is>
      </c>
      <c r="G28" s="18" t="inlineStr">
        <is>
          <t>M. Bruno</t>
        </is>
      </c>
      <c r="H28" s="18" t="inlineStr">
        <is>
          <t>V1-108 puis V1-009 ; séparation des services, données et accès à préciser</t>
        </is>
      </c>
      <c r="I28" s="18" t="inlineStr">
        <is>
          <t>Envoyer les spécifications et obtenir les accès</t>
        </is>
      </c>
      <c r="J28" s="54" t="inlineStr">
        <is>
          <t>18/09/2026</t>
        </is>
      </c>
    </row>
    <row r="29">
      <c r="B29" s="54" t="inlineStr">
        <is>
          <t>D09</t>
        </is>
      </c>
      <c r="C29" s="54" t="inlineStr">
        <is>
          <t>12/09/2026</t>
        </is>
      </c>
      <c r="D29" s="18" t="inlineStr">
        <is>
          <t>Réunions et comptes rendus</t>
        </is>
      </c>
      <c r="E29" s="18" t="inlineStr">
        <is>
          <t>Prévoir mini-réunions depuis un dossier et comptes rendus du contenu des sessions. Étudier un agent participant réutilisable et les enregistrements natifs ; faisabilité à tester.</t>
        </is>
      </c>
      <c r="F29" s="36" t="inlineStr">
        <is>
          <t>Tranché</t>
        </is>
      </c>
      <c r="G29" s="18" t="inlineStr">
        <is>
          <t>M. Bruno / chef de projet</t>
        </is>
      </c>
      <c r="H29" s="18" t="inlineStr">
        <is>
          <t>Cadrage et prototype V1, socle réunions/rapports V2, multi-sessions salon V4 ; affectation technique inscrite sans déplacement des versions</t>
        </is>
      </c>
      <c r="I29" s="18" t="inlineStr">
        <is>
          <t>Tester V1-104/107, trancher limites A18 et traitement A21</t>
        </is>
      </c>
      <c r="J29" s="54" t="inlineStr">
        <is>
          <t>02/10/2026</t>
        </is>
      </c>
    </row>
    <row r="30">
      <c r="B30" s="54" t="inlineStr">
        <is>
          <t>D10</t>
        </is>
      </c>
      <c r="C30" s="54" t="inlineStr">
        <is>
          <t>12/09/2026</t>
        </is>
      </c>
      <c r="D30" s="18" t="inlineStr">
        <is>
          <t>CFE activé, mock ou manuel</t>
        </is>
      </c>
      <c r="E30" s="18" t="inlineStr">
        <is>
          <t>API désactivée par environnement : validation manuelle complète. API activée : mock HTTP local puis adaptateur réel disponible. La décision Deal-Ready demeure nominative et distincte.</t>
        </is>
      </c>
      <c r="F30" s="36" t="inlineStr">
        <is>
          <t>Tranché</t>
        </is>
      </c>
      <c r="G30" s="18" t="inlineStr">
        <is>
          <t>Chef de projet</t>
        </is>
      </c>
      <c r="H30" s="18" t="inlineStr">
        <is>
          <t>V1-109 complète V1-035 ; le mock ne vaut pas preuve réelle du registre</t>
        </is>
      </c>
      <c r="I30" s="18" t="inlineStr">
        <is>
          <t>Implémenter sélection, scénarios et reprise manuelle tracée</t>
        </is>
      </c>
      <c r="J30" s="54" t="inlineStr">
        <is>
          <t>28/09/2026</t>
        </is>
      </c>
    </row>
    <row r="31">
      <c r="B31" s="54" t="inlineStr">
        <is>
          <t>D11</t>
        </is>
      </c>
      <c r="C31" s="54" t="inlineStr">
        <is>
          <t>12/09/2026</t>
        </is>
      </c>
      <c r="D31" s="18" t="inlineStr">
        <is>
          <t>Email et SMS locaux</t>
        </is>
      </c>
      <c r="E31" s="18" t="inlineStr">
        <is>
          <t>Mailpit pour l'email et boîte SMS HTTP locale réutilisable ; conserver les ports métier lors de la bascule vers un adaptateur fournisseur testé et configuré.</t>
        </is>
      </c>
      <c r="F31" s="36" t="inlineStr">
        <is>
          <t>Tranché</t>
        </is>
      </c>
      <c r="G31" s="18" t="inlineStr">
        <is>
          <t>Chef de projet</t>
        </is>
      </c>
      <c r="H31" s="18" t="inlineStr">
        <is>
          <t>V1-093/101/102 et V1-028 pour le fournisseur SMS réel</t>
        </is>
      </c>
      <c r="I31" s="18" t="inlineStr">
        <is>
          <t>Réaliser le lot L03 du plan d'exécution</t>
        </is>
      </c>
      <c r="J31" s="54" t="inlineStr">
        <is>
          <t>25/09/2026</t>
        </is>
      </c>
    </row>
    <row r="32">
      <c r="B32" s="54" t="inlineStr">
        <is>
          <t>A17</t>
        </is>
      </c>
      <c r="C32" s="54" t="inlineStr">
        <is>
          <t>12/09/2026</t>
        </is>
      </c>
      <c r="D32" s="18" t="inlineStr">
        <is>
          <t>Accès et offres événementielles</t>
        </is>
      </c>
      <c r="E32" s="18" t="inlineStr">
        <is>
          <t>Transmettre un accès organisateur/API, pas seulement une invitation participant ; confirmer l'offre Remo/Events.com Virtual et les autres abonnements mentionnés oralement.</t>
        </is>
      </c>
      <c r="F32" s="36" t="inlineStr">
        <is>
          <t>Ouvert</t>
        </is>
      </c>
      <c r="G32" s="18" t="inlineStr">
        <is>
          <t>M. Bruno</t>
        </is>
      </c>
      <c r="H32" s="18" t="inlineStr">
        <is>
          <t>Conditionne les essais réels V1-104 et le connecteur</t>
        </is>
      </c>
      <c r="I32" s="18" t="inlineStr">
        <is>
          <t>Partager documentation, droits, clés de test et noms exacts des solutions</t>
        </is>
      </c>
      <c r="J32" s="54" t="inlineStr">
        <is>
          <t>18/09/2026</t>
        </is>
      </c>
    </row>
    <row r="33">
      <c r="B33" s="54" t="inlineStr">
        <is>
          <t>A18</t>
        </is>
      </c>
      <c r="C33" s="54" t="inlineStr">
        <is>
          <t>12/09/2026</t>
        </is>
      </c>
      <c r="D33" s="18" t="inlineStr">
        <is>
          <t>Événements simultanés et branding</t>
        </is>
      </c>
      <c r="E33" s="18" t="inlineStr">
        <is>
          <t>Vérifier la limite évoquée d'un événement à la fois, la portée compte/événement du branding et l'usage d'un abonnement sur plusieurs produits.</t>
        </is>
      </c>
      <c r="F33" s="36" t="inlineStr">
        <is>
          <t>Ouvert</t>
        </is>
      </c>
      <c r="G33" s="18" t="inlineStr">
        <is>
          <t>M. Bruno / fournisseur</t>
        </is>
      </c>
      <c r="H33" s="18" t="inlineStr">
        <is>
          <t>Conditionne réservations et mini-réunions simultanées</t>
        </is>
      </c>
      <c r="I33" s="18" t="inlineStr">
        <is>
          <t>Tester deux événements et deux profils de branding ; archiver les limites réelles</t>
        </is>
      </c>
      <c r="J33" s="54" t="inlineStr">
        <is>
          <t>24/09/2026</t>
        </is>
      </c>
    </row>
    <row r="34">
      <c r="B34" s="54" t="inlineStr">
        <is>
          <t>A19</t>
        </is>
      </c>
      <c r="C34" s="54" t="inlineStr">
        <is>
          <t>12/09/2026</t>
        </is>
      </c>
      <c r="D34" s="18" t="inlineStr">
        <is>
          <t>Serveur dédié et accès</t>
        </is>
      </c>
      <c r="E34" s="18" t="inlineStr">
        <is>
          <t>Valider les spécifications, l'hébergement, les accès et le DNS ; présence d'un serveur Hostinger évoquée, ressources et renouvellement non confirmés.</t>
        </is>
      </c>
      <c r="F34" s="36" t="inlineStr">
        <is>
          <t>Ouvert</t>
        </is>
      </c>
      <c r="G34" s="18" t="inlineStr">
        <is>
          <t>M. Bruno</t>
        </is>
      </c>
      <c r="H34" s="18" t="inlineStr">
        <is>
          <t>Déploiement V1-009 ; partage physique possible avec isolation des services et bases</t>
        </is>
      </c>
      <c r="I34" s="18" t="inlineStr">
        <is>
          <t>Envoyer docs/DEMANDE_INFRA_ACCES.md et confirmer le provisioning</t>
        </is>
      </c>
      <c r="J34" s="54" t="inlineStr">
        <is>
          <t>18/09/2026</t>
        </is>
      </c>
    </row>
    <row r="35">
      <c r="B35" s="54" t="inlineStr">
        <is>
          <t>A20</t>
        </is>
      </c>
      <c r="C35" s="54" t="inlineStr">
        <is>
          <t>12/09/2026</t>
        </is>
      </c>
      <c r="D35" s="18" t="inlineStr">
        <is>
          <t>Contrat TaxeFacile</t>
        </is>
      </c>
      <c r="E35" s="18" t="inlineStr">
        <is>
          <t>Définir catalogue, identité prestataire, demande, suivi, retour, responsabilités et frontières de données ; préciser API/SSO ou renvoi contrôlé et capacité d'hébergement.</t>
        </is>
      </c>
      <c r="F35" s="36" t="inlineStr">
        <is>
          <t>Ouvert</t>
        </is>
      </c>
      <c r="G35" s="18" t="inlineStr">
        <is>
          <t>M. Bruno / responsable TaxeFacile</t>
        </is>
      </c>
      <c r="H35" s="18" t="inlineStr">
        <is>
          <t>Complète A06 ; ne présume pas une API d'attestation fiscale</t>
        </is>
      </c>
      <c r="I35" s="18" t="inlineStr">
        <is>
          <t>Fournir parcours, documentation et accès de test avant V3</t>
        </is>
      </c>
      <c r="J35" s="54" t="inlineStr">
        <is>
          <t>20/11/2026</t>
        </is>
      </c>
    </row>
    <row r="36">
      <c r="B36" s="54" t="inlineStr">
        <is>
          <t>A21</t>
        </is>
      </c>
      <c r="C36" s="54" t="inlineStr">
        <is>
          <t>12/09/2026</t>
        </is>
      </c>
      <c r="D36" s="18" t="inlineStr">
        <is>
          <t>Captation, transcription et résumé</t>
        </is>
      </c>
      <c r="E36" s="18" t="inlineStr">
        <is>
          <t>Valider la connexion de l'agent, la couverture scène/tables, le moteur de transcription/résumé et les conditions d'usage des enregistrements. Un abonnement annoncé ne démontre pas ces capacités.</t>
        </is>
      </c>
      <c r="F36" s="36" t="inlineStr">
        <is>
          <t>Ouvert</t>
        </is>
      </c>
      <c r="G36" s="18" t="inlineStr">
        <is>
          <t>M. Bruno / technique / juridique</t>
        </is>
      </c>
      <c r="H36" s="18" t="inlineStr">
        <is>
          <t>Traitement des réunions V2 distinct de DealLens V5 ; qualification nécessaire avant utilisation réelle</t>
        </is>
      </c>
      <c r="I36" s="18" t="inlineStr">
        <is>
          <t>Prototype synthétique V1-107 ; choix et accès de traitement pour V2-048/049</t>
        </is>
      </c>
      <c r="J36" s="54" t="inlineStr">
        <is>
          <t>16/10/2026</t>
        </is>
      </c>
    </row>
  </sheetData>
  <conditionalFormatting sqref="F6:F86">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86" showDropDown="0" showInputMessage="0" showErrorMessage="0" allowBlank="1" type="list">
      <formula1>=Parametres!$R$6:$R$8</formula1>
    </dataValidation>
  </dataValidations>
  <pageMargins left="0.75" right="0.75" top="1" bottom="1" header="0.5" footer="0.5"/>
</worksheet>
</file>

<file path=xl/worksheets/sheet15.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18" t="inlineStr">
        <is>
          <t>A. Préparer la transmission</t>
        </is>
      </c>
      <c r="D6" s="18" t="inlineStr">
        <is>
          <t>Pass Transmission : constitution et qualification du dossier cédant</t>
        </is>
      </c>
      <c r="E6" s="18"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18" t="inlineStr">
        <is>
          <t>A. Préparer la transmission</t>
        </is>
      </c>
      <c r="D7" s="18" t="inlineStr">
        <is>
          <t>Évaluation financière sommaire et non opposable</t>
        </is>
      </c>
      <c r="E7" s="18"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18" t="inlineStr">
        <is>
          <t>A. Préparer la transmission</t>
        </is>
      </c>
      <c r="D8" s="18" t="inlineStr">
        <is>
          <t>Deal-Ready : diagnostic, remédiation et certification CCI-Togo</t>
        </is>
      </c>
      <c r="E8" s="18"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18" t="inlineStr">
        <is>
          <t>A. Préparer la transmission</t>
        </is>
      </c>
      <c r="D9" s="18" t="inlineStr">
        <is>
          <t>Qualification du mode de transmission et régime de confidentialité</t>
        </is>
      </c>
      <c r="E9" s="18"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18" t="inlineStr">
        <is>
          <t>B. Qualifier et connecter</t>
        </is>
      </c>
      <c r="D10" s="18" t="inlineStr">
        <is>
          <t>Qualification du repreneur / investisseur</t>
        </is>
      </c>
      <c r="E10" s="18"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18" t="inlineStr">
        <is>
          <t>B. Qualifier et connecter</t>
        </is>
      </c>
      <c r="D11" s="18" t="inlineStr">
        <is>
          <t>Recherche, matching et manifestation d'intérêt</t>
        </is>
      </c>
      <c r="E11" s="18"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18" t="inlineStr">
        <is>
          <t>B. Qualifier et connecter</t>
        </is>
      </c>
      <c r="D12" s="18" t="inlineStr">
        <is>
          <t>Admission et divulgation contrôlée</t>
        </is>
      </c>
      <c r="E12" s="18"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18" t="inlineStr">
        <is>
          <t>B. Qualifier et connecter</t>
        </is>
      </c>
      <c r="D13" s="18" t="inlineStr">
        <is>
          <t>NDA, signature et constitution de la preuve</t>
        </is>
      </c>
      <c r="E13" s="18"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18" t="inlineStr">
        <is>
          <t>B. Qualifier et connecter</t>
        </is>
      </c>
      <c r="D14" s="18" t="inlineStr">
        <is>
          <t>VDR, autorisation d'accès et questions-réponses</t>
        </is>
      </c>
      <c r="E14" s="18"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18" t="inlineStr">
        <is>
          <t>B. Qualifier et connecter</t>
        </is>
      </c>
      <c r="D15" s="18" t="inlineStr">
        <is>
          <t>Mobilisation et gestion d'un expert indépendant</t>
        </is>
      </c>
      <c r="E15" s="18"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18" t="inlineStr">
        <is>
          <t>C. Négocier et réaliser</t>
        </is>
      </c>
      <c r="D16" s="18" t="inlineStr">
        <is>
          <t>Offre, contre-offre, LOI et documentation</t>
        </is>
      </c>
      <c r="E16" s="18"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18" t="inlineStr">
        <is>
          <t>C. Négocier et réaliser</t>
        </is>
      </c>
      <c r="D17" s="18" t="inlineStr">
        <is>
          <t>Audit d'acquisition et résolution des points ouverts</t>
        </is>
      </c>
      <c r="E17" s="18"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18" t="inlineStr">
        <is>
          <t>C. Négocier et réaliser</t>
        </is>
      </c>
      <c r="D18" s="18" t="inlineStr">
        <is>
          <t>Réalisation de l'opération et traçabilité de la transmission</t>
        </is>
      </c>
      <c r="E18" s="18"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18" t="inlineStr">
        <is>
          <t>D. Restructurer et servir</t>
        </is>
      </c>
      <c r="D19" s="18" t="inlineStr">
        <is>
          <t>Alerte &amp; Rebond : diagnostic, confidentialité et orientation</t>
        </is>
      </c>
      <c r="E19" s="18"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18" t="inlineStr">
        <is>
          <t>D. Restructurer et servir</t>
        </is>
      </c>
      <c r="D20" s="18" t="inlineStr">
        <is>
          <t>Cession d'actifs d'entreprises en difficulté</t>
        </is>
      </c>
      <c r="E20" s="18"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18" t="inlineStr">
        <is>
          <t>D. Restructurer et servir</t>
        </is>
      </c>
      <c r="D21" s="18" t="inlineStr">
        <is>
          <t>Legal-Tech OHADA et Conformité &amp; Fiscalité</t>
        </is>
      </c>
      <c r="E21" s="18"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18" t="inlineStr">
        <is>
          <t>D. Restructurer et servir</t>
        </is>
      </c>
      <c r="D22" s="18" t="inlineStr">
        <is>
          <t>Deal-Connect : conception et exécution d'un événement B2B</t>
        </is>
      </c>
      <c r="E22" s="18"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18" t="inlineStr">
        <is>
          <t>D. Restructurer et servir</t>
        </is>
      </c>
      <c r="D23" s="18" t="inlineStr">
        <is>
          <t>Guichet Diaspora et Investissement</t>
        </is>
      </c>
      <c r="E23" s="18"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18" t="inlineStr">
        <is>
          <t>E. Gouverner et opérer</t>
        </is>
      </c>
      <c r="D24" s="18" t="inlineStr">
        <is>
          <t>Gouvernance institutionnelle CCI-Togo et certification</t>
        </is>
      </c>
      <c r="E24" s="18"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18" t="inlineStr">
        <is>
          <t>E. Gouverner et opérer</t>
        </is>
      </c>
      <c r="D25" s="18" t="inlineStr">
        <is>
          <t>Support, administration et accès privilégiés</t>
        </is>
      </c>
      <c r="E25" s="18"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18" t="inlineStr">
        <is>
          <t>E. Gouverner et opérer</t>
        </is>
      </c>
      <c r="D26" s="18" t="inlineStr">
        <is>
          <t>Résultat, facturation, rétrocession et contrôle financier</t>
        </is>
      </c>
      <c r="E26" s="18"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18" t="inlineStr">
        <is>
          <t>E. Gouverner et opérer</t>
        </is>
      </c>
      <c r="D27" s="18" t="inlineStr">
        <is>
          <t>Exploitation, sécurité, incidents, continuité et SLA</t>
        </is>
      </c>
      <c r="E27" s="18"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6.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18" t="inlineStr">
        <is>
          <t>Chef de projet / architecte</t>
        </is>
      </c>
      <c r="C6" s="18" t="inlineStr">
        <is>
          <t>DealPME</t>
        </is>
      </c>
      <c r="D6" s="37" t="inlineStr">
        <is>
          <t>Abdou-Raouf</t>
        </is>
      </c>
      <c r="E6" s="18" t="inlineStr">
        <is>
          <t>Pilotage, architecture, arbitrages techniques, tenue de ce classeur</t>
        </is>
      </c>
    </row>
    <row r="7">
      <c r="B7" s="18" t="inlineStr">
        <is>
          <t>Équipe de développement</t>
        </is>
      </c>
      <c r="C7" s="18" t="inlineStr">
        <is>
          <t>DealPME</t>
        </is>
      </c>
      <c r="D7" s="37" t="inlineStr">
        <is>
          <t>À confirmer</t>
        </is>
      </c>
      <c r="E7" s="18" t="inlineStr">
        <is>
          <t>Réalisation, tests, documentation</t>
        </is>
      </c>
    </row>
    <row r="8">
      <c r="B8" s="18" t="inlineStr">
        <is>
          <t>Propriétaire produit</t>
        </is>
      </c>
      <c r="C8" s="18" t="inlineStr">
        <is>
          <t>DealPME</t>
        </is>
      </c>
      <c r="D8" s="37" t="inlineStr">
        <is>
          <t>M. Bruno H.</t>
        </is>
      </c>
      <c r="E8" s="18" t="inlineStr">
        <is>
          <t>Priorisation, validation des livrables, décisions de périmètre</t>
        </is>
      </c>
    </row>
    <row r="9">
      <c r="B9" s="18" t="inlineStr">
        <is>
          <t>Référent institutionnel</t>
        </is>
      </c>
      <c r="C9" s="18" t="inlineStr">
        <is>
          <t>CCI-Togo</t>
        </is>
      </c>
      <c r="D9" s="37" t="inlineStr">
        <is>
          <t>À désigner</t>
        </is>
      </c>
      <c r="E9" s="18" t="inlineStr">
        <is>
          <t>Confirmation d'adhésion, certification Deal-Ready, promotion, COPIL</t>
        </is>
      </c>
    </row>
    <row r="10">
      <c r="B10" s="18" t="inlineStr">
        <is>
          <t>Designer UI/UX</t>
        </is>
      </c>
      <c r="C10" s="18" t="inlineStr">
        <is>
          <t>Externe</t>
        </is>
      </c>
      <c r="D10" s="37" t="inlineStr">
        <is>
          <t>À confirmer (proposition Bouley)</t>
        </is>
      </c>
      <c r="E10" s="18" t="inlineStr">
        <is>
          <t>Conception des écrans, revue visuelle</t>
        </is>
      </c>
    </row>
    <row r="11">
      <c r="B11" s="18" t="inlineStr">
        <is>
          <t>Conseil juridique / DPO</t>
        </is>
      </c>
      <c r="C11" s="18" t="inlineStr">
        <is>
          <t>Externe</t>
        </is>
      </c>
      <c r="D11" s="37" t="inlineStr">
        <is>
          <t>À désigner</t>
        </is>
      </c>
      <c r="E11" s="18" t="inlineStr">
        <is>
          <t>Avis RPS, revue des modèles, IPDCP, nomination DPO</t>
        </is>
      </c>
    </row>
    <row r="12">
      <c r="B12" s="18" t="inlineStr">
        <is>
          <t>Prestataires techniques</t>
        </is>
      </c>
      <c r="C12" s="18" t="inlineStr">
        <is>
          <t>Externe</t>
        </is>
      </c>
      <c r="D12" s="37" t="inlineStr">
        <is>
          <t>PSC signature, mobile money, PSAE, Remo.co, fournisseur IA</t>
        </is>
      </c>
      <c r="E12" s="18" t="inlineStr">
        <is>
          <t>Intégrations sous contrat</t>
        </is>
      </c>
    </row>
    <row r="13">
      <c r="B13" s="18" t="inlineStr">
        <is>
          <t>Experts indépendants</t>
        </is>
      </c>
      <c r="C13" s="18" t="inlineStr">
        <is>
          <t>Externe</t>
        </is>
      </c>
      <c r="D13" s="37" t="inlineStr">
        <is>
          <t>Registre à constituer</t>
        </is>
      </c>
      <c r="E13" s="18"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18"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18"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18"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18"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18"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18"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18"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18"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18"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18"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18"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18"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18"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18"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18"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18"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18"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18"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18"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18"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7.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18" t="inlineStr">
        <is>
          <t>À faire</t>
        </is>
      </c>
      <c r="C6" s="55" t="n">
        <v>0</v>
      </c>
      <c r="D6" s="18" t="inlineStr">
        <is>
          <t>Oui</t>
        </is>
      </c>
      <c r="F6" s="18" t="inlineStr">
        <is>
          <t>Haute</t>
        </is>
      </c>
      <c r="H6" s="18" t="inlineStr">
        <is>
          <t>V1</t>
        </is>
      </c>
      <c r="J6" s="18" t="inlineStr">
        <is>
          <t>FOND</t>
        </is>
      </c>
      <c r="L6" s="18" t="inlineStr">
        <is>
          <t>Oui</t>
        </is>
      </c>
      <c r="N6" s="18" t="inlineStr">
        <is>
          <t>À venir</t>
        </is>
      </c>
      <c r="P6" s="18" t="inlineStr">
        <is>
          <t>Ouvert</t>
        </is>
      </c>
      <c r="R6" s="18" t="inlineStr">
        <is>
          <t>Ouvert</t>
        </is>
      </c>
    </row>
    <row r="7">
      <c r="B7" s="18" t="inlineStr">
        <is>
          <t>En cours</t>
        </is>
      </c>
      <c r="C7" s="55" t="n">
        <v>0.25</v>
      </c>
      <c r="D7" s="18" t="inlineStr">
        <is>
          <t>Oui</t>
        </is>
      </c>
      <c r="F7" s="18" t="inlineStr">
        <is>
          <t>Moyenne</t>
        </is>
      </c>
      <c r="H7" s="18" t="inlineStr">
        <is>
          <t>V2</t>
        </is>
      </c>
      <c r="J7" s="18" t="inlineStr">
        <is>
          <t>TRV</t>
        </is>
      </c>
      <c r="L7" s="18" t="inlineStr">
        <is>
          <t>Non</t>
        </is>
      </c>
      <c r="N7" s="18" t="inlineStr">
        <is>
          <t>En risque</t>
        </is>
      </c>
      <c r="P7" s="18" t="inlineStr">
        <is>
          <t>Surveillé</t>
        </is>
      </c>
      <c r="R7" s="18" t="inlineStr">
        <is>
          <t>En discussion</t>
        </is>
      </c>
    </row>
    <row r="8">
      <c r="B8" s="18" t="inlineStr">
        <is>
          <t>En revue</t>
        </is>
      </c>
      <c r="C8" s="55" t="n">
        <v>0.9</v>
      </c>
      <c r="D8" s="18" t="inlineStr">
        <is>
          <t>Oui</t>
        </is>
      </c>
      <c r="F8" s="18" t="inlineStr">
        <is>
          <t>Basse</t>
        </is>
      </c>
      <c r="H8" s="18" t="inlineStr">
        <is>
          <t>V3</t>
        </is>
      </c>
      <c r="J8" s="18" t="inlineStr">
        <is>
          <t>IDN</t>
        </is>
      </c>
      <c r="N8" s="18" t="inlineStr">
        <is>
          <t>Atteint</t>
        </is>
      </c>
      <c r="P8" s="18" t="inlineStr">
        <is>
          <t>Clos</t>
        </is>
      </c>
      <c r="R8" s="18" t="inlineStr">
        <is>
          <t>Tranché</t>
        </is>
      </c>
    </row>
    <row r="9">
      <c r="B9" s="18" t="inlineStr">
        <is>
          <t>Bloquée</t>
        </is>
      </c>
      <c r="C9" s="55" t="n">
        <v>0.25</v>
      </c>
      <c r="D9" s="18" t="inlineStr">
        <is>
          <t>Oui</t>
        </is>
      </c>
      <c r="H9" s="18" t="inlineStr">
        <is>
          <t>V4</t>
        </is>
      </c>
      <c r="J9" s="18" t="inlineStr">
        <is>
          <t>GOV</t>
        </is>
      </c>
      <c r="N9" s="18" t="inlineStr">
        <is>
          <t>Abandonné</t>
        </is>
      </c>
    </row>
    <row r="10">
      <c r="B10" s="18" t="inlineStr">
        <is>
          <t>Complétée</t>
        </is>
      </c>
      <c r="C10" s="55" t="n">
        <v>1</v>
      </c>
      <c r="D10" s="18" t="inlineStr">
        <is>
          <t>Oui</t>
        </is>
      </c>
      <c r="H10" s="18" t="inlineStr">
        <is>
          <t>V5</t>
        </is>
      </c>
      <c r="J10" s="18" t="inlineStr">
        <is>
          <t>CCI</t>
        </is>
      </c>
    </row>
    <row r="11">
      <c r="B11" s="18" t="inlineStr">
        <is>
          <t>Backlog</t>
        </is>
      </c>
      <c r="C11" s="55" t="n">
        <v>0</v>
      </c>
      <c r="D11" s="18" t="inlineStr">
        <is>
          <t>Oui</t>
        </is>
      </c>
      <c r="J11" s="18" t="inlineStr">
        <is>
          <t>MKT</t>
        </is>
      </c>
    </row>
    <row r="12">
      <c r="B12" s="18" t="inlineStr">
        <is>
          <t>Abandonnée</t>
        </is>
      </c>
      <c r="C12" s="55" t="n">
        <v>0</v>
      </c>
      <c r="D12" s="18" t="inlineStr">
        <is>
          <t>Non</t>
        </is>
      </c>
      <c r="J12" s="18" t="inlineStr">
        <is>
          <t>RPS</t>
        </is>
      </c>
    </row>
    <row r="13">
      <c r="J13" s="18" t="inlineStr">
        <is>
          <t>SIG</t>
        </is>
      </c>
    </row>
    <row r="14">
      <c r="J14" s="18" t="inlineStr">
        <is>
          <t>VDR</t>
        </is>
      </c>
    </row>
    <row r="15">
      <c r="B15" s="3" t="inlineStr">
        <is>
          <t>Règle d'avancement d'une tâche</t>
        </is>
      </c>
      <c r="J15" s="18" t="inlineStr">
        <is>
          <t>NEG</t>
        </is>
      </c>
    </row>
    <row r="16" ht="32" customHeight="1">
      <c r="B16" s="20" t="inlineStr">
        <is>
          <t>Si le statut est 'Complétée' : 100 %. Si un pourcentage est saisi dans la colonne '% saisi' de l'onglet Taches, il est utilisé. Sinon, l'avancement par défaut du statut ci-dessus s'applique.</t>
        </is>
      </c>
    </row>
    <row r="17" ht="32" customHeight="1">
      <c r="B17" s="20" t="inlineStr">
        <is>
          <t>Une tâche 'Abandonnée' sort des totaux de charge. La charge réalisée = charge retenue x avancement. Les modules, versions, processus et le tableau de bord sont calculés à partir de ces deux colonnes.</t>
        </is>
      </c>
    </row>
    <row r="18">
      <c r="J18" s="18" t="inlineStr">
        <is>
          <t>FIN</t>
        </is>
      </c>
    </row>
    <row r="19">
      <c r="J19" s="18" t="inlineStr">
        <is>
          <t>SUP</t>
        </is>
      </c>
    </row>
    <row r="20">
      <c r="J20" s="18" t="inlineStr">
        <is>
          <t>OPS</t>
        </is>
      </c>
    </row>
    <row r="21">
      <c r="J21" s="18" t="inlineStr">
        <is>
          <t>REB</t>
        </is>
      </c>
    </row>
    <row r="22">
      <c r="J22" s="18" t="inlineStr">
        <is>
          <t>CNX</t>
        </is>
      </c>
    </row>
    <row r="23">
      <c r="J23" s="18" t="inlineStr">
        <is>
          <t>DIA</t>
        </is>
      </c>
    </row>
    <row r="24">
      <c r="J24" s="18" t="inlineStr">
        <is>
          <t>EXP</t>
        </is>
      </c>
    </row>
    <row r="25">
      <c r="J25" s="18"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2026-09-12T08:45:42Z</dcterms:created>
  <dcterms:modified xsi:type="dcterms:W3CDTF">2026-09-12T08:45:43Z</dcterms:modified>
</cp:coreProperties>
</file>