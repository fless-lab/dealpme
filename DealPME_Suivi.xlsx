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COUNTIF(Decisions!$F$6:$F$72,"Ouvert")+COUNTIF(Decisions!$F$6:$F$72,"En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QA et livraison</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30" t="inlineStr">
        <is>
          <t>Total V1</t>
        </is>
      </c>
      <c r="C35" s="30">
        <f>SUM(C22:C34)</f>
        <v/>
      </c>
      <c r="D35" s="31">
        <f>SUM(D22:D34)</f>
        <v/>
      </c>
      <c r="E35" s="32">
        <f>IF(C35=0,0,D35/C35)</f>
        <v/>
      </c>
      <c r="F35" s="30">
        <f>SUM(F22:F34)</f>
        <v/>
      </c>
      <c r="G35" s="30">
        <f>SUM(G22:G34)</f>
        <v/>
      </c>
      <c r="H35" s="30">
        <f>SUM(H22:H34)</f>
        <v/>
      </c>
      <c r="I35" s="30">
        <f>SUM(I22:I34)</f>
        <v/>
      </c>
    </row>
    <row r="37">
      <c r="B37" s="3" t="inlineStr">
        <is>
          <t>Prérequis</t>
        </is>
      </c>
    </row>
    <row r="38" ht="30" customHeight="1">
      <c r="B38" s="19" t="inlineStr">
        <is>
          <t>Équipe de développement confirmée (5 à 6 profils) ; réponse sur l'API CFE/RCCM ; designer UI/UX confirmé.</t>
        </is>
      </c>
    </row>
    <row r="39">
      <c r="B39" s="3" t="inlineStr">
        <is>
          <t>Décision ou règle</t>
        </is>
      </c>
    </row>
    <row r="40" ht="36" customHeight="1">
      <c r="B40" s="33" t="inlineStr">
        <is>
          <t>La démonstration RPS fait partie de V1. Sans équipe à 5 ou 6 profils, la démonstration RPS est le premier lot à retirer, avant le matching automatisé.</t>
        </is>
      </c>
      <c r="C40" s="34" t="n"/>
      <c r="D40" s="34" t="n"/>
      <c r="E40" s="34" t="n"/>
      <c r="F40" s="34" t="n"/>
      <c r="G40" s="34" t="n"/>
      <c r="H40" s="34" t="n"/>
      <c r="I40" s="34" t="n"/>
    </row>
    <row r="43" ht="26" customHeight="1">
      <c r="B43" s="22" t="inlineStr">
        <is>
          <t>V2  Cession de titres en cercle restreint (RPS réel), signature électronique, data room et Q&amp;R</t>
        </is>
      </c>
    </row>
    <row r="44" ht="28" customHeight="1">
      <c r="B44" s="23" t="inlineStr">
        <is>
          <t>Début prévu</t>
        </is>
      </c>
      <c r="C44" s="23" t="inlineStr">
        <is>
          <t>Fin prévue</t>
        </is>
      </c>
      <c r="D44" s="23" t="inlineStr">
        <is>
          <t>Charge (j/p)</t>
        </is>
      </c>
      <c r="E44" s="23" t="inlineStr">
        <is>
          <t>Charge (sem.-pers.)</t>
        </is>
      </c>
      <c r="F44" s="23" t="inlineStr">
        <is>
          <t>Avancement</t>
        </is>
      </c>
      <c r="G44" s="23" t="inlineStr">
        <is>
          <t>État</t>
        </is>
      </c>
      <c r="H44" s="23" t="inlineStr">
        <is>
          <t>Semaines calendaires</t>
        </is>
      </c>
      <c r="I44" s="23" t="inlineStr">
        <is>
          <t>ETP requis à pleine cadence</t>
        </is>
      </c>
    </row>
    <row r="45">
      <c r="B45" s="24">
        <f>Versions!D7</f>
        <v/>
      </c>
      <c r="C45" s="24">
        <f>Versions!E7</f>
        <v/>
      </c>
      <c r="D45" s="25">
        <f>Versions!G7</f>
        <v/>
      </c>
      <c r="E45" s="26">
        <f>Versions!H7</f>
        <v/>
      </c>
      <c r="F45" s="27">
        <f>Versions!J7</f>
        <v/>
      </c>
      <c r="G45" s="28">
        <f>Versions!P7</f>
        <v/>
      </c>
      <c r="H45" s="26">
        <f>ROUND((Versions!E7-Versions!D7)/7,1)</f>
        <v/>
      </c>
      <c r="I45" s="26">
        <f>IFERROR(ROUND(Versions!H7/((Versions!E7-Versions!D7)/7),1),0)</f>
        <v/>
      </c>
    </row>
    <row r="46" ht="48" customHeight="1">
      <c r="B46" s="19" t="inlineStr">
        <is>
          <t>Le cœur du différenciateur produit : le moteur RPS complet pour les cessions de titres et la data room. Prérequis à toute diligence réelle.</t>
        </is>
      </c>
    </row>
    <row r="47">
      <c r="B47" s="3" t="inlineStr">
        <is>
          <t>Inclus</t>
        </is>
      </c>
      <c r="F47" s="3" t="inlineStr">
        <is>
          <t>Exclu ou reporté</t>
        </is>
      </c>
    </row>
    <row r="48" ht="30" customHeight="1">
      <c r="B48" s="19" t="inlineStr">
        <is>
          <t>+ Circuit RPS complet : admission humaine, plafond de cercle (défaut 50), journal réglementaire haché</t>
        </is>
      </c>
      <c r="F48" s="29" t="inlineStr">
        <is>
          <t>- Négociation, LOI, audit d'acquisition et réalisation (V3)</t>
        </is>
      </c>
    </row>
    <row r="49" ht="30" customHeight="1">
      <c r="B49" s="19" t="inlineStr">
        <is>
          <t>+ Signature électronique et preuve : prestataire PSC togolais, repli papier, archivage PSAE</t>
        </is>
      </c>
      <c r="F49" s="29" t="inlineStr">
        <is>
          <t>- Génération documentaire LegalTech (V3)</t>
        </is>
      </c>
    </row>
    <row r="50" ht="30" customHeight="1">
      <c r="B50" s="19" t="inlineStr">
        <is>
          <t>+ Data room : arborescence OHADA, rendu serveur, filigrane dynamique, téléchargement contrôlé, révocation en moins de 60 s</t>
        </is>
      </c>
    </row>
    <row r="51" ht="30" customHeight="1">
      <c r="B51" s="19" t="inlineStr">
        <is>
          <t>+ Fils de questions-réponses par document</t>
        </is>
      </c>
    </row>
    <row r="53" ht="24" customHeight="1">
      <c r="B53" s="11" t="inlineStr">
        <is>
          <t>Lot</t>
        </is>
      </c>
      <c r="C53" s="11" t="inlineStr">
        <is>
          <t>Charge (j/p)</t>
        </is>
      </c>
      <c r="D53" s="11" t="inlineStr">
        <is>
          <t>Réalisé (j/p)</t>
        </is>
      </c>
      <c r="E53" s="11" t="inlineStr">
        <is>
          <t>Avancement</t>
        </is>
      </c>
      <c r="F53" s="11" t="inlineStr">
        <is>
          <t>Tâches</t>
        </is>
      </c>
      <c r="G53" s="11" t="inlineStr">
        <is>
          <t>Complétées</t>
        </is>
      </c>
      <c r="H53" s="11" t="inlineStr">
        <is>
          <t>Bloquées</t>
        </is>
      </c>
      <c r="I53" s="11" t="inlineStr">
        <is>
          <t>En retard</t>
        </is>
      </c>
    </row>
    <row r="54">
      <c r="B54" s="13" t="inlineStr">
        <is>
          <t>Conception</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Circuit RPS réel</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Signature électronique</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Data room</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Questions-réponses</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QA et sécurité</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30" t="inlineStr">
        <is>
          <t>Total V2</t>
        </is>
      </c>
      <c r="C60" s="30">
        <f>SUM(C54:C59)</f>
        <v/>
      </c>
      <c r="D60" s="31">
        <f>SUM(D54:D59)</f>
        <v/>
      </c>
      <c r="E60" s="32">
        <f>IF(C60=0,0,D60/C60)</f>
        <v/>
      </c>
      <c r="F60" s="30">
        <f>SUM(F54:F59)</f>
        <v/>
      </c>
      <c r="G60" s="30">
        <f>SUM(G54:G59)</f>
        <v/>
      </c>
      <c r="H60" s="30">
        <f>SUM(H54:H59)</f>
        <v/>
      </c>
      <c r="I60" s="30">
        <f>SUM(I54:I59)</f>
        <v/>
      </c>
    </row>
    <row r="62">
      <c r="B62" s="3" t="inlineStr">
        <is>
          <t>Prérequis</t>
        </is>
      </c>
    </row>
    <row r="63" ht="30" customHeight="1">
      <c r="B63" s="19" t="inlineStr">
        <is>
          <t>Modèle de données Deal et Organisation de V1 ; contrat avec le prestataire de signature qualifiée.</t>
        </is>
      </c>
    </row>
    <row r="66" ht="26" customHeight="1">
      <c r="B66" s="22" t="inlineStr">
        <is>
          <t>V3  Négociation et réalisation, LegalTech OHADA, Finance et rétrocession, support, fermeture des portes de conformité</t>
        </is>
      </c>
    </row>
    <row r="67" ht="28" customHeight="1">
      <c r="B67" s="23" t="inlineStr">
        <is>
          <t>Début prévu</t>
        </is>
      </c>
      <c r="C67" s="23" t="inlineStr">
        <is>
          <t>Fin prévue</t>
        </is>
      </c>
      <c r="D67" s="23" t="inlineStr">
        <is>
          <t>Charge (j/p)</t>
        </is>
      </c>
      <c r="E67" s="23" t="inlineStr">
        <is>
          <t>Charge (sem.-pers.)</t>
        </is>
      </c>
      <c r="F67" s="23" t="inlineStr">
        <is>
          <t>Avancement</t>
        </is>
      </c>
      <c r="G67" s="23" t="inlineStr">
        <is>
          <t>État</t>
        </is>
      </c>
      <c r="H67" s="23" t="inlineStr">
        <is>
          <t>Semaines calendaires</t>
        </is>
      </c>
      <c r="I67" s="23" t="inlineStr">
        <is>
          <t>ETP requis à pleine cadence</t>
        </is>
      </c>
    </row>
    <row r="68">
      <c r="B68" s="24">
        <f>Versions!D8</f>
        <v/>
      </c>
      <c r="C68" s="24">
        <f>Versions!E8</f>
        <v/>
      </c>
      <c r="D68" s="25">
        <f>Versions!G8</f>
        <v/>
      </c>
      <c r="E68" s="26">
        <f>Versions!H8</f>
        <v/>
      </c>
      <c r="F68" s="27">
        <f>Versions!J8</f>
        <v/>
      </c>
      <c r="G68" s="28">
        <f>Versions!P8</f>
        <v/>
      </c>
      <c r="H68" s="26">
        <f>ROUND((Versions!E8-Versions!D8)/7,1)</f>
        <v/>
      </c>
      <c r="I68" s="26">
        <f>IFERROR(ROUND(Versions!H8/((Versions!E8-Versions!D8)/7),1),0)</f>
        <v/>
      </c>
    </row>
    <row r="69" ht="48" customHeight="1">
      <c r="B69" s="19" t="inlineStr">
        <is>
          <t>Ce qui rend une transaction réelle facturable et légalement défendable : négociation et réalisation, LegalTech OHADA, moteur de frais et rétrocession, support, fermeture des dix portes de conformité et durcissement de l'exploitation.</t>
        </is>
      </c>
    </row>
    <row r="70">
      <c r="B70" s="3" t="inlineStr">
        <is>
          <t>Inclus</t>
        </is>
      </c>
      <c r="F70" s="3" t="inlineStr">
        <is>
          <t>Exclu ou reporté</t>
        </is>
      </c>
    </row>
    <row r="71" ht="30" customHeight="1">
      <c r="B71" s="19" t="inlineStr">
        <is>
          <t>+ Offre, contre-offre, LOI et registre des points ouverts d'audit d'acquisition</t>
        </is>
      </c>
      <c r="F71" s="29" t="inlineStr">
        <is>
          <t>- Deal-Experts (V4, sous réserve d'arbitrage)</t>
        </is>
      </c>
    </row>
    <row r="72" ht="30" customHeight="1">
      <c r="B72" s="19" t="inlineStr">
        <is>
          <t>+ Réalisation documentée sans Deal-Pay natif, création automatique du FeeEvent</t>
        </is>
      </c>
      <c r="F72" s="29" t="inlineStr">
        <is>
          <t>- Modules réseau : Alerte &amp; Rebond, Deal-Connect, Guichet Diaspora (V4)</t>
        </is>
      </c>
    </row>
    <row r="73" ht="30" customHeight="1">
      <c r="B73" s="19" t="inlineStr">
        <is>
          <t>+ LegalTech OHADA : NDA, LOI, pacte simplifié, SPA, cession d'actifs, contrat de travail (droit togolais)</t>
        </is>
      </c>
    </row>
    <row r="74" ht="30" customHeight="1">
      <c r="B74" s="19" t="inlineStr">
        <is>
          <t>+ Finance : barème de frais sous drapeau juridique, rétrocession CCI, journal de calcul recalculable, rapport trimestriel</t>
        </is>
      </c>
    </row>
    <row r="75" ht="30" customHeight="1">
      <c r="B75" s="19" t="inlineStr">
        <is>
          <t>+ Support et accès privilégiés, mode break-glass journalisé</t>
        </is>
      </c>
    </row>
    <row r="76" ht="30" customHeight="1">
      <c r="B76" s="19" t="inlineStr">
        <is>
          <t>+ Portes de conformité G1 à G10 : IPDCP, revues juridiques, DPO, pentest indépendant</t>
        </is>
      </c>
    </row>
    <row r="77" ht="30" customHeight="1">
      <c r="B77" s="19" t="inlineStr">
        <is>
          <t>+ Exploitation : supervision SLA 99,5 %, sauvegardes testées, procédure d'incident</t>
        </is>
      </c>
    </row>
    <row r="79" ht="24" customHeight="1">
      <c r="B79" s="11" t="inlineStr">
        <is>
          <t>Lot</t>
        </is>
      </c>
      <c r="C79" s="11" t="inlineStr">
        <is>
          <t>Charge (j/p)</t>
        </is>
      </c>
      <c r="D79" s="11" t="inlineStr">
        <is>
          <t>Réalisé (j/p)</t>
        </is>
      </c>
      <c r="E79" s="11" t="inlineStr">
        <is>
          <t>Avancement</t>
        </is>
      </c>
      <c r="F79" s="11" t="inlineStr">
        <is>
          <t>Tâches</t>
        </is>
      </c>
      <c r="G79" s="11" t="inlineStr">
        <is>
          <t>Complétées</t>
        </is>
      </c>
      <c r="H79" s="11" t="inlineStr">
        <is>
          <t>Bloquées</t>
        </is>
      </c>
      <c r="I79" s="11" t="inlineStr">
        <is>
          <t>En retard</t>
        </is>
      </c>
    </row>
    <row r="80">
      <c r="B80" s="13" t="inlineStr">
        <is>
          <t>Conception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LegalTech OHADA</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Conformité fiscale</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Négociation</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Audit d'acquisition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Réalisation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Finance</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Support</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Portes de conformité</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Exploitation</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30" t="inlineStr">
        <is>
          <t>Total V3</t>
        </is>
      </c>
      <c r="C90" s="30">
        <f>SUM(C80:C89)</f>
        <v/>
      </c>
      <c r="D90" s="31">
        <f>SUM(D80:D89)</f>
        <v/>
      </c>
      <c r="E90" s="32">
        <f>IF(C90=0,0,D90/C90)</f>
        <v/>
      </c>
      <c r="F90" s="30">
        <f>SUM(F80:F89)</f>
        <v/>
      </c>
      <c r="G90" s="30">
        <f>SUM(G80:G89)</f>
        <v/>
      </c>
      <c r="H90" s="30">
        <f>SUM(H80:H89)</f>
        <v/>
      </c>
      <c r="I90" s="30">
        <f>SUM(I80:I89)</f>
        <v/>
      </c>
    </row>
    <row r="92">
      <c r="B92" s="3" t="inlineStr">
        <is>
          <t>Prérequis</t>
        </is>
      </c>
    </row>
    <row r="93" ht="30" customHeight="1">
      <c r="B93" s="19" t="inlineStr">
        <is>
          <t>Des transactions peuvent atteindre CLOSED_REPORTED (V2) ; avis juridique écrit sur le barème de frais.</t>
        </is>
      </c>
    </row>
    <row r="94">
      <c r="B94" s="3" t="inlineStr">
        <is>
          <t>Décision ou règle</t>
        </is>
      </c>
    </row>
    <row r="95" ht="36" customHeight="1">
      <c r="B95" s="33" t="inlineStr">
        <is>
          <t>Le barème de frais et la rétrocession ne s'activent qu'après avis juridique écrit, jamais par simple décision produit.</t>
        </is>
      </c>
      <c r="C95" s="34" t="n"/>
      <c r="D95" s="34" t="n"/>
      <c r="E95" s="34" t="n"/>
      <c r="F95" s="34" t="n"/>
      <c r="G95" s="34" t="n"/>
      <c r="H95" s="34" t="n"/>
      <c r="I95" s="34" t="n"/>
    </row>
    <row r="98" ht="26" customHeight="1">
      <c r="B98" s="22" t="inlineStr">
        <is>
          <t>V4  Alerte &amp; Rebond, Deal-Connect (Remo.co), Guichet Diaspora, Deal-Experts</t>
        </is>
      </c>
    </row>
    <row r="99" ht="28" customHeight="1">
      <c r="B99" s="23" t="inlineStr">
        <is>
          <t>Début prévu</t>
        </is>
      </c>
      <c r="C99" s="23" t="inlineStr">
        <is>
          <t>Fin prévue</t>
        </is>
      </c>
      <c r="D99" s="23" t="inlineStr">
        <is>
          <t>Charge (j/p)</t>
        </is>
      </c>
      <c r="E99" s="23" t="inlineStr">
        <is>
          <t>Charge (sem.-pers.)</t>
        </is>
      </c>
      <c r="F99" s="23" t="inlineStr">
        <is>
          <t>Avancement</t>
        </is>
      </c>
      <c r="G99" s="23" t="inlineStr">
        <is>
          <t>État</t>
        </is>
      </c>
      <c r="H99" s="23" t="inlineStr">
        <is>
          <t>Semaines calendaires</t>
        </is>
      </c>
      <c r="I99" s="23" t="inlineStr">
        <is>
          <t>ETP requis à pleine cadence</t>
        </is>
      </c>
    </row>
    <row r="100">
      <c r="B100" s="24">
        <f>Versions!D9</f>
        <v/>
      </c>
      <c r="C100" s="24">
        <f>Versions!E9</f>
        <v/>
      </c>
      <c r="D100" s="25">
        <f>Versions!G9</f>
        <v/>
      </c>
      <c r="E100" s="26">
        <f>Versions!H9</f>
        <v/>
      </c>
      <c r="F100" s="27">
        <f>Versions!J9</f>
        <v/>
      </c>
      <c r="G100" s="28">
        <f>Versions!P9</f>
        <v/>
      </c>
      <c r="H100" s="26">
        <f>ROUND((Versions!E9-Versions!D9)/7,1)</f>
        <v/>
      </c>
      <c r="I100" s="26">
        <f>IFERROR(ROUND(Versions!H9/((Versions!E9-Versions!D9)/7),1),0)</f>
        <v/>
      </c>
    </row>
    <row r="101" ht="48" customHeight="1">
      <c r="B101" s="19" t="inlineStr">
        <is>
          <t>Les modules réseau. Seul changement d'architecture notable : la brique de salons et rendez-vous virtuels est externalisée vers Remo.co plutôt que construite en propre.</t>
        </is>
      </c>
    </row>
    <row r="102">
      <c r="B102" s="3" t="inlineStr">
        <is>
          <t>Inclus</t>
        </is>
      </c>
      <c r="F102" s="3" t="inlineStr">
        <is>
          <t>Exclu ou reporté</t>
        </is>
      </c>
    </row>
    <row r="103" ht="30" customHeight="1">
      <c r="B103" s="19" t="inlineStr">
        <is>
          <t>+ Alerte &amp; Rebond : auto-diagnostic, cellule de crise confidentielle, listings d'actifs en difficulté, coupe-circuit</t>
        </is>
      </c>
      <c r="F103" s="29" t="inlineStr">
        <is>
          <t>- Mécanismes d'enchère en temps réel (non présumés contractuels)</t>
        </is>
      </c>
    </row>
    <row r="104" ht="30" customHeight="1">
      <c r="B104" s="19" t="inlineStr">
        <is>
          <t>+ Deal-Connect : événements B2B via connecteur Remo.co ; DealPME gère inscriptions, billetterie, attribution et reporting</t>
        </is>
      </c>
      <c r="F104" s="29" t="inlineStr">
        <is>
          <t>- Tout conseil de change ou d'investissement fourni par la plateforme</t>
        </is>
      </c>
    </row>
    <row r="105" ht="30" customHeight="1">
      <c r="B105" s="19" t="inlineStr">
        <is>
          <t>+ Guichet Diaspora : liste de suivi, rendez-vous sécurisé via Remo.co, contraintes transfrontalières, renvoi vers banque et conseil</t>
        </is>
      </c>
    </row>
    <row r="106" ht="30" customHeight="1">
      <c r="B106" s="19" t="inlineStr">
        <is>
          <t>+ Deal-Experts : registre d'experts, routage, accès temporaire scopé (sous réserve de l'arbitrage P13)</t>
        </is>
      </c>
    </row>
    <row r="108" ht="24" customHeight="1">
      <c r="B108" s="11" t="inlineStr">
        <is>
          <t>Lot</t>
        </is>
      </c>
      <c r="C108" s="11" t="inlineStr">
        <is>
          <t>Charge (j/p)</t>
        </is>
      </c>
      <c r="D108" s="11" t="inlineStr">
        <is>
          <t>Réalisé (j/p)</t>
        </is>
      </c>
      <c r="E108" s="11" t="inlineStr">
        <is>
          <t>Avancement</t>
        </is>
      </c>
      <c r="F108" s="11" t="inlineStr">
        <is>
          <t>Tâches</t>
        </is>
      </c>
      <c r="G108" s="11" t="inlineStr">
        <is>
          <t>Complétées</t>
        </is>
      </c>
      <c r="H108" s="11" t="inlineStr">
        <is>
          <t>Bloquées</t>
        </is>
      </c>
      <c r="I108" s="11" t="inlineStr">
        <is>
          <t>En retard</t>
        </is>
      </c>
    </row>
    <row r="109">
      <c r="B109" s="13" t="inlineStr">
        <is>
          <t>Conception</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Alerte &amp; Rebond</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Actifs en difficulté</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Deal-Connect</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Guichet Diaspora</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Deal-Experts</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30" t="inlineStr">
        <is>
          <t>Total V4</t>
        </is>
      </c>
      <c r="C115" s="30">
        <f>SUM(C109:C114)</f>
        <v/>
      </c>
      <c r="D115" s="31">
        <f>SUM(D109:D114)</f>
        <v/>
      </c>
      <c r="E115" s="32">
        <f>IF(C115=0,0,D115/C115)</f>
        <v/>
      </c>
      <c r="F115" s="30">
        <f>SUM(F109:F114)</f>
        <v/>
      </c>
      <c r="G115" s="30">
        <f>SUM(G109:G114)</f>
        <v/>
      </c>
      <c r="H115" s="30">
        <f>SUM(H109:H114)</f>
        <v/>
      </c>
      <c r="I115" s="30">
        <f>SUM(I109:I114)</f>
        <v/>
      </c>
    </row>
    <row r="117">
      <c r="B117" s="3" t="inlineStr">
        <is>
          <t>Prérequis</t>
        </is>
      </c>
    </row>
    <row r="118" ht="30" customHeight="1">
      <c r="B118" s="19" t="inlineStr">
        <is>
          <t>Portes de conformité fermées (V3) ; cadrage écrit de l'intégration Remo.co.</t>
        </is>
      </c>
    </row>
    <row r="119">
      <c r="B119" s="3" t="inlineStr">
        <is>
          <t>Décision ou règle</t>
        </is>
      </c>
    </row>
    <row r="120" ht="36" customHeight="1">
      <c r="B120" s="33" t="inlineStr">
        <is>
          <t>Remo.co est retenu. Le périmètre exact (SSO natif, webhooks de présence, marque blanche) dépend du plan Remo.co choisi.</t>
        </is>
      </c>
      <c r="C120" s="34" t="n"/>
      <c r="D120" s="34" t="n"/>
      <c r="E120" s="34" t="n"/>
      <c r="F120" s="34" t="n"/>
      <c r="G120" s="34" t="n"/>
      <c r="H120" s="34" t="n"/>
      <c r="I120" s="34" t="n"/>
    </row>
    <row r="123" ht="26" customHeight="1">
      <c r="B123" s="22" t="inlineStr">
        <is>
          <t>V5  VDR Intelligence : DealLens, Evidence Map, Issue Radar, Clean Team</t>
        </is>
      </c>
    </row>
    <row r="124" ht="28" customHeight="1">
      <c r="B124" s="23" t="inlineStr">
        <is>
          <t>Début prévu</t>
        </is>
      </c>
      <c r="C124" s="23" t="inlineStr">
        <is>
          <t>Fin prévue</t>
        </is>
      </c>
      <c r="D124" s="23" t="inlineStr">
        <is>
          <t>Charge (j/p)</t>
        </is>
      </c>
      <c r="E124" s="23" t="inlineStr">
        <is>
          <t>Charge (sem.-pers.)</t>
        </is>
      </c>
      <c r="F124" s="23" t="inlineStr">
        <is>
          <t>Avancement</t>
        </is>
      </c>
      <c r="G124" s="23" t="inlineStr">
        <is>
          <t>État</t>
        </is>
      </c>
      <c r="H124" s="23" t="inlineStr">
        <is>
          <t>Semaines calendaires</t>
        </is>
      </c>
      <c r="I124" s="23" t="inlineStr">
        <is>
          <t>ETP requis à pleine cadence</t>
        </is>
      </c>
    </row>
    <row r="125">
      <c r="B125" s="24">
        <f>Versions!D10</f>
        <v/>
      </c>
      <c r="C125" s="24">
        <f>Versions!E10</f>
        <v/>
      </c>
      <c r="D125" s="25">
        <f>Versions!G10</f>
        <v/>
      </c>
      <c r="E125" s="26">
        <f>Versions!H10</f>
        <v/>
      </c>
      <c r="F125" s="27">
        <f>Versions!J10</f>
        <v/>
      </c>
      <c r="G125" s="28">
        <f>Versions!P10</f>
        <v/>
      </c>
      <c r="H125" s="26">
        <f>ROUND((Versions!E10-Versions!D10)/7,1)</f>
        <v/>
      </c>
      <c r="I125" s="26">
        <f>IFERROR(ROUND(Versions!H10/((Versions!E10-Versions!D10)/7),1),0)</f>
        <v/>
      </c>
    </row>
    <row r="126" ht="48" customHeight="1">
      <c r="B126" s="19" t="inlineStr">
        <is>
          <t>Le module le plus spécifié du corpus existant et pourtant le plus éloigné de la production : aucun fournisseur IA n'est engagé. Placé en dernier car le moins urgent contractuellement et le plus risqué techniquement.</t>
        </is>
      </c>
    </row>
    <row r="127">
      <c r="B127" s="3" t="inlineStr">
        <is>
          <t>Inclus</t>
        </is>
      </c>
      <c r="F127" s="3" t="inlineStr">
        <is>
          <t>Exclu ou reporté</t>
        </is>
      </c>
    </row>
    <row r="128" ht="30" customHeight="1">
      <c r="B128" s="19" t="inlineStr">
        <is>
          <t>+ Contrat fournisseur IA et pare-feu de permission : filtrage avant récupération, jamais après</t>
        </is>
      </c>
      <c r="F128" s="29" t="inlineStr">
        <is>
          <t>- Toute action autonome de l'IA : publication, changement de permission, certification, réponse au cédant</t>
        </is>
      </c>
    </row>
    <row r="129" ht="30" customHeight="1">
      <c r="B129" s="19" t="inlineStr">
        <is>
          <t>+ Neuf surfaces : Cockpit, DealLens document et salle, Issue Radar, Evidence Map, Atelier Q&amp;R, Engagement Pulse, Audit, Accès et Clean Team</t>
        </is>
      </c>
    </row>
    <row r="130" ht="30" customHeight="1">
      <c r="B130" s="19" t="inlineStr">
        <is>
          <t>+ Rapprochement financier, intelligence de version, caviardage assisté avec revue humaine</t>
        </is>
      </c>
    </row>
    <row r="131" ht="30" customHeight="1">
      <c r="B131" s="19" t="inlineStr">
        <is>
          <t>+ Tests AI-01 à AI-06, DOC-01 à DOC-03, Q&amp;A-01, UI-01</t>
        </is>
      </c>
    </row>
    <row r="133" ht="24" customHeight="1">
      <c r="B133" s="11" t="inlineStr">
        <is>
          <t>Lot</t>
        </is>
      </c>
      <c r="C133" s="11" t="inlineStr">
        <is>
          <t>Charge (j/p)</t>
        </is>
      </c>
      <c r="D133" s="11" t="inlineStr">
        <is>
          <t>Réalisé (j/p)</t>
        </is>
      </c>
      <c r="E133" s="11" t="inlineStr">
        <is>
          <t>Avancement</t>
        </is>
      </c>
      <c r="F133" s="11" t="inlineStr">
        <is>
          <t>Tâches</t>
        </is>
      </c>
      <c r="G133" s="11" t="inlineStr">
        <is>
          <t>Complétées</t>
        </is>
      </c>
      <c r="H133" s="11" t="inlineStr">
        <is>
          <t>Bloquées</t>
        </is>
      </c>
      <c r="I133" s="11" t="inlineStr">
        <is>
          <t>En retard</t>
        </is>
      </c>
    </row>
    <row r="134">
      <c r="B134" s="13" t="inlineStr">
        <is>
          <t>Conception</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Fournisseur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Ingestion</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DealLens</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Surfaces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Accès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QA IA</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30" t="inlineStr">
        <is>
          <t>Total V5</t>
        </is>
      </c>
      <c r="C141" s="30">
        <f>SUM(C134:C140)</f>
        <v/>
      </c>
      <c r="D141" s="31">
        <f>SUM(D134:D140)</f>
        <v/>
      </c>
      <c r="E141" s="32">
        <f>IF(C141=0,0,D141/C141)</f>
        <v/>
      </c>
      <c r="F141" s="30">
        <f>SUM(F134:F140)</f>
        <v/>
      </c>
      <c r="G141" s="30">
        <f>SUM(G134:G140)</f>
        <v/>
      </c>
      <c r="H141" s="30">
        <f>SUM(H134:H140)</f>
        <v/>
      </c>
      <c r="I141" s="30">
        <f>SUM(I134:I140)</f>
        <v/>
      </c>
    </row>
    <row r="143">
      <c r="B143" s="3" t="inlineStr">
        <is>
          <t>Prérequis</t>
        </is>
      </c>
    </row>
    <row r="144" ht="30" customHeight="1">
      <c r="B144" s="19" t="inlineStr">
        <is>
          <t>Data room de production stable (V2) ; contrat fournisseur IA avec clauses de confidentialité.</t>
        </is>
      </c>
    </row>
    <row r="145">
      <c r="B145" s="3" t="inlineStr">
        <is>
          <t>Décision ou règle</t>
        </is>
      </c>
    </row>
    <row r="146" ht="36" customHeight="1">
      <c r="B146" s="33" t="inlineStr">
        <is>
          <t>DealLens reste assistif et lecture seule : il explique, résume, extrait et propose, il ne décide jamais.</t>
        </is>
      </c>
      <c r="C146" s="34" t="n"/>
      <c r="D146" s="34" t="n"/>
      <c r="E146" s="34" t="n"/>
      <c r="F146" s="34" t="n"/>
      <c r="G146" s="34" t="n"/>
      <c r="H146" s="34" t="n"/>
      <c r="I146" s="34" t="n"/>
    </row>
  </sheetData>
  <mergeCells count="59">
    <mergeCell ref="F13:I13"/>
    <mergeCell ref="B144:I144"/>
    <mergeCell ref="B49:E49"/>
    <mergeCell ref="F71:I71"/>
    <mergeCell ref="B74:E74"/>
    <mergeCell ref="B15:E15"/>
    <mergeCell ref="F48:I48"/>
    <mergeCell ref="B66:I66"/>
    <mergeCell ref="B104:E104"/>
    <mergeCell ref="B51:E51"/>
    <mergeCell ref="B46:I46"/>
    <mergeCell ref="F49:I49"/>
    <mergeCell ref="B93:I93"/>
    <mergeCell ref="B43:I43"/>
    <mergeCell ref="B76:E76"/>
    <mergeCell ref="B50:E50"/>
    <mergeCell ref="B106:E106"/>
    <mergeCell ref="B75:E75"/>
    <mergeCell ref="B129:E129"/>
    <mergeCell ref="F11:I11"/>
    <mergeCell ref="B16:E16"/>
    <mergeCell ref="B120:I120"/>
    <mergeCell ref="B72:E72"/>
    <mergeCell ref="B98:I98"/>
    <mergeCell ref="F103:I103"/>
    <mergeCell ref="B128:E128"/>
    <mergeCell ref="B101:I101"/>
    <mergeCell ref="F10:I10"/>
    <mergeCell ref="B8:I8"/>
    <mergeCell ref="F128:I128"/>
    <mergeCell ref="B131:E131"/>
    <mergeCell ref="B18:E18"/>
    <mergeCell ref="B71:E71"/>
    <mergeCell ref="B105:E105"/>
    <mergeCell ref="B69:I69"/>
    <mergeCell ref="B12:E12"/>
    <mergeCell ref="B38:I38"/>
    <mergeCell ref="F12:I12"/>
    <mergeCell ref="B48:E48"/>
    <mergeCell ref="B130:E130"/>
    <mergeCell ref="B77:E77"/>
    <mergeCell ref="B11:E11"/>
    <mergeCell ref="F104:I104"/>
    <mergeCell ref="B146:I146"/>
    <mergeCell ref="B118:I118"/>
    <mergeCell ref="B14:E14"/>
    <mergeCell ref="B40:I40"/>
    <mergeCell ref="B17:E17"/>
    <mergeCell ref="B73:E73"/>
    <mergeCell ref="B13:E13"/>
    <mergeCell ref="B95:I95"/>
    <mergeCell ref="B123:I123"/>
    <mergeCell ref="B5:I5"/>
    <mergeCell ref="F72:I72"/>
    <mergeCell ref="B19:E19"/>
    <mergeCell ref="B63:I63"/>
    <mergeCell ref="B103:E103"/>
    <mergeCell ref="B10:E10"/>
    <mergeCell ref="B126:I126"/>
  </mergeCells>
  <conditionalFormatting sqref="E22:E34">
    <cfRule type="dataBar" priority="1">
      <dataBar>
        <cfvo type="num" val="0"/>
        <cfvo type="num" val="1"/>
        <color rgb="006678F1"/>
      </dataBar>
    </cfRule>
  </conditionalFormatting>
  <conditionalFormatting sqref="H22:I34">
    <cfRule type="expression" priority="2" dxfId="4">
      <formula>H22&gt;0</formula>
    </cfRule>
  </conditionalFormatting>
  <conditionalFormatting sqref="E54:E59">
    <cfRule type="dataBar" priority="3">
      <dataBar>
        <cfvo type="num" val="0"/>
        <cfvo type="num" val="1"/>
        <color rgb="006678F1"/>
      </dataBar>
    </cfRule>
  </conditionalFormatting>
  <conditionalFormatting sqref="H54:I59">
    <cfRule type="expression" priority="4" dxfId="4">
      <formula>H54&gt;0</formula>
    </cfRule>
  </conditionalFormatting>
  <conditionalFormatting sqref="E80:E89">
    <cfRule type="dataBar" priority="5">
      <dataBar>
        <cfvo type="num" val="0"/>
        <cfvo type="num" val="1"/>
        <color rgb="006678F1"/>
      </dataBar>
    </cfRule>
  </conditionalFormatting>
  <conditionalFormatting sqref="H80:I89">
    <cfRule type="expression" priority="6" dxfId="4">
      <formula>H80&gt;0</formula>
    </cfRule>
  </conditionalFormatting>
  <conditionalFormatting sqref="E109:E114">
    <cfRule type="dataBar" priority="7">
      <dataBar>
        <cfvo type="num" val="0"/>
        <cfvo type="num" val="1"/>
        <color rgb="006678F1"/>
      </dataBar>
    </cfRule>
  </conditionalFormatting>
  <conditionalFormatting sqref="H109:I114">
    <cfRule type="expression" priority="8" dxfId="4">
      <formula>H109&gt;0</formula>
    </cfRule>
  </conditionalFormatting>
  <conditionalFormatting sqref="E134:E140">
    <cfRule type="dataBar" priority="9">
      <dataBar>
        <cfvo type="num" val="0"/>
        <cfvo type="num" val="1"/>
        <color rgb="006678F1"/>
      </dataBar>
    </cfRule>
  </conditionalFormatting>
  <conditionalFormatting sqref="H134:I140">
    <cfRule type="expression" priority="10" dxfId="4">
      <formula>H134&gt;0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46271</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46278</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En cours</t>
        </is>
      </c>
      <c r="K17" s="39" t="n">
        <v>0.7</v>
      </c>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46273</v>
      </c>
      <c r="Q19" s="40" t="n">
        <v>46279</v>
      </c>
      <c r="R19" s="40" t="n">
        <v>46279</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En cours</t>
        </is>
      </c>
      <c r="K20" s="39" t="n">
        <v>0.6</v>
      </c>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À faire</t>
        </is>
      </c>
      <c r="K21" s="39" t="n"/>
      <c r="L21" s="16">
        <f>IF($B21="","",IF(J21="Complétée",1,IF(J21="Abandonnée",0,IF(K21&lt;&gt;"",K21,IFERROR(VLOOKUP(J21,Parametres!$B$6:$C$12,2,FALSE),0)))))</f>
        <v/>
      </c>
      <c r="M21" s="15">
        <f>IF($B21="","",IF(J21="Abandonnée",0,H21))</f>
        <v/>
      </c>
      <c r="N21" s="15">
        <f>IF($B21="","",M21*L21)</f>
        <v/>
      </c>
      <c r="O21" s="37" t="n"/>
      <c r="P21" s="40" t="n">
        <v>46273</v>
      </c>
      <c r="Q21" s="40" t="n">
        <v>46278</v>
      </c>
      <c r="R21" s="40" t="n"/>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À faire</t>
        </is>
      </c>
      <c r="K22" s="39" t="n"/>
      <c r="L22" s="16">
        <f>IF($B22="","",IF(J22="Complétée",1,IF(J22="Abandonnée",0,IF(K22&lt;&gt;"",K22,IFERROR(VLOOKUP(J22,Parametres!$B$6:$C$12,2,FALSE),0)))))</f>
        <v/>
      </c>
      <c r="M22" s="15">
        <f>IF($B22="","",IF(J22="Abandonnée",0,H22))</f>
        <v/>
      </c>
      <c r="N22" s="15">
        <f>IF($B22="","",M22*L22)</f>
        <v/>
      </c>
      <c r="O22" s="37" t="n"/>
      <c r="P22" s="40" t="n">
        <v>46274</v>
      </c>
      <c r="Q22" s="40" t="n">
        <v>46277</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46275</v>
      </c>
      <c r="Q24" s="40" t="n">
        <v>46278</v>
      </c>
      <c r="R24" s="40" t="n">
        <v>46278</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46276</v>
      </c>
      <c r="Q27" s="40" t="n">
        <v>46278</v>
      </c>
      <c r="R27" s="40" t="n">
        <v>46278</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46276</v>
      </c>
      <c r="Q28" s="40" t="n">
        <v>46279</v>
      </c>
      <c r="R28" s="40" t="n">
        <v>46279</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46276</v>
      </c>
      <c r="Q30" s="40" t="n">
        <v>46279</v>
      </c>
      <c r="R30" s="40" t="n"/>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46277</v>
      </c>
      <c r="Q31" s="40" t="n">
        <v>46279</v>
      </c>
      <c r="R31" s="40" t="n">
        <v>46279</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46277</v>
      </c>
      <c r="Q32" s="40" t="n">
        <v>46282</v>
      </c>
      <c r="R32" s="40" t="n"/>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En cours</t>
        </is>
      </c>
      <c r="K37" s="39" t="n">
        <v>0.5</v>
      </c>
      <c r="L37" s="16">
        <f>IF($B37="","",IF(J37="Complétée",1,IF(J37="Abandonnée",0,IF(K37&lt;&gt;"",K37,IFERROR(VLOOKUP(J37,Parametres!$B$6:$C$12,2,FALSE),0)))))</f>
        <v/>
      </c>
      <c r="M37" s="15">
        <f>IF($B37="","",IF(J37="Abandonnée",0,H37))</f>
        <v/>
      </c>
      <c r="N37" s="15">
        <f>IF($B37="","",M37*L37)</f>
        <v/>
      </c>
      <c r="O37" s="37" t="inlineStr">
        <is>
          <t>Abdou-Raouf</t>
        </is>
      </c>
      <c r="P37" s="40" t="n">
        <v>46279</v>
      </c>
      <c r="Q37" s="40" t="n">
        <v>46285</v>
      </c>
      <c r="R37" s="40" t="n"/>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46280</v>
      </c>
      <c r="Q39" s="40" t="n">
        <v>46286</v>
      </c>
      <c r="R39" s="40" t="n">
        <v>46286</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46280</v>
      </c>
      <c r="Q40" s="40" t="n">
        <v>46287</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46281</v>
      </c>
      <c r="Q41" s="40" t="n">
        <v>46284</v>
      </c>
      <c r="R41" s="40" t="n">
        <v>46284</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46281</v>
      </c>
      <c r="Q42" s="40" t="n">
        <v>46286</v>
      </c>
      <c r="R42" s="40" t="n">
        <v>46286</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46282</v>
      </c>
      <c r="Q44" s="40" t="n">
        <v>46285</v>
      </c>
      <c r="R44" s="40" t="n">
        <v>46285</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46283</v>
      </c>
      <c r="Q46" s="40" t="n">
        <v>46288</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46283</v>
      </c>
      <c r="Q47" s="40" t="n">
        <v>46289</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46284</v>
      </c>
      <c r="Q48" s="40" t="n">
        <v>46287</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46284</v>
      </c>
      <c r="Q49" s="40" t="n">
        <v>46289</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46284</v>
      </c>
      <c r="Q50" s="40" t="n">
        <v>46287</v>
      </c>
      <c r="R50" s="40" t="n">
        <v>46287</v>
      </c>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46285</v>
      </c>
      <c r="Q52" s="40" t="n">
        <v>46291</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46286</v>
      </c>
      <c r="Q53" s="40" t="n">
        <v>46291</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46286</v>
      </c>
      <c r="Q54" s="40" t="n">
        <v>46291</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À faire</t>
        </is>
      </c>
      <c r="K55" s="39" t="n"/>
      <c r="L55" s="16">
        <f>IF($B55="","",IF(J55="Complétée",1,IF(J55="Abandonnée",0,IF(K55&lt;&gt;"",K55,IFERROR(VLOOKUP(J55,Parametres!$B$6:$C$12,2,FALSE),0)))))</f>
        <v/>
      </c>
      <c r="M55" s="15">
        <f>IF($B55="","",IF(J55="Abandonnée",0,H55))</f>
        <v/>
      </c>
      <c r="N55" s="15">
        <f>IF($B55="","",M55*L55)</f>
        <v/>
      </c>
      <c r="O55" s="37" t="n"/>
      <c r="P55" s="40" t="n">
        <v>46286</v>
      </c>
      <c r="Q55" s="40" t="n">
        <v>46289</v>
      </c>
      <c r="R55" s="40" t="n"/>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46287</v>
      </c>
      <c r="Q56" s="40" t="n">
        <v>46294</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46288</v>
      </c>
      <c r="Q58" s="40" t="n">
        <v>46294</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46288</v>
      </c>
      <c r="Q59" s="40" t="n">
        <v>46295</v>
      </c>
      <c r="R59" s="40" t="n">
        <v>46295</v>
      </c>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46289</v>
      </c>
      <c r="Q60" s="40" t="n">
        <v>46294</v>
      </c>
      <c r="R60" s="40" t="n">
        <v>46296</v>
      </c>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46289</v>
      </c>
      <c r="Q61" s="40" t="n">
        <v>46294</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46290</v>
      </c>
      <c r="Q62" s="40" t="n">
        <v>46297</v>
      </c>
      <c r="R62" s="40" t="n">
        <v>46297</v>
      </c>
      <c r="S62" s="37" t="inlineStr"/>
      <c r="T62" s="36" t="inlineStr">
        <is>
          <t>Non</t>
        </is>
      </c>
      <c r="U62" s="13">
        <f>IF($B62="","",IF(AND(J62&lt;&gt;"Complétée",J62&lt;&gt;"Abandonnée",Q62&lt;&gt;"",TODAY()&gt;Q62),"En retard",""))</f>
        <v/>
      </c>
      <c r="V62" s="37" t="n"/>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46290</v>
      </c>
      <c r="Q63" s="40" t="n">
        <v>46295</v>
      </c>
      <c r="R63" s="40" t="n"/>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46291</v>
      </c>
      <c r="Q64" s="40" t="n">
        <v>46296</v>
      </c>
      <c r="R64" s="40" t="n">
        <v>46296</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46291</v>
      </c>
      <c r="Q65" s="40" t="n">
        <v>46294</v>
      </c>
      <c r="R65" s="40" t="n">
        <v>46294</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46291</v>
      </c>
      <c r="Q66" s="40" t="n">
        <v>46297</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46292</v>
      </c>
      <c r="Q67" s="40" t="n">
        <v>46297</v>
      </c>
      <c r="R67" s="40" t="n">
        <v>46297</v>
      </c>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46292</v>
      </c>
      <c r="Q68" s="40" t="n">
        <v>46295</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46293</v>
      </c>
      <c r="Q69" s="40" t="n">
        <v>46300</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46293</v>
      </c>
      <c r="Q70" s="40" t="n">
        <v>46298</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46294</v>
      </c>
      <c r="Q71" s="40" t="n">
        <v>46296</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Périmètre d'intégration validé par M. Bruno sur la documentation Remo</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46294</v>
      </c>
      <c r="Q72" s="40" t="n">
        <v>46299</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46294</v>
      </c>
      <c r="Q73" s="40" t="n">
        <v>46306</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En cours</t>
        </is>
      </c>
      <c r="K74" s="39" t="n">
        <v>0.5</v>
      </c>
      <c r="L74" s="16">
        <f>IF($B74="","",IF(J74="Complétée",1,IF(J74="Abandonnée",0,IF(K74&lt;&gt;"",K74,IFERROR(VLOOKUP(J74,Parametres!$B$6:$C$12,2,FALSE),0)))))</f>
        <v/>
      </c>
      <c r="M74" s="15">
        <f>IF($B74="","",IF(J74="Abandonnée",0,H74))</f>
        <v/>
      </c>
      <c r="N74" s="15">
        <f>IF($B74="","",M74*L74)</f>
        <v/>
      </c>
      <c r="O74" s="37" t="inlineStr">
        <is>
          <t>Abdou-Raouf</t>
        </is>
      </c>
      <c r="P74" s="40" t="n">
        <v>46295</v>
      </c>
      <c r="Q74" s="40" t="n">
        <v>46300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À faire</t>
        </is>
      </c>
      <c r="K75" s="39" t="n"/>
      <c r="L75" s="16">
        <f>IF($B75="","",IF(J75="Complétée",1,IF(J75="Abandonnée",0,IF(K75&lt;&gt;"",K75,IFERROR(VLOOKUP(J75,Parametres!$B$6:$C$12,2,FALSE),0)))))</f>
        <v/>
      </c>
      <c r="M75" s="15">
        <f>IF($B75="","",IF(J75="Abandonnée",0,H75))</f>
        <v/>
      </c>
      <c r="N75" s="15">
        <f>IF($B75="","",M75*L75)</f>
        <v/>
      </c>
      <c r="O75" s="37" t="n"/>
      <c r="P75" s="40" t="n">
        <v>46295</v>
      </c>
      <c r="Q75" s="40" t="n">
        <v>46301</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46296</v>
      </c>
      <c r="Q76" s="40" t="n">
        <v>46302</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46296</v>
      </c>
      <c r="Q77" s="40" t="n">
        <v>46303</v>
      </c>
      <c r="R77" s="40" t="n">
        <v>46303</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En cours</t>
        </is>
      </c>
      <c r="K78" s="39" t="n">
        <v>0.8</v>
      </c>
      <c r="L78" s="16">
        <f>IF($B78="","",IF(J78="Complétée",1,IF(J78="Abandonnée",0,IF(K78&lt;&gt;"",K78,IFERROR(VLOOKUP(J78,Parametres!$B$6:$C$12,2,FALSE),0)))))</f>
        <v/>
      </c>
      <c r="M78" s="15">
        <f>IF($B78="","",IF(J78="Abandonnée",0,H78))</f>
        <v/>
      </c>
      <c r="N78" s="15">
        <f>IF($B78="","",M78*L78)</f>
        <v/>
      </c>
      <c r="O78" s="37" t="inlineStr">
        <is>
          <t>Abdou-Raouf</t>
        </is>
      </c>
      <c r="P78" s="40" t="n">
        <v>46297</v>
      </c>
      <c r="Q78" s="40" t="n">
        <v>46303</v>
      </c>
      <c r="R78" s="40" t="n"/>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À faire</t>
        </is>
      </c>
      <c r="K79" s="39" t="n"/>
      <c r="L79" s="16">
        <f>IF($B79="","",IF(J79="Complétée",1,IF(J79="Abandonnée",0,IF(K79&lt;&gt;"",K79,IFERROR(VLOOKUP(J79,Parametres!$B$6:$C$12,2,FALSE),0)))))</f>
        <v/>
      </c>
      <c r="M79" s="15">
        <f>IF($B79="","",IF(J79="Abandonnée",0,H79))</f>
        <v/>
      </c>
      <c r="N79" s="15">
        <f>IF($B79="","",M79*L79)</f>
        <v/>
      </c>
      <c r="O79" s="37" t="n"/>
      <c r="P79" s="40" t="n">
        <v>46298</v>
      </c>
      <c r="Q79" s="40" t="n">
        <v>46304</v>
      </c>
      <c r="R79" s="40" t="n"/>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Frontend et design</t>
        </is>
      </c>
      <c r="F80" s="37" t="inlineStr">
        <is>
          <t>Revue visuelle avec le designer UI/UX</t>
        </is>
      </c>
      <c r="G80" s="37" t="inlineStr">
        <is>
          <t>Liste des écarts traitée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46298</v>
      </c>
      <c r="Q80" s="40" t="n">
        <v>46301</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QA et livraison</t>
        </is>
      </c>
      <c r="F81" s="37" t="inlineStr">
        <is>
          <t>Tests automatisés : unitaires et bout en bout sur les parcours critiques</t>
        </is>
      </c>
      <c r="G81" s="37" t="inlineStr">
        <is>
          <t>Couverture des parcours inscription, dossier, publication, certification</t>
        </is>
      </c>
      <c r="H81" s="38" t="n">
        <v>5</v>
      </c>
      <c r="I81" s="36" t="inlineStr">
        <is>
          <t>Haute</t>
        </is>
      </c>
      <c r="J81" s="36" t="inlineStr">
        <is>
          <t>En cours</t>
        </is>
      </c>
      <c r="K81" s="39" t="n">
        <v>0.45</v>
      </c>
      <c r="L81" s="16">
        <f>IF($B81="","",IF(J81="Complétée",1,IF(J81="Abandonnée",0,IF(K81&lt;&gt;"",K81,IFERROR(VLOOKUP(J81,Parametres!$B$6:$C$12,2,FALSE),0)))))</f>
        <v/>
      </c>
      <c r="M81" s="15">
        <f>IF($B81="","",IF(J81="Abandonnée",0,H81))</f>
        <v/>
      </c>
      <c r="N81" s="15">
        <f>IF($B81="","",M81*L81)</f>
        <v/>
      </c>
      <c r="O81" s="37" t="inlineStr">
        <is>
          <t>Abdou-Raouf</t>
        </is>
      </c>
      <c r="P81" s="40" t="n">
        <v>46308</v>
      </c>
      <c r="Q81" s="40" t="n">
        <v>46310</v>
      </c>
      <c r="R81" s="40" t="n"/>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QA et livraison</t>
        </is>
      </c>
      <c r="F82" s="37" t="inlineStr">
        <is>
          <t>Tests négatifs : permissions serveur, accès non autorisés, contrôles morts</t>
        </is>
      </c>
      <c r="G82" s="37" t="inlineStr">
        <is>
          <t>Aucun contrôle visible sans réaction définie</t>
        </is>
      </c>
      <c r="H82" s="38" t="n">
        <v>3</v>
      </c>
      <c r="I82" s="36" t="inlineStr">
        <is>
          <t>Haute</t>
        </is>
      </c>
      <c r="J82" s="36" t="inlineStr">
        <is>
          <t>En cours</t>
        </is>
      </c>
      <c r="K82" s="39" t="n">
        <v>0.7</v>
      </c>
      <c r="L82" s="16">
        <f>IF($B82="","",IF(J82="Complétée",1,IF(J82="Abandonnée",0,IF(K82&lt;&gt;"",K82,IFERROR(VLOOKUP(J82,Parametres!$B$6:$C$12,2,FALSE),0)))))</f>
        <v/>
      </c>
      <c r="M82" s="15">
        <f>IF($B82="","",IF(J82="Abandonnée",0,H82))</f>
        <v/>
      </c>
      <c r="N82" s="15">
        <f>IF($B82="","",M82*L82)</f>
        <v/>
      </c>
      <c r="O82" s="37" t="inlineStr">
        <is>
          <t>Abdou-Raouf</t>
        </is>
      </c>
      <c r="P82" s="40" t="n">
        <v>46308</v>
      </c>
      <c r="Q82" s="40" t="n">
        <v>46310</v>
      </c>
      <c r="R82" s="40" t="n"/>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QA et livraison</t>
        </is>
      </c>
      <c r="F83" s="37" t="inlineStr">
        <is>
          <t>Captures de régression visuelle sur le laboratoire de composants (1440 x 960 et 390 x 844)</t>
        </is>
      </c>
      <c r="G83" s="37" t="inlineStr">
        <is>
          <t>Un écart visuel non intentionnel fait échouer la chaîne d'intégration</t>
        </is>
      </c>
      <c r="H83" s="38" t="n">
        <v>2</v>
      </c>
      <c r="I83" s="36" t="inlineStr">
        <is>
          <t>Moyenne</t>
        </is>
      </c>
      <c r="J83" s="36" t="inlineStr">
        <is>
          <t>À faire</t>
        </is>
      </c>
      <c r="K83" s="39" t="n"/>
      <c r="L83" s="16">
        <f>IF($B83="","",IF(J83="Complétée",1,IF(J83="Abandonnée",0,IF(K83&lt;&gt;"",K83,IFERROR(VLOOKUP(J83,Parametres!$B$6:$C$12,2,FALSE),0)))))</f>
        <v/>
      </c>
      <c r="M83" s="15">
        <f>IF($B83="","",IF(J83="Abandonnée",0,H83))</f>
        <v/>
      </c>
      <c r="N83" s="15">
        <f>IF($B83="","",M83*L83)</f>
        <v/>
      </c>
      <c r="O83" s="37" t="n"/>
      <c r="P83" s="40" t="n">
        <v>46308</v>
      </c>
      <c r="Q83" s="40" t="n">
        <v>46310</v>
      </c>
      <c r="R83" s="40" t="n"/>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QA et livraison</t>
        </is>
      </c>
      <c r="F84" s="37" t="inlineStr">
        <is>
          <t>Jeu de données de démonstration complet (synthétique, étiqueté)</t>
        </is>
      </c>
      <c r="G84" s="37" t="inlineStr">
        <is>
          <t>Aucune donnée réelle, étiquette visible</t>
        </is>
      </c>
      <c r="H84" s="38" t="n">
        <v>3</v>
      </c>
      <c r="I84" s="36" t="inlineStr">
        <is>
          <t>Haute</t>
        </is>
      </c>
      <c r="J84" s="36" t="inlineStr">
        <is>
          <t>En cours</t>
        </is>
      </c>
      <c r="K84" s="39" t="n">
        <v>0.6</v>
      </c>
      <c r="L84" s="16">
        <f>IF($B84="","",IF(J84="Complétée",1,IF(J84="Abandonnée",0,IF(K84&lt;&gt;"",K84,IFERROR(VLOOKUP(J84,Parametres!$B$6:$C$12,2,FALSE),0)))))</f>
        <v/>
      </c>
      <c r="M84" s="15">
        <f>IF($B84="","",IF(J84="Abandonnée",0,H84))</f>
        <v/>
      </c>
      <c r="N84" s="15">
        <f>IF($B84="","",M84*L84)</f>
        <v/>
      </c>
      <c r="O84" s="37" t="inlineStr">
        <is>
          <t>Abdou-Raouf</t>
        </is>
      </c>
      <c r="P84" s="40" t="n">
        <v>46308</v>
      </c>
      <c r="Q84" s="40" t="n">
        <v>46310</v>
      </c>
      <c r="R84" s="40" t="n"/>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QA et livraison</t>
        </is>
      </c>
      <c r="F85" s="37" t="inlineStr">
        <is>
          <t>Recette interne et corrections</t>
        </is>
      </c>
      <c r="G85" s="37" t="inlineStr">
        <is>
          <t>Zéro anomalie bloquante ouverte</t>
        </is>
      </c>
      <c r="H85" s="38" t="n">
        <v>4</v>
      </c>
      <c r="I85" s="36" t="inlineStr">
        <is>
          <t>Haute</t>
        </is>
      </c>
      <c r="J85" s="36" t="inlineStr">
        <is>
          <t>À faire</t>
        </is>
      </c>
      <c r="K85" s="39" t="n"/>
      <c r="L85" s="16">
        <f>IF($B85="","",IF(J85="Complétée",1,IF(J85="Abandonnée",0,IF(K85&lt;&gt;"",K85,IFERROR(VLOOKUP(J85,Parametres!$B$6:$C$12,2,FALSE),0)))))</f>
        <v/>
      </c>
      <c r="M85" s="15">
        <f>IF($B85="","",IF(J85="Abandonnée",0,H85))</f>
        <v/>
      </c>
      <c r="N85" s="15">
        <f>IF($B85="","",M85*L85)</f>
        <v/>
      </c>
      <c r="O85" s="37" t="n"/>
      <c r="P85" s="40" t="n">
        <v>46308</v>
      </c>
      <c r="Q85" s="40" t="n">
        <v>46310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QA et livraison</t>
        </is>
      </c>
      <c r="F86" s="37" t="inlineStr">
        <is>
          <t>Documentation développeur et guide de démonstration</t>
        </is>
      </c>
      <c r="G86" s="37" t="inlineStr">
        <is>
          <t>Nouvel arrivant opérationnel en une journée</t>
        </is>
      </c>
      <c r="H86" s="38" t="n">
        <v>3</v>
      </c>
      <c r="I86" s="36" t="inlineStr">
        <is>
          <t>Moyenne</t>
        </is>
      </c>
      <c r="J86" s="36" t="inlineStr">
        <is>
          <t>En cours</t>
        </is>
      </c>
      <c r="K86" s="39" t="n">
        <v>0.6</v>
      </c>
      <c r="L86" s="16">
        <f>IF($B86="","",IF(J86="Complétée",1,IF(J86="Abandonnée",0,IF(K86&lt;&gt;"",K86,IFERROR(VLOOKUP(J86,Parametres!$B$6:$C$12,2,FALSE),0)))))</f>
        <v/>
      </c>
      <c r="M86" s="15">
        <f>IF($B86="","",IF(J86="Abandonnée",0,H86))</f>
        <v/>
      </c>
      <c r="N86" s="15">
        <f>IF($B86="","",M86*L86)</f>
        <v/>
      </c>
      <c r="O86" s="37" t="inlineStr">
        <is>
          <t>Abdou-Raouf</t>
        </is>
      </c>
      <c r="P86" s="40" t="n">
        <v>46308</v>
      </c>
      <c r="Q86" s="40" t="n">
        <v>46310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QA et livraison</t>
        </is>
      </c>
      <c r="F87" s="37" t="inlineStr">
        <is>
          <t>Préparation de la démonstration du 15/10 (script, environnement, données)</t>
        </is>
      </c>
      <c r="G87" s="37" t="inlineStr">
        <is>
          <t>Répétition générale réalisée</t>
        </is>
      </c>
      <c r="H87" s="38" t="n">
        <v>2</v>
      </c>
      <c r="I87" s="36" t="inlineStr">
        <is>
          <t>Haute</t>
        </is>
      </c>
      <c r="J87" s="36" t="inlineStr">
        <is>
          <t>À faire</t>
        </is>
      </c>
      <c r="K87" s="39" t="n"/>
      <c r="L87" s="16">
        <f>IF($B87="","",IF(J87="Complétée",1,IF(J87="Abandonnée",0,IF(K87&lt;&gt;"",K87,IFERROR(VLOOKUP(J87,Parametres!$B$6:$C$12,2,FALSE),0)))))</f>
        <v/>
      </c>
      <c r="M87" s="15">
        <f>IF($B87="","",IF(J87="Abandonnée",0,H87))</f>
        <v/>
      </c>
      <c r="N87" s="15">
        <f>IF($B87="","",M87*L87)</f>
        <v/>
      </c>
      <c r="O87" s="37" t="n"/>
      <c r="P87" s="40" t="n">
        <v>46308</v>
      </c>
      <c r="Q87" s="40" t="n">
        <v>46310</v>
      </c>
      <c r="R87" s="40" t="n"/>
      <c r="S87" s="37" t="inlineStr"/>
      <c r="T87" s="36" t="inlineStr">
        <is>
          <t>Non</t>
        </is>
      </c>
      <c r="U87" s="13">
        <f>IF($B87="","",IF(AND(J87&lt;&gt;"Complétée",J87&lt;&gt;"Abandonnée",Q87&lt;&gt;"",TODAY()&gt;Q87),"En retard",""))</f>
        <v/>
      </c>
      <c r="V87" s="37" t="n"/>
    </row>
    <row r="88">
      <c r="B88" s="36" t="inlineStr">
        <is>
          <t>V2-001</t>
        </is>
      </c>
      <c r="C88" s="36" t="inlineStr">
        <is>
          <t>V2</t>
        </is>
      </c>
      <c r="D88" s="36" t="inlineStr">
        <is>
          <t>MKT</t>
        </is>
      </c>
      <c r="E88" s="37" t="inlineStr">
        <is>
          <t>Mise en relation</t>
        </is>
      </c>
      <c r="F88" s="37" t="inlineStr">
        <is>
          <t>Qualification d'un repreneur par le cédant : décision tracée qui ouvre le palier suivant</t>
        </is>
      </c>
      <c r="G88" s="37" t="inlineStr">
        <is>
          <t>Aucune ouverture de palier sans décision nommée du cédant</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46311</v>
      </c>
      <c r="Q88" s="40" t="n">
        <v>46317</v>
      </c>
      <c r="R88" s="40" t="n"/>
      <c r="S88" s="37" t="inlineStr"/>
      <c r="T88" s="36" t="inlineStr">
        <is>
          <t>Non</t>
        </is>
      </c>
      <c r="U88" s="13">
        <f>IF($B88="","",IF(AND(J88&lt;&gt;"Complétée",J88&lt;&gt;"Abandonnée",Q88&lt;&gt;"",TODAY()&gt;Q88),"En retard",""))</f>
        <v/>
      </c>
      <c r="V88" s="37" t="n"/>
    </row>
    <row r="89">
      <c r="B89" s="36" t="inlineStr">
        <is>
          <t>V2-002</t>
        </is>
      </c>
      <c r="C89" s="36" t="inlineStr">
        <is>
          <t>V2</t>
        </is>
      </c>
      <c r="D89" s="36" t="inlineStr">
        <is>
          <t>MKT</t>
        </is>
      </c>
      <c r="E89" s="37" t="inlineStr">
        <is>
          <t>Mise en relation</t>
        </is>
      </c>
      <c r="F89" s="37" t="inlineStr">
        <is>
          <t>Suspension réversible d'une publication (amendement de la machine à états du v0)</t>
        </is>
      </c>
      <c r="G89" s="37" t="inlineStr">
        <is>
          <t>Un dossier suspendu redevient invisible sans être abandonné ; la transition est journalisée</t>
        </is>
      </c>
      <c r="H89" s="38" t="n">
        <v>3</v>
      </c>
      <c r="I89" s="36" t="inlineStr">
        <is>
          <t>Moyenne</t>
        </is>
      </c>
      <c r="J89" s="36" t="inlineStr">
        <is>
          <t>Backlog</t>
        </is>
      </c>
      <c r="K89" s="39" t="n"/>
      <c r="L89" s="16">
        <f>IF($B89="","",IF(J89="Complétée",1,IF(J89="Abandonnée",0,IF(K89&lt;&gt;"",K89,IFERROR(VLOOKUP(J89,Parametres!$B$6:$C$12,2,FALSE),0)))))</f>
        <v/>
      </c>
      <c r="M89" s="15">
        <f>IF($B89="","",IF(J89="Abandonnée",0,H89))</f>
        <v/>
      </c>
      <c r="N89" s="15">
        <f>IF($B89="","",M89*L89)</f>
        <v/>
      </c>
      <c r="O89" s="37" t="n"/>
      <c r="P89" s="40" t="n">
        <v>46312</v>
      </c>
      <c r="Q89" s="40" t="n">
        <v>46317</v>
      </c>
      <c r="R89" s="40" t="n"/>
      <c r="S89" s="37" t="inlineStr">
        <is>
          <t>Accord de M. Bruno sur l'amendement</t>
        </is>
      </c>
      <c r="T89" s="36" t="inlineStr">
        <is>
          <t>Oui</t>
        </is>
      </c>
      <c r="U89" s="13">
        <f>IF($B89="","",IF(AND(J89&lt;&gt;"Complétée",J89&lt;&gt;"Abandonnée",Q89&lt;&gt;"",TODAY()&gt;Q89),"En retard",""))</f>
        <v/>
      </c>
      <c r="V89" s="37" t="n"/>
    </row>
    <row r="90">
      <c r="B90" s="36" t="inlineStr">
        <is>
          <t>V2-003</t>
        </is>
      </c>
      <c r="C90" s="36" t="inlineStr">
        <is>
          <t>V2</t>
        </is>
      </c>
      <c r="D90" s="36" t="inlineStr">
        <is>
          <t>RPS</t>
        </is>
      </c>
      <c r="E90" s="37" t="inlineStr">
        <is>
          <t>Conception</t>
        </is>
      </c>
      <c r="F90" s="37" t="inlineStr">
        <is>
          <t>Conception du circuit RPS réel : modèle de cercle et de personne unique, plafond et seuils, admission humaine, journal réglementaire à chaîne de hachage, contrat d'API du service</t>
        </is>
      </c>
      <c r="G90" s="37" t="inlineStr">
        <is>
          <t>Spécification relue par le conseil juridique ; chaque règle du v0 (P07, P10) a sa contrepartie technique</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46312</v>
      </c>
      <c r="Q90" s="40" t="n">
        <v>46318</v>
      </c>
      <c r="R90" s="40" t="n"/>
      <c r="S90" s="37" t="inlineStr"/>
      <c r="T90" s="36" t="inlineStr">
        <is>
          <t>Oui</t>
        </is>
      </c>
      <c r="U90" s="13">
        <f>IF($B90="","",IF(AND(J90&lt;&gt;"Complétée",J90&lt;&gt;"Abandonnée",Q90&lt;&gt;"",TODAY()&gt;Q90),"En retard",""))</f>
        <v/>
      </c>
      <c r="V90" s="37" t="n"/>
    </row>
    <row r="91">
      <c r="B91" s="36" t="inlineStr">
        <is>
          <t>V2-004</t>
        </is>
      </c>
      <c r="C91" s="36" t="inlineStr">
        <is>
          <t>V2</t>
        </is>
      </c>
      <c r="D91" s="36" t="inlineStr">
        <is>
          <t>VDR</t>
        </is>
      </c>
      <c r="E91" s="37" t="inlineStr">
        <is>
          <t>Conception</t>
        </is>
      </c>
      <c r="F91" s="37" t="inlineStr">
        <is>
          <t>Conception de la data room : stockage chiffré isolé, rendu serveur, filigrane dynamique, révocation en moins de 60 s, journal d'accès, modèle de permissions par dossier</t>
        </is>
      </c>
      <c r="G91" s="37" t="inlineStr">
        <is>
          <t>Aucun chemin d'accès direct aux fichiers ; schéma de permissions validé sur les 12 cas de référence</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46313</v>
      </c>
      <c r="Q91" s="40" t="n">
        <v>46319</v>
      </c>
      <c r="R91" s="40" t="n"/>
      <c r="S91" s="37" t="inlineStr"/>
      <c r="T91" s="36" t="inlineStr">
        <is>
          <t>Oui</t>
        </is>
      </c>
      <c r="U91" s="13">
        <f>IF($B91="","",IF(AND(J91&lt;&gt;"Complétée",J91&lt;&gt;"Abandonnée",Q91&lt;&gt;"",TODAY()&gt;Q91),"En retard",""))</f>
        <v/>
      </c>
      <c r="V91" s="37" t="n"/>
    </row>
    <row r="92">
      <c r="B92" s="36" t="inlineStr">
        <is>
          <t>V2-005</t>
        </is>
      </c>
      <c r="C92" s="36" t="inlineStr">
        <is>
          <t>V2</t>
        </is>
      </c>
      <c r="D92" s="36" t="inlineStr">
        <is>
          <t>SIG</t>
        </is>
      </c>
      <c r="E92" s="37" t="inlineStr">
        <is>
          <t>Conception</t>
        </is>
      </c>
      <c r="F92" s="37" t="inlineStr">
        <is>
          <t>Conception de la signature électronique : intégration du prestataire PSC, preuve et archivage, repli papier, statuts de signature dans la machine à états</t>
        </is>
      </c>
      <c r="G92" s="37" t="inlineStr">
        <is>
          <t>Séquences de signature et de repli documentées ; contrat de preuve défini</t>
        </is>
      </c>
      <c r="H92" s="38" t="n">
        <v>2</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46314</v>
      </c>
      <c r="Q92" s="40" t="n">
        <v>46317</v>
      </c>
      <c r="R92" s="40" t="n"/>
      <c r="S92" s="37" t="inlineStr">
        <is>
          <t>Contrat PSC</t>
        </is>
      </c>
      <c r="T92" s="36" t="inlineStr">
        <is>
          <t>Non</t>
        </is>
      </c>
      <c r="U92" s="13">
        <f>IF($B92="","",IF(AND(J92&lt;&gt;"Complétée",J92&lt;&gt;"Abandonnée",Q92&lt;&gt;"",TODAY()&gt;Q92),"En retard",""))</f>
        <v/>
      </c>
      <c r="V92" s="37" t="n"/>
    </row>
    <row r="93">
      <c r="B93" s="36" t="inlineStr">
        <is>
          <t>V2-006</t>
        </is>
      </c>
      <c r="C93" s="36" t="inlineStr">
        <is>
          <t>V2</t>
        </is>
      </c>
      <c r="D93" s="36" t="inlineStr">
        <is>
          <t>TRV</t>
        </is>
      </c>
      <c r="E93" s="37" t="inlineStr">
        <is>
          <t>Conception</t>
        </is>
      </c>
      <c r="F93" s="37" t="inlineStr">
        <is>
          <t>Revue d'architecture V2 et mise à jour du modèle de menaces (paliers T1/T2, data room, signature)</t>
        </is>
      </c>
      <c r="G93" s="37" t="inlineStr">
        <is>
          <t>ADR mis à jour ; menaces nouvelles reliées aux tests de QA et sécurité</t>
        </is>
      </c>
      <c r="H93" s="38" t="n">
        <v>2</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46314</v>
      </c>
      <c r="Q93" s="40" t="n">
        <v>46317</v>
      </c>
      <c r="R93" s="40" t="n"/>
      <c r="S93" s="37" t="inlineStr"/>
      <c r="T93" s="36" t="inlineStr">
        <is>
          <t>Non</t>
        </is>
      </c>
      <c r="U93" s="13">
        <f>IF($B93="","",IF(AND(J93&lt;&gt;"Complétée",J93&lt;&gt;"Abandonnée",Q93&lt;&gt;"",TODAY()&gt;Q93),"En retard",""))</f>
        <v/>
      </c>
      <c r="V93" s="37" t="n"/>
    </row>
    <row r="94">
      <c r="B94" s="36" t="inlineStr">
        <is>
          <t>V2-007</t>
        </is>
      </c>
      <c r="C94" s="36" t="inlineStr">
        <is>
          <t>V2</t>
        </is>
      </c>
      <c r="D94" s="36" t="inlineStr">
        <is>
          <t>RPS</t>
        </is>
      </c>
      <c r="E94" s="37" t="inlineStr">
        <is>
          <t>Circuit RPS réel</t>
        </is>
      </c>
      <c r="F94" s="37" t="inlineStr">
        <is>
          <t>Micro-service RPS indépendant : datastore, API, déploiement séparé</t>
        </is>
      </c>
      <c r="G94" s="37" t="inlineStr">
        <is>
          <t>Déployable indépendamment du reste de la plateforme</t>
        </is>
      </c>
      <c r="H94" s="38" t="n">
        <v>6</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46315</v>
      </c>
      <c r="Q94" s="40" t="n">
        <v>46324</v>
      </c>
      <c r="R94" s="40" t="n"/>
      <c r="S94" s="37" t="inlineStr"/>
      <c r="T94" s="36" t="inlineStr">
        <is>
          <t>Non</t>
        </is>
      </c>
      <c r="U94" s="13">
        <f>IF($B94="","",IF(AND(J94&lt;&gt;"Complétée",J94&lt;&gt;"Abandonnée",Q94&lt;&gt;"",TODAY()&gt;Q94),"En retard",""))</f>
        <v/>
      </c>
      <c r="V94" s="37" t="n"/>
    </row>
    <row r="95">
      <c r="B95" s="36" t="inlineStr">
        <is>
          <t>V2-008</t>
        </is>
      </c>
      <c r="C95" s="36" t="inlineStr">
        <is>
          <t>V2</t>
        </is>
      </c>
      <c r="D95" s="36" t="inlineStr">
        <is>
          <t>RPS</t>
        </is>
      </c>
      <c r="E95" s="37" t="inlineStr">
        <is>
          <t>Circuit RPS réel</t>
        </is>
      </c>
      <c r="F95" s="37" t="inlineStr">
        <is>
          <t>Table Disclosure append-only et compteur par personne (pas par session)</t>
        </is>
      </c>
      <c r="G95" s="37" t="inlineStr">
        <is>
          <t>Révocation crée une ligne, ne supprime jamais</t>
        </is>
      </c>
      <c r="H95" s="38" t="n">
        <v>5</v>
      </c>
      <c r="I95" s="36" t="inlineStr">
        <is>
          <t>Haute</t>
        </is>
      </c>
      <c r="J95" s="36" t="inlineStr">
        <is>
          <t>Backlog</t>
        </is>
      </c>
      <c r="K95" s="39" t="n"/>
      <c r="L95" s="16">
        <f>IF($B95="","",IF(J95="Complétée",1,IF(J95="Abandonnée",0,IF(K95&lt;&gt;"",K95,IFERROR(VLOOKUP(J95,Parametres!$B$6:$C$12,2,FALSE),0)))))</f>
        <v/>
      </c>
      <c r="M95" s="15">
        <f>IF($B95="","",IF(J95="Abandonnée",0,H95))</f>
        <v/>
      </c>
      <c r="N95" s="15">
        <f>IF($B95="","",M95*L95)</f>
        <v/>
      </c>
      <c r="O95" s="37" t="n"/>
      <c r="P95" s="40" t="n">
        <v>46316</v>
      </c>
      <c r="Q95" s="40" t="n">
        <v>46323</v>
      </c>
      <c r="R95" s="40" t="n"/>
      <c r="S95" s="37" t="inlineStr"/>
      <c r="T95" s="36" t="inlineStr">
        <is>
          <t>Non</t>
        </is>
      </c>
      <c r="U95" s="13">
        <f>IF($B95="","",IF(AND(J95&lt;&gt;"Complétée",J95&lt;&gt;"Abandonnée",Q95&lt;&gt;"",TODAY()&gt;Q95),"En retard",""))</f>
        <v/>
      </c>
      <c r="V95" s="37" t="n"/>
    </row>
    <row r="96">
      <c r="B96" s="36" t="inlineStr">
        <is>
          <t>V2-009</t>
        </is>
      </c>
      <c r="C96" s="36" t="inlineStr">
        <is>
          <t>V2</t>
        </is>
      </c>
      <c r="D96" s="36" t="inlineStr">
        <is>
          <t>RPS</t>
        </is>
      </c>
      <c r="E96" s="37" t="inlineStr">
        <is>
          <t>Circuit RPS réel</t>
        </is>
      </c>
      <c r="F96" s="37" t="inlineStr">
        <is>
          <t>Graphe de personnes liées (comptées une seule fois)</t>
        </is>
      </c>
      <c r="G96" s="37" t="inlineStr">
        <is>
          <t>Deux comptes liés comptent pour une personne</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46317</v>
      </c>
      <c r="Q96" s="40" t="n">
        <v>46323</v>
      </c>
      <c r="R96" s="40" t="n"/>
      <c r="S96" s="37" t="inlineStr"/>
      <c r="T96" s="36" t="inlineStr">
        <is>
          <t>Non</t>
        </is>
      </c>
      <c r="U96" s="13">
        <f>IF($B96="","",IF(AND(J96&lt;&gt;"Complétée",J96&lt;&gt;"Abandonnée",Q96&lt;&gt;"",TODAY()&gt;Q96),"En retard",""))</f>
        <v/>
      </c>
      <c r="V96" s="37" t="n"/>
    </row>
    <row r="97">
      <c r="B97" s="36" t="inlineStr">
        <is>
          <t>V2-010</t>
        </is>
      </c>
      <c r="C97" s="36" t="inlineStr">
        <is>
          <t>V2</t>
        </is>
      </c>
      <c r="D97" s="36" t="inlineStr">
        <is>
          <t>RPS</t>
        </is>
      </c>
      <c r="E97" s="37" t="inlineStr">
        <is>
          <t>Circuit RPS réel</t>
        </is>
      </c>
      <c r="F97" s="37" t="inlineStr">
        <is>
          <t>Plafond de cercle (défaut 50), seuils 80 % et 100 %, bascule en admission manuelle</t>
        </is>
      </c>
      <c r="G97" s="37" t="inlineStr">
        <is>
          <t>Blocage effectif à 100 % (test négatif)</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46318</v>
      </c>
      <c r="Q97" s="40" t="n">
        <v>46324</v>
      </c>
      <c r="R97" s="40" t="n"/>
      <c r="S97" s="37" t="inlineStr"/>
      <c r="T97" s="36" t="inlineStr">
        <is>
          <t>Non</t>
        </is>
      </c>
      <c r="U97" s="13">
        <f>IF($B97="","",IF(AND(J97&lt;&gt;"Complétée",J97&lt;&gt;"Abandonnée",Q97&lt;&gt;"",TODAY()&gt;Q97),"En retard",""))</f>
        <v/>
      </c>
      <c r="V97" s="37" t="n"/>
    </row>
    <row r="98">
      <c r="B98" s="36" t="inlineStr">
        <is>
          <t>V2-011</t>
        </is>
      </c>
      <c r="C98" s="36" t="inlineStr">
        <is>
          <t>V2</t>
        </is>
      </c>
      <c r="D98" s="36" t="inlineStr">
        <is>
          <t>RPS</t>
        </is>
      </c>
      <c r="E98" s="37" t="inlineStr">
        <is>
          <t>Circuit RPS réel</t>
        </is>
      </c>
      <c r="F98" s="37" t="inlineStr">
        <is>
          <t>Workflow d'admission humaine : file, décision, justification enregistrée</t>
        </is>
      </c>
      <c r="G98" s="37" t="inlineStr">
        <is>
          <t>Admission automatique impossible par construction</t>
        </is>
      </c>
      <c r="H98" s="38" t="n">
        <v>6</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46319</v>
      </c>
      <c r="Q98" s="40" t="n">
        <v>46328</v>
      </c>
      <c r="R98" s="40" t="n"/>
      <c r="S98" s="37" t="inlineStr"/>
      <c r="T98" s="36" t="inlineStr">
        <is>
          <t>Non</t>
        </is>
      </c>
      <c r="U98" s="13">
        <f>IF($B98="","",IF(AND(J98&lt;&gt;"Complétée",J98&lt;&gt;"Abandonnée",Q98&lt;&gt;"",TODAY()&gt;Q98),"En retard",""))</f>
        <v/>
      </c>
      <c r="V98" s="37" t="n"/>
    </row>
    <row r="99">
      <c r="B99" s="36" t="inlineStr">
        <is>
          <t>V2-012</t>
        </is>
      </c>
      <c r="C99" s="36" t="inlineStr">
        <is>
          <t>V2</t>
        </is>
      </c>
      <c r="D99" s="36" t="inlineStr">
        <is>
          <t>RPS</t>
        </is>
      </c>
      <c r="E99" s="37" t="inlineStr">
        <is>
          <t>Circuit RPS réel</t>
        </is>
      </c>
      <c r="F99" s="37" t="inlineStr">
        <is>
          <t>Filtre de communication sortante (permettre, caviarder, bloquer)</t>
        </is>
      </c>
      <c r="G99" s="37" t="inlineStr">
        <is>
          <t>Tout message sur un dossier titres passe par le filtre</t>
        </is>
      </c>
      <c r="H99" s="38" t="n">
        <v>5</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46320</v>
      </c>
      <c r="Q99" s="40" t="n">
        <v>46327</v>
      </c>
      <c r="R99" s="40" t="n"/>
      <c r="S99" s="37" t="inlineStr"/>
      <c r="T99" s="36" t="inlineStr">
        <is>
          <t>Non</t>
        </is>
      </c>
      <c r="U99" s="13">
        <f>IF($B99="","",IF(AND(J99&lt;&gt;"Complétée",J99&lt;&gt;"Abandonnée",Q99&lt;&gt;"",TODAY()&gt;Q99),"En retard",""))</f>
        <v/>
      </c>
      <c r="V99" s="37" t="n"/>
    </row>
    <row r="100">
      <c r="B100" s="36" t="inlineStr">
        <is>
          <t>V2-013</t>
        </is>
      </c>
      <c r="C100" s="36" t="inlineStr">
        <is>
          <t>V2</t>
        </is>
      </c>
      <c r="D100" s="36" t="inlineStr">
        <is>
          <t>RPS</t>
        </is>
      </c>
      <c r="E100" s="37" t="inlineStr">
        <is>
          <t>Circuit RPS réel</t>
        </is>
      </c>
      <c r="F100" s="37" t="inlineStr">
        <is>
          <t>Journal réglementaire haché et export du pack de preuves par dossier</t>
        </is>
      </c>
      <c r="G100" s="37" t="inlineStr">
        <is>
          <t>Chaîne de hachage vérifiable, archive signée</t>
        </is>
      </c>
      <c r="H100" s="38" t="n">
        <v>5</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46321</v>
      </c>
      <c r="Q100" s="40" t="n">
        <v>46328</v>
      </c>
      <c r="R100" s="40" t="n"/>
      <c r="S100" s="37" t="inlineStr"/>
      <c r="T100" s="36" t="inlineStr">
        <is>
          <t>Non</t>
        </is>
      </c>
      <c r="U100" s="13">
        <f>IF($B100="","",IF(AND(J100&lt;&gt;"Complétée",J100&lt;&gt;"Abandonnée",Q100&lt;&gt;"",TODAY()&gt;Q100),"En retard",""))</f>
        <v/>
      </c>
      <c r="V100" s="37" t="n"/>
    </row>
    <row r="101">
      <c r="B101" s="36" t="inlineStr">
        <is>
          <t>V2-014</t>
        </is>
      </c>
      <c r="C101" s="36" t="inlineStr">
        <is>
          <t>V2</t>
        </is>
      </c>
      <c r="D101" s="36" t="inlineStr">
        <is>
          <t>RPS</t>
        </is>
      </c>
      <c r="E101" s="37" t="inlineStr">
        <is>
          <t>Circuit RPS réel</t>
        </is>
      </c>
      <c r="F101" s="37" t="inlineStr">
        <is>
          <t>Allow-list serveur des champs par palier T0 / T1 / T2</t>
        </is>
      </c>
      <c r="G101" s="37" t="inlineStr">
        <is>
          <t>Prix jamais sérialisé sous T2 (test négatif)</t>
        </is>
      </c>
      <c r="H101" s="38" t="n">
        <v>3</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46322</v>
      </c>
      <c r="Q101" s="40" t="n">
        <v>46327</v>
      </c>
      <c r="R101" s="40" t="n"/>
      <c r="S101" s="37" t="inlineStr"/>
      <c r="T101" s="36" t="inlineStr">
        <is>
          <t>Non</t>
        </is>
      </c>
      <c r="U101" s="13">
        <f>IF($B101="","",IF(AND(J101&lt;&gt;"Complétée",J101&lt;&gt;"Abandonnée",Q101&lt;&gt;"",TODAY()&gt;Q101),"En retard",""))</f>
        <v/>
      </c>
      <c r="V101" s="37" t="n"/>
    </row>
    <row r="102">
      <c r="B102" s="36" t="inlineStr">
        <is>
          <t>V2-015</t>
        </is>
      </c>
      <c r="C102" s="36" t="inlineStr">
        <is>
          <t>V2</t>
        </is>
      </c>
      <c r="D102" s="36" t="inlineStr">
        <is>
          <t>RPS</t>
        </is>
      </c>
      <c r="E102" s="37" t="inlineStr">
        <is>
          <t>Circuit RPS réel</t>
        </is>
      </c>
      <c r="F102" s="37" t="inlineStr">
        <is>
          <t>Écrans admission et cercle (conformité)</t>
        </is>
      </c>
      <c r="G102" s="37" t="inlineStr">
        <is>
          <t>Compteur et capacité restante visibles</t>
        </is>
      </c>
      <c r="H102" s="38" t="n">
        <v>2</v>
      </c>
      <c r="I102" s="36" t="inlineStr">
        <is>
          <t>Moyenne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46322</v>
      </c>
      <c r="Q102" s="40" t="n">
        <v>46325</v>
      </c>
      <c r="R102" s="40" t="n"/>
      <c r="S102" s="37" t="inlineStr"/>
      <c r="T102" s="36" t="inlineStr">
        <is>
          <t>Non</t>
        </is>
      </c>
      <c r="U102" s="13">
        <f>IF($B102="","",IF(AND(J102&lt;&gt;"Complétée",J102&lt;&gt;"Abandonnée",Q102&lt;&gt;"",TODAY()&gt;Q102),"En retard",""))</f>
        <v/>
      </c>
      <c r="V102" s="37" t="n"/>
    </row>
    <row r="103">
      <c r="B103" s="36" t="inlineStr">
        <is>
          <t>V2-016</t>
        </is>
      </c>
      <c r="C103" s="36" t="inlineStr">
        <is>
          <t>V2</t>
        </is>
      </c>
      <c r="D103" s="36" t="inlineStr">
        <is>
          <t>SIG</t>
        </is>
      </c>
      <c r="E103" s="37" t="inlineStr">
        <is>
          <t>Signature électronique</t>
        </is>
      </c>
      <c r="F103" s="37" t="inlineStr">
        <is>
          <t>Sélection et contractualisation du prestataire PSC accrédité (coordination)</t>
        </is>
      </c>
      <c r="G103" s="37" t="inlineStr">
        <is>
          <t>Contrat signé, attestation d'accréditation archivée</t>
        </is>
      </c>
      <c r="H103" s="38" t="n">
        <v>3</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46323</v>
      </c>
      <c r="Q103" s="40" t="n">
        <v>46328</v>
      </c>
      <c r="R103" s="40" t="n"/>
      <c r="S103" s="37" t="inlineStr"/>
      <c r="T103" s="36" t="inlineStr">
        <is>
          <t>Oui</t>
        </is>
      </c>
      <c r="U103" s="13">
        <f>IF($B103="","",IF(AND(J103&lt;&gt;"Complétée",J103&lt;&gt;"Abandonnée",Q103&lt;&gt;"",TODAY()&gt;Q103),"En retard",""))</f>
        <v/>
      </c>
      <c r="V103" s="37" t="n"/>
    </row>
    <row r="104">
      <c r="B104" s="36" t="inlineStr">
        <is>
          <t>V2-017</t>
        </is>
      </c>
      <c r="C104" s="36" t="inlineStr">
        <is>
          <t>V2</t>
        </is>
      </c>
      <c r="D104" s="36" t="inlineStr">
        <is>
          <t>SIG</t>
        </is>
      </c>
      <c r="E104" s="37" t="inlineStr">
        <is>
          <t>Signature électronique</t>
        </is>
      </c>
      <c r="F104" s="37" t="inlineStr">
        <is>
          <t>Intégration API de signature qualifiée, webhooks à signature vérifiée</t>
        </is>
      </c>
      <c r="G104" s="37" t="inlineStr">
        <is>
          <t>Webhook non signé rejeté (test négatif)</t>
        </is>
      </c>
      <c r="H104" s="38" t="n">
        <v>7</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46323</v>
      </c>
      <c r="Q104" s="40" t="n">
        <v>46333</v>
      </c>
      <c r="R104" s="40" t="n"/>
      <c r="S104" s="37" t="inlineStr">
        <is>
          <t>Contrat PSC</t>
        </is>
      </c>
      <c r="T104" s="36" t="inlineStr">
        <is>
          <t>Non</t>
        </is>
      </c>
      <c r="U104" s="13">
        <f>IF($B104="","",IF(AND(J104&lt;&gt;"Complétée",J104&lt;&gt;"Abandonnée",Q104&lt;&gt;"",TODAY()&gt;Q104),"En retard",""))</f>
        <v/>
      </c>
      <c r="V104" s="37" t="n"/>
    </row>
    <row r="105">
      <c r="B105" s="36" t="inlineStr">
        <is>
          <t>V2-018</t>
        </is>
      </c>
      <c r="C105" s="36" t="inlineStr">
        <is>
          <t>V2</t>
        </is>
      </c>
      <c r="D105" s="36" t="inlineStr">
        <is>
          <t>SIG</t>
        </is>
      </c>
      <c r="E105" s="37" t="inlineStr">
        <is>
          <t>Signature électronique</t>
        </is>
      </c>
      <c r="F105" s="37" t="inlineStr">
        <is>
          <t>Parcours de repli papier : PDF, contre-signature, vérification CCIT</t>
        </is>
      </c>
      <c r="G105" s="37" t="inlineStr">
        <is>
          <t>Un utilisateur refusant la signature électronique n'est pas bloqué</t>
        </is>
      </c>
      <c r="H105" s="38" t="n">
        <v>4</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46325</v>
      </c>
      <c r="Q105" s="40" t="n">
        <v>46331</v>
      </c>
      <c r="R105" s="40" t="n"/>
      <c r="S105" s="37" t="inlineStr"/>
      <c r="T105" s="36" t="inlineStr">
        <is>
          <t>Non</t>
        </is>
      </c>
      <c r="U105" s="13">
        <f>IF($B105="","",IF(AND(J105&lt;&gt;"Complétée",J105&lt;&gt;"Abandonnée",Q105&lt;&gt;"",TODAY()&gt;Q105),"En retard",""))</f>
        <v/>
      </c>
      <c r="V105" s="37" t="n"/>
    </row>
    <row r="106">
      <c r="B106" s="36" t="inlineStr">
        <is>
          <t>V2-019</t>
        </is>
      </c>
      <c r="C106" s="36" t="inlineStr">
        <is>
          <t>V2</t>
        </is>
      </c>
      <c r="D106" s="36" t="inlineStr">
        <is>
          <t>SIG</t>
        </is>
      </c>
      <c r="E106" s="37" t="inlineStr">
        <is>
          <t>Signature électronique</t>
        </is>
      </c>
      <c r="F106" s="37" t="inlineStr">
        <is>
          <t>SignatureEvidence : hash SHA-256, chaîne de certificats, jeton d'horodatage</t>
        </is>
      </c>
      <c r="G106" s="37" t="inlineStr">
        <is>
          <t>Preuve complète stockée pour chaque NDA</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46325</v>
      </c>
      <c r="Q106" s="40" t="n">
        <v>46331</v>
      </c>
      <c r="R106" s="40" t="n"/>
      <c r="S106" s="37" t="inlineStr"/>
      <c r="T106" s="36" t="inlineStr">
        <is>
          <t>Non</t>
        </is>
      </c>
      <c r="U106" s="13">
        <f>IF($B106="","",IF(AND(J106&lt;&gt;"Complétée",J106&lt;&gt;"Abandonnée",Q106&lt;&gt;"",TODAY()&gt;Q106),"En retard",""))</f>
        <v/>
      </c>
      <c r="V106" s="37" t="n"/>
    </row>
    <row r="107">
      <c r="B107" s="36" t="inlineStr">
        <is>
          <t>V2-020</t>
        </is>
      </c>
      <c r="C107" s="36" t="inlineStr">
        <is>
          <t>V2</t>
        </is>
      </c>
      <c r="D107" s="36" t="inlineStr">
        <is>
          <t>SIG</t>
        </is>
      </c>
      <c r="E107" s="37" t="inlineStr">
        <is>
          <t>Signature électronique</t>
        </is>
      </c>
      <c r="F107" s="37" t="inlineStr">
        <is>
          <t>Intégration archivage électronique accrédité (PSAE)</t>
        </is>
      </c>
      <c r="G107" s="37" t="inlineStr">
        <is>
          <t>Référence d'archive stockée sur chaque preuve</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46326</v>
      </c>
      <c r="Q107" s="40" t="n">
        <v>46333</v>
      </c>
      <c r="R107" s="40" t="n"/>
      <c r="S107" s="37" t="inlineStr"/>
      <c r="T107" s="36" t="inlineStr">
        <is>
          <t>Non</t>
        </is>
      </c>
      <c r="U107" s="13">
        <f>IF($B107="","",IF(AND(J107&lt;&gt;"Complétée",J107&lt;&gt;"Abandonnée",Q107&lt;&gt;"",TODAY()&gt;Q107),"En retard",""))</f>
        <v/>
      </c>
      <c r="V107" s="37" t="n"/>
    </row>
    <row r="108">
      <c r="B108" s="36" t="inlineStr">
        <is>
          <t>V2-021</t>
        </is>
      </c>
      <c r="C108" s="36" t="inlineStr">
        <is>
          <t>V2</t>
        </is>
      </c>
      <c r="D108" s="36" t="inlineStr">
        <is>
          <t>SIG</t>
        </is>
      </c>
      <c r="E108" s="37" t="inlineStr">
        <is>
          <t>Signature électronique</t>
        </is>
      </c>
      <c r="F108" s="37" t="inlineStr">
        <is>
          <t>Écrans NDA : génération, signature, statut</t>
        </is>
      </c>
      <c r="G108" s="37" t="inlineStr">
        <is>
          <t>Statut NDA visible côté cédant et investisseur</t>
        </is>
      </c>
      <c r="H108" s="38" t="n">
        <v>2</v>
      </c>
      <c r="I108" s="36" t="inlineStr">
        <is>
          <t>Moyenne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46327</v>
      </c>
      <c r="Q108" s="40" t="n">
        <v>46330</v>
      </c>
      <c r="R108" s="40" t="n"/>
      <c r="S108" s="37" t="inlineStr"/>
      <c r="T108" s="36" t="inlineStr">
        <is>
          <t>Non</t>
        </is>
      </c>
      <c r="U108" s="13">
        <f>IF($B108="","",IF(AND(J108&lt;&gt;"Complétée",J108&lt;&gt;"Abandonnée",Q108&lt;&gt;"",TODAY()&gt;Q108),"En retard",""))</f>
        <v/>
      </c>
      <c r="V108" s="37" t="n"/>
    </row>
    <row r="109">
      <c r="B109" s="36" t="inlineStr">
        <is>
          <t>V2-022</t>
        </is>
      </c>
      <c r="C109" s="36" t="inlineStr">
        <is>
          <t>V2</t>
        </is>
      </c>
      <c r="D109" s="36" t="inlineStr">
        <is>
          <t>VDR</t>
        </is>
      </c>
      <c r="E109" s="37" t="inlineStr">
        <is>
          <t>Data room</t>
        </is>
      </c>
      <c r="F109" s="37" t="inlineStr">
        <is>
          <t>Stockage objet chiffré, URLs pré-signées courtes liées à la session</t>
        </is>
      </c>
      <c r="G109" s="37" t="inlineStr">
        <is>
          <t>Accès direct hors session refusé</t>
        </is>
      </c>
      <c r="H109" s="38" t="n">
        <v>5</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46328</v>
      </c>
      <c r="Q109" s="40" t="n">
        <v>46335</v>
      </c>
      <c r="R109" s="40" t="n"/>
      <c r="S109" s="37" t="inlineStr"/>
      <c r="T109" s="36" t="inlineStr">
        <is>
          <t>Non</t>
        </is>
      </c>
      <c r="U109" s="13">
        <f>IF($B109="","",IF(AND(J109&lt;&gt;"Complétée",J109&lt;&gt;"Abandonnée",Q109&lt;&gt;"",TODAY()&gt;Q109),"En retard",""))</f>
        <v/>
      </c>
      <c r="V109" s="37" t="n"/>
    </row>
    <row r="110">
      <c r="B110" s="36" t="inlineStr">
        <is>
          <t>V2-023</t>
        </is>
      </c>
      <c r="C110" s="36" t="inlineStr">
        <is>
          <t>V2</t>
        </is>
      </c>
      <c r="D110" s="36" t="inlineStr">
        <is>
          <t>VDR</t>
        </is>
      </c>
      <c r="E110" s="37" t="inlineStr">
        <is>
          <t>Data room</t>
        </is>
      </c>
      <c r="F110" s="37" t="inlineStr">
        <is>
          <t>Visualiseur rendu serveur, page à page, chargement progressif (3G)</t>
        </is>
      </c>
      <c r="G110" s="37" t="inlineStr">
        <is>
          <t>Première page en moins de 6 s sur réseau de référence</t>
        </is>
      </c>
      <c r="H110" s="38" t="n">
        <v>8</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46329</v>
      </c>
      <c r="Q110" s="40" t="n">
        <v>46341</v>
      </c>
      <c r="R110" s="40" t="n"/>
      <c r="S110" s="37" t="inlineStr"/>
      <c r="T110" s="36" t="inlineStr">
        <is>
          <t>Non</t>
        </is>
      </c>
      <c r="U110" s="13">
        <f>IF($B110="","",IF(AND(J110&lt;&gt;"Complétée",J110&lt;&gt;"Abandonnée",Q110&lt;&gt;"",TODAY()&gt;Q110),"En retard",""))</f>
        <v/>
      </c>
      <c r="V110" s="37" t="n"/>
    </row>
    <row r="111">
      <c r="B111" s="36" t="inlineStr">
        <is>
          <t>V2-024</t>
        </is>
      </c>
      <c r="C111" s="36" t="inlineStr">
        <is>
          <t>V2</t>
        </is>
      </c>
      <c r="D111" s="36" t="inlineStr">
        <is>
          <t>VDR</t>
        </is>
      </c>
      <c r="E111" s="37" t="inlineStr">
        <is>
          <t>Data room</t>
        </is>
      </c>
      <c r="F111" s="37" t="inlineStr">
        <is>
          <t>Filigrane dynamique par page (identité, compte, horodatage, référence du deal)</t>
        </is>
      </c>
      <c r="G111" s="37" t="inlineStr">
        <is>
          <t>Chaque page rendue porte le filigrane (test DOC-02)</t>
        </is>
      </c>
      <c r="H111" s="38" t="n">
        <v>5</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46330</v>
      </c>
      <c r="Q111" s="40" t="n">
        <v>46337</v>
      </c>
      <c r="R111" s="40" t="n"/>
      <c r="S111" s="37" t="inlineStr"/>
      <c r="T111" s="36" t="inlineStr">
        <is>
          <t>Non</t>
        </is>
      </c>
      <c r="U111" s="13">
        <f>IF($B111="","",IF(AND(J111&lt;&gt;"Complétée",J111&lt;&gt;"Abandonnée",Q111&lt;&gt;"",TODAY()&gt;Q111),"En retard",""))</f>
        <v/>
      </c>
      <c r="V111" s="37" t="n"/>
    </row>
    <row r="112">
      <c r="B112" s="36" t="inlineStr">
        <is>
          <t>V2-025</t>
        </is>
      </c>
      <c r="C112" s="36" t="inlineStr">
        <is>
          <t>V2</t>
        </is>
      </c>
      <c r="D112" s="36" t="inlineStr">
        <is>
          <t>VDR</t>
        </is>
      </c>
      <c r="E112" s="37" t="inlineStr">
        <is>
          <t>Data room</t>
        </is>
      </c>
      <c r="F112" s="37" t="inlineStr">
        <is>
          <t>Arborescence OHADA par défaut et gestion des dossiers</t>
        </is>
      </c>
      <c r="G112" s="37" t="inlineStr">
        <is>
          <t>Squelette créé automatiquement à l'ouverture</t>
        </is>
      </c>
      <c r="H112" s="38" t="n">
        <v>4</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46331</v>
      </c>
      <c r="Q112" s="40" t="n">
        <v>46337</v>
      </c>
      <c r="R112" s="40" t="n"/>
      <c r="S112" s="37" t="inlineStr"/>
      <c r="T112" s="36" t="inlineStr">
        <is>
          <t>Non</t>
        </is>
      </c>
      <c r="U112" s="13">
        <f>IF($B112="","",IF(AND(J112&lt;&gt;"Complétée",J112&lt;&gt;"Abandonnée",Q112&lt;&gt;"",TODAY()&gt;Q112),"En retard",""))</f>
        <v/>
      </c>
      <c r="V112" s="37" t="n"/>
    </row>
    <row r="113">
      <c r="B113" s="36" t="inlineStr">
        <is>
          <t>V2-026</t>
        </is>
      </c>
      <c r="C113" s="36" t="inlineStr">
        <is>
          <t>V2</t>
        </is>
      </c>
      <c r="D113" s="36" t="inlineStr">
        <is>
          <t>VDR</t>
        </is>
      </c>
      <c r="E113" s="37" t="inlineStr">
        <is>
          <t>Data room</t>
        </is>
      </c>
      <c r="F113" s="37" t="inlineStr">
        <is>
          <t>Permissions par document, téléchargement désactivé par défaut</t>
        </is>
      </c>
      <c r="G113" s="37" t="inlineStr">
        <is>
          <t>Téléchargement refusé sans droit explicite (test DOC-01)</t>
        </is>
      </c>
      <c r="H113" s="38" t="n">
        <v>5</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46332</v>
      </c>
      <c r="Q113" s="40" t="n">
        <v>46339</v>
      </c>
      <c r="R113" s="40" t="n"/>
      <c r="S113" s="37" t="inlineStr"/>
      <c r="T113" s="36" t="inlineStr">
        <is>
          <t>Non</t>
        </is>
      </c>
      <c r="U113" s="13">
        <f>IF($B113="","",IF(AND(J113&lt;&gt;"Complétée",J113&lt;&gt;"Abandonnée",Q113&lt;&gt;"",TODAY()&gt;Q113),"En retard",""))</f>
        <v/>
      </c>
      <c r="V113" s="37" t="n"/>
    </row>
    <row r="114">
      <c r="B114" s="36" t="inlineStr">
        <is>
          <t>V2-027</t>
        </is>
      </c>
      <c r="C114" s="36" t="inlineStr">
        <is>
          <t>V2</t>
        </is>
      </c>
      <c r="D114" s="36" t="inlineStr">
        <is>
          <t>VDR</t>
        </is>
      </c>
      <c r="E114" s="37" t="inlineStr">
        <is>
          <t>Data room</t>
        </is>
      </c>
      <c r="F114" s="37" t="inlineStr">
        <is>
          <t>Grants d'accès scopés avec expiration obligatoire</t>
        </is>
      </c>
      <c r="G114" s="37" t="inlineStr">
        <is>
          <t>Accès perpétuel impossible à créer</t>
        </is>
      </c>
      <c r="H114" s="38" t="n">
        <v>4</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46333</v>
      </c>
      <c r="Q114" s="40" t="n">
        <v>46339</v>
      </c>
      <c r="R114" s="40" t="n"/>
      <c r="S114" s="37" t="inlineStr"/>
      <c r="T114" s="36" t="inlineStr">
        <is>
          <t>Non</t>
        </is>
      </c>
      <c r="U114" s="13">
        <f>IF($B114="","",IF(AND(J114&lt;&gt;"Complétée",J114&lt;&gt;"Abandonnée",Q114&lt;&gt;"",TODAY()&gt;Q114),"En retard",""))</f>
        <v/>
      </c>
      <c r="V114" s="37" t="n"/>
    </row>
    <row r="115">
      <c r="B115" s="36" t="inlineStr">
        <is>
          <t>V2-028</t>
        </is>
      </c>
      <c r="C115" s="36" t="inlineStr">
        <is>
          <t>V2</t>
        </is>
      </c>
      <c r="D115" s="36" t="inlineStr">
        <is>
          <t>VDR</t>
        </is>
      </c>
      <c r="E115" s="37" t="inlineStr">
        <is>
          <t>Data room</t>
        </is>
      </c>
      <c r="F115" s="37" t="inlineStr">
        <is>
          <t>Révocation effective en moins de 60 s avec invalidation des URLs</t>
        </is>
      </c>
      <c r="G115" s="37" t="inlineStr">
        <is>
          <t>Test chronométré de révocation</t>
        </is>
      </c>
      <c r="H115" s="38" t="n">
        <v>4</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46334</v>
      </c>
      <c r="Q115" s="40" t="n">
        <v>46340</v>
      </c>
      <c r="R115" s="40" t="n"/>
      <c r="S115" s="37" t="inlineStr"/>
      <c r="T115" s="36" t="inlineStr">
        <is>
          <t>Non</t>
        </is>
      </c>
      <c r="U115" s="13">
        <f>IF($B115="","",IF(AND(J115&lt;&gt;"Complétée",J115&lt;&gt;"Abandonnée",Q115&lt;&gt;"",TODAY()&gt;Q115),"En retard",""))</f>
        <v/>
      </c>
      <c r="V115" s="37" t="n"/>
    </row>
    <row r="116">
      <c r="B116" s="36" t="inlineStr">
        <is>
          <t>V2-029</t>
        </is>
      </c>
      <c r="C116" s="36" t="inlineStr">
        <is>
          <t>V2</t>
        </is>
      </c>
      <c r="D116" s="36" t="inlineStr">
        <is>
          <t>VDR</t>
        </is>
      </c>
      <c r="E116" s="37" t="inlineStr">
        <is>
          <t>Data room</t>
        </is>
      </c>
      <c r="F116" s="37" t="inlineStr">
        <is>
          <t>Journal DocumentView : qui, quel document, quand, durée, IP</t>
        </is>
      </c>
      <c r="G116" s="37" t="inlineStr">
        <is>
          <t>Export du journal par dossier</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46335</v>
      </c>
      <c r="Q116" s="40" t="n">
        <v>46341</v>
      </c>
      <c r="R116" s="40" t="n"/>
      <c r="S116" s="37" t="inlineStr"/>
      <c r="T116" s="36" t="inlineStr">
        <is>
          <t>Non</t>
        </is>
      </c>
      <c r="U116" s="13">
        <f>IF($B116="","",IF(AND(J116&lt;&gt;"Complétée",J116&lt;&gt;"Abandonnée",Q116&lt;&gt;"",TODAY()&gt;Q116),"En retard",""))</f>
        <v/>
      </c>
      <c r="V116" s="37" t="n"/>
    </row>
    <row r="117">
      <c r="B117" s="36" t="inlineStr">
        <is>
          <t>V2-030</t>
        </is>
      </c>
      <c r="C117" s="36" t="inlineStr">
        <is>
          <t>V2</t>
        </is>
      </c>
      <c r="D117" s="36" t="inlineStr">
        <is>
          <t>VDR</t>
        </is>
      </c>
      <c r="E117" s="37" t="inlineStr">
        <is>
          <t>Data room</t>
        </is>
      </c>
      <c r="F117" s="37" t="inlineStr">
        <is>
          <t>Upload en masse, antivirus, OCR des documents photographiés</t>
        </is>
      </c>
      <c r="G117" s="37" t="inlineStr">
        <is>
          <t>Reprise d'un upload interrompu</t>
        </is>
      </c>
      <c r="H117" s="38" t="n">
        <v>6</v>
      </c>
      <c r="I117" s="36" t="inlineStr">
        <is>
          <t>Moyenne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46335</v>
      </c>
      <c r="Q117" s="40" t="n">
        <v>46344</v>
      </c>
      <c r="R117" s="40" t="n"/>
      <c r="S117" s="37" t="inlineStr"/>
      <c r="T117" s="36" t="inlineStr">
        <is>
          <t>Non</t>
        </is>
      </c>
      <c r="U117" s="13">
        <f>IF($B117="","",IF(AND(J117&lt;&gt;"Complétée",J117&lt;&gt;"Abandonnée",Q117&lt;&gt;"",TODAY()&gt;Q117),"En retard",""))</f>
        <v/>
      </c>
      <c r="V117" s="37" t="n"/>
    </row>
    <row r="118">
      <c r="B118" s="36" t="inlineStr">
        <is>
          <t>V2-031</t>
        </is>
      </c>
      <c r="C118" s="36" t="inlineStr">
        <is>
          <t>V2</t>
        </is>
      </c>
      <c r="D118" s="36" t="inlineStr">
        <is>
          <t>VDR</t>
        </is>
      </c>
      <c r="E118" s="37" t="inlineStr">
        <is>
          <t>Data room</t>
        </is>
      </c>
      <c r="F118" s="37" t="inlineStr">
        <is>
          <t>Écrans data room : arborescence, visualiseur, administration des accès</t>
        </is>
      </c>
      <c r="G118" s="37" t="inlineStr">
        <is>
          <t>Parcours complet sur mobile</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46337</v>
      </c>
      <c r="Q118" s="40" t="n">
        <v>46344</v>
      </c>
      <c r="R118" s="40" t="n"/>
      <c r="S118" s="37" t="inlineStr"/>
      <c r="T118" s="36" t="inlineStr">
        <is>
          <t>Non</t>
        </is>
      </c>
      <c r="U118" s="13">
        <f>IF($B118="","",IF(AND(J118&lt;&gt;"Complétée",J118&lt;&gt;"Abandonnée",Q118&lt;&gt;"",TODAY()&gt;Q118),"En retard",""))</f>
        <v/>
      </c>
      <c r="V118" s="37" t="n"/>
    </row>
    <row r="119">
      <c r="B119" s="36" t="inlineStr">
        <is>
          <t>V2-032</t>
        </is>
      </c>
      <c r="C119" s="36" t="inlineStr">
        <is>
          <t>V2</t>
        </is>
      </c>
      <c r="D119" s="36" t="inlineStr">
        <is>
          <t>VDR</t>
        </is>
      </c>
      <c r="E119" s="37" t="inlineStr">
        <is>
          <t>Questions-réponses</t>
        </is>
      </c>
      <c r="F119" s="37" t="inlineStr">
        <is>
          <t>Fils de questions par document, visibilité contrôlée par le cédant</t>
        </is>
      </c>
      <c r="G119" s="37" t="inlineStr">
        <is>
          <t>Question invisible aux autres investisseurs par défaut</t>
        </is>
      </c>
      <c r="H119" s="38" t="n">
        <v>6</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46337</v>
      </c>
      <c r="Q119" s="40" t="n">
        <v>46346</v>
      </c>
      <c r="R119" s="40" t="n"/>
      <c r="S119" s="37" t="inlineStr"/>
      <c r="T119" s="36" t="inlineStr">
        <is>
          <t>Non</t>
        </is>
      </c>
      <c r="U119" s="13">
        <f>IF($B119="","",IF(AND(J119&lt;&gt;"Complétée",J119&lt;&gt;"Abandonnée",Q119&lt;&gt;"",TODAY()&gt;Q119),"En retard",""))</f>
        <v/>
      </c>
      <c r="V119" s="37" t="n"/>
    </row>
    <row r="120">
      <c r="B120" s="36" t="inlineStr">
        <is>
          <t>V2-033</t>
        </is>
      </c>
      <c r="C120" s="36" t="inlineStr">
        <is>
          <t>V2</t>
        </is>
      </c>
      <c r="D120" s="36" t="inlineStr">
        <is>
          <t>VDR</t>
        </is>
      </c>
      <c r="E120" s="37" t="inlineStr">
        <is>
          <t>Questions-réponses</t>
        </is>
      </c>
      <c r="F120" s="37" t="inlineStr">
        <is>
          <t>Statuts, catégories, pièces jointes et journalisation des actions</t>
        </is>
      </c>
      <c r="G120" s="37" t="inlineStr">
        <is>
          <t>Chaque création / réponse / clôture journalisée</t>
        </is>
      </c>
      <c r="H120" s="38" t="n">
        <v>4</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46339</v>
      </c>
      <c r="Q120" s="40" t="n">
        <v>46345</v>
      </c>
      <c r="R120" s="40" t="n"/>
      <c r="S120" s="37" t="inlineStr"/>
      <c r="T120" s="36" t="inlineStr">
        <is>
          <t>Non</t>
        </is>
      </c>
      <c r="U120" s="13">
        <f>IF($B120="","",IF(AND(J120&lt;&gt;"Complétée",J120&lt;&gt;"Abandonnée",Q120&lt;&gt;"",TODAY()&gt;Q120),"En retard",""))</f>
        <v/>
      </c>
      <c r="V120" s="37" t="n"/>
    </row>
    <row r="121">
      <c r="B121" s="36" t="inlineStr">
        <is>
          <t>V2-034</t>
        </is>
      </c>
      <c r="C121" s="36" t="inlineStr">
        <is>
          <t>V2</t>
        </is>
      </c>
      <c r="D121" s="36" t="inlineStr">
        <is>
          <t>VDR</t>
        </is>
      </c>
      <c r="E121" s="37" t="inlineStr">
        <is>
          <t>Questions-réponses</t>
        </is>
      </c>
      <c r="F121" s="37" t="inlineStr">
        <is>
          <t>Écrans Q&amp;R</t>
        </is>
      </c>
      <c r="G121" s="37" t="inlineStr">
        <is>
          <t>Filtre par statut et par document</t>
        </is>
      </c>
      <c r="H121" s="38" t="n">
        <v>5</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46339</v>
      </c>
      <c r="Q121" s="40" t="n">
        <v>46346</v>
      </c>
      <c r="R121" s="40" t="n"/>
      <c r="S121" s="37" t="inlineStr"/>
      <c r="T121" s="36" t="inlineStr">
        <is>
          <t>Non</t>
        </is>
      </c>
      <c r="U121" s="13">
        <f>IF($B121="","",IF(AND(J121&lt;&gt;"Complétée",J121&lt;&gt;"Abandonnée",Q121&lt;&gt;"",TODAY()&gt;Q121),"En retard",""))</f>
        <v/>
      </c>
      <c r="V121" s="37" t="n"/>
    </row>
    <row r="122">
      <c r="B122" s="36" t="inlineStr">
        <is>
          <t>V2-035</t>
        </is>
      </c>
      <c r="C122" s="36" t="inlineStr">
        <is>
          <t>V2</t>
        </is>
      </c>
      <c r="D122" s="36" t="inlineStr">
        <is>
          <t>TRV</t>
        </is>
      </c>
      <c r="E122" s="37" t="inlineStr">
        <is>
          <t>QA et sécurité</t>
        </is>
      </c>
      <c r="F122" s="37" t="inlineStr">
        <is>
          <t>Storybook du design system, alimenté par les mêmes composants que le laboratoire</t>
        </is>
      </c>
      <c r="G122" s="37" t="inlineStr">
        <is>
          <t>Le designer revoit chaque variante sans passer par l'application</t>
        </is>
      </c>
      <c r="H122" s="38" t="n">
        <v>3</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46340</v>
      </c>
      <c r="Q122" s="40" t="n">
        <v>46345</v>
      </c>
      <c r="R122" s="40" t="n"/>
      <c r="S122" s="37" t="inlineStr">
        <is>
          <t>Designer UI/UX confirmé</t>
        </is>
      </c>
      <c r="T122" s="36" t="inlineStr">
        <is>
          <t>Non</t>
        </is>
      </c>
      <c r="U122" s="13">
        <f>IF($B122="","",IF(AND(J122&lt;&gt;"Complétée",J122&lt;&gt;"Abandonnée",Q122&lt;&gt;"",TODAY()&gt;Q122),"En retard",""))</f>
        <v/>
      </c>
      <c r="V122" s="37" t="n"/>
    </row>
    <row r="123">
      <c r="B123" s="36" t="inlineStr">
        <is>
          <t>V2-036</t>
        </is>
      </c>
      <c r="C123" s="36" t="inlineStr">
        <is>
          <t>V2</t>
        </is>
      </c>
      <c r="D123" s="36" t="inlineStr">
        <is>
          <t>TRV</t>
        </is>
      </c>
      <c r="E123" s="37" t="inlineStr">
        <is>
          <t>QA et sécurité</t>
        </is>
      </c>
      <c r="F123" s="37" t="inlineStr">
        <is>
          <t>Tests de contournement de palier et de fuite T0 / T1 (DISCLOSURE_LEAK)</t>
        </is>
      </c>
      <c r="G123" s="37" t="inlineStr">
        <is>
          <t>Zéro fuite sur les 12 cas de référence</t>
        </is>
      </c>
      <c r="H123" s="38" t="n">
        <v>6</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46341</v>
      </c>
      <c r="Q123" s="40" t="n">
        <v>46350</v>
      </c>
      <c r="R123" s="40" t="n"/>
      <c r="S123" s="37" t="inlineStr"/>
      <c r="T123" s="36" t="inlineStr">
        <is>
          <t>Non</t>
        </is>
      </c>
      <c r="U123" s="13">
        <f>IF($B123="","",IF(AND(J123&lt;&gt;"Complétée",J123&lt;&gt;"Abandonnée",Q123&lt;&gt;"",TODAY()&gt;Q123),"En retard",""))</f>
        <v/>
      </c>
      <c r="V123" s="37" t="n"/>
    </row>
    <row r="124">
      <c r="B124" s="36" t="inlineStr">
        <is>
          <t>V2-037</t>
        </is>
      </c>
      <c r="C124" s="36" t="inlineStr">
        <is>
          <t>V2</t>
        </is>
      </c>
      <c r="D124" s="36" t="inlineStr">
        <is>
          <t>TRV</t>
        </is>
      </c>
      <c r="E124" s="37" t="inlineStr">
        <is>
          <t>QA et sécurité</t>
        </is>
      </c>
      <c r="F124" s="37" t="inlineStr">
        <is>
          <t>Tests de révocation et d'expiration (REVOKED_ACCESS_ALLOWED)</t>
        </is>
      </c>
      <c r="G124" s="37" t="inlineStr">
        <is>
          <t>Utilisateur révoqué sans accès résiduel</t>
        </is>
      </c>
      <c r="H124" s="38" t="n">
        <v>4</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46342</v>
      </c>
      <c r="Q124" s="40" t="n">
        <v>46348</v>
      </c>
      <c r="R124" s="40" t="n"/>
      <c r="S124" s="37" t="inlineStr"/>
      <c r="T124" s="36" t="inlineStr">
        <is>
          <t>Non</t>
        </is>
      </c>
      <c r="U124" s="13">
        <f>IF($B124="","",IF(AND(J124&lt;&gt;"Complétée",J124&lt;&gt;"Abandonnée",Q124&lt;&gt;"",TODAY()&gt;Q124),"En retard",""))</f>
        <v/>
      </c>
      <c r="V124" s="37" t="n"/>
    </row>
    <row r="125">
      <c r="B125" s="36" t="inlineStr">
        <is>
          <t>V2-038</t>
        </is>
      </c>
      <c r="C125" s="36" t="inlineStr">
        <is>
          <t>V2</t>
        </is>
      </c>
      <c r="D125" s="36" t="inlineStr">
        <is>
          <t>TRV</t>
        </is>
      </c>
      <c r="E125" s="37" t="inlineStr">
        <is>
          <t>QA et sécurité</t>
        </is>
      </c>
      <c r="F125" s="37" t="inlineStr">
        <is>
          <t>Revue de sécurité interne et préparation du périmètre de pentest</t>
        </is>
      </c>
      <c r="G125" s="37" t="inlineStr">
        <is>
          <t>Périmètre de pentest rédigé</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46343</v>
      </c>
      <c r="Q125" s="40" t="n">
        <v>46350</v>
      </c>
      <c r="R125" s="40" t="n"/>
      <c r="S125" s="37" t="inlineStr"/>
      <c r="T125" s="36" t="inlineStr">
        <is>
          <t>Non</t>
        </is>
      </c>
      <c r="U125" s="13">
        <f>IF($B125="","",IF(AND(J125&lt;&gt;"Complétée",J125&lt;&gt;"Abandonnée",Q125&lt;&gt;"",TODAY()&gt;Q125),"En retard",""))</f>
        <v/>
      </c>
      <c r="V125" s="37" t="n"/>
    </row>
    <row r="126">
      <c r="B126" s="36" t="inlineStr">
        <is>
          <t>V2-039</t>
        </is>
      </c>
      <c r="C126" s="36" t="inlineStr">
        <is>
          <t>V2</t>
        </is>
      </c>
      <c r="D126" s="36" t="inlineStr">
        <is>
          <t>TRV</t>
        </is>
      </c>
      <c r="E126" s="37" t="inlineStr">
        <is>
          <t>QA et sécurité</t>
        </is>
      </c>
      <c r="F126" s="37" t="inlineStr">
        <is>
          <t>Recette V2 et corrections</t>
        </is>
      </c>
      <c r="G126" s="37" t="inlineStr">
        <is>
          <t>Zéro anomalie bloquante ouverte</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46344</v>
      </c>
      <c r="Q126" s="40" t="n">
        <v>46351</v>
      </c>
      <c r="R126" s="40" t="n"/>
      <c r="S126" s="37" t="inlineStr"/>
      <c r="T126" s="36" t="inlineStr">
        <is>
          <t>Non</t>
        </is>
      </c>
      <c r="U126" s="13">
        <f>IF($B126="","",IF(AND(J126&lt;&gt;"Complétée",J126&lt;&gt;"Abandonnée",Q126&lt;&gt;"",TODAY()&gt;Q126),"En retard",""))</f>
        <v/>
      </c>
      <c r="V126" s="37" t="n"/>
    </row>
    <row r="127">
      <c r="B127" s="36" t="inlineStr">
        <is>
          <t>V3-001</t>
        </is>
      </c>
      <c r="C127" s="36" t="inlineStr">
        <is>
          <t>V3</t>
        </is>
      </c>
      <c r="D127" s="36" t="inlineStr">
        <is>
          <t>NEG</t>
        </is>
      </c>
      <c r="E127" s="37" t="inlineStr">
        <is>
          <t>Conception</t>
        </is>
      </c>
      <c r="F127" s="37" t="inlineStr">
        <is>
          <t>Conception de la négociation et de la réalisation : machine à états complète (offre, LOI, audit, réalisation), registre des points ouverts, événements de frais</t>
        </is>
      </c>
      <c r="G127" s="37" t="inlineStr">
        <is>
          <t>Chaque transition est spécifiée avec ses préconditions et ses effets journalisés</t>
        </is>
      </c>
      <c r="H127" s="38" t="n">
        <v>3</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46352</v>
      </c>
      <c r="Q127" s="40" t="n">
        <v>46357</v>
      </c>
      <c r="R127" s="40" t="n"/>
      <c r="S127" s="37" t="inlineStr"/>
      <c r="T127" s="36" t="inlineStr">
        <is>
          <t>Oui</t>
        </is>
      </c>
      <c r="U127" s="13">
        <f>IF($B127="","",IF(AND(J127&lt;&gt;"Complétée",J127&lt;&gt;"Abandonnée",Q127&lt;&gt;"",TODAY()&gt;Q127),"En retard",""))</f>
        <v/>
      </c>
      <c r="V127" s="37" t="n"/>
    </row>
    <row r="128">
      <c r="B128" s="36" t="inlineStr">
        <is>
          <t>V3-002</t>
        </is>
      </c>
      <c r="C128" s="36" t="inlineStr">
        <is>
          <t>V3</t>
        </is>
      </c>
      <c r="D128" s="36" t="inlineStr">
        <is>
          <t>FIN</t>
        </is>
      </c>
      <c r="E128" s="37" t="inlineStr">
        <is>
          <t>Conception</t>
        </is>
      </c>
      <c r="F128" s="37" t="inlineStr">
        <is>
          <t>Conception du moteur de frais et de rétrocession : barème versionné sous drapeau juridique, journal de calcul recalculable, rapport trimestriel</t>
        </is>
      </c>
      <c r="G128" s="37" t="inlineStr">
        <is>
          <t>Un calcul peut être rejoué à l'identique à partir du journal ; barème inactif sans avis écrit</t>
        </is>
      </c>
      <c r="H128" s="38" t="n">
        <v>2</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46352</v>
      </c>
      <c r="Q128" s="40" t="n">
        <v>46355</v>
      </c>
      <c r="R128" s="40" t="n"/>
      <c r="S128" s="37" t="inlineStr"/>
      <c r="T128" s="36" t="inlineStr">
        <is>
          <t>Non</t>
        </is>
      </c>
      <c r="U128" s="13">
        <f>IF($B128="","",IF(AND(J128&lt;&gt;"Complétée",J128&lt;&gt;"Abandonnée",Q128&lt;&gt;"",TODAY()&gt;Q128),"En retard",""))</f>
        <v/>
      </c>
      <c r="V128" s="37" t="n"/>
    </row>
    <row r="129">
      <c r="B129" s="36" t="inlineStr">
        <is>
          <t>V3-003</t>
        </is>
      </c>
      <c r="C129" s="36" t="inlineStr">
        <is>
          <t>V3</t>
        </is>
      </c>
      <c r="D129" s="36" t="inlineStr">
        <is>
          <t>LEG</t>
        </is>
      </c>
      <c r="E129" s="37" t="inlineStr">
        <is>
          <t>Conception</t>
        </is>
      </c>
      <c r="F129" s="37" t="inlineStr">
        <is>
          <t>Conception LegalTech : modèle de gabarit versionné, variables, génération PDF, mention obligatoire, traçabilité de la revue du conseil</t>
        </is>
      </c>
      <c r="G129" s="37" t="inlineStr">
        <is>
          <t>Schéma de gabarit validé avec le conseil juridique</t>
        </is>
      </c>
      <c r="H129" s="38" t="n">
        <v>2</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46353</v>
      </c>
      <c r="Q129" s="40" t="n">
        <v>46356</v>
      </c>
      <c r="R129" s="40" t="n"/>
      <c r="S129" s="37" t="inlineStr"/>
      <c r="T129" s="36" t="inlineStr">
        <is>
          <t>Non</t>
        </is>
      </c>
      <c r="U129" s="13">
        <f>IF($B129="","",IF(AND(J129&lt;&gt;"Complétée",J129&lt;&gt;"Abandonnée",Q129&lt;&gt;"",TODAY()&gt;Q129),"En retard",""))</f>
        <v/>
      </c>
      <c r="V129" s="37" t="n"/>
    </row>
    <row r="130">
      <c r="B130" s="36" t="inlineStr">
        <is>
          <t>V3-004</t>
        </is>
      </c>
      <c r="C130" s="36" t="inlineStr">
        <is>
          <t>V3</t>
        </is>
      </c>
      <c r="D130" s="36" t="inlineStr">
        <is>
          <t>OPS</t>
        </is>
      </c>
      <c r="E130" s="37" t="inlineStr">
        <is>
          <t>Exploitation</t>
        </is>
      </c>
      <c r="F130" s="37" t="inlineStr">
        <is>
          <t>Chiffrement au repos du stockage objet par un KMS géré et rotation documentée des clés</t>
        </is>
      </c>
      <c r="G130" s="37" t="inlineStr">
        <is>
          <t>La clé de développement de MinIO n'existe plus en production ; la rotation est éprouvée</t>
        </is>
      </c>
      <c r="H130" s="38" t="n">
        <v>3</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46353</v>
      </c>
      <c r="Q130" s="40" t="n">
        <v>46358</v>
      </c>
      <c r="R130" s="40" t="n"/>
      <c r="S130" s="37" t="inlineStr"/>
      <c r="T130" s="36" t="inlineStr">
        <is>
          <t>Non</t>
        </is>
      </c>
      <c r="U130" s="13">
        <f>IF($B130="","",IF(AND(J130&lt;&gt;"Complétée",J130&lt;&gt;"Abandonnée",Q130&lt;&gt;"",TODAY()&gt;Q130),"En retard",""))</f>
        <v/>
      </c>
      <c r="V130" s="37" t="n"/>
    </row>
    <row r="131">
      <c r="B131" s="36" t="inlineStr">
        <is>
          <t>V3-005</t>
        </is>
      </c>
      <c r="C131" s="36" t="inlineStr">
        <is>
          <t>V3</t>
        </is>
      </c>
      <c r="D131" s="36" t="inlineStr">
        <is>
          <t>SUP</t>
        </is>
      </c>
      <c r="E131" s="37" t="inlineStr">
        <is>
          <t>Support</t>
        </is>
      </c>
      <c r="F131" s="37" t="inlineStr">
        <is>
          <t>Procédure de purge et de rétention des pièces et des valeurs déclarées (effacement encadré par le DPO)</t>
        </is>
      </c>
      <c r="G131" s="37" t="inlineStr">
        <is>
          <t>Durées de conservation écrites, effacement tracé et irréversible</t>
        </is>
      </c>
      <c r="H131" s="38" t="n">
        <v>3</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46354</v>
      </c>
      <c r="Q131" s="40" t="n">
        <v>46359</v>
      </c>
      <c r="R131" s="40" t="n"/>
      <c r="S131" s="37" t="inlineStr">
        <is>
          <t>DPO désigné</t>
        </is>
      </c>
      <c r="T131" s="36" t="inlineStr">
        <is>
          <t>Non</t>
        </is>
      </c>
      <c r="U131" s="13">
        <f>IF($B131="","",IF(AND(J131&lt;&gt;"Complétée",J131&lt;&gt;"Abandonnée",Q131&lt;&gt;"",TODAY()&gt;Q131),"En retard",""))</f>
        <v/>
      </c>
      <c r="V131" s="37" t="n"/>
    </row>
    <row r="132">
      <c r="B132" s="36" t="inlineStr">
        <is>
          <t>V3-006</t>
        </is>
      </c>
      <c r="C132" s="36" t="inlineStr">
        <is>
          <t>V3</t>
        </is>
      </c>
      <c r="D132" s="36" t="inlineStr">
        <is>
          <t>OPS</t>
        </is>
      </c>
      <c r="E132" s="37" t="inlineStr">
        <is>
          <t>Conception</t>
        </is>
      </c>
      <c r="F132" s="37" t="inlineStr">
        <is>
          <t>Conception de l'exploitation et du support : SLA 99,5 %, supervision, sauvegardes et restauration, procédure d'incident, accès privilégiés et mode break-glass journalisé</t>
        </is>
      </c>
      <c r="G132" s="37" t="inlineStr">
        <is>
          <t>Plan d'exploitation relu ; chaque accès privilégié est tracé et limité dans le temps</t>
        </is>
      </c>
      <c r="H132" s="38" t="n">
        <v>3</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46354</v>
      </c>
      <c r="Q132" s="40" t="n">
        <v>46359</v>
      </c>
      <c r="R132" s="40" t="n"/>
      <c r="S132" s="37" t="inlineStr"/>
      <c r="T132" s="36" t="inlineStr">
        <is>
          <t>Non</t>
        </is>
      </c>
      <c r="U132" s="13">
        <f>IF($B132="","",IF(AND(J132&lt;&gt;"Complétée",J132&lt;&gt;"Abandonnée",Q132&lt;&gt;"",TODAY()&gt;Q132),"En retard",""))</f>
        <v/>
      </c>
      <c r="V132" s="37" t="n"/>
    </row>
    <row r="133">
      <c r="B133" s="36" t="inlineStr">
        <is>
          <t>V3-007</t>
        </is>
      </c>
      <c r="C133" s="36" t="inlineStr">
        <is>
          <t>V3</t>
        </is>
      </c>
      <c r="D133" s="36" t="inlineStr">
        <is>
          <t>LEG</t>
        </is>
      </c>
      <c r="E133" s="37" t="inlineStr">
        <is>
          <t>LegalTech OHADA</t>
        </is>
      </c>
      <c r="F133" s="37" t="inlineStr">
        <is>
          <t>Modèles versionnés : NDA, LOI, pacte simplifié, SPA, cession d'actifs, contrat de travail (Code du travail togolais)</t>
        </is>
      </c>
      <c r="G133" s="37" t="inlineStr">
        <is>
          <t>Chaque modèle porte version et référence du conseil</t>
        </is>
      </c>
      <c r="H133" s="38" t="n">
        <v>8</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46355</v>
      </c>
      <c r="Q133" s="40" t="n">
        <v>46367</v>
      </c>
      <c r="R133" s="40" t="n"/>
      <c r="S133" s="37" t="inlineStr"/>
      <c r="T133" s="36" t="inlineStr">
        <is>
          <t>Non</t>
        </is>
      </c>
      <c r="U133" s="13">
        <f>IF($B133="","",IF(AND(J133&lt;&gt;"Complétée",J133&lt;&gt;"Abandonnée",Q133&lt;&gt;"",TODAY()&gt;Q133),"En retard",""))</f>
        <v/>
      </c>
      <c r="V133" s="37" t="n"/>
    </row>
    <row r="134">
      <c r="B134" s="36" t="inlineStr">
        <is>
          <t>V3-008</t>
        </is>
      </c>
      <c r="C134" s="36" t="inlineStr">
        <is>
          <t>V3</t>
        </is>
      </c>
      <c r="D134" s="36" t="inlineStr">
        <is>
          <t>LEG</t>
        </is>
      </c>
      <c r="E134" s="37" t="inlineStr">
        <is>
          <t>LegalTech OHADA</t>
        </is>
      </c>
      <c r="F134" s="37" t="inlineStr">
        <is>
          <t>Moteur de génération PDF avec variables et mention 'aide à la rédaction, pas un conseil juridique'</t>
        </is>
      </c>
      <c r="G134" s="37" t="inlineStr">
        <is>
          <t>Mention présente sur chaque document généré</t>
        </is>
      </c>
      <c r="H134" s="38" t="n">
        <v>7</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46356</v>
      </c>
      <c r="Q134" s="40" t="n">
        <v>46366</v>
      </c>
      <c r="R134" s="40" t="n"/>
      <c r="S134" s="37" t="inlineStr"/>
      <c r="T134" s="36" t="inlineStr">
        <is>
          <t>Non</t>
        </is>
      </c>
      <c r="U134" s="13">
        <f>IF($B134="","",IF(AND(J134&lt;&gt;"Complétée",J134&lt;&gt;"Abandonnée",Q134&lt;&gt;"",TODAY()&gt;Q134),"En retard",""))</f>
        <v/>
      </c>
      <c r="V134" s="37" t="n"/>
    </row>
    <row r="135">
      <c r="B135" s="36" t="inlineStr">
        <is>
          <t>V3-009</t>
        </is>
      </c>
      <c r="C135" s="36" t="inlineStr">
        <is>
          <t>V3</t>
        </is>
      </c>
      <c r="D135" s="36" t="inlineStr">
        <is>
          <t>LEG</t>
        </is>
      </c>
      <c r="E135" s="37" t="inlineStr">
        <is>
          <t>LegalTech OHADA</t>
        </is>
      </c>
      <c r="F135" s="37" t="inlineStr">
        <is>
          <t>Revue des modèles par le conseil juridique (coordination)</t>
        </is>
      </c>
      <c r="G135" s="37" t="inlineStr">
        <is>
          <t>Avis écrit archivé par modèle</t>
        </is>
      </c>
      <c r="H135" s="38" t="n">
        <v>4</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46357</v>
      </c>
      <c r="Q135" s="40" t="n">
        <v>46363</v>
      </c>
      <c r="R135" s="40" t="n"/>
      <c r="S135" s="37" t="inlineStr"/>
      <c r="T135" s="36" t="inlineStr">
        <is>
          <t>Oui</t>
        </is>
      </c>
      <c r="U135" s="13">
        <f>IF($B135="","",IF(AND(J135&lt;&gt;"Complétée",J135&lt;&gt;"Abandonnée",Q135&lt;&gt;"",TODAY()&gt;Q135),"En retard",""))</f>
        <v/>
      </c>
      <c r="V135" s="37" t="n"/>
    </row>
    <row r="136">
      <c r="B136" s="36" t="inlineStr">
        <is>
          <t>V3-010</t>
        </is>
      </c>
      <c r="C136" s="36" t="inlineStr">
        <is>
          <t>V3</t>
        </is>
      </c>
      <c r="D136" s="36" t="inlineStr">
        <is>
          <t>LEG</t>
        </is>
      </c>
      <c r="E136" s="37" t="inlineStr">
        <is>
          <t>LegalTech OHADA</t>
        </is>
      </c>
      <c r="F136" s="37" t="inlineStr">
        <is>
          <t>Liaison avec transferRestrictions : alertes clauses d'agrément et de préemption</t>
        </is>
      </c>
      <c r="G136" s="37" t="inlineStr">
        <is>
          <t>Alerte affichée dès qu'une restriction existe</t>
        </is>
      </c>
      <c r="H136" s="38" t="n">
        <v>3</v>
      </c>
      <c r="I136" s="36" t="inlineStr">
        <is>
          <t>Moyenne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46358</v>
      </c>
      <c r="Q136" s="40" t="n">
        <v>46363</v>
      </c>
      <c r="R136" s="40" t="n"/>
      <c r="S136" s="37" t="inlineStr"/>
      <c r="T136" s="36" t="inlineStr">
        <is>
          <t>Non</t>
        </is>
      </c>
      <c r="U136" s="13">
        <f>IF($B136="","",IF(AND(J136&lt;&gt;"Complétée",J136&lt;&gt;"Abandonnée",Q136&lt;&gt;"",TODAY()&gt;Q136),"En retard",""))</f>
        <v/>
      </c>
      <c r="V136" s="37" t="n"/>
    </row>
    <row r="137">
      <c r="B137" s="36" t="inlineStr">
        <is>
          <t>V3-011</t>
        </is>
      </c>
      <c r="C137" s="36" t="inlineStr">
        <is>
          <t>V3</t>
        </is>
      </c>
      <c r="D137" s="36" t="inlineStr">
        <is>
          <t>LEG</t>
        </is>
      </c>
      <c r="E137" s="37" t="inlineStr">
        <is>
          <t>Conformité fiscale</t>
        </is>
      </c>
      <c r="F137" s="37" t="inlineStr">
        <is>
          <t>Intégration du module fiscal partenaire (simulation, attestation) derrière drapeau</t>
        </is>
      </c>
      <c r="G137" s="37" t="inlineStr">
        <is>
          <t>Panne partenaire ne produit jamais une fausse attestation</t>
        </is>
      </c>
      <c r="H137" s="38" t="n">
        <v>6</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46358</v>
      </c>
      <c r="Q137" s="40" t="n">
        <v>46367</v>
      </c>
      <c r="R137" s="40" t="n"/>
      <c r="S137" s="37" t="inlineStr">
        <is>
          <t>Partenaire fiscal confirmé</t>
        </is>
      </c>
      <c r="T137" s="36" t="inlineStr">
        <is>
          <t>Non</t>
        </is>
      </c>
      <c r="U137" s="13">
        <f>IF($B137="","",IF(AND(J137&lt;&gt;"Complétée",J137&lt;&gt;"Abandonnée",Q137&lt;&gt;"",TODAY()&gt;Q137),"En retard",""))</f>
        <v/>
      </c>
      <c r="V137" s="37" t="n"/>
    </row>
    <row r="138">
      <c r="B138" s="36" t="inlineStr">
        <is>
          <t>V3-012</t>
        </is>
      </c>
      <c r="C138" s="36" t="inlineStr">
        <is>
          <t>V3</t>
        </is>
      </c>
      <c r="D138" s="36" t="inlineStr">
        <is>
          <t>LEG</t>
        </is>
      </c>
      <c r="E138" s="37" t="inlineStr">
        <is>
          <t>LegalTech OHADA</t>
        </is>
      </c>
      <c r="F138" s="37" t="inlineStr">
        <is>
          <t>Écrans LegalTech</t>
        </is>
      </c>
      <c r="G138" s="37" t="inlineStr">
        <is>
          <t>Quota de documents par palier respecté</t>
        </is>
      </c>
      <c r="H138" s="38" t="n">
        <v>2</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46359</v>
      </c>
      <c r="Q138" s="40" t="n">
        <v>46362</v>
      </c>
      <c r="R138" s="40" t="n"/>
      <c r="S138" s="37" t="inlineStr"/>
      <c r="T138" s="36" t="inlineStr">
        <is>
          <t>Non</t>
        </is>
      </c>
      <c r="U138" s="13">
        <f>IF($B138="","",IF(AND(J138&lt;&gt;"Complétée",J138&lt;&gt;"Abandonnée",Q138&lt;&gt;"",TODAY()&gt;Q138),"En retard",""))</f>
        <v/>
      </c>
      <c r="V138" s="37" t="n"/>
    </row>
    <row r="139">
      <c r="B139" s="36" t="inlineStr">
        <is>
          <t>V3-013</t>
        </is>
      </c>
      <c r="C139" s="36" t="inlineStr">
        <is>
          <t>V3</t>
        </is>
      </c>
      <c r="D139" s="36" t="inlineStr">
        <is>
          <t>NEG</t>
        </is>
      </c>
      <c r="E139" s="37" t="inlineStr">
        <is>
          <t>Négociation</t>
        </is>
      </c>
      <c r="F139" s="37" t="inlineStr">
        <is>
          <t>Offre et contre-offre structurées et versionnées</t>
        </is>
      </c>
      <c r="G139" s="37" t="inlineStr">
        <is>
          <t>Toutes les versions conservées</t>
        </is>
      </c>
      <c r="H139" s="38" t="n">
        <v>6</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46360</v>
      </c>
      <c r="Q139" s="40" t="n">
        <v>46369</v>
      </c>
      <c r="R139" s="40" t="n"/>
      <c r="S139" s="37" t="inlineStr"/>
      <c r="T139" s="36" t="inlineStr">
        <is>
          <t>Non</t>
        </is>
      </c>
      <c r="U139" s="13">
        <f>IF($B139="","",IF(AND(J139&lt;&gt;"Complétée",J139&lt;&gt;"Abandonnée",Q139&lt;&gt;"",TODAY()&gt;Q139),"En retard",""))</f>
        <v/>
      </c>
      <c r="V139" s="37" t="n"/>
    </row>
    <row r="140">
      <c r="B140" s="36" t="inlineStr">
        <is>
          <t>V3-014</t>
        </is>
      </c>
      <c r="C140" s="36" t="inlineStr">
        <is>
          <t>V3</t>
        </is>
      </c>
      <c r="D140" s="36" t="inlineStr">
        <is>
          <t>NEG</t>
        </is>
      </c>
      <c r="E140" s="37" t="inlineStr">
        <is>
          <t>Négociation</t>
        </is>
      </c>
      <c r="F140" s="37" t="inlineStr">
        <is>
          <t>Générateur de LOI branché sur LegalTech</t>
        </is>
      </c>
      <c r="G140" s="37" t="inlineStr">
        <is>
          <t>LOI générée depuis l'offre acceptée</t>
        </is>
      </c>
      <c r="H140" s="38" t="n">
        <v>4</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46361</v>
      </c>
      <c r="Q140" s="40" t="n">
        <v>46367</v>
      </c>
      <c r="R140" s="40" t="n"/>
      <c r="S140" s="37" t="inlineStr">
        <is>
          <t>Moteur de génération</t>
        </is>
      </c>
      <c r="T140" s="36" t="inlineStr">
        <is>
          <t>Non</t>
        </is>
      </c>
      <c r="U140" s="13">
        <f>IF($B140="","",IF(AND(J140&lt;&gt;"Complétée",J140&lt;&gt;"Abandonnée",Q140&lt;&gt;"",TODAY()&gt;Q140),"En retard",""))</f>
        <v/>
      </c>
      <c r="V140" s="37" t="n"/>
    </row>
    <row r="141">
      <c r="B141" s="36" t="inlineStr">
        <is>
          <t>V3-015</t>
        </is>
      </c>
      <c r="C141" s="36" t="inlineStr">
        <is>
          <t>V3</t>
        </is>
      </c>
      <c r="D141" s="36" t="inlineStr">
        <is>
          <t>NEG</t>
        </is>
      </c>
      <c r="E141" s="37" t="inlineStr">
        <is>
          <t>Audit d'acquisition</t>
        </is>
      </c>
      <c r="F141" s="37" t="inlineStr">
        <is>
          <t>Registre des points ouverts d'audit d'acquisition (P15)</t>
        </is>
      </c>
      <c r="G141" s="37" t="inlineStr">
        <is>
          <t>Chaque point porte propriétaire, échéance, statut</t>
        </is>
      </c>
      <c r="H141" s="38" t="n">
        <v>6</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46361</v>
      </c>
      <c r="Q141" s="40" t="n">
        <v>46370</v>
      </c>
      <c r="R141" s="40" t="n"/>
      <c r="S141" s="37" t="inlineStr"/>
      <c r="T141" s="36" t="inlineStr">
        <is>
          <t>Non</t>
        </is>
      </c>
      <c r="U141" s="13">
        <f>IF($B141="","",IF(AND(J141&lt;&gt;"Complétée",J141&lt;&gt;"Abandonnée",Q141&lt;&gt;"",TODAY()&gt;Q141),"En retard",""))</f>
        <v/>
      </c>
      <c r="V141" s="37" t="n"/>
    </row>
    <row r="142">
      <c r="B142" s="36" t="inlineStr">
        <is>
          <t>V3-016</t>
        </is>
      </c>
      <c r="C142" s="36" t="inlineStr">
        <is>
          <t>V3</t>
        </is>
      </c>
      <c r="D142" s="36" t="inlineStr">
        <is>
          <t>NEG</t>
        </is>
      </c>
      <c r="E142" s="37" t="inlineStr">
        <is>
          <t>Audit d'acquisition</t>
        </is>
      </c>
      <c r="F142" s="37" t="inlineStr">
        <is>
          <t>Décision poursuivre / renégocier / abandonner avec motifs structurés</t>
        </is>
      </c>
      <c r="G142" s="37" t="inlineStr">
        <is>
          <t>Motif obligatoire à l'abandon</t>
        </is>
      </c>
      <c r="H142" s="38" t="n">
        <v>3</v>
      </c>
      <c r="I142" s="36" t="inlineStr">
        <is>
          <t>Moyenne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46362</v>
      </c>
      <c r="Q142" s="40" t="n">
        <v>46367</v>
      </c>
      <c r="R142" s="40" t="n"/>
      <c r="S142" s="37" t="inlineStr"/>
      <c r="T142" s="36" t="inlineStr">
        <is>
          <t>Non</t>
        </is>
      </c>
      <c r="U142" s="13">
        <f>IF($B142="","",IF(AND(J142&lt;&gt;"Complétée",J142&lt;&gt;"Abandonnée",Q142&lt;&gt;"",TODAY()&gt;Q142),"En retard",""))</f>
        <v/>
      </c>
      <c r="V142" s="37" t="n"/>
    </row>
    <row r="143">
      <c r="B143" s="36" t="inlineStr">
        <is>
          <t>V3-017</t>
        </is>
      </c>
      <c r="C143" s="36" t="inlineStr">
        <is>
          <t>V3</t>
        </is>
      </c>
      <c r="D143" s="36" t="inlineStr">
        <is>
          <t>NEG</t>
        </is>
      </c>
      <c r="E143" s="37" t="inlineStr">
        <is>
          <t>Négociation</t>
        </is>
      </c>
      <c r="F143" s="37" t="inlineStr">
        <is>
          <t>Écrans négociation et audit</t>
        </is>
      </c>
      <c r="G143" s="37" t="inlineStr">
        <is>
          <t>Conditions sensibles visibles uniquement en T2</t>
        </is>
      </c>
      <c r="H143" s="38" t="n">
        <v>6</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46363</v>
      </c>
      <c r="Q143" s="40" t="n">
        <v>46372</v>
      </c>
      <c r="R143" s="40" t="n"/>
      <c r="S143" s="37" t="inlineStr"/>
      <c r="T143" s="36" t="inlineStr">
        <is>
          <t>Non</t>
        </is>
      </c>
      <c r="U143" s="13">
        <f>IF($B143="","",IF(AND(J143&lt;&gt;"Complétée",J143&lt;&gt;"Abandonnée",Q143&lt;&gt;"",TODAY()&gt;Q143),"En retard",""))</f>
        <v/>
      </c>
      <c r="V143" s="37" t="n"/>
    </row>
    <row r="144">
      <c r="B144" s="36" t="inlineStr">
        <is>
          <t>V3-018</t>
        </is>
      </c>
      <c r="C144" s="36" t="inlineStr">
        <is>
          <t>V3</t>
        </is>
      </c>
      <c r="D144" s="36" t="inlineStr">
        <is>
          <t>REA</t>
        </is>
      </c>
      <c r="E144" s="37" t="inlineStr">
        <is>
          <t>Réalisation</t>
        </is>
      </c>
      <c r="F144" s="37" t="inlineStr">
        <is>
          <t>Statut de réalisation (réalisé, différé, abandonné) et dossier de preuves</t>
        </is>
      </c>
      <c r="G144" s="37" t="inlineStr">
        <is>
          <t>Résultat présenté avec son niveau de preuve</t>
        </is>
      </c>
      <c r="H144" s="38" t="n">
        <v>5</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46364</v>
      </c>
      <c r="Q144" s="40" t="n">
        <v>46371</v>
      </c>
      <c r="R144" s="40" t="n"/>
      <c r="S144" s="37" t="inlineStr"/>
      <c r="T144" s="36" t="inlineStr">
        <is>
          <t>Non</t>
        </is>
      </c>
      <c r="U144" s="13">
        <f>IF($B144="","",IF(AND(J144&lt;&gt;"Complétée",J144&lt;&gt;"Abandonnée",Q144&lt;&gt;"",TODAY()&gt;Q144),"En retard",""))</f>
        <v/>
      </c>
      <c r="V144" s="37" t="n"/>
    </row>
    <row r="145">
      <c r="B145" s="36" t="inlineStr">
        <is>
          <t>V3-019</t>
        </is>
      </c>
      <c r="C145" s="36" t="inlineStr">
        <is>
          <t>V3</t>
        </is>
      </c>
      <c r="D145" s="36" t="inlineStr">
        <is>
          <t>REA</t>
        </is>
      </c>
      <c r="E145" s="37" t="inlineStr">
        <is>
          <t>Réalisation</t>
        </is>
      </c>
      <c r="F145" s="37" t="inlineStr">
        <is>
          <t>Références de formalités externes (RCCM) et confirmations des parties</t>
        </is>
      </c>
      <c r="G145" s="37" t="inlineStr">
        <is>
          <t>Référence RCCM stockée avec horodatage</t>
        </is>
      </c>
      <c r="H145" s="38" t="n">
        <v>3</v>
      </c>
      <c r="I145" s="36" t="inlineStr">
        <is>
          <t>Moyenne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46364</v>
      </c>
      <c r="Q145" s="40" t="n">
        <v>46369</v>
      </c>
      <c r="R145" s="40" t="n"/>
      <c r="S145" s="37" t="inlineStr"/>
      <c r="T145" s="36" t="inlineStr">
        <is>
          <t>Non</t>
        </is>
      </c>
      <c r="U145" s="13">
        <f>IF($B145="","",IF(AND(J145&lt;&gt;"Complétée",J145&lt;&gt;"Abandonnée",Q145&lt;&gt;"",TODAY()&gt;Q145),"En retard",""))</f>
        <v/>
      </c>
      <c r="V145" s="37" t="n"/>
    </row>
    <row r="146">
      <c r="B146" s="36" t="inlineStr">
        <is>
          <t>V3-020</t>
        </is>
      </c>
      <c r="C146" s="36" t="inlineStr">
        <is>
          <t>V3</t>
        </is>
      </c>
      <c r="D146" s="36" t="inlineStr">
        <is>
          <t>REA</t>
        </is>
      </c>
      <c r="E146" s="37" t="inlineStr">
        <is>
          <t>Réalisation</t>
        </is>
      </c>
      <c r="F146" s="37" t="inlineStr">
        <is>
          <t>Création automatique du FeeEvent (PENDING ou SUSPENDED) à l'entrée en CLOSED_REPORTED</t>
        </is>
      </c>
      <c r="G146" s="37" t="inlineStr">
        <is>
          <t>Aucune réalisation sans FeeEvent (test)</t>
        </is>
      </c>
      <c r="H146" s="38" t="n">
        <v>4</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46365</v>
      </c>
      <c r="Q146" s="40" t="n">
        <v>46371</v>
      </c>
      <c r="R146" s="40" t="n"/>
      <c r="S146" s="37" t="inlineStr"/>
      <c r="T146" s="36" t="inlineStr">
        <is>
          <t>Non</t>
        </is>
      </c>
      <c r="U146" s="13">
        <f>IF($B146="","",IF(AND(J146&lt;&gt;"Complétée",J146&lt;&gt;"Abandonnée",Q146&lt;&gt;"",TODAY()&gt;Q146),"En retard",""))</f>
        <v/>
      </c>
      <c r="V146" s="37" t="n"/>
    </row>
    <row r="147">
      <c r="B147" s="36" t="inlineStr">
        <is>
          <t>V3-021</t>
        </is>
      </c>
      <c r="C147" s="36" t="inlineStr">
        <is>
          <t>V3</t>
        </is>
      </c>
      <c r="D147" s="36" t="inlineStr">
        <is>
          <t>REA</t>
        </is>
      </c>
      <c r="E147" s="37" t="inlineStr">
        <is>
          <t>Réalisation</t>
        </is>
      </c>
      <c r="F147" s="37" t="inlineStr">
        <is>
          <t>Écrans réalisation</t>
        </is>
      </c>
      <c r="G147" s="37" t="inlineStr">
        <is>
          <t>Statut lisible par les deux parties</t>
        </is>
      </c>
      <c r="H147" s="38" t="n">
        <v>3</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46366</v>
      </c>
      <c r="Q147" s="40" t="n">
        <v>46371</v>
      </c>
      <c r="R147" s="40" t="n"/>
      <c r="S147" s="37" t="inlineStr"/>
      <c r="T147" s="36" t="inlineStr">
        <is>
          <t>Non</t>
        </is>
      </c>
      <c r="U147" s="13">
        <f>IF($B147="","",IF(AND(J147&lt;&gt;"Complétée",J147&lt;&gt;"Abandonnée",Q147&lt;&gt;"",TODAY()&gt;Q147),"En retard",""))</f>
        <v/>
      </c>
      <c r="V147" s="37" t="n"/>
    </row>
    <row r="148">
      <c r="B148" s="36" t="inlineStr">
        <is>
          <t>V3-022</t>
        </is>
      </c>
      <c r="C148" s="36" t="inlineStr">
        <is>
          <t>V3</t>
        </is>
      </c>
      <c r="D148" s="36" t="inlineStr">
        <is>
          <t>FIN</t>
        </is>
      </c>
      <c r="E148" s="37" t="inlineStr">
        <is>
          <t>Finance</t>
        </is>
      </c>
      <c r="F148" s="37" t="inlineStr">
        <is>
          <t>Enregistrement des revenus, catégories contractuelles et attribution</t>
        </is>
      </c>
      <c r="G148" s="37" t="inlineStr">
        <is>
          <t>Chaque revenu rattaché à une catégorie et un canal</t>
        </is>
      </c>
      <c r="H148" s="38" t="n">
        <v>5</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46366</v>
      </c>
      <c r="Q148" s="40" t="n">
        <v>46373</v>
      </c>
      <c r="R148" s="40" t="n"/>
      <c r="S148" s="37" t="inlineStr"/>
      <c r="T148" s="36" t="inlineStr">
        <is>
          <t>Non</t>
        </is>
      </c>
      <c r="U148" s="13">
        <f>IF($B148="","",IF(AND(J148&lt;&gt;"Complétée",J148&lt;&gt;"Abandonnée",Q148&lt;&gt;"",TODAY()&gt;Q148),"En retard",""))</f>
        <v/>
      </c>
      <c r="V148" s="37" t="n"/>
    </row>
    <row r="149">
      <c r="B149" s="36" t="inlineStr">
        <is>
          <t>V3-023</t>
        </is>
      </c>
      <c r="C149" s="36" t="inlineStr">
        <is>
          <t>V3</t>
        </is>
      </c>
      <c r="D149" s="36" t="inlineStr">
        <is>
          <t>FIN</t>
        </is>
      </c>
      <c r="E149" s="37" t="inlineStr">
        <is>
          <t>Finance</t>
        </is>
      </c>
      <c r="F149" s="37" t="inlineStr">
        <is>
          <t>Calcul du revenu net (déductions contractuelles) avec décomposition stockée</t>
        </is>
      </c>
      <c r="G149" s="37" t="inlineStr">
        <is>
          <t>Décomposition auditable ligne par ligne</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46367</v>
      </c>
      <c r="Q149" s="40" t="n">
        <v>46374</v>
      </c>
      <c r="R149" s="40" t="n"/>
      <c r="S149" s="37" t="inlineStr"/>
      <c r="T149" s="36" t="inlineStr">
        <is>
          <t>Non</t>
        </is>
      </c>
      <c r="U149" s="13">
        <f>IF($B149="","",IF(AND(J149&lt;&gt;"Complétée",J149&lt;&gt;"Abandonnée",Q149&lt;&gt;"",TODAY()&gt;Q149),"En retard",""))</f>
        <v/>
      </c>
      <c r="V149" s="37" t="n"/>
    </row>
    <row r="150">
      <c r="B150" s="36" t="inlineStr">
        <is>
          <t>V3-024</t>
        </is>
      </c>
      <c r="C150" s="36" t="inlineStr">
        <is>
          <t>V3</t>
        </is>
      </c>
      <c r="D150" s="36" t="inlineStr">
        <is>
          <t>FIN</t>
        </is>
      </c>
      <c r="E150" s="37" t="inlineStr">
        <is>
          <t>Finance</t>
        </is>
      </c>
      <c r="F150" s="37" t="inlineStr">
        <is>
          <t>Barème de frais par tranche et minimum garanti, sous drapeau juridique DP-RPS-021</t>
        </is>
      </c>
      <c r="G150" s="37" t="inlineStr">
        <is>
          <t>Barème inactif tant que le drapeau est fermé</t>
        </is>
      </c>
      <c r="H150" s="38" t="n">
        <v>5</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46368</v>
      </c>
      <c r="Q150" s="40" t="n">
        <v>46375</v>
      </c>
      <c r="R150" s="40" t="n"/>
      <c r="S150" s="37" t="inlineStr">
        <is>
          <t>Avis juridique écrit</t>
        </is>
      </c>
      <c r="T150" s="36" t="inlineStr">
        <is>
          <t>Non</t>
        </is>
      </c>
      <c r="U150" s="13">
        <f>IF($B150="","",IF(AND(J150&lt;&gt;"Complétée",J150&lt;&gt;"Abandonnée",Q150&lt;&gt;"",TODAY()&gt;Q150),"En retard",""))</f>
        <v/>
      </c>
      <c r="V150" s="37" t="n"/>
    </row>
    <row r="151">
      <c r="B151" s="36" t="inlineStr">
        <is>
          <t>V3-025</t>
        </is>
      </c>
      <c r="C151" s="36" t="inlineStr">
        <is>
          <t>V3</t>
        </is>
      </c>
      <c r="D151" s="36" t="inlineStr">
        <is>
          <t>FIN</t>
        </is>
      </c>
      <c r="E151" s="37" t="inlineStr">
        <is>
          <t>Finance</t>
        </is>
      </c>
      <c r="F151" s="37" t="inlineStr">
        <is>
          <t>Rétrocession par catégorie (90/10, 50/50, 70/30) et test d'éligibilité</t>
        </is>
      </c>
      <c r="G151" s="37" t="inlineStr">
        <is>
          <t>Transaction non attribuée exclue automatiquement</t>
        </is>
      </c>
      <c r="H151" s="38" t="n">
        <v>6</v>
      </c>
      <c r="I151" s="36" t="inlineStr">
        <is>
          <t>Haute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46369</v>
      </c>
      <c r="Q151" s="40" t="n">
        <v>46378</v>
      </c>
      <c r="R151" s="40" t="n"/>
      <c r="S151" s="37" t="inlineStr"/>
      <c r="T151" s="36" t="inlineStr">
        <is>
          <t>Non</t>
        </is>
      </c>
      <c r="U151" s="13">
        <f>IF($B151="","",IF(AND(J151&lt;&gt;"Complétée",J151&lt;&gt;"Abandonnée",Q151&lt;&gt;"",TODAY()&gt;Q151),"En retard",""))</f>
        <v/>
      </c>
      <c r="V151" s="37" t="n"/>
    </row>
    <row r="152">
      <c r="B152" s="36" t="inlineStr">
        <is>
          <t>V3-026</t>
        </is>
      </c>
      <c r="C152" s="36" t="inlineStr">
        <is>
          <t>V3</t>
        </is>
      </c>
      <c r="D152" s="36" t="inlineStr">
        <is>
          <t>FIN</t>
        </is>
      </c>
      <c r="E152" s="37" t="inlineStr">
        <is>
          <t>Finance</t>
        </is>
      </c>
      <c r="F152" s="37" t="inlineStr">
        <is>
          <t>Journal de calcul recalculable sans accès au code source</t>
        </is>
      </c>
      <c r="G152" s="37" t="inlineStr">
        <is>
          <t>Recalcul indépendant identique au centime</t>
        </is>
      </c>
      <c r="H152" s="38" t="n">
        <v>5</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46370</v>
      </c>
      <c r="Q152" s="40" t="n">
        <v>46377</v>
      </c>
      <c r="R152" s="40" t="n"/>
      <c r="S152" s="37" t="inlineStr"/>
      <c r="T152" s="36" t="inlineStr">
        <is>
          <t>Non</t>
        </is>
      </c>
      <c r="U152" s="13">
        <f>IF($B152="","",IF(AND(J152&lt;&gt;"Complétée",J152&lt;&gt;"Abandonnée",Q152&lt;&gt;"",TODAY()&gt;Q152),"En retard",""))</f>
        <v/>
      </c>
      <c r="V152" s="37" t="n"/>
    </row>
    <row r="153">
      <c r="B153" s="36" t="inlineStr">
        <is>
          <t>V3-027</t>
        </is>
      </c>
      <c r="C153" s="36" t="inlineStr">
        <is>
          <t>V3</t>
        </is>
      </c>
      <c r="D153" s="36" t="inlineStr">
        <is>
          <t>FIN</t>
        </is>
      </c>
      <c r="E153" s="37" t="inlineStr">
        <is>
          <t>Finance</t>
        </is>
      </c>
      <c r="F153" s="37" t="inlineStr">
        <is>
          <t>Reporting continu, rapport trimestriel archivé, fenêtre de contestation 30 jours</t>
        </is>
      </c>
      <c r="G153" s="37" t="inlineStr">
        <is>
          <t>Rapport immuable après archivage</t>
        </is>
      </c>
      <c r="H153" s="38" t="n">
        <v>6</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46370</v>
      </c>
      <c r="Q153" s="40" t="n">
        <v>46379</v>
      </c>
      <c r="R153" s="40" t="n"/>
      <c r="S153" s="37" t="inlineStr"/>
      <c r="T153" s="36" t="inlineStr">
        <is>
          <t>Non</t>
        </is>
      </c>
      <c r="U153" s="13">
        <f>IF($B153="","",IF(AND(J153&lt;&gt;"Complétée",J153&lt;&gt;"Abandonnée",Q153&lt;&gt;"",TODAY()&gt;Q153),"En retard",""))</f>
        <v/>
      </c>
      <c r="V153" s="37" t="n"/>
    </row>
    <row r="154">
      <c r="B154" s="36" t="inlineStr">
        <is>
          <t>V3-028</t>
        </is>
      </c>
      <c r="C154" s="36" t="inlineStr">
        <is>
          <t>V3</t>
        </is>
      </c>
      <c r="D154" s="36" t="inlineStr">
        <is>
          <t>FIN</t>
        </is>
      </c>
      <c r="E154" s="37" t="inlineStr">
        <is>
          <t>Finance</t>
        </is>
      </c>
      <c r="F154" s="37" t="inlineStr">
        <is>
          <t>Export d'audit scopé (jamais le code ni les données d'autres clients)</t>
        </is>
      </c>
      <c r="G154" s="37" t="inlineStr">
        <is>
          <t>Export vérifié par le contrôle CCI-Togo</t>
        </is>
      </c>
      <c r="H154" s="38" t="n">
        <v>3</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46371</v>
      </c>
      <c r="Q154" s="40" t="n">
        <v>46376</v>
      </c>
      <c r="R154" s="40" t="n"/>
      <c r="S154" s="37" t="inlineStr"/>
      <c r="T154" s="36" t="inlineStr">
        <is>
          <t>Non</t>
        </is>
      </c>
      <c r="U154" s="13">
        <f>IF($B154="","",IF(AND(J154&lt;&gt;"Complétée",J154&lt;&gt;"Abandonnée",Q154&lt;&gt;"",TODAY()&gt;Q154),"En retard",""))</f>
        <v/>
      </c>
      <c r="V154" s="37" t="n"/>
    </row>
    <row r="155">
      <c r="B155" s="36" t="inlineStr">
        <is>
          <t>V3-029</t>
        </is>
      </c>
      <c r="C155" s="36" t="inlineStr">
        <is>
          <t>V3</t>
        </is>
      </c>
      <c r="D155" s="36" t="inlineStr">
        <is>
          <t>SUP</t>
        </is>
      </c>
      <c r="E155" s="37" t="inlineStr">
        <is>
          <t>Support</t>
        </is>
      </c>
      <c r="F155" s="37" t="inlineStr">
        <is>
          <t>Système de tickets et sévérités P1 à P4 avec délais contractuels</t>
        </is>
      </c>
      <c r="G155" s="37" t="inlineStr">
        <is>
          <t>Délai d'accusé mesuré par sévérité</t>
        </is>
      </c>
      <c r="H155" s="38" t="n">
        <v>4</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46372</v>
      </c>
      <c r="Q155" s="40" t="n">
        <v>46378</v>
      </c>
      <c r="R155" s="40" t="n"/>
      <c r="S155" s="37" t="inlineStr"/>
      <c r="T155" s="36" t="inlineStr">
        <is>
          <t>Non</t>
        </is>
      </c>
      <c r="U155" s="13">
        <f>IF($B155="","",IF(AND(J155&lt;&gt;"Complétée",J155&lt;&gt;"Abandonnée",Q155&lt;&gt;"",TODAY()&gt;Q155),"En retard",""))</f>
        <v/>
      </c>
      <c r="V155" s="37" t="n"/>
    </row>
    <row r="156">
      <c r="B156" s="36" t="inlineStr">
        <is>
          <t>V3-030</t>
        </is>
      </c>
      <c r="C156" s="36" t="inlineStr">
        <is>
          <t>V3</t>
        </is>
      </c>
      <c r="D156" s="36" t="inlineStr">
        <is>
          <t>SUP</t>
        </is>
      </c>
      <c r="E156" s="37" t="inlineStr">
        <is>
          <t>Support</t>
        </is>
      </c>
      <c r="F156" s="37" t="inlineStr">
        <is>
          <t>Accès privilégié motivé, scopé, expirant, avec notification du propriétaire du dossier</t>
        </is>
      </c>
      <c r="G156" s="37" t="inlineStr">
        <is>
          <t>Propriétaire notifié à chaque accès</t>
        </is>
      </c>
      <c r="H156" s="38" t="n">
        <v>4</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46373</v>
      </c>
      <c r="Q156" s="40" t="n">
        <v>46379</v>
      </c>
      <c r="R156" s="40" t="n"/>
      <c r="S156" s="37" t="inlineStr"/>
      <c r="T156" s="36" t="inlineStr">
        <is>
          <t>Non</t>
        </is>
      </c>
      <c r="U156" s="13">
        <f>IF($B156="","",IF(AND(J156&lt;&gt;"Complétée",J156&lt;&gt;"Abandonnée",Q156&lt;&gt;"",TODAY()&gt;Q156),"En retard",""))</f>
        <v/>
      </c>
      <c r="V156" s="37" t="n"/>
    </row>
    <row r="157">
      <c r="B157" s="36" t="inlineStr">
        <is>
          <t>V3-031</t>
        </is>
      </c>
      <c r="C157" s="36" t="inlineStr">
        <is>
          <t>V3</t>
        </is>
      </c>
      <c r="D157" s="36" t="inlineStr">
        <is>
          <t>SUP</t>
        </is>
      </c>
      <c r="E157" s="37" t="inlineStr">
        <is>
          <t>Support</t>
        </is>
      </c>
      <c r="F157" s="37" t="inlineStr">
        <is>
          <t>Mode 'break-glass' journalisé pour l'administration</t>
        </is>
      </c>
      <c r="G157" s="37" t="inlineStr">
        <is>
          <t>Chaque usage journalisé avec motif et approbateur</t>
        </is>
      </c>
      <c r="H157" s="38" t="n">
        <v>2</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46373</v>
      </c>
      <c r="Q157" s="40" t="n">
        <v>46376</v>
      </c>
      <c r="R157" s="40" t="n"/>
      <c r="S157" s="37" t="inlineStr"/>
      <c r="T157" s="36" t="inlineStr">
        <is>
          <t>Non</t>
        </is>
      </c>
      <c r="U157" s="13">
        <f>IF($B157="","",IF(AND(J157&lt;&gt;"Complétée",J157&lt;&gt;"Abandonnée",Q157&lt;&gt;"",TODAY()&gt;Q157),"En retard",""))</f>
        <v/>
      </c>
      <c r="V157" s="37" t="n"/>
    </row>
    <row r="158">
      <c r="B158" s="36" t="inlineStr">
        <is>
          <t>V3-032</t>
        </is>
      </c>
      <c r="C158" s="36" t="inlineStr">
        <is>
          <t>V3</t>
        </is>
      </c>
      <c r="D158" s="36" t="inlineStr">
        <is>
          <t>OPS</t>
        </is>
      </c>
      <c r="E158" s="37" t="inlineStr">
        <is>
          <t>Portes de conformité</t>
        </is>
      </c>
      <c r="F158" s="37" t="inlineStr">
        <is>
          <t>Déclaration IPDCP et autorisation de transfert transfrontalier (G1, G2)</t>
        </is>
      </c>
      <c r="G158" s="37" t="inlineStr">
        <is>
          <t>Récépissés archivés</t>
        </is>
      </c>
      <c r="H158" s="38" t="n">
        <v>5</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46374</v>
      </c>
      <c r="Q158" s="40" t="n">
        <v>46381</v>
      </c>
      <c r="R158" s="40" t="n"/>
      <c r="S158" s="37" t="inlineStr"/>
      <c r="T158" s="36" t="inlineStr">
        <is>
          <t>Oui</t>
        </is>
      </c>
      <c r="U158" s="13">
        <f>IF($B158="","",IF(AND(J158&lt;&gt;"Complétée",J158&lt;&gt;"Abandonnée",Q158&lt;&gt;"",TODAY()&gt;Q158),"En retard",""))</f>
        <v/>
      </c>
      <c r="V158" s="37" t="n"/>
    </row>
    <row r="159">
      <c r="B159" s="36" t="inlineStr">
        <is>
          <t>V3-033</t>
        </is>
      </c>
      <c r="C159" s="36" t="inlineStr">
        <is>
          <t>V3</t>
        </is>
      </c>
      <c r="D159" s="36" t="inlineStr">
        <is>
          <t>OPS</t>
        </is>
      </c>
      <c r="E159" s="37" t="inlineStr">
        <is>
          <t>Portes de conformité</t>
        </is>
      </c>
      <c r="F159" s="37" t="inlineStr">
        <is>
          <t>Revue juridique NDA, CGU, politique de confidentialité (G4)</t>
        </is>
      </c>
      <c r="G159" s="37" t="inlineStr">
        <is>
          <t>Avis écrit archivé</t>
        </is>
      </c>
      <c r="H159" s="38" t="n">
        <v>3</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46374</v>
      </c>
      <c r="Q159" s="40" t="n">
        <v>46379</v>
      </c>
      <c r="R159" s="40" t="n"/>
      <c r="S159" s="37" t="inlineStr"/>
      <c r="T159" s="36" t="inlineStr">
        <is>
          <t>Non</t>
        </is>
      </c>
      <c r="U159" s="13">
        <f>IF($B159="","",IF(AND(J159&lt;&gt;"Complétée",J159&lt;&gt;"Abandonnée",Q159&lt;&gt;"",TODAY()&gt;Q159),"En retard",""))</f>
        <v/>
      </c>
      <c r="V159" s="37" t="n"/>
    </row>
    <row r="160">
      <c r="B160" s="36" t="inlineStr">
        <is>
          <t>V3-034</t>
        </is>
      </c>
      <c r="C160" s="36" t="inlineStr">
        <is>
          <t>V3</t>
        </is>
      </c>
      <c r="D160" s="36" t="inlineStr">
        <is>
          <t>OPS</t>
        </is>
      </c>
      <c r="E160" s="37" t="inlineStr">
        <is>
          <t>Portes de conformité</t>
        </is>
      </c>
      <c r="F160" s="37" t="inlineStr">
        <is>
          <t>Avis juridique écrit sur le RPS (G5) et vérification des tests de plafond (G6)</t>
        </is>
      </c>
      <c r="G160" s="37" t="inlineStr">
        <is>
          <t>Avis et rapport de tests archivés</t>
        </is>
      </c>
      <c r="H160" s="38" t="n">
        <v>4</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46375</v>
      </c>
      <c r="Q160" s="40" t="n">
        <v>46381</v>
      </c>
      <c r="R160" s="40" t="n"/>
      <c r="S160" s="37" t="inlineStr"/>
      <c r="T160" s="36" t="inlineStr">
        <is>
          <t>Non</t>
        </is>
      </c>
      <c r="U160" s="13">
        <f>IF($B160="","",IF(AND(J160&lt;&gt;"Complétée",J160&lt;&gt;"Abandonnée",Q160&lt;&gt;"",TODAY()&gt;Q160),"En retard",""))</f>
        <v/>
      </c>
      <c r="V160" s="37" t="n"/>
    </row>
    <row r="161">
      <c r="B161" s="36" t="inlineStr">
        <is>
          <t>V3-035</t>
        </is>
      </c>
      <c r="C161" s="36" t="inlineStr">
        <is>
          <t>V3</t>
        </is>
      </c>
      <c r="D161" s="36" t="inlineStr">
        <is>
          <t>OPS</t>
        </is>
      </c>
      <c r="E161" s="37" t="inlineStr">
        <is>
          <t>Portes de conformité</t>
        </is>
      </c>
      <c r="F161" s="37" t="inlineStr">
        <is>
          <t>Audit du texte d'interface : aucune allégation non prouvée (G7)</t>
        </is>
      </c>
      <c r="G161" s="37" t="inlineStr">
        <is>
          <t>Zéro occurrence de 'sécurisé', 'certifié' non justifiée</t>
        </is>
      </c>
      <c r="H161" s="38" t="n">
        <v>3</v>
      </c>
      <c r="I161" s="36" t="inlineStr">
        <is>
          <t>Moyenne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46375</v>
      </c>
      <c r="Q161" s="40" t="n">
        <v>46380</v>
      </c>
      <c r="R161" s="40" t="n"/>
      <c r="S161" s="37" t="inlineStr"/>
      <c r="T161" s="36" t="inlineStr">
        <is>
          <t>Non</t>
        </is>
      </c>
      <c r="U161" s="13">
        <f>IF($B161="","",IF(AND(J161&lt;&gt;"Complétée",J161&lt;&gt;"Abandonnée",Q161&lt;&gt;"",TODAY()&gt;Q161),"En retard",""))</f>
        <v/>
      </c>
      <c r="V161" s="37" t="n"/>
    </row>
    <row r="162">
      <c r="B162" s="36" t="inlineStr">
        <is>
          <t>V3-036</t>
        </is>
      </c>
      <c r="C162" s="36" t="inlineStr">
        <is>
          <t>V3</t>
        </is>
      </c>
      <c r="D162" s="36" t="inlineStr">
        <is>
          <t>OPS</t>
        </is>
      </c>
      <c r="E162" s="37" t="inlineStr">
        <is>
          <t>Portes de conformité</t>
        </is>
      </c>
      <c r="F162" s="37" t="inlineStr">
        <is>
          <t>Recalcul indépendant de la rétrocession (G8)</t>
        </is>
      </c>
      <c r="G162" s="37" t="inlineStr">
        <is>
          <t>Rapprochement signé par la Finance</t>
        </is>
      </c>
      <c r="H162" s="38" t="n">
        <v>3</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46376</v>
      </c>
      <c r="Q162" s="40" t="n">
        <v>46381</v>
      </c>
      <c r="R162" s="40" t="n"/>
      <c r="S162" s="37" t="inlineStr"/>
      <c r="T162" s="36" t="inlineStr">
        <is>
          <t>Non</t>
        </is>
      </c>
      <c r="U162" s="13">
        <f>IF($B162="","",IF(AND(J162&lt;&gt;"Complétée",J162&lt;&gt;"Abandonnée",Q162&lt;&gt;"",TODAY()&gt;Q162),"En retard",""))</f>
        <v/>
      </c>
      <c r="V162" s="37" t="n"/>
    </row>
    <row r="163">
      <c r="B163" s="36" t="inlineStr">
        <is>
          <t>V3-037</t>
        </is>
      </c>
      <c r="C163" s="36" t="inlineStr">
        <is>
          <t>V3</t>
        </is>
      </c>
      <c r="D163" s="36" t="inlineStr">
        <is>
          <t>OPS</t>
        </is>
      </c>
      <c r="E163" s="37" t="inlineStr">
        <is>
          <t>Portes de conformité</t>
        </is>
      </c>
      <c r="F163" s="37" t="inlineStr">
        <is>
          <t>Nomination du DPO et processus d'effacement (G9)</t>
        </is>
      </c>
      <c r="G163" s="37" t="inlineStr">
        <is>
          <t>DPO nommé, procédure publiée</t>
        </is>
      </c>
      <c r="H163" s="38" t="n">
        <v>2</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46376</v>
      </c>
      <c r="Q163" s="40" t="n">
        <v>46379</v>
      </c>
      <c r="R163" s="40" t="n"/>
      <c r="S163" s="37" t="inlineStr"/>
      <c r="T163" s="36" t="inlineStr">
        <is>
          <t>Non</t>
        </is>
      </c>
      <c r="U163" s="13">
        <f>IF($B163="","",IF(AND(J163&lt;&gt;"Complétée",J163&lt;&gt;"Abandonnée",Q163&lt;&gt;"",TODAY()&gt;Q163),"En retard",""))</f>
        <v/>
      </c>
      <c r="V163" s="37" t="n"/>
    </row>
    <row r="164">
      <c r="B164" s="36" t="inlineStr">
        <is>
          <t>V3-038</t>
        </is>
      </c>
      <c r="C164" s="36" t="inlineStr">
        <is>
          <t>V3</t>
        </is>
      </c>
      <c r="D164" s="36" t="inlineStr">
        <is>
          <t>OPS</t>
        </is>
      </c>
      <c r="E164" s="37" t="inlineStr">
        <is>
          <t>Portes de conformité</t>
        </is>
      </c>
      <c r="F164" s="37" t="inlineStr">
        <is>
          <t>Pentest indépendant et remédiation des constats critiques et élevés (G10)</t>
        </is>
      </c>
      <c r="G164" s="37" t="inlineStr">
        <is>
          <t>Rapport de pentest sans constat critique ouvert</t>
        </is>
      </c>
      <c r="H164" s="38" t="n">
        <v>5</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46377</v>
      </c>
      <c r="Q164" s="40" t="n">
        <v>46384</v>
      </c>
      <c r="R164" s="40" t="n"/>
      <c r="S164" s="37" t="inlineStr"/>
      <c r="T164" s="36" t="inlineStr">
        <is>
          <t>Oui</t>
        </is>
      </c>
      <c r="U164" s="13">
        <f>IF($B164="","",IF(AND(J164&lt;&gt;"Complétée",J164&lt;&gt;"Abandonnée",Q164&lt;&gt;"",TODAY()&gt;Q164),"En retard",""))</f>
        <v/>
      </c>
      <c r="V164" s="37" t="n"/>
    </row>
    <row r="165">
      <c r="B165" s="36" t="inlineStr">
        <is>
          <t>V3-039</t>
        </is>
      </c>
      <c r="C165" s="36" t="inlineStr">
        <is>
          <t>V3</t>
        </is>
      </c>
      <c r="D165" s="36" t="inlineStr">
        <is>
          <t>OPS</t>
        </is>
      </c>
      <c r="E165" s="37" t="inlineStr">
        <is>
          <t>Exploitation</t>
        </is>
      </c>
      <c r="F165" s="37" t="inlineStr">
        <is>
          <t>Supervision, alertes, mesure de disponibilité mensuelle (SLA 99,5 %)</t>
        </is>
      </c>
      <c r="G165" s="37" t="inlineStr">
        <is>
          <t>Tableau de disponibilité mensuel généré</t>
        </is>
      </c>
      <c r="H165" s="38" t="n">
        <v>6</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46378</v>
      </c>
      <c r="Q165" s="40" t="n">
        <v>46386</v>
      </c>
      <c r="R165" s="40" t="n"/>
      <c r="S165" s="37" t="inlineStr"/>
      <c r="T165" s="36" t="inlineStr">
        <is>
          <t>Non</t>
        </is>
      </c>
      <c r="U165" s="13">
        <f>IF($B165="","",IF(AND(J165&lt;&gt;"Complétée",J165&lt;&gt;"Abandonnée",Q165&lt;&gt;"",TODAY()&gt;Q165),"En retard",""))</f>
        <v/>
      </c>
      <c r="V165" s="37" t="n"/>
    </row>
    <row r="166">
      <c r="B166" s="36" t="inlineStr">
        <is>
          <t>V3-040</t>
        </is>
      </c>
      <c r="C166" s="36" t="inlineStr">
        <is>
          <t>V3</t>
        </is>
      </c>
      <c r="D166" s="36" t="inlineStr">
        <is>
          <t>OPS</t>
        </is>
      </c>
      <c r="E166" s="37" t="inlineStr">
        <is>
          <t>Exploitation</t>
        </is>
      </c>
      <c r="F166" s="37" t="inlineStr">
        <is>
          <t>Sauvegardes chiffrées et test de restauration (RPO 1 h, RTO 4 h)</t>
        </is>
      </c>
      <c r="G166" s="37" t="inlineStr">
        <is>
          <t>Restauration complète en moins de 4 h documentée</t>
        </is>
      </c>
      <c r="H166" s="38" t="n">
        <v>5</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46379</v>
      </c>
      <c r="Q166" s="40" t="n">
        <v>46386</v>
      </c>
      <c r="R166" s="40" t="n"/>
      <c r="S166" s="37" t="inlineStr"/>
      <c r="T166" s="36" t="inlineStr">
        <is>
          <t>Non</t>
        </is>
      </c>
      <c r="U166" s="13">
        <f>IF($B166="","",IF(AND(J166&lt;&gt;"Complétée",J166&lt;&gt;"Abandonnée",Q166&lt;&gt;"",TODAY()&gt;Q166),"En retard",""))</f>
        <v/>
      </c>
      <c r="V166" s="37" t="n"/>
    </row>
    <row r="167">
      <c r="B167" s="36" t="inlineStr">
        <is>
          <t>V3-041</t>
        </is>
      </c>
      <c r="C167" s="36" t="inlineStr">
        <is>
          <t>V3</t>
        </is>
      </c>
      <c r="D167" s="36" t="inlineStr">
        <is>
          <t>OPS</t>
        </is>
      </c>
      <c r="E167" s="37" t="inlineStr">
        <is>
          <t>Exploitation</t>
        </is>
      </c>
      <c r="F167" s="37" t="inlineStr">
        <is>
          <t>Procédure d'incident, analyse de cause racine, rollback</t>
        </is>
      </c>
      <c r="G167" s="37" t="inlineStr">
        <is>
          <t>Procédure testée sur un incident simulé</t>
        </is>
      </c>
      <c r="H167" s="38" t="n">
        <v>4</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46379</v>
      </c>
      <c r="Q167" s="40" t="n">
        <v>46385</v>
      </c>
      <c r="R167" s="40" t="n"/>
      <c r="S167" s="37" t="inlineStr"/>
      <c r="T167" s="36" t="inlineStr">
        <is>
          <t>Non</t>
        </is>
      </c>
      <c r="U167" s="13">
        <f>IF($B167="","",IF(AND(J167&lt;&gt;"Complétée",J167&lt;&gt;"Abandonnée",Q167&lt;&gt;"",TODAY()&gt;Q167),"En retard",""))</f>
        <v/>
      </c>
      <c r="V167" s="37" t="n"/>
    </row>
    <row r="168">
      <c r="B168" s="36" t="inlineStr">
        <is>
          <t>V3-042</t>
        </is>
      </c>
      <c r="C168" s="36" t="inlineStr">
        <is>
          <t>V3</t>
        </is>
      </c>
      <c r="D168" s="36" t="inlineStr">
        <is>
          <t>OPS</t>
        </is>
      </c>
      <c r="E168" s="37" t="inlineStr">
        <is>
          <t>Exploitation</t>
        </is>
      </c>
      <c r="F168" s="37" t="inlineStr">
        <is>
          <t>Rotation des clés, gestion des secrets, scan de dépendances en CI</t>
        </is>
      </c>
      <c r="G168" s="37" t="inlineStr">
        <is>
          <t>Build échoue sur vulnérabilité critique</t>
        </is>
      </c>
      <c r="H168" s="38" t="n">
        <v>5</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46380</v>
      </c>
      <c r="Q168" s="40" t="n">
        <v>46386</v>
      </c>
      <c r="R168" s="40" t="n"/>
      <c r="S168" s="37" t="inlineStr"/>
      <c r="T168" s="36" t="inlineStr">
        <is>
          <t>Non</t>
        </is>
      </c>
      <c r="U168" s="13">
        <f>IF($B168="","",IF(AND(J168&lt;&gt;"Complétée",J168&lt;&gt;"Abandonnée",Q168&lt;&gt;"",TODAY()&gt;Q168),"En retard",""))</f>
        <v/>
      </c>
      <c r="V168" s="37" t="n"/>
    </row>
    <row r="169">
      <c r="B169" s="36" t="inlineStr">
        <is>
          <t>V4-001</t>
        </is>
      </c>
      <c r="C169" s="36" t="inlineStr">
        <is>
          <t>V4</t>
        </is>
      </c>
      <c r="D169" s="36" t="inlineStr">
        <is>
          <t>REB</t>
        </is>
      </c>
      <c r="E169" s="37" t="inlineStr">
        <is>
          <t>Conception</t>
        </is>
      </c>
      <c r="F169" s="37" t="inlineStr">
        <is>
          <t>Conception Alerte &amp; Rebond : confidentialité renforcée, signalement, actifs en difficulté et lien avec le périmètre RPS</t>
        </is>
      </c>
      <c r="G169" s="37" t="inlineStr">
        <is>
          <t>Modèle de données et parcours validés ; aucune fuite d'identité d'une entreprise en difficulté</t>
        </is>
      </c>
      <c r="H169" s="38" t="n">
        <v>3</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46387</v>
      </c>
      <c r="Q169" s="40" t="n">
        <v>46392</v>
      </c>
      <c r="R169" s="40" t="n"/>
      <c r="S169" s="37" t="inlineStr"/>
      <c r="T169" s="36" t="inlineStr">
        <is>
          <t>Oui</t>
        </is>
      </c>
      <c r="U169" s="13">
        <f>IF($B169="","",IF(AND(J169&lt;&gt;"Complétée",J169&lt;&gt;"Abandonnée",Q169&lt;&gt;"",TODAY()&gt;Q169),"En retard",""))</f>
        <v/>
      </c>
      <c r="V169" s="37" t="n"/>
    </row>
    <row r="170">
      <c r="B170" s="36" t="inlineStr">
        <is>
          <t>V4-002</t>
        </is>
      </c>
      <c r="C170" s="36" t="inlineStr">
        <is>
          <t>V4</t>
        </is>
      </c>
      <c r="D170" s="36" t="inlineStr">
        <is>
          <t>CNX</t>
        </is>
      </c>
      <c r="E170" s="37" t="inlineStr">
        <is>
          <t>Conception</t>
        </is>
      </c>
      <c r="F170" s="37" t="inlineStr">
        <is>
          <t>Conception Deal-Connect et Guichet Diaspora complets : billetterie et sponsoring via Remo.co, rendez-vous mutuels, profil diaspora, rapport post-événement</t>
        </is>
      </c>
      <c r="G170" s="37" t="inlineStr">
        <is>
          <t>Séquences et contrats d'échange avec Remo.co validés sur la documentation à jour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46388</v>
      </c>
      <c r="Q170" s="40" t="n">
        <v>46391</v>
      </c>
      <c r="R170" s="40" t="n"/>
      <c r="S170" s="37" t="inlineStr"/>
      <c r="T170" s="36" t="inlineStr">
        <is>
          <t>Non</t>
        </is>
      </c>
      <c r="U170" s="13">
        <f>IF($B170="","",IF(AND(J170&lt;&gt;"Complétée",J170&lt;&gt;"Abandonnée",Q170&lt;&gt;"",TODAY()&gt;Q170),"En retard",""))</f>
        <v/>
      </c>
      <c r="V170" s="37" t="n"/>
    </row>
    <row r="171">
      <c r="B171" s="36" t="inlineStr">
        <is>
          <t>V4-003</t>
        </is>
      </c>
      <c r="C171" s="36" t="inlineStr">
        <is>
          <t>V4</t>
        </is>
      </c>
      <c r="D171" s="36" t="inlineStr">
        <is>
          <t>EXP</t>
        </is>
      </c>
      <c r="E171" s="37" t="inlineStr">
        <is>
          <t>Conception</t>
        </is>
      </c>
      <c r="F171" s="37" t="inlineStr">
        <is>
          <t>Conception Deal-Experts : mobilisation d'expert indépendant, conflit d'intérêts, périmètre de mission, traçabilité</t>
        </is>
      </c>
      <c r="G171" s="37" t="inlineStr">
        <is>
          <t>Décision d'arbitrage (P13) prise et modèle de mission spécifié</t>
        </is>
      </c>
      <c r="H171" s="38" t="n">
        <v>2</v>
      </c>
      <c r="I171" s="36" t="inlineStr">
        <is>
          <t>Moyenne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46389</v>
      </c>
      <c r="Q171" s="40" t="n">
        <v>46392</v>
      </c>
      <c r="R171" s="40" t="n"/>
      <c r="S171" s="37" t="inlineStr">
        <is>
          <t>Arbitrage Deal-Experts</t>
        </is>
      </c>
      <c r="T171" s="36" t="inlineStr">
        <is>
          <t>Non</t>
        </is>
      </c>
      <c r="U171" s="13">
        <f>IF($B171="","",IF(AND(J171&lt;&gt;"Complétée",J171&lt;&gt;"Abandonnée",Q171&lt;&gt;"",TODAY()&gt;Q171),"En retard",""))</f>
        <v/>
      </c>
      <c r="V171" s="37" t="n"/>
    </row>
    <row r="172">
      <c r="B172" s="36" t="inlineStr">
        <is>
          <t>V4-004</t>
        </is>
      </c>
      <c r="C172" s="36" t="inlineStr">
        <is>
          <t>V4</t>
        </is>
      </c>
      <c r="D172" s="36" t="inlineStr">
        <is>
          <t>REB</t>
        </is>
      </c>
      <c r="E172" s="37" t="inlineStr">
        <is>
          <t>Alerte &amp; Rebond</t>
        </is>
      </c>
      <c r="F172" s="37" t="inlineStr">
        <is>
          <t>Auto-diagnostic : arbre logique et score de santé financière</t>
        </is>
      </c>
      <c r="G172" s="37" t="inlineStr">
        <is>
          <t>Score expliqué, jamais un conseil personnalisé</t>
        </is>
      </c>
      <c r="H172" s="38" t="n">
        <v>6</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46389</v>
      </c>
      <c r="Q172" s="40" t="n">
        <v>46398</v>
      </c>
      <c r="R172" s="40" t="n"/>
      <c r="S172" s="37" t="inlineStr"/>
      <c r="T172" s="36" t="inlineStr">
        <is>
          <t>Non</t>
        </is>
      </c>
      <c r="U172" s="13">
        <f>IF($B172="","",IF(AND(J172&lt;&gt;"Complétée",J172&lt;&gt;"Abandonnée",Q172&lt;&gt;"",TODAY()&gt;Q172),"En retard",""))</f>
        <v/>
      </c>
      <c r="V172" s="37" t="n"/>
    </row>
    <row r="173">
      <c r="B173" s="36" t="inlineStr">
        <is>
          <t>V4-005</t>
        </is>
      </c>
      <c r="C173" s="36" t="inlineStr">
        <is>
          <t>V4</t>
        </is>
      </c>
      <c r="D173" s="36" t="inlineStr">
        <is>
          <t>REB</t>
        </is>
      </c>
      <c r="E173" s="37" t="inlineStr">
        <is>
          <t>Alerte &amp; Rebond</t>
        </is>
      </c>
      <c r="F173" s="37" t="inlineStr">
        <is>
          <t>Dossier de crise confidentiel, INVITE_ONLY, registre d'investisseurs de retournement</t>
        </is>
      </c>
      <c r="G173" s="37" t="inlineStr">
        <is>
          <t>Dossier absent de toute recherche ouverte (test négatif)</t>
        </is>
      </c>
      <c r="H173" s="38" t="n">
        <v>6</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46391</v>
      </c>
      <c r="Q173" s="40" t="n">
        <v>46400</v>
      </c>
      <c r="R173" s="40" t="n"/>
      <c r="S173" s="37" t="inlineStr"/>
      <c r="T173" s="36" t="inlineStr">
        <is>
          <t>Non</t>
        </is>
      </c>
      <c r="U173" s="13">
        <f>IF($B173="","",IF(AND(J173&lt;&gt;"Complétée",J173&lt;&gt;"Abandonnée",Q173&lt;&gt;"",TODAY()&gt;Q173),"En retard",""))</f>
        <v/>
      </c>
      <c r="V173" s="37" t="n"/>
    </row>
    <row r="174">
      <c r="B174" s="36" t="inlineStr">
        <is>
          <t>V4-006</t>
        </is>
      </c>
      <c r="C174" s="36" t="inlineStr">
        <is>
          <t>V4</t>
        </is>
      </c>
      <c r="D174" s="36" t="inlineStr">
        <is>
          <t>REB</t>
        </is>
      </c>
      <c r="E174" s="37" t="inlineStr">
        <is>
          <t>Alerte &amp; Rebond</t>
        </is>
      </c>
      <c r="F174" s="37" t="inlineStr">
        <is>
          <t>Signalement statutaire (mandataire de justice) et avertissement sur les clauses bancaires</t>
        </is>
      </c>
      <c r="G174" s="37" t="inlineStr">
        <is>
          <t>Avertissement affiché avant tout changement de visibilité</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46393</v>
      </c>
      <c r="Q174" s="40" t="n">
        <v>46398</v>
      </c>
      <c r="R174" s="40" t="n"/>
      <c r="S174" s="37" t="inlineStr"/>
      <c r="T174" s="36" t="inlineStr">
        <is>
          <t>Non</t>
        </is>
      </c>
      <c r="U174" s="13">
        <f>IF($B174="","",IF(AND(J174&lt;&gt;"Complétée",J174&lt;&gt;"Abandonnée",Q174&lt;&gt;"",TODAY()&gt;Q174),"En retard",""))</f>
        <v/>
      </c>
      <c r="V174" s="37" t="n"/>
    </row>
    <row r="175">
      <c r="B175" s="36" t="inlineStr">
        <is>
          <t>V4-007</t>
        </is>
      </c>
      <c r="C175" s="36" t="inlineStr">
        <is>
          <t>V4</t>
        </is>
      </c>
      <c r="D175" s="36" t="inlineStr">
        <is>
          <t>REB</t>
        </is>
      </c>
      <c r="E175" s="37" t="inlineStr">
        <is>
          <t>Actifs en difficulté</t>
        </is>
      </c>
      <c r="F175" s="37" t="inlineStr">
        <is>
          <t>Listings d'actifs par catégorie : créances, immobilier, équipement, flotte</t>
        </is>
      </c>
      <c r="G175" s="37" t="inlineStr">
        <is>
          <t>Jeu de champs distinct par catégorie</t>
        </is>
      </c>
      <c r="H175" s="38" t="n">
        <v>7</v>
      </c>
      <c r="I175" s="36" t="inlineStr">
        <is>
          <t>Haute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46394</v>
      </c>
      <c r="Q175" s="40" t="n">
        <v>46404</v>
      </c>
      <c r="R175" s="40" t="n"/>
      <c r="S175" s="37" t="inlineStr"/>
      <c r="T175" s="36" t="inlineStr">
        <is>
          <t>Non</t>
        </is>
      </c>
      <c r="U175" s="13">
        <f>IF($B175="","",IF(AND(J175&lt;&gt;"Complétée",J175&lt;&gt;"Abandonnée",Q175&lt;&gt;"",TODAY()&gt;Q175),"En retard",""))</f>
        <v/>
      </c>
      <c r="V175" s="37" t="n"/>
    </row>
    <row r="176">
      <c r="B176" s="36" t="inlineStr">
        <is>
          <t>V4-008</t>
        </is>
      </c>
      <c r="C176" s="36" t="inlineStr">
        <is>
          <t>V4</t>
        </is>
      </c>
      <c r="D176" s="36" t="inlineStr">
        <is>
          <t>REB</t>
        </is>
      </c>
      <c r="E176" s="37" t="inlineStr">
        <is>
          <t>Actifs en difficulté</t>
        </is>
      </c>
      <c r="F176" s="37" t="inlineStr">
        <is>
          <t>Coupe-circuit opérateur : retrait immédiat de toutes les surfaces et caches</t>
        </is>
      </c>
      <c r="G176" s="37" t="inlineStr">
        <is>
          <t>Retrait effectif en moins de 60 s</t>
        </is>
      </c>
      <c r="H176" s="38" t="n">
        <v>3</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46396</v>
      </c>
      <c r="Q176" s="40" t="n">
        <v>46401</v>
      </c>
      <c r="R176" s="40" t="n"/>
      <c r="S176" s="37" t="inlineStr"/>
      <c r="T176" s="36" t="inlineStr">
        <is>
          <t>Non</t>
        </is>
      </c>
      <c r="U176" s="13">
        <f>IF($B176="","",IF(AND(J176&lt;&gt;"Complétée",J176&lt;&gt;"Abandonnée",Q176&lt;&gt;"",TODAY()&gt;Q176),"En retard",""))</f>
        <v/>
      </c>
      <c r="V176" s="37" t="n"/>
    </row>
    <row r="177">
      <c r="B177" s="36" t="inlineStr">
        <is>
          <t>V4-009</t>
        </is>
      </c>
      <c r="C177" s="36" t="inlineStr">
        <is>
          <t>V4</t>
        </is>
      </c>
      <c r="D177" s="36" t="inlineStr">
        <is>
          <t>REB</t>
        </is>
      </c>
      <c r="E177" s="37" t="inlineStr">
        <is>
          <t>Alerte &amp; Rebond</t>
        </is>
      </c>
      <c r="F177" s="37" t="inlineStr">
        <is>
          <t>Ingestion des annonces de dissolution / liquidation (flux CFE)</t>
        </is>
      </c>
      <c r="G177" s="37" t="inlineStr">
        <is>
          <t>Flux importé quotidiennement</t>
        </is>
      </c>
      <c r="H177" s="38" t="n">
        <v>5</v>
      </c>
      <c r="I177" s="36" t="inlineStr">
        <is>
          <t>Basse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46397</v>
      </c>
      <c r="Q177" s="40" t="n">
        <v>46404</v>
      </c>
      <c r="R177" s="40" t="n"/>
      <c r="S177" s="37" t="inlineStr"/>
      <c r="T177" s="36" t="inlineStr">
        <is>
          <t>Non</t>
        </is>
      </c>
      <c r="U177" s="13">
        <f>IF($B177="","",IF(AND(J177&lt;&gt;"Complétée",J177&lt;&gt;"Abandonnée",Q177&lt;&gt;"",TODAY()&gt;Q177),"En retard",""))</f>
        <v/>
      </c>
      <c r="V177" s="37" t="n"/>
    </row>
    <row r="178">
      <c r="B178" s="36" t="inlineStr">
        <is>
          <t>V4-010</t>
        </is>
      </c>
      <c r="C178" s="36" t="inlineStr">
        <is>
          <t>V4</t>
        </is>
      </c>
      <c r="D178" s="36" t="inlineStr">
        <is>
          <t>REB</t>
        </is>
      </c>
      <c r="E178" s="37" t="inlineStr">
        <is>
          <t>Alerte &amp; Rebond</t>
        </is>
      </c>
      <c r="F178" s="37" t="inlineStr">
        <is>
          <t>Écrans Alerte &amp; Rebond</t>
        </is>
      </c>
      <c r="G178" s="37" t="inlineStr">
        <is>
          <t>Confidentialité par défaut sur chaque écran</t>
        </is>
      </c>
      <c r="H178" s="38" t="n">
        <v>5</v>
      </c>
      <c r="I178" s="36" t="inlineStr">
        <is>
          <t>Moyenne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46398</v>
      </c>
      <c r="Q178" s="40" t="n">
        <v>46405</v>
      </c>
      <c r="R178" s="40" t="n"/>
      <c r="S178" s="37" t="inlineStr"/>
      <c r="T178" s="36" t="inlineStr">
        <is>
          <t>Non</t>
        </is>
      </c>
      <c r="U178" s="13">
        <f>IF($B178="","",IF(AND(J178&lt;&gt;"Complétée",J178&lt;&gt;"Abandonnée",Q178&lt;&gt;"",TODAY()&gt;Q178),"En retard",""))</f>
        <v/>
      </c>
      <c r="V178" s="37" t="n"/>
    </row>
    <row r="179">
      <c r="B179" s="36" t="inlineStr">
        <is>
          <t>V4-011</t>
        </is>
      </c>
      <c r="C179" s="36" t="inlineStr">
        <is>
          <t>V4</t>
        </is>
      </c>
      <c r="D179" s="36" t="inlineStr">
        <is>
          <t>CNX</t>
        </is>
      </c>
      <c r="E179" s="37" t="inlineStr">
        <is>
          <t>Deal-Connect</t>
        </is>
      </c>
      <c r="F179" s="37" t="inlineStr">
        <is>
          <t>Stands, billetterie et sponsoring avec catégorisation des revenus</t>
        </is>
      </c>
      <c r="G179" s="37" t="inlineStr">
        <is>
          <t>Revenus catégorisés pour la rétrocession</t>
        </is>
      </c>
      <c r="H179" s="38" t="n">
        <v>6</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46400</v>
      </c>
      <c r="Q179" s="40" t="n">
        <v>46409</v>
      </c>
      <c r="R179" s="40" t="n"/>
      <c r="S179" s="37" t="inlineStr"/>
      <c r="T179" s="36" t="inlineStr">
        <is>
          <t>Non</t>
        </is>
      </c>
      <c r="U179" s="13">
        <f>IF($B179="","",IF(AND(J179&lt;&gt;"Complétée",J179&lt;&gt;"Abandonnée",Q179&lt;&gt;"",TODAY()&gt;Q179),"En retard",""))</f>
        <v/>
      </c>
      <c r="V179" s="37" t="n"/>
    </row>
    <row r="180">
      <c r="B180" s="36" t="inlineStr">
        <is>
          <t>V4-012</t>
        </is>
      </c>
      <c r="C180" s="36" t="inlineStr">
        <is>
          <t>V4</t>
        </is>
      </c>
      <c r="D180" s="36" t="inlineStr">
        <is>
          <t>CNX</t>
        </is>
      </c>
      <c r="E180" s="37" t="inlineStr">
        <is>
          <t>Deal-Connect</t>
        </is>
      </c>
      <c r="F180" s="37" t="inlineStr">
        <is>
          <t>Rendez-vous mutuels opt-in et suggestions par règles</t>
        </is>
      </c>
      <c r="G180" s="37" t="inlineStr">
        <is>
          <t>Aucun rendez-vous sans double accord</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46401</v>
      </c>
      <c r="Q180" s="40" t="n">
        <v>46407</v>
      </c>
      <c r="R180" s="40" t="n"/>
      <c r="S180" s="37" t="inlineStr"/>
      <c r="T180" s="36" t="inlineStr">
        <is>
          <t>Non</t>
        </is>
      </c>
      <c r="U180" s="13">
        <f>IF($B180="","",IF(AND(J180&lt;&gt;"Complétée",J180&lt;&gt;"Abandonnée",Q180&lt;&gt;"",TODAY()&gt;Q180),"En retard",""))</f>
        <v/>
      </c>
      <c r="V180" s="37" t="n"/>
    </row>
    <row r="181">
      <c r="B181" s="36" t="inlineStr">
        <is>
          <t>V4-013</t>
        </is>
      </c>
      <c r="C181" s="36" t="inlineStr">
        <is>
          <t>V4</t>
        </is>
      </c>
      <c r="D181" s="36" t="inlineStr">
        <is>
          <t>CNX</t>
        </is>
      </c>
      <c r="E181" s="37" t="inlineStr">
        <is>
          <t>Deal-Connect</t>
        </is>
      </c>
      <c r="F181" s="37" t="inlineStr">
        <is>
          <t>Rapport post-événement : participation, rendez-vous, satisfaction</t>
        </is>
      </c>
      <c r="G181" s="37" t="inlineStr">
        <is>
          <t>Rapport agrégé sans donnée nominative</t>
        </is>
      </c>
      <c r="H181" s="38" t="n">
        <v>4</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46403</v>
      </c>
      <c r="Q181" s="40" t="n">
        <v>46409</v>
      </c>
      <c r="R181" s="40" t="n"/>
      <c r="S181" s="37" t="inlineStr"/>
      <c r="T181" s="36" t="inlineStr">
        <is>
          <t>Non</t>
        </is>
      </c>
      <c r="U181" s="13">
        <f>IF($B181="","",IF(AND(J181&lt;&gt;"Complétée",J181&lt;&gt;"Abandonnée",Q181&lt;&gt;"",TODAY()&gt;Q181),"En retard",""))</f>
        <v/>
      </c>
      <c r="V181" s="37" t="n"/>
    </row>
    <row r="182">
      <c r="B182" s="36" t="inlineStr">
        <is>
          <t>V4-014</t>
        </is>
      </c>
      <c r="C182" s="36" t="inlineStr">
        <is>
          <t>V4</t>
        </is>
      </c>
      <c r="D182" s="36" t="inlineStr">
        <is>
          <t>CNX</t>
        </is>
      </c>
      <c r="E182" s="37" t="inlineStr">
        <is>
          <t>Deal-Connect</t>
        </is>
      </c>
      <c r="F182" s="37" t="inlineStr">
        <is>
          <t>Écrans Deal-Connect</t>
        </is>
      </c>
      <c r="G182" s="37" t="inlineStr">
        <is>
          <t>Aucun contenu à caractère de titre financier sur les stands</t>
        </is>
      </c>
      <c r="H182" s="38" t="n">
        <v>5</v>
      </c>
      <c r="I182" s="36" t="inlineStr">
        <is>
          <t>Moyenne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46404</v>
      </c>
      <c r="Q182" s="40" t="n">
        <v>46411</v>
      </c>
      <c r="R182" s="40" t="n"/>
      <c r="S182" s="37" t="inlineStr"/>
      <c r="T182" s="36" t="inlineStr">
        <is>
          <t>Non</t>
        </is>
      </c>
      <c r="U182" s="13">
        <f>IF($B182="","",IF(AND(J182&lt;&gt;"Complétée",J182&lt;&gt;"Abandonnée",Q182&lt;&gt;"",TODAY()&gt;Q182),"En retard",""))</f>
        <v/>
      </c>
      <c r="V182" s="37" t="n"/>
    </row>
    <row r="183">
      <c r="B183" s="36" t="inlineStr">
        <is>
          <t>V4-015</t>
        </is>
      </c>
      <c r="C183" s="36" t="inlineStr">
        <is>
          <t>V4</t>
        </is>
      </c>
      <c r="D183" s="36" t="inlineStr">
        <is>
          <t>DIA</t>
        </is>
      </c>
      <c r="E183" s="37" t="inlineStr">
        <is>
          <t>Guichet Diaspora</t>
        </is>
      </c>
      <c r="F183" s="37" t="inlineStr">
        <is>
          <t>Profil investisseur diaspora, préférences, liste de suivi</t>
        </is>
      </c>
      <c r="G183" s="37" t="inlineStr">
        <is>
          <t>Preuve de capacité avec date d'expiration</t>
        </is>
      </c>
      <c r="H183" s="38" t="n">
        <v>5</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46405</v>
      </c>
      <c r="Q183" s="40" t="n">
        <v>46412</v>
      </c>
      <c r="R183" s="40" t="n"/>
      <c r="S183" s="37" t="inlineStr"/>
      <c r="T183" s="36" t="inlineStr">
        <is>
          <t>Non</t>
        </is>
      </c>
      <c r="U183" s="13">
        <f>IF($B183="","",IF(AND(J183&lt;&gt;"Complétée",J183&lt;&gt;"Abandonnée",Q183&lt;&gt;"",TODAY()&gt;Q183),"En retard",""))</f>
        <v/>
      </c>
      <c r="V183" s="37" t="n"/>
    </row>
    <row r="184">
      <c r="B184" s="36" t="inlineStr">
        <is>
          <t>V4-016</t>
        </is>
      </c>
      <c r="C184" s="36" t="inlineStr">
        <is>
          <t>V4</t>
        </is>
      </c>
      <c r="D184" s="36" t="inlineStr">
        <is>
          <t>DIA</t>
        </is>
      </c>
      <c r="E184" s="37" t="inlineStr">
        <is>
          <t>Guichet Diaspora</t>
        </is>
      </c>
      <c r="F184" s="37" t="inlineStr">
        <is>
          <t>Présentation des contraintes transfrontalières et taux de change indicatif daté</t>
        </is>
      </c>
      <c r="G184" s="37" t="inlineStr">
        <is>
          <t>Taux affiché avec source et date</t>
        </is>
      </c>
      <c r="H184" s="38" t="n">
        <v>5</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46407</v>
      </c>
      <c r="Q184" s="40" t="n">
        <v>46414</v>
      </c>
      <c r="R184" s="40" t="n"/>
      <c r="S184" s="37" t="inlineStr"/>
      <c r="T184" s="36" t="inlineStr">
        <is>
          <t>Non</t>
        </is>
      </c>
      <c r="U184" s="13">
        <f>IF($B184="","",IF(AND(J184&lt;&gt;"Complétée",J184&lt;&gt;"Abandonnée",Q184&lt;&gt;"",TODAY()&gt;Q184),"En retard",""))</f>
        <v/>
      </c>
      <c r="V184" s="37" t="n"/>
    </row>
    <row r="185">
      <c r="B185" s="36" t="inlineStr">
        <is>
          <t>V4-017</t>
        </is>
      </c>
      <c r="C185" s="36" t="inlineStr">
        <is>
          <t>V4</t>
        </is>
      </c>
      <c r="D185" s="36" t="inlineStr">
        <is>
          <t>DIA</t>
        </is>
      </c>
      <c r="E185" s="37" t="inlineStr">
        <is>
          <t>Guichet Diaspora</t>
        </is>
      </c>
      <c r="F185" s="37" t="inlineStr">
        <is>
          <t>Renvoi vers banque / conseil pour les aspects réglementés</t>
        </is>
      </c>
      <c r="G185" s="37" t="inlineStr">
        <is>
          <t>Aucun conseil de change fourni par la plateforme</t>
        </is>
      </c>
      <c r="H185" s="38" t="n">
        <v>3</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46408</v>
      </c>
      <c r="Q185" s="40" t="n">
        <v>46413</v>
      </c>
      <c r="R185" s="40" t="n"/>
      <c r="S185" s="37" t="inlineStr"/>
      <c r="T185" s="36" t="inlineStr">
        <is>
          <t>Non</t>
        </is>
      </c>
      <c r="U185" s="13">
        <f>IF($B185="","",IF(AND(J185&lt;&gt;"Complétée",J185&lt;&gt;"Abandonnée",Q185&lt;&gt;"",TODAY()&gt;Q185),"En retard",""))</f>
        <v/>
      </c>
      <c r="V185" s="37" t="n"/>
    </row>
    <row r="186">
      <c r="B186" s="36" t="inlineStr">
        <is>
          <t>V4-018</t>
        </is>
      </c>
      <c r="C186" s="36" t="inlineStr">
        <is>
          <t>V4</t>
        </is>
      </c>
      <c r="D186" s="36" t="inlineStr">
        <is>
          <t>DIA</t>
        </is>
      </c>
      <c r="E186" s="37" t="inlineStr">
        <is>
          <t>Guichet Diaspora</t>
        </is>
      </c>
      <c r="F186" s="37" t="inlineStr">
        <is>
          <t>Signal de demande diaspora (agrégé, anonymisé)</t>
        </is>
      </c>
      <c r="G186" s="37" t="inlineStr">
        <is>
          <t>Aucune donnée nominative dans le signal</t>
        </is>
      </c>
      <c r="H186" s="38" t="n">
        <v>3</v>
      </c>
      <c r="I186" s="36" t="inlineStr">
        <is>
          <t>Basse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46409</v>
      </c>
      <c r="Q186" s="40" t="n">
        <v>46414</v>
      </c>
      <c r="R186" s="40" t="n"/>
      <c r="S186" s="37" t="inlineStr"/>
      <c r="T186" s="36" t="inlineStr">
        <is>
          <t>Non</t>
        </is>
      </c>
      <c r="U186" s="13">
        <f>IF($B186="","",IF(AND(J186&lt;&gt;"Complétée",J186&lt;&gt;"Abandonnée",Q186&lt;&gt;"",TODAY()&gt;Q186),"En retard",""))</f>
        <v/>
      </c>
      <c r="V186" s="37" t="n"/>
    </row>
    <row r="187">
      <c r="B187" s="36" t="inlineStr">
        <is>
          <t>V4-019</t>
        </is>
      </c>
      <c r="C187" s="36" t="inlineStr">
        <is>
          <t>V4</t>
        </is>
      </c>
      <c r="D187" s="36" t="inlineStr">
        <is>
          <t>DIA</t>
        </is>
      </c>
      <c r="E187" s="37" t="inlineStr">
        <is>
          <t>Guichet Diaspora</t>
        </is>
      </c>
      <c r="F187" s="37" t="inlineStr">
        <is>
          <t>Écrans Guichet Diaspora</t>
        </is>
      </c>
      <c r="G187" s="37" t="inlineStr">
        <is>
          <t>Contraintes affichées avant la phase finale</t>
        </is>
      </c>
      <c r="H187" s="38" t="n">
        <v>5</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46410</v>
      </c>
      <c r="Q187" s="40" t="n">
        <v>46417</v>
      </c>
      <c r="R187" s="40" t="n"/>
      <c r="S187" s="37" t="inlineStr"/>
      <c r="T187" s="36" t="inlineStr">
        <is>
          <t>Non</t>
        </is>
      </c>
      <c r="U187" s="13">
        <f>IF($B187="","",IF(AND(J187&lt;&gt;"Complétée",J187&lt;&gt;"Abandonnée",Q187&lt;&gt;"",TODAY()&gt;Q187),"En retard",""))</f>
        <v/>
      </c>
      <c r="V187" s="37" t="n"/>
    </row>
    <row r="188">
      <c r="B188" s="36" t="inlineStr">
        <is>
          <t>V4-020</t>
        </is>
      </c>
      <c r="C188" s="36" t="inlineStr">
        <is>
          <t>V4</t>
        </is>
      </c>
      <c r="D188" s="36" t="inlineStr">
        <is>
          <t>EXP</t>
        </is>
      </c>
      <c r="E188" s="37" t="inlineStr">
        <is>
          <t>Deal-Experts</t>
        </is>
      </c>
      <c r="F188" s="37" t="inlineStr">
        <is>
          <t>Registre d'experts qualifiés et déclaration de conflit d'intérêts</t>
        </is>
      </c>
      <c r="G188" s="37" t="inlineStr">
        <is>
          <t>Conflit déclaré avant toute proposition</t>
        </is>
      </c>
      <c r="H188" s="38" t="n">
        <v>5</v>
      </c>
      <c r="I188" s="36" t="inlineStr">
        <is>
          <t>Moyenne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46412</v>
      </c>
      <c r="Q188" s="40" t="n">
        <v>46419</v>
      </c>
      <c r="R188" s="40" t="n"/>
      <c r="S188" s="37" t="inlineStr">
        <is>
          <t>Arbitrage statut P13</t>
        </is>
      </c>
      <c r="T188" s="36" t="inlineStr">
        <is>
          <t>Non</t>
        </is>
      </c>
      <c r="U188" s="13">
        <f>IF($B188="","",IF(AND(J188&lt;&gt;"Complétée",J188&lt;&gt;"Abandonnée",Q188&lt;&gt;"",TODAY()&gt;Q188),"En retard",""))</f>
        <v/>
      </c>
      <c r="V188" s="37" t="n"/>
    </row>
    <row r="189">
      <c r="B189" s="36" t="inlineStr">
        <is>
          <t>V4-021</t>
        </is>
      </c>
      <c r="C189" s="36" t="inlineStr">
        <is>
          <t>V4</t>
        </is>
      </c>
      <c r="D189" s="36" t="inlineStr">
        <is>
          <t>EXP</t>
        </is>
      </c>
      <c r="E189" s="37" t="inlineStr">
        <is>
          <t>Deal-Experts</t>
        </is>
      </c>
      <c r="F189" s="37" t="inlineStr">
        <is>
          <t>Routage du besoin, propositions, sélection par le client</t>
        </is>
      </c>
      <c r="G189" s="37" t="inlineStr">
        <is>
          <t>Client choisit seul, DealPME n'oriente pas le fond</t>
        </is>
      </c>
      <c r="H189" s="38" t="n">
        <v>5</v>
      </c>
      <c r="I189" s="36" t="inlineStr">
        <is>
          <t>Moyenne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46413</v>
      </c>
      <c r="Q189" s="40" t="n">
        <v>46420</v>
      </c>
      <c r="R189" s="40" t="n"/>
      <c r="S189" s="37" t="inlineStr"/>
      <c r="T189" s="36" t="inlineStr">
        <is>
          <t>Non</t>
        </is>
      </c>
      <c r="U189" s="13">
        <f>IF($B189="","",IF(AND(J189&lt;&gt;"Complétée",J189&lt;&gt;"Abandonnée",Q189&lt;&gt;"",TODAY()&gt;Q189),"En retard",""))</f>
        <v/>
      </c>
      <c r="V189" s="37" t="n"/>
    </row>
    <row r="190">
      <c r="B190" s="36" t="inlineStr">
        <is>
          <t>V4-022</t>
        </is>
      </c>
      <c r="C190" s="36" t="inlineStr">
        <is>
          <t>V4</t>
        </is>
      </c>
      <c r="D190" s="36" t="inlineStr">
        <is>
          <t>EXP</t>
        </is>
      </c>
      <c r="E190" s="37" t="inlineStr">
        <is>
          <t>Deal-Experts</t>
        </is>
      </c>
      <c r="F190" s="37" t="inlineStr">
        <is>
          <t>Accès temporaire scopé en lecture, expiration à la remise du livrable</t>
        </is>
      </c>
      <c r="G190" s="37" t="inlineStr">
        <is>
          <t>Accès fermé automatiquement à la livraison</t>
        </is>
      </c>
      <c r="H190" s="38" t="n">
        <v>5</v>
      </c>
      <c r="I190" s="36" t="inlineStr">
        <is>
          <t>Haute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46415</v>
      </c>
      <c r="Q190" s="40" t="n">
        <v>46422</v>
      </c>
      <c r="R190" s="40" t="n"/>
      <c r="S190" s="37" t="inlineStr"/>
      <c r="T190" s="36" t="inlineStr">
        <is>
          <t>Non</t>
        </is>
      </c>
      <c r="U190" s="13">
        <f>IF($B190="","",IF(AND(J190&lt;&gt;"Complétée",J190&lt;&gt;"Abandonnée",Q190&lt;&gt;"",TODAY()&gt;Q190),"En retard",""))</f>
        <v/>
      </c>
      <c r="V190" s="37" t="n"/>
    </row>
    <row r="191">
      <c r="B191" s="36" t="inlineStr">
        <is>
          <t>V4-023</t>
        </is>
      </c>
      <c r="C191" s="36" t="inlineStr">
        <is>
          <t>V4</t>
        </is>
      </c>
      <c r="D191" s="36" t="inlineStr">
        <is>
          <t>EXP</t>
        </is>
      </c>
      <c r="E191" s="37" t="inlineStr">
        <is>
          <t>Deal-Experts</t>
        </is>
      </c>
      <c r="F191" s="37" t="inlineStr">
        <is>
          <t>Contrat direct client-expert (hors facturation DealPME) et journal</t>
        </is>
      </c>
      <c r="G191" s="37" t="inlineStr">
        <is>
          <t>Aucune facturation de prestation par DealPME</t>
        </is>
      </c>
      <c r="H191" s="38" t="n">
        <v>3</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46416</v>
      </c>
      <c r="Q191" s="40" t="n">
        <v>46421</v>
      </c>
      <c r="R191" s="40" t="n"/>
      <c r="S191" s="37" t="inlineStr"/>
      <c r="T191" s="36" t="inlineStr">
        <is>
          <t>Non</t>
        </is>
      </c>
      <c r="U191" s="13">
        <f>IF($B191="","",IF(AND(J191&lt;&gt;"Complétée",J191&lt;&gt;"Abandonnée",Q191&lt;&gt;"",TODAY()&gt;Q191),"En retard",""))</f>
        <v/>
      </c>
      <c r="V191" s="37" t="n"/>
    </row>
    <row r="192">
      <c r="B192" s="36" t="inlineStr">
        <is>
          <t>V4-024</t>
        </is>
      </c>
      <c r="C192" s="36" t="inlineStr">
        <is>
          <t>V4</t>
        </is>
      </c>
      <c r="D192" s="36" t="inlineStr">
        <is>
          <t>EXP</t>
        </is>
      </c>
      <c r="E192" s="37" t="inlineStr">
        <is>
          <t>Deal-Experts</t>
        </is>
      </c>
      <c r="F192" s="37" t="inlineStr">
        <is>
          <t>Écrans Deal-Experts</t>
        </is>
      </c>
      <c r="G192" s="37" t="inlineStr">
        <is>
          <t>Aucun contenu d'expert imputé à DealPME</t>
        </is>
      </c>
      <c r="H192" s="38" t="n">
        <v>2</v>
      </c>
      <c r="I192" s="36" t="inlineStr">
        <is>
          <t>Basse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46417</v>
      </c>
      <c r="Q192" s="40" t="n">
        <v>46420</v>
      </c>
      <c r="R192" s="40" t="n"/>
      <c r="S192" s="37" t="inlineStr"/>
      <c r="T192" s="36" t="inlineStr">
        <is>
          <t>Non</t>
        </is>
      </c>
      <c r="U192" s="13">
        <f>IF($B192="","",IF(AND(J192&lt;&gt;"Complétée",J192&lt;&gt;"Abandonnée",Q192&lt;&gt;"",TODAY()&gt;Q192),"En retard",""))</f>
        <v/>
      </c>
      <c r="V192" s="37" t="n"/>
    </row>
    <row r="193">
      <c r="B193" s="36" t="inlineStr">
        <is>
          <t>V5-001</t>
        </is>
      </c>
      <c r="C193" s="36" t="inlineStr">
        <is>
          <t>V5</t>
        </is>
      </c>
      <c r="D193" s="36" t="inlineStr">
        <is>
          <t>VDR-IA</t>
        </is>
      </c>
      <c r="E193" s="37" t="inlineStr">
        <is>
          <t>Conception</t>
        </is>
      </c>
      <c r="F193" s="37" t="inlineStr">
        <is>
          <t>Conception VDR Intelligence : pare-feu de divulgation avant récupération, pipeline d'ingestion, indexation filtrée par permission, contrat de réponse avec citations et insuffisance</t>
        </is>
      </c>
      <c r="G193" s="37" t="inlineStr">
        <is>
          <t>Spécification relue sur les 12 cas de référence ; aucune étape 'récupérer puis masquer'</t>
        </is>
      </c>
      <c r="H193" s="38" t="n">
        <v>5</v>
      </c>
      <c r="I193" s="36" t="inlineStr">
        <is>
          <t>Haute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46424</v>
      </c>
      <c r="Q193" s="40" t="n">
        <v>46431</v>
      </c>
      <c r="R193" s="40" t="n"/>
      <c r="S193" s="37" t="inlineStr"/>
      <c r="T193" s="36" t="inlineStr">
        <is>
          <t>Oui</t>
        </is>
      </c>
      <c r="U193" s="13">
        <f>IF($B193="","",IF(AND(J193&lt;&gt;"Complétée",J193&lt;&gt;"Abandonnée",Q193&lt;&gt;"",TODAY()&gt;Q193),"En retard",""))</f>
        <v/>
      </c>
      <c r="V193" s="37" t="n"/>
    </row>
    <row r="194">
      <c r="B194" s="36" t="inlineStr">
        <is>
          <t>V5-002</t>
        </is>
      </c>
      <c r="C194" s="36" t="inlineStr">
        <is>
          <t>V5</t>
        </is>
      </c>
      <c r="D194" s="36" t="inlineStr">
        <is>
          <t>OPS</t>
        </is>
      </c>
      <c r="E194" s="37" t="inlineStr">
        <is>
          <t>Conception</t>
        </is>
      </c>
      <c r="F194" s="37" t="inlineStr">
        <is>
          <t>Revue de sécurité de conception IA : modèle de menaces (injection par document, fuite inter-dossiers, réutilisation des données par le fournisseur)</t>
        </is>
      </c>
      <c r="G194" s="37" t="inlineStr">
        <is>
          <t>Chaque menace reliée à un test QA IA ou à une clause du contrat fournisseur</t>
        </is>
      </c>
      <c r="H194" s="38" t="n">
        <v>3</v>
      </c>
      <c r="I194" s="36" t="inlineStr">
        <is>
          <t>Haute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46425</v>
      </c>
      <c r="Q194" s="40" t="n">
        <v>46430</v>
      </c>
      <c r="R194" s="40" t="n"/>
      <c r="S194" s="37" t="inlineStr"/>
      <c r="T194" s="36" t="inlineStr">
        <is>
          <t>Non</t>
        </is>
      </c>
      <c r="U194" s="13">
        <f>IF($B194="","",IF(AND(J194&lt;&gt;"Complétée",J194&lt;&gt;"Abandonnée",Q194&lt;&gt;"",TODAY()&gt;Q194),"En retard",""))</f>
        <v/>
      </c>
      <c r="V194" s="37" t="n"/>
    </row>
    <row r="195">
      <c r="B195" s="36" t="inlineStr">
        <is>
          <t>V5-003</t>
        </is>
      </c>
      <c r="C195" s="36" t="inlineStr">
        <is>
          <t>V5</t>
        </is>
      </c>
      <c r="D195" s="36" t="inlineStr">
        <is>
          <t>VDR-IA</t>
        </is>
      </c>
      <c r="E195" s="37" t="inlineStr">
        <is>
          <t>Fournisseur IA</t>
        </is>
      </c>
      <c r="F195" s="37" t="inlineStr">
        <is>
          <t>Qualification et contrat du fournisseur IA (confidentialité, hébergement, aucune réutilisation des données)</t>
        </is>
      </c>
      <c r="G195" s="37" t="inlineStr">
        <is>
          <t>Contrat signé avec clauses de confidentialité</t>
        </is>
      </c>
      <c r="H195" s="38" t="n">
        <v>5</v>
      </c>
      <c r="I195" s="36" t="inlineStr">
        <is>
          <t>Haute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46425</v>
      </c>
      <c r="Q195" s="40" t="n">
        <v>46432</v>
      </c>
      <c r="R195" s="40" t="n"/>
      <c r="S195" s="37" t="inlineStr"/>
      <c r="T195" s="36" t="inlineStr">
        <is>
          <t>Oui</t>
        </is>
      </c>
      <c r="U195" s="13">
        <f>IF($B195="","",IF(AND(J195&lt;&gt;"Complétée",J195&lt;&gt;"Abandonnée",Q195&lt;&gt;"",TODAY()&gt;Q195),"En retard",""))</f>
        <v/>
      </c>
      <c r="V195" s="37" t="n"/>
    </row>
    <row r="196">
      <c r="B196" s="36" t="inlineStr">
        <is>
          <t>V5-004</t>
        </is>
      </c>
      <c r="C196" s="36" t="inlineStr">
        <is>
          <t>V5</t>
        </is>
      </c>
      <c r="D196" s="36" t="inlineStr">
        <is>
          <t>VDR-IA</t>
        </is>
      </c>
      <c r="E196" s="37" t="inlineStr">
        <is>
          <t>Fournisseur IA</t>
        </is>
      </c>
      <c r="F196" s="37" t="inlineStr">
        <is>
          <t>Dossier de conformité IA : politique, drapeaux fonctionnels, journal des politiques</t>
        </is>
      </c>
      <c r="G196" s="37" t="inlineStr">
        <is>
          <t>Chaque changement de politique audité</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46426</v>
      </c>
      <c r="Q196" s="40" t="n">
        <v>46433</v>
      </c>
      <c r="R196" s="40" t="n"/>
      <c r="S196" s="37" t="inlineStr"/>
      <c r="T196" s="36" t="inlineStr">
        <is>
          <t>Non</t>
        </is>
      </c>
      <c r="U196" s="13">
        <f>IF($B196="","",IF(AND(J196&lt;&gt;"Complétée",J196&lt;&gt;"Abandonnée",Q196&lt;&gt;"",TODAY()&gt;Q196),"En retard",""))</f>
        <v/>
      </c>
      <c r="V196" s="37" t="n"/>
    </row>
    <row r="197">
      <c r="B197" s="36" t="inlineStr">
        <is>
          <t>V5-005</t>
        </is>
      </c>
      <c r="C197" s="36" t="inlineStr">
        <is>
          <t>V5</t>
        </is>
      </c>
      <c r="D197" s="36" t="inlineStr">
        <is>
          <t>VDR-IA</t>
        </is>
      </c>
      <c r="E197" s="37" t="inlineStr">
        <is>
          <t>Ingestion</t>
        </is>
      </c>
      <c r="F197" s="37" t="inlineStr">
        <is>
          <t>Pipeline d'ingestion : classification, OCR, ancres de page, empreinte de version</t>
        </is>
      </c>
      <c r="G197" s="37" t="inlineStr">
        <is>
          <t>États UPLOADED à PUBLISHED implémentés</t>
        </is>
      </c>
      <c r="H197" s="38" t="n">
        <v>8</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46426</v>
      </c>
      <c r="Q197" s="40" t="n">
        <v>46438</v>
      </c>
      <c r="R197" s="40" t="n"/>
      <c r="S197" s="37" t="inlineStr"/>
      <c r="T197" s="36" t="inlineStr">
        <is>
          <t>Non</t>
        </is>
      </c>
      <c r="U197" s="13">
        <f>IF($B197="","",IF(AND(J197&lt;&gt;"Complétée",J197&lt;&gt;"Abandonnée",Q197&lt;&gt;"",TODAY()&gt;Q197),"En retard",""))</f>
        <v/>
      </c>
      <c r="V197" s="37" t="n"/>
    </row>
    <row r="198">
      <c r="B198" s="36" t="inlineStr">
        <is>
          <t>V5-006</t>
        </is>
      </c>
      <c r="C198" s="36" t="inlineStr">
        <is>
          <t>V5</t>
        </is>
      </c>
      <c r="D198" s="36" t="inlineStr">
        <is>
          <t>VDR-IA</t>
        </is>
      </c>
      <c r="E198" s="37" t="inlineStr">
        <is>
          <t>Ingestion</t>
        </is>
      </c>
      <c r="F198" s="37" t="inlineStr">
        <is>
          <t>Indexation filtrée par permission (permission_scope_hash)</t>
        </is>
      </c>
      <c r="G198" s="37" t="inlineStr">
        <is>
          <t>Aucun chunk indexé hors périmètre autorisé</t>
        </is>
      </c>
      <c r="H198" s="38" t="n">
        <v>8</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46427</v>
      </c>
      <c r="Q198" s="40" t="n">
        <v>46439</v>
      </c>
      <c r="R198" s="40" t="n"/>
      <c r="S198" s="37" t="inlineStr"/>
      <c r="T198" s="36" t="inlineStr">
        <is>
          <t>Non</t>
        </is>
      </c>
      <c r="U198" s="13">
        <f>IF($B198="","",IF(AND(J198&lt;&gt;"Complétée",J198&lt;&gt;"Abandonnée",Q198&lt;&gt;"",TODAY()&gt;Q198),"En retard",""))</f>
        <v/>
      </c>
      <c r="V198" s="37" t="n"/>
    </row>
    <row r="199">
      <c r="B199" s="36" t="inlineStr">
        <is>
          <t>V5-007</t>
        </is>
      </c>
      <c r="C199" s="36" t="inlineStr">
        <is>
          <t>V5</t>
        </is>
      </c>
      <c r="D199" s="36" t="inlineStr">
        <is>
          <t>VDR-IA</t>
        </is>
      </c>
      <c r="E199" s="37" t="inlineStr">
        <is>
          <t>DealLens</t>
        </is>
      </c>
      <c r="F199" s="37" t="inlineStr">
        <is>
          <t>Pare-feu de divulgation avant récupération (10 étapes, jamais 'récupérer puis masquer')</t>
        </is>
      </c>
      <c r="G199" s="37" t="inlineStr">
        <is>
          <t>Test AI-01 : aucun document inaccessible cité</t>
        </is>
      </c>
      <c r="H199" s="38" t="n">
        <v>8</v>
      </c>
      <c r="I199" s="36" t="inlineStr">
        <is>
          <t>Haute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46428</v>
      </c>
      <c r="Q199" s="40" t="n">
        <v>46440</v>
      </c>
      <c r="R199" s="40" t="n"/>
      <c r="S199" s="37" t="inlineStr"/>
      <c r="T199" s="36" t="inlineStr">
        <is>
          <t>Non</t>
        </is>
      </c>
      <c r="U199" s="13">
        <f>IF($B199="","",IF(AND(J199&lt;&gt;"Complétée",J199&lt;&gt;"Abandonnée",Q199&lt;&gt;"",TODAY()&gt;Q199),"En retard",""))</f>
        <v/>
      </c>
      <c r="V199" s="37" t="n"/>
    </row>
    <row r="200">
      <c r="B200" s="36" t="inlineStr">
        <is>
          <t>V5-008</t>
        </is>
      </c>
      <c r="C200" s="36" t="inlineStr">
        <is>
          <t>V5</t>
        </is>
      </c>
      <c r="D200" s="36" t="inlineStr">
        <is>
          <t>VDR-IA</t>
        </is>
      </c>
      <c r="E200" s="37" t="inlineStr">
        <is>
          <t>DealLens</t>
        </is>
      </c>
      <c r="F200" s="37" t="inlineStr">
        <is>
          <t>Contrat de réponse DealLens : citations, niveau de confiance, réponse d'insuffisance</t>
        </is>
      </c>
      <c r="G200" s="37" t="inlineStr">
        <is>
          <t>Test AI-04 : INSUFFISANT sans spéculation</t>
        </is>
      </c>
      <c r="H200" s="38" t="n">
        <v>6</v>
      </c>
      <c r="I200" s="36" t="inlineStr">
        <is>
          <t>Haute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46429</v>
      </c>
      <c r="Q200" s="40" t="n">
        <v>46438</v>
      </c>
      <c r="R200" s="40" t="n"/>
      <c r="S200" s="37" t="inlineStr"/>
      <c r="T200" s="36" t="inlineStr">
        <is>
          <t>Non</t>
        </is>
      </c>
      <c r="U200" s="13">
        <f>IF($B200="","",IF(AND(J200&lt;&gt;"Complétée",J200&lt;&gt;"Abandonnée",Q200&lt;&gt;"",TODAY()&gt;Q200),"En retard",""))</f>
        <v/>
      </c>
      <c r="V200" s="37" t="n"/>
    </row>
    <row r="201">
      <c r="B201" s="36" t="inlineStr">
        <is>
          <t>V5-009</t>
        </is>
      </c>
      <c r="C201" s="36" t="inlineStr">
        <is>
          <t>V5</t>
        </is>
      </c>
      <c r="D201" s="36" t="inlineStr">
        <is>
          <t>VDR-IA</t>
        </is>
      </c>
      <c r="E201" s="37" t="inlineStr">
        <is>
          <t>DealLens</t>
        </is>
      </c>
      <c r="F201" s="37" t="inlineStr">
        <is>
          <t>DealLens mode document et mode salle entière</t>
        </is>
      </c>
      <c r="G201" s="37" t="inlineStr">
        <is>
          <t>Les deux modes journalisent AI_QUERY_COMPLETED</t>
        </is>
      </c>
      <c r="H201" s="38" t="n">
        <v>8</v>
      </c>
      <c r="I201" s="36" t="inlineStr">
        <is>
          <t>Haute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46430</v>
      </c>
      <c r="Q201" s="40" t="n">
        <v>46442</v>
      </c>
      <c r="R201" s="40" t="n"/>
      <c r="S201" s="37" t="inlineStr"/>
      <c r="T201" s="36" t="inlineStr">
        <is>
          <t>Non</t>
        </is>
      </c>
      <c r="U201" s="13">
        <f>IF($B201="","",IF(AND(J201&lt;&gt;"Complétée",J201&lt;&gt;"Abandonnée",Q201&lt;&gt;"",TODAY()&gt;Q201),"En retard",""))</f>
        <v/>
      </c>
      <c r="V201" s="37" t="n"/>
    </row>
    <row r="202">
      <c r="B202" s="36" t="inlineStr">
        <is>
          <t>V5-010</t>
        </is>
      </c>
      <c r="C202" s="36" t="inlineStr">
        <is>
          <t>V5</t>
        </is>
      </c>
      <c r="D202" s="36" t="inlineStr">
        <is>
          <t>VDR-IA</t>
        </is>
      </c>
      <c r="E202" s="37" t="inlineStr">
        <is>
          <t>DealLens</t>
        </is>
      </c>
      <c r="F202" s="37" t="inlineStr">
        <is>
          <t>Vérification de chaque citation contre l'ensemble autorisé</t>
        </is>
      </c>
      <c r="G202" s="37" t="inlineStr">
        <is>
          <t>Test AI-03 : chaque citation ouvre la bonne page</t>
        </is>
      </c>
      <c r="H202" s="38" t="n">
        <v>5</v>
      </c>
      <c r="I202" s="36" t="inlineStr">
        <is>
          <t>Haute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46431</v>
      </c>
      <c r="Q202" s="40" t="n">
        <v>46438</v>
      </c>
      <c r="R202" s="40" t="n"/>
      <c r="S202" s="37" t="inlineStr"/>
      <c r="T202" s="36" t="inlineStr">
        <is>
          <t>Non</t>
        </is>
      </c>
      <c r="U202" s="13">
        <f>IF($B202="","",IF(AND(J202&lt;&gt;"Complétée",J202&lt;&gt;"Abandonnée",Q202&lt;&gt;"",TODAY()&gt;Q202),"En retard",""))</f>
        <v/>
      </c>
      <c r="V202" s="37" t="n"/>
    </row>
    <row r="203">
      <c r="B203" s="36" t="inlineStr">
        <is>
          <t>V5-011</t>
        </is>
      </c>
      <c r="C203" s="36" t="inlineStr">
        <is>
          <t>V5</t>
        </is>
      </c>
      <c r="D203" s="36" t="inlineStr">
        <is>
          <t>VDR-IA</t>
        </is>
      </c>
      <c r="E203" s="37" t="inlineStr">
        <is>
          <t>Surfaces</t>
        </is>
      </c>
      <c r="F203" s="37" t="inlineStr">
        <is>
          <t>Cockpit : couverture par domaine, priorités de revue</t>
        </is>
      </c>
      <c r="G203" s="37" t="inlineStr">
        <is>
          <t>Couverture jamais présentée comme un avis d'audit</t>
        </is>
      </c>
      <c r="H203" s="38" t="n">
        <v>6</v>
      </c>
      <c r="I203" s="36" t="inlineStr">
        <is>
          <t>Moyenne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46431</v>
      </c>
      <c r="Q203" s="40" t="n">
        <v>46440</v>
      </c>
      <c r="R203" s="40" t="n"/>
      <c r="S203" s="37" t="inlineStr"/>
      <c r="T203" s="36" t="inlineStr">
        <is>
          <t>Non</t>
        </is>
      </c>
      <c r="U203" s="13">
        <f>IF($B203="","",IF(AND(J203&lt;&gt;"Complétée",J203&lt;&gt;"Abandonnée",Q203&lt;&gt;"",TODAY()&gt;Q203),"En retard",""))</f>
        <v/>
      </c>
      <c r="V203" s="37" t="n"/>
    </row>
    <row r="204">
      <c r="B204" s="36" t="inlineStr">
        <is>
          <t>V5-012</t>
        </is>
      </c>
      <c r="C204" s="36" t="inlineStr">
        <is>
          <t>V5</t>
        </is>
      </c>
      <c r="D204" s="36" t="inlineStr">
        <is>
          <t>VDR-IA</t>
        </is>
      </c>
      <c r="E204" s="37" t="inlineStr">
        <is>
          <t>Surfaces</t>
        </is>
      </c>
      <c r="F204" s="37" t="inlineStr">
        <is>
          <t>Issue Radar : registre structuré de risques</t>
        </is>
      </c>
      <c r="G204" s="37" t="inlineStr">
        <is>
          <t>Chaque risque porte preuve, propriétaire, impact</t>
        </is>
      </c>
      <c r="H204" s="38" t="n">
        <v>7</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46432</v>
      </c>
      <c r="Q204" s="40" t="n">
        <v>46442</v>
      </c>
      <c r="R204" s="40" t="n"/>
      <c r="S204" s="37" t="inlineStr"/>
      <c r="T204" s="36" t="inlineStr">
        <is>
          <t>Non</t>
        </is>
      </c>
      <c r="U204" s="13">
        <f>IF($B204="","",IF(AND(J204&lt;&gt;"Complétée",J204&lt;&gt;"Abandonnée",Q204&lt;&gt;"",TODAY()&gt;Q204),"En retard",""))</f>
        <v/>
      </c>
      <c r="V204" s="37" t="n"/>
    </row>
    <row r="205">
      <c r="B205" s="36" t="inlineStr">
        <is>
          <t>V5-013</t>
        </is>
      </c>
      <c r="C205" s="36" t="inlineStr">
        <is>
          <t>V5</t>
        </is>
      </c>
      <c r="D205" s="36" t="inlineStr">
        <is>
          <t>VDR-IA</t>
        </is>
      </c>
      <c r="E205" s="37" t="inlineStr">
        <is>
          <t>Surfaces</t>
        </is>
      </c>
      <c r="F205" s="37" t="inlineStr">
        <is>
          <t>Evidence Map : graphe typé (SUPPORTS, CONTRADICTS, RAISES, RESOLVES, EVIDENCES)</t>
        </is>
      </c>
      <c r="G205" s="37" t="inlineStr">
        <is>
          <t>Graphe navigable depuis un document</t>
        </is>
      </c>
      <c r="H205" s="38" t="n">
        <v>8</v>
      </c>
      <c r="I205" s="36" t="inlineStr">
        <is>
          <t>Moyenne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46433</v>
      </c>
      <c r="Q205" s="40" t="n">
        <v>46445</v>
      </c>
      <c r="R205" s="40" t="n"/>
      <c r="S205" s="37" t="inlineStr"/>
      <c r="T205" s="36" t="inlineStr">
        <is>
          <t>Non</t>
        </is>
      </c>
      <c r="U205" s="13">
        <f>IF($B205="","",IF(AND(J205&lt;&gt;"Complétée",J205&lt;&gt;"Abandonnée",Q205&lt;&gt;"",TODAY()&gt;Q205),"En retard",""))</f>
        <v/>
      </c>
      <c r="V205" s="37" t="n"/>
    </row>
    <row r="206">
      <c r="B206" s="36" t="inlineStr">
        <is>
          <t>V5-014</t>
        </is>
      </c>
      <c r="C206" s="36" t="inlineStr">
        <is>
          <t>V5</t>
        </is>
      </c>
      <c r="D206" s="36" t="inlineStr">
        <is>
          <t>VDR-IA</t>
        </is>
      </c>
      <c r="E206" s="37" t="inlineStr">
        <is>
          <t>Surfaces</t>
        </is>
      </c>
      <c r="F206" s="37" t="inlineStr">
        <is>
          <t>Atelier Q&amp;R avec rôles et brouillons IA jamais soumis automatiquement</t>
        </is>
      </c>
      <c r="G206" s="37" t="inlineStr">
        <is>
          <t>Test AI-06 : brouillon reste DRAFT</t>
        </is>
      </c>
      <c r="H206" s="38" t="n">
        <v>7</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46434</v>
      </c>
      <c r="Q206" s="40" t="n">
        <v>46444</v>
      </c>
      <c r="R206" s="40" t="n"/>
      <c r="S206" s="37" t="inlineStr"/>
      <c r="T206" s="36" t="inlineStr">
        <is>
          <t>Non</t>
        </is>
      </c>
      <c r="U206" s="13">
        <f>IF($B206="","",IF(AND(J206&lt;&gt;"Complétée",J206&lt;&gt;"Abandonnée",Q206&lt;&gt;"",TODAY()&gt;Q206),"En retard",""))</f>
        <v/>
      </c>
      <c r="V206" s="37" t="n"/>
    </row>
    <row r="207">
      <c r="B207" s="36" t="inlineStr">
        <is>
          <t>V5-015</t>
        </is>
      </c>
      <c r="C207" s="36" t="inlineStr">
        <is>
          <t>V5</t>
        </is>
      </c>
      <c r="D207" s="36" t="inlineStr">
        <is>
          <t>VDR-IA</t>
        </is>
      </c>
      <c r="E207" s="37" t="inlineStr">
        <is>
          <t>Surfaces</t>
        </is>
      </c>
      <c r="F207" s="37" t="inlineStr">
        <is>
          <t>Engagement Pulse (descriptif, jamais 'probabilité de closing')</t>
        </is>
      </c>
      <c r="G207" s="37" t="inlineStr">
        <is>
          <t>Libellé vérifié par l'audit de texte</t>
        </is>
      </c>
      <c r="H207" s="38" t="n">
        <v>4</v>
      </c>
      <c r="I207" s="36" t="inlineStr">
        <is>
          <t>Basse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46435</v>
      </c>
      <c r="Q207" s="40" t="n">
        <v>46441</v>
      </c>
      <c r="R207" s="40" t="n"/>
      <c r="S207" s="37" t="inlineStr"/>
      <c r="T207" s="36" t="inlineStr">
        <is>
          <t>Non</t>
        </is>
      </c>
      <c r="U207" s="13">
        <f>IF($B207="","",IF(AND(J207&lt;&gt;"Complétée",J207&lt;&gt;"Abandonnée",Q207&lt;&gt;"",TODAY()&gt;Q207),"En retard",""))</f>
        <v/>
      </c>
      <c r="V207" s="37" t="n"/>
    </row>
    <row r="208">
      <c r="B208" s="36" t="inlineStr">
        <is>
          <t>V5-016</t>
        </is>
      </c>
      <c r="C208" s="36" t="inlineStr">
        <is>
          <t>V5</t>
        </is>
      </c>
      <c r="D208" s="36" t="inlineStr">
        <is>
          <t>VDR-IA</t>
        </is>
      </c>
      <c r="E208" s="37" t="inlineStr">
        <is>
          <t>Surfaces</t>
        </is>
      </c>
      <c r="F208" s="37" t="inlineStr">
        <is>
          <t>Rapprochement financier (Financial Tie-Out) avec matérialité configurable</t>
        </is>
      </c>
      <c r="G208" s="37" t="inlineStr">
        <is>
          <t>Écart présenté comme point de rapprochement</t>
        </is>
      </c>
      <c r="H208" s="38" t="n">
        <v>7</v>
      </c>
      <c r="I208" s="36" t="inlineStr">
        <is>
          <t>Moyenne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46435</v>
      </c>
      <c r="Q208" s="40" t="n">
        <v>46445</v>
      </c>
      <c r="R208" s="40" t="n"/>
      <c r="S208" s="37" t="inlineStr"/>
      <c r="T208" s="36" t="inlineStr">
        <is>
          <t>Non</t>
        </is>
      </c>
      <c r="U208" s="13">
        <f>IF($B208="","",IF(AND(J208&lt;&gt;"Complétée",J208&lt;&gt;"Abandonnée",Q208&lt;&gt;"",TODAY()&gt;Q208),"En retard",""))</f>
        <v/>
      </c>
      <c r="V208" s="37" t="n"/>
    </row>
    <row r="209">
      <c r="B209" s="36" t="inlineStr">
        <is>
          <t>V5-017</t>
        </is>
      </c>
      <c r="C209" s="36" t="inlineStr">
        <is>
          <t>V5</t>
        </is>
      </c>
      <c r="D209" s="36" t="inlineStr">
        <is>
          <t>VDR-IA</t>
        </is>
      </c>
      <c r="E209" s="37" t="inlineStr">
        <is>
          <t>Surfaces</t>
        </is>
      </c>
      <c r="F209" s="37" t="inlineStr">
        <is>
          <t>Intelligence de version : diff textuel et sémantique, matérialité proposée</t>
        </is>
      </c>
      <c r="G209" s="37" t="inlineStr">
        <is>
          <t>Test DOC-03 : nouvelle version n'hérite pas de l'analyse</t>
        </is>
      </c>
      <c r="H209" s="38" t="n">
        <v>6</v>
      </c>
      <c r="I209" s="36" t="inlineStr">
        <is>
          <t>Moyenne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46436</v>
      </c>
      <c r="Q209" s="40" t="n">
        <v>46445</v>
      </c>
      <c r="R209" s="40" t="n"/>
      <c r="S209" s="37" t="inlineStr"/>
      <c r="T209" s="36" t="inlineStr">
        <is>
          <t>Non</t>
        </is>
      </c>
      <c r="U209" s="13">
        <f>IF($B209="","",IF(AND(J209&lt;&gt;"Complétée",J209&lt;&gt;"Abandonnée",Q209&lt;&gt;"",TODAY()&gt;Q209),"En retard",""))</f>
        <v/>
      </c>
      <c r="V209" s="37" t="n"/>
    </row>
    <row r="210">
      <c r="B210" s="36" t="inlineStr">
        <is>
          <t>V5-018</t>
        </is>
      </c>
      <c r="C210" s="36" t="inlineStr">
        <is>
          <t>V5</t>
        </is>
      </c>
      <c r="D210" s="36" t="inlineStr">
        <is>
          <t>VDR-IA</t>
        </is>
      </c>
      <c r="E210" s="37" t="inlineStr">
        <is>
          <t>Surfaces</t>
        </is>
      </c>
      <c r="F210" s="37" t="inlineStr">
        <is>
          <t>Caviardage assisté avec revue humaine élément par élément</t>
        </is>
      </c>
      <c r="G210" s="37" t="inlineStr">
        <is>
          <t>Original jamais écrasé</t>
        </is>
      </c>
      <c r="H210" s="38" t="n">
        <v>7</v>
      </c>
      <c r="I210" s="36" t="inlineStr">
        <is>
          <t>Moyenne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46437</v>
      </c>
      <c r="Q210" s="40" t="n">
        <v>46446</v>
      </c>
      <c r="R210" s="40" t="n"/>
      <c r="S210" s="37" t="inlineStr"/>
      <c r="T210" s="36" t="inlineStr">
        <is>
          <t>Non</t>
        </is>
      </c>
      <c r="U210" s="13">
        <f>IF($B210="","",IF(AND(J210&lt;&gt;"Complétée",J210&lt;&gt;"Abandonnée",Q210&lt;&gt;"",TODAY()&gt;Q210),"En retard",""))</f>
        <v/>
      </c>
      <c r="V210" s="37" t="n"/>
    </row>
    <row r="211">
      <c r="B211" s="36" t="inlineStr">
        <is>
          <t>V5-019</t>
        </is>
      </c>
      <c r="C211" s="36" t="inlineStr">
        <is>
          <t>V5</t>
        </is>
      </c>
      <c r="D211" s="36" t="inlineStr">
        <is>
          <t>VDR-IA</t>
        </is>
      </c>
      <c r="E211" s="37" t="inlineStr">
        <is>
          <t>Accès</t>
        </is>
      </c>
      <c r="F211" s="37" t="inlineStr">
        <is>
          <t>Accès et Clean Team, MFA step-up sur changements de permission</t>
        </is>
      </c>
      <c r="G211" s="37" t="inlineStr">
        <is>
          <t>Test AI-02 : Clean Team exclue de la recherche standard</t>
        </is>
      </c>
      <c r="H211" s="38" t="n">
        <v>6</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46438</v>
      </c>
      <c r="Q211" s="40" t="n">
        <v>46446</v>
      </c>
      <c r="R211" s="40" t="n"/>
      <c r="S211" s="37" t="inlineStr"/>
      <c r="T211" s="36" t="inlineStr">
        <is>
          <t>Non</t>
        </is>
      </c>
      <c r="U211" s="13">
        <f>IF($B211="","",IF(AND(J211&lt;&gt;"Complétée",J211&lt;&gt;"Abandonnée",Q211&lt;&gt;"",TODAY()&gt;Q211),"En retard",""))</f>
        <v/>
      </c>
      <c r="V211" s="37" t="n"/>
    </row>
    <row r="212">
      <c r="B212" s="36" t="inlineStr">
        <is>
          <t>V5-020</t>
        </is>
      </c>
      <c r="C212" s="36" t="inlineStr">
        <is>
          <t>V5</t>
        </is>
      </c>
      <c r="D212" s="36" t="inlineStr">
        <is>
          <t>VDR-IA</t>
        </is>
      </c>
      <c r="E212" s="37" t="inlineStr">
        <is>
          <t>Accès</t>
        </is>
      </c>
      <c r="F212" s="37" t="inlineStr">
        <is>
          <t>Audit append-only sans contenu sensible ni texte de réponse IA</t>
        </is>
      </c>
      <c r="G212" s="37" t="inlineStr">
        <is>
          <t>Journal ne contient que identifiants, action, résultat</t>
        </is>
      </c>
      <c r="H212" s="38" t="n">
        <v>4</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46439</v>
      </c>
      <c r="Q212" s="40" t="n">
        <v>46445</v>
      </c>
      <c r="R212" s="40" t="n"/>
      <c r="S212" s="37" t="inlineStr"/>
      <c r="T212" s="36" t="inlineStr">
        <is>
          <t>Non</t>
        </is>
      </c>
      <c r="U212" s="13">
        <f>IF($B212="","",IF(AND(J212&lt;&gt;"Complétée",J212&lt;&gt;"Abandonnée",Q212&lt;&gt;"",TODAY()&gt;Q212),"En retard",""))</f>
        <v/>
      </c>
      <c r="V212" s="37" t="n"/>
    </row>
    <row r="213">
      <c r="B213" s="36" t="inlineStr">
        <is>
          <t>V5-021</t>
        </is>
      </c>
      <c r="C213" s="36" t="inlineStr">
        <is>
          <t>V5</t>
        </is>
      </c>
      <c r="D213" s="36" t="inlineStr">
        <is>
          <t>VDR-IA</t>
        </is>
      </c>
      <c r="E213" s="37" t="inlineStr">
        <is>
          <t>Surfaces</t>
        </is>
      </c>
      <c r="F213" s="37" t="inlineStr">
        <is>
          <t>Écrans VDR Intelligence (9 surfaces, responsive)</t>
        </is>
      </c>
      <c r="G213" s="37" t="inlineStr">
        <is>
          <t>Mobile : document, DealLens, Q&amp;R prioritaires</t>
        </is>
      </c>
      <c r="H213" s="38" t="n">
        <v>10</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46439</v>
      </c>
      <c r="Q213" s="40" t="n">
        <v>46446</v>
      </c>
      <c r="R213" s="40" t="n"/>
      <c r="S213" s="37" t="inlineStr"/>
      <c r="T213" s="36" t="inlineStr">
        <is>
          <t>Non</t>
        </is>
      </c>
      <c r="U213" s="13">
        <f>IF($B213="","",IF(AND(J213&lt;&gt;"Complétée",J213&lt;&gt;"Abandonnée",Q213&lt;&gt;"",TODAY()&gt;Q213),"En retard",""))</f>
        <v/>
      </c>
      <c r="V213" s="37" t="n"/>
    </row>
    <row r="214">
      <c r="B214" s="36" t="inlineStr">
        <is>
          <t>V5-022</t>
        </is>
      </c>
      <c r="C214" s="36" t="inlineStr">
        <is>
          <t>V5</t>
        </is>
      </c>
      <c r="D214" s="36" t="inlineStr">
        <is>
          <t>VDR-IA</t>
        </is>
      </c>
      <c r="E214" s="37" t="inlineStr">
        <is>
          <t>QA IA</t>
        </is>
      </c>
      <c r="F214" s="37" t="inlineStr">
        <is>
          <t>Tests AI-01 à AI-06, DOC-01 à DOC-03, Q&amp;A-01, UI-01</t>
        </is>
      </c>
      <c r="G214" s="37" t="inlineStr">
        <is>
          <t>Tous les tests P0 passent</t>
        </is>
      </c>
      <c r="H214" s="38" t="n">
        <v>10</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46440</v>
      </c>
      <c r="Q214" s="40" t="n">
        <v>46446</v>
      </c>
      <c r="R214" s="40" t="n"/>
      <c r="S214" s="37" t="inlineStr"/>
      <c r="T214" s="36" t="inlineStr">
        <is>
          <t>Non</t>
        </is>
      </c>
      <c r="U214" s="13">
        <f>IF($B214="","",IF(AND(J214&lt;&gt;"Complétée",J214&lt;&gt;"Abandonnée",Q214&lt;&gt;"",TODAY()&gt;Q214),"En retard",""))</f>
        <v/>
      </c>
      <c r="V214" s="37" t="n"/>
    </row>
    <row r="215">
      <c r="B215" s="36" t="inlineStr">
        <is>
          <t>V5-023</t>
        </is>
      </c>
      <c r="C215" s="36" t="inlineStr">
        <is>
          <t>V5</t>
        </is>
      </c>
      <c r="D215" s="36" t="inlineStr">
        <is>
          <t>VDR-IA</t>
        </is>
      </c>
      <c r="E215" s="37" t="inlineStr">
        <is>
          <t>QA IA</t>
        </is>
      </c>
      <c r="F215" s="37" t="inlineStr">
        <is>
          <t>Performance : viewer progressif, streaming des réponses, recherche &lt; 1,5 s</t>
        </is>
      </c>
      <c r="G215" s="37" t="inlineStr">
        <is>
          <t>Mesures sur réseau de référence</t>
        </is>
      </c>
      <c r="H215" s="38" t="n">
        <v>5</v>
      </c>
      <c r="I215" s="36" t="inlineStr">
        <is>
          <t>Moyenne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46441</v>
      </c>
      <c r="Q215" s="40" t="n">
        <v>46446</v>
      </c>
      <c r="R215" s="40" t="n"/>
      <c r="S215" s="37" t="inlineStr"/>
      <c r="T215" s="36" t="inlineStr">
        <is>
          <t>Non</t>
        </is>
      </c>
      <c r="U215" s="13">
        <f>IF($B215="","",IF(AND(J215&lt;&gt;"Complétée",J215&lt;&gt;"Abandonnée",Q215&lt;&gt;"",TODAY()&gt;Q215),"En retard",""))</f>
        <v/>
      </c>
      <c r="V215" s="37" t="n"/>
    </row>
    <row r="216">
      <c r="B216" s="36" t="inlineStr">
        <is>
          <t>V5-024</t>
        </is>
      </c>
      <c r="C216" s="36" t="inlineStr">
        <is>
          <t>V5</t>
        </is>
      </c>
      <c r="D216" s="36" t="inlineStr">
        <is>
          <t>VDR-IA</t>
        </is>
      </c>
      <c r="E216" s="37" t="inlineStr">
        <is>
          <t>QA IA</t>
        </is>
      </c>
      <c r="F216" s="37" t="inlineStr">
        <is>
          <t>Recette V5 et corrections</t>
        </is>
      </c>
      <c r="G216" s="37" t="inlineStr">
        <is>
          <t>Zéro anomalie bloquante ouverte</t>
        </is>
      </c>
      <c r="H216" s="38" t="n">
        <v>5</v>
      </c>
      <c r="I216" s="36" t="inlineStr">
        <is>
          <t>Haute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46442</v>
      </c>
      <c r="Q216" s="40" t="n">
        <v>46446</v>
      </c>
      <c r="R216" s="40" t="n"/>
      <c r="S216" s="37" t="inlineStr"/>
      <c r="T216" s="36" t="inlineStr">
        <is>
          <t>Non</t>
        </is>
      </c>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20" t="inlineStr">
        <is>
          <t>Les tables entreprise et vérification de registre n'étaient pas couvertes par la RLS : tout compte authentifié pouvait lire la raison sociale et l'état d'instruction d'une entreprise tierce (constat interne du 24/09/2026)</t>
        </is>
      </c>
      <c r="D14" s="20" t="inlineStr">
        <is>
          <t>Fuite d'information entre cédants concurrents</t>
        </is>
      </c>
      <c r="E14" s="20" t="inlineStr">
        <is>
          <t>Corrigé le jour même : RLS activée sur company et registry_record (propriétaire et institution), lectures de la console passées sous contexte officier, contrôle de fumée ajouté</t>
        </is>
      </c>
      <c r="F14" s="54" t="inlineStr">
        <is>
          <t>V1</t>
        </is>
      </c>
      <c r="G14" s="20"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S09</t>
        </is>
      </c>
      <c r="C15" s="20" t="inlineStr">
        <is>
          <t>Aucun pentest indépendant</t>
        </is>
      </c>
      <c r="D15" s="20" t="inlineStr">
        <is>
          <t>Failles non détectées par l'équipe elle-même</t>
        </is>
      </c>
      <c r="E15" s="20" t="inlineStr">
        <is>
          <t>Reporté en V3 (porte G10) : exige un prestataire externe et un périmètre stabilisé ; mitigation V1 = revue interne S08, aucun environnement public avant V3 ; commander le pentest dès V2</t>
        </is>
      </c>
      <c r="F15" s="54" t="inlineStr">
        <is>
          <t>V3</t>
        </is>
      </c>
      <c r="G15" s="20" t="inlineStr">
        <is>
          <t>Pentest indépendant et remédiation des constats critiques et élevés (G10)</t>
        </is>
      </c>
      <c r="H15" s="12">
        <f>IF($G15="","Sans tâche",IFERROR(INDEX(Taches!$J$6:$J$325,MATCH($G15,Taches!$F$6:$F$325,0)),"À planifier"))</f>
        <v/>
      </c>
      <c r="I15" s="16">
        <f>IF($G15="","",IFERROR(INDEX(Taches!$L$6:$L$325,MATCH($G15,Taches!$F$6:$F$325,0)),0))</f>
        <v/>
      </c>
      <c r="J15" s="37" t="n"/>
    </row>
    <row r="16" ht="58" customHeight="1">
      <c r="B16" s="54" t="inlineStr">
        <is>
          <t>S10</t>
        </is>
      </c>
      <c r="C16" s="20" t="inlineStr">
        <is>
          <t>Documents servis sans rendu serveur ni filigrane (data room absente en V1)</t>
        </is>
      </c>
      <c r="D16" s="20" t="inlineStr">
        <is>
          <t>Fuite de documents confidentiels</t>
        </is>
      </c>
      <c r="E16" s="20" t="inlineStr">
        <is>
          <t>Reporté en V2 avec la data room : rendu serveur, filigrane, URL pré-signées courtes, révocation en moins de 60 s ; V1 ne stocke aucun document de data room</t>
        </is>
      </c>
      <c r="F16" s="54" t="inlineStr">
        <is>
          <t>V2</t>
        </is>
      </c>
      <c r="G16" s="20" t="inlineStr">
        <is>
          <t>Visualiseur rendu serveur, page à page, chargement progressif (3G)</t>
        </is>
      </c>
      <c r="H16" s="12">
        <f>IF($G16="","Sans tâche",IFERROR(INDEX(Taches!$J$6:$J$325,MATCH($G16,Taches!$F$6:$F$325,0)),"À planifier"))</f>
        <v/>
      </c>
      <c r="I16" s="16">
        <f>IF($G16="","",IFERROR(INDEX(Taches!$L$6:$L$325,MATCH($G16,Taches!$F$6:$F$325,0)),0))</f>
        <v/>
      </c>
      <c r="J16" s="37" t="n"/>
    </row>
    <row r="17" ht="58" customHeight="1">
      <c r="B17" s="54" t="inlineStr">
        <is>
          <t>S11</t>
        </is>
      </c>
      <c r="C17" s="20" t="inlineStr">
        <is>
          <t>Preuve de signature non qualifiée (pas de NDA en V1)</t>
        </is>
      </c>
      <c r="D17" s="20" t="inlineStr">
        <is>
          <t>NDA non opposable</t>
        </is>
      </c>
      <c r="E17" s="20" t="inlineStr">
        <is>
          <t>Reporté en V2 : prestataire PSC accrédité ARCEP, archivage PSAE ; V1 n'exécute aucun NDA</t>
        </is>
      </c>
      <c r="F17" s="54" t="inlineStr">
        <is>
          <t>V2</t>
        </is>
      </c>
      <c r="G17" s="20" t="inlineStr">
        <is>
          <t>Intégration API de signature qualifiée, webhooks à signature vérifiée</t>
        </is>
      </c>
      <c r="H17" s="12">
        <f>IF($G17="","Sans tâche",IFERROR(INDEX(Taches!$J$6:$J$325,MATCH($G17,Taches!$F$6:$F$325,0)),"À planifier"))</f>
        <v/>
      </c>
      <c r="I17" s="16">
        <f>IF($G17="","",IFERROR(INDEX(Taches!$L$6:$L$325,MATCH($G17,Taches!$F$6:$F$325,0)),0))</f>
        <v/>
      </c>
      <c r="J17" s="37" t="n"/>
    </row>
    <row r="18" ht="58" customHeight="1">
      <c r="B18" s="54" t="inlineStr">
        <is>
          <t>S12</t>
        </is>
      </c>
      <c r="C18" s="20" t="inlineStr">
        <is>
          <t>Accès administrateur non tracé par mode break-glass</t>
        </is>
      </c>
      <c r="D18" s="20" t="inlineStr">
        <is>
          <t>Accès silencieux à des dossiers confidentiels</t>
        </is>
      </c>
      <c r="E18" s="20" t="inlineStr">
        <is>
          <t>Reporté en V3 avec le module support ; V1 : journal d'audit persisté sur toute action sensible, aucun endpoint d'accès aux données confidentielles pour l'administrateur</t>
        </is>
      </c>
      <c r="F18" s="54" t="inlineStr">
        <is>
          <t>V3</t>
        </is>
      </c>
      <c r="G18" s="20" t="inlineStr">
        <is>
          <t>Mode 'break-glass' journalisé pour l'administration</t>
        </is>
      </c>
      <c r="H18" s="12">
        <f>IF($G18="","Sans tâche",IFERROR(INDEX(Taches!$J$6:$J$325,MATCH($G18,Taches!$F$6:$F$325,0)),"À planifier"))</f>
        <v/>
      </c>
      <c r="I18" s="16">
        <f>IF($G18="","",IFERROR(INDEX(Taches!$L$6:$L$325,MATCH($G18,Taches!$F$6:$F$325,0)),0))</f>
        <v/>
      </c>
      <c r="J18" s="37" t="n"/>
    </row>
    <row r="19" ht="58" customHeight="1">
      <c r="B19" s="54" t="inlineStr">
        <is>
          <t>S13</t>
        </is>
      </c>
      <c r="C19" s="20" t="inlineStr">
        <is>
          <t>Vérification d'identité documentaire sans biométrie</t>
        </is>
      </c>
      <c r="D19" s="20" t="inlineStr">
        <is>
          <t>Usurpation d'identité au-delà de ce que le document capture</t>
        </is>
      </c>
      <c r="E19" s="20" t="inlineStr">
        <is>
          <t>Voulu par le v0 : biométrie interdite sans autorisation IPDCP (drapeau FEATURE_BIOMETRIC_KYC fermé) ; revue humaine et recoupement RCCM en V1</t>
        </is>
      </c>
      <c r="F19" s="54" t="inlineStr">
        <is>
          <t>P2</t>
        </is>
      </c>
      <c r="G19" s="20" t="inlineStr"/>
      <c r="H19" s="12">
        <f>IF($G19="","Sans tâche",IFERROR(INDEX(Taches!$J$6:$J$325,MATCH($G19,Taches!$F$6:$F$325,0)),"À planifier"))</f>
        <v/>
      </c>
      <c r="I19" s="16">
        <f>IF($G19="","",IFERROR(INDEX(Taches!$L$6:$L$325,MATCH($G19,Taches!$F$6:$F$325,0)),0))</f>
        <v/>
      </c>
      <c r="J19" s="37" t="n"/>
    </row>
    <row r="20" ht="58" customHeight="1">
      <c r="B20" s="54" t="inlineStr">
        <is>
          <t>S14</t>
        </is>
      </c>
      <c r="C20" s="20" t="inlineStr">
        <is>
          <t>Portes de conformité G1 à G10 non fermées (IPDCP, DPO, avis juridiques)</t>
        </is>
      </c>
      <c r="D20" s="20" t="inlineStr">
        <is>
          <t>Lancement commercial juridiquement exposé</t>
        </is>
      </c>
      <c r="E20" s="20" t="inlineStr">
        <is>
          <t>Reporté en V3 : condition explicite de lancement ; V1 est une démonstration à données synthétiques, jamais un service public</t>
        </is>
      </c>
      <c r="F20" s="54" t="inlineStr">
        <is>
          <t>V3</t>
        </is>
      </c>
      <c r="G20" s="20" t="inlineStr">
        <is>
          <t>Déclaration IPDCP et autorisation de transfert transfrontalier (G1, G2)</t>
        </is>
      </c>
      <c r="H20" s="12">
        <f>IF($G20="","Sans tâche",IFERROR(INDEX(Taches!$J$6:$J$325,MATCH($G20,Taches!$F$6:$F$325,0)),"À planifier"))</f>
        <v/>
      </c>
      <c r="I20" s="16">
        <f>IF($G20="","",IFERROR(INDEX(Taches!$L$6:$L$325,MATCH($G20,Taches!$F$6:$F$325,0)),0))</f>
        <v/>
      </c>
      <c r="J20" s="37" t="n"/>
    </row>
    <row r="22" ht="32" customHeight="1">
      <c r="B22" s="3" t="inlineStr">
        <is>
          <t>Règle</t>
        </is>
      </c>
      <c r="C22"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2:J22"/>
  </mergeCells>
  <conditionalFormatting sqref="H6:H20">
    <cfRule type="expression" priority="1" dxfId="2">
      <formula>H6="Complétée"</formula>
    </cfRule>
    <cfRule type="expression" priority="2" dxfId="5">
      <formula>H6="En cours"</formula>
    </cfRule>
    <cfRule type="expression" priority="3" dxfId="1">
      <formula>H6="Bloquée"</formula>
    </cfRule>
  </conditionalFormatting>
  <conditionalFormatting sqref="I6:I20">
    <cfRule type="dataBar" priority="4">
      <dataBar>
        <cfvo type="num" val="0"/>
        <cfvo type="num" val="1"/>
        <color rgb="006678F1"/>
      </dataBar>
    </cfRule>
  </conditionalFormatting>
  <conditionalFormatting sqref="F6:F20">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A13</t>
        </is>
      </c>
      <c r="C17" s="54" t="inlineStr">
        <is>
          <t>02/10/2026</t>
        </is>
      </c>
      <c r="D17" s="20" t="inlineStr">
        <is>
          <t>Retrait d'une publication</t>
        </is>
      </c>
      <c r="E17" s="20"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7" s="36" t="inlineStr">
        <is>
          <t>Ouvert</t>
        </is>
      </c>
      <c r="G17" s="20" t="inlineStr">
        <is>
          <t>M. Bruno</t>
        </is>
      </c>
      <c r="H17" s="20" t="inlineStr">
        <is>
          <t>Un cédant qui suspend une vente ne doit pas avoir à abandonner son dossier</t>
        </is>
      </c>
      <c r="I17" s="20" t="inlineStr">
        <is>
          <t>Trancher avant le début de V2</t>
        </is>
      </c>
      <c r="J17" s="54" t="inlineStr">
        <is>
          <t>16/10/2026</t>
        </is>
      </c>
    </row>
    <row r="18">
      <c r="B18" s="54" t="inlineStr">
        <is>
          <t>A12</t>
        </is>
      </c>
      <c r="C18" s="54" t="inlineStr">
        <is>
          <t>24/09/2026</t>
        </is>
      </c>
      <c r="D18" s="20" t="inlineStr">
        <is>
          <t>Certification visible dans le jeu de démonstration</t>
        </is>
      </c>
      <c r="E18" s="20"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8" s="36" t="inlineStr">
        <is>
          <t>Tranché</t>
        </is>
      </c>
      <c r="G18" s="20" t="inlineStr">
        <is>
          <t>Chef de projet</t>
        </is>
      </c>
      <c r="H18" s="20" t="inlineStr">
        <is>
          <t>La démonstration montre les deux états, certifié et non certifié, sans altérer les cas de référence</t>
        </is>
      </c>
      <c r="I18" s="20" t="inlineStr">
        <is>
          <t>Confirmer le choix du dossier certifié avec M. Bruno avant la répétition générale</t>
        </is>
      </c>
      <c r="J18" s="54" t="inlineStr">
        <is>
          <t>12/10/2026</t>
        </is>
      </c>
    </row>
    <row r="19">
      <c r="B19" s="54" t="inlineStr">
        <is>
          <t>A11</t>
        </is>
      </c>
      <c r="C19" s="54" t="inlineStr">
        <is>
          <t>23/09/2026</t>
        </is>
      </c>
      <c r="D19" s="20" t="inlineStr">
        <is>
          <t>Formats acceptés en pièce de dossier</t>
        </is>
      </c>
      <c r="E19"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19" s="36" t="inlineStr">
        <is>
          <t>Tranché</t>
        </is>
      </c>
      <c r="G19" s="20" t="inlineStr">
        <is>
          <t>Chef de projet</t>
        </is>
      </c>
      <c r="H19" s="20" t="inlineStr">
        <is>
          <t>Ergonomie réelle contre surface de risque, arbitrée par l'analyse antivirus obligatoire</t>
        </is>
      </c>
      <c r="I19" s="20" t="inlineStr">
        <is>
          <t>Revoir si le pentest de V3 signale un vecteur bureautique</t>
        </is>
      </c>
      <c r="J19" s="54" t="inlineStr">
        <is>
          <t>18/12/2026</t>
        </is>
      </c>
    </row>
    <row r="20">
      <c r="B20" s="54" t="inlineStr">
        <is>
          <t>A10</t>
        </is>
      </c>
      <c r="C20" s="54" t="inlineStr">
        <is>
          <t>15/09/2026</t>
        </is>
      </c>
      <c r="D20" s="20" t="inlineStr">
        <is>
          <t>Préalable à la certification</t>
        </is>
      </c>
      <c r="E20" s="20" t="inlineStr">
        <is>
          <t>L'octroi Deal-Ready exige une vérification RCCM ou CFE enregistrée pour l'entreprise ; le serveur refuse l'octroi sans elle (INVALID_TRANSITION). Le refus et le retrait restent possibles sans vérification.</t>
        </is>
      </c>
      <c r="F20" s="36" t="inlineStr">
        <is>
          <t>Tranché</t>
        </is>
      </c>
      <c r="G20" s="20" t="inlineStr">
        <is>
          <t>Chef de projet</t>
        </is>
      </c>
      <c r="H20" s="20" t="inlineStr">
        <is>
          <t>Évite un badge accordé sur des données uniquement déclaratives</t>
        </is>
      </c>
      <c r="I20" s="20" t="inlineStr">
        <is>
          <t>Confirmer la règle avec la CCI-Togo lors de la recette</t>
        </is>
      </c>
      <c r="J20" s="54" t="inlineStr">
        <is>
          <t>15/10/2026</t>
        </is>
      </c>
    </row>
    <row r="21">
      <c r="B21" s="54" t="inlineStr">
        <is>
          <t>A09</t>
        </is>
      </c>
      <c r="C21" s="54" t="inlineStr">
        <is>
          <t>10/09/2026</t>
        </is>
      </c>
      <c r="D21" s="20" t="inlineStr">
        <is>
          <t>Palette de l'application</t>
        </is>
      </c>
      <c r="E21"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1" s="36" t="inlineStr">
        <is>
          <t>Ouvert</t>
        </is>
      </c>
      <c r="G21" s="20" t="inlineStr">
        <is>
          <t>Designer UI/UX</t>
        </is>
      </c>
      <c r="H21" s="20" t="inlineStr">
        <is>
          <t>Cohérence visuelle entre application et site public</t>
        </is>
      </c>
      <c r="I21" s="20" t="inlineStr">
        <is>
          <t>Trancher dès la nomination du designer</t>
        </is>
      </c>
      <c r="J21" s="54" t="inlineStr">
        <is>
          <t>18/09/2026</t>
        </is>
      </c>
    </row>
    <row r="22">
      <c r="B22" s="54" t="inlineStr">
        <is>
          <t>A08</t>
        </is>
      </c>
      <c r="C22" s="54" t="inlineStr">
        <is>
          <t>09/09/2026</t>
        </is>
      </c>
      <c r="D22" s="20" t="inlineStr">
        <is>
          <t>Fournisseur IA (DealLens)</t>
        </is>
      </c>
      <c r="E22" s="20" t="inlineStr">
        <is>
          <t>Quel fournisseur, avec quelles clauses de confidentialité ?</t>
        </is>
      </c>
      <c r="F22" s="36" t="inlineStr">
        <is>
          <t>Ouvert</t>
        </is>
      </c>
      <c r="G22" s="20" t="inlineStr">
        <is>
          <t>Conseil juridique</t>
        </is>
      </c>
      <c r="H22" s="20" t="inlineStr">
        <is>
          <t>Bloque tout le lot V5</t>
        </is>
      </c>
      <c r="I22" s="20" t="inlineStr">
        <is>
          <t>Lancer la consultation dès V3</t>
        </is>
      </c>
      <c r="J22" s="54" t="inlineStr">
        <is>
          <t>09/04/2027</t>
        </is>
      </c>
    </row>
  </sheetData>
  <conditionalFormatting sqref="F6:F72">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2"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2026-09-10T13:41:14Z</dcterms:created>
  <dcterms:modified xsi:type="dcterms:W3CDTF">2026-09-10T13:41:16Z</dcterms:modified>
</cp:coreProperties>
</file>