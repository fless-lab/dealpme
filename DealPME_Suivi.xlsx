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COUNTIFS(Risques!$H$6:$H$72,"Critique",Risques!$L$6:$L$72,"&lt;&gt;Clos")+COUNTIFS(Risques!$H$6:$H$72,"Élevé",Risques!$L$6:$L$72,"&lt;&gt;Clos")</f>
        <v/>
      </c>
      <c r="I10" s="7" t="n"/>
      <c r="J10" s="9">
        <f>COUNTIF(Decisions!$F$6:$F$75,"Ouvert")+COUNTIF(Decisions!$F$6:$F$75,"En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COUNTIF(Risques!$L$6:$L$72,"Ouvert")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5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Finition frontend</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QA et livraison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30" t="inlineStr">
        <is>
          <t>Total V1</t>
        </is>
      </c>
      <c r="C36" s="30">
        <f>SUM(C22:C35)</f>
        <v/>
      </c>
      <c r="D36" s="31">
        <f>SUM(D22:D35)</f>
        <v/>
      </c>
      <c r="E36" s="32">
        <f>IF(C36=0,0,D36/C36)</f>
        <v/>
      </c>
      <c r="F36" s="30">
        <f>SUM(F22:F35)</f>
        <v/>
      </c>
      <c r="G36" s="30">
        <f>SUM(G22:G35)</f>
        <v/>
      </c>
      <c r="H36" s="30">
        <f>SUM(H22:H35)</f>
        <v/>
      </c>
      <c r="I36" s="30">
        <f>SUM(I22:I35)</f>
        <v/>
      </c>
    </row>
    <row r="38">
      <c r="B38" s="3" t="inlineStr">
        <is>
          <t>Prérequis</t>
        </is>
      </c>
    </row>
    <row r="39" ht="30" customHeight="1">
      <c r="B39" s="19" t="inlineStr">
        <is>
          <t>Capacité et responsables confirmés sur le reste à faire ; réponse sur l'API CFE/RCCM ; designer UI/UX ; cadrage Remo et fournisseurs email/SMS.</t>
        </is>
      </c>
    </row>
    <row r="40">
      <c r="B40" s="3" t="inlineStr">
        <is>
          <t>Décision ou règle</t>
        </is>
      </c>
    </row>
    <row r="41" ht="36" customHeight="1">
      <c r="B41" s="33" t="inlineStr">
        <is>
          <t>Conserver la démo RPS déjà implémentée. Priorité à la messagerie bidirectionnelle, l'audit durable, aux notifications, à la CI et aux preuves navigateur ; validation métier avant le 15/10.</t>
        </is>
      </c>
      <c r="C41" s="34" t="n"/>
      <c r="D41" s="34" t="n"/>
      <c r="E41" s="34" t="n"/>
      <c r="F41" s="34" t="n"/>
      <c r="G41" s="34" t="n"/>
      <c r="H41" s="34" t="n"/>
      <c r="I41" s="34" t="n"/>
    </row>
    <row r="44" ht="26" customHeight="1">
      <c r="B44" s="22" t="inlineStr">
        <is>
          <t>V2  Cession de titres en cercle restreint (RPS réel), signature électronique, data room et Q&amp;R</t>
        </is>
      </c>
    </row>
    <row r="45" ht="28" customHeight="1">
      <c r="B45" s="23" t="inlineStr">
        <is>
          <t>Début prévu</t>
        </is>
      </c>
      <c r="C45" s="23" t="inlineStr">
        <is>
          <t>Fin prévue</t>
        </is>
      </c>
      <c r="D45" s="23" t="inlineStr">
        <is>
          <t>Charge (j/p)</t>
        </is>
      </c>
      <c r="E45" s="23" t="inlineStr">
        <is>
          <t>Charge (sem.-pers.)</t>
        </is>
      </c>
      <c r="F45" s="23" t="inlineStr">
        <is>
          <t>Avancement</t>
        </is>
      </c>
      <c r="G45" s="23" t="inlineStr">
        <is>
          <t>État</t>
        </is>
      </c>
      <c r="H45" s="23" t="inlineStr">
        <is>
          <t>Semaines calendaires</t>
        </is>
      </c>
      <c r="I45" s="23" t="inlineStr">
        <is>
          <t>ETP requis à pleine cadence</t>
        </is>
      </c>
    </row>
    <row r="46">
      <c r="B46" s="24">
        <f>Versions!D7</f>
        <v/>
      </c>
      <c r="C46" s="24">
        <f>Versions!E7</f>
        <v/>
      </c>
      <c r="D46" s="25">
        <f>Versions!G7</f>
        <v/>
      </c>
      <c r="E46" s="26">
        <f>Versions!H7</f>
        <v/>
      </c>
      <c r="F46" s="27">
        <f>Versions!J7</f>
        <v/>
      </c>
      <c r="G46" s="28">
        <f>Versions!P7</f>
        <v/>
      </c>
      <c r="H46" s="26">
        <f>ROUND((Versions!E7-Versions!D7)/7,1)</f>
        <v/>
      </c>
      <c r="I46" s="26">
        <f>IFERROR(ROUND(Versions!H7/((Versions!E7-Versions!D7)/7),1),0)</f>
        <v/>
      </c>
    </row>
    <row r="47" ht="48" customHeight="1">
      <c r="B47" s="19" t="inlineStr">
        <is>
          <t>Le cœur du différenciateur produit : le moteur RPS complet pour les cessions de titres et la data room. Prérequis à toute diligence réelle.</t>
        </is>
      </c>
    </row>
    <row r="48">
      <c r="B48" s="3" t="inlineStr">
        <is>
          <t>Inclus</t>
        </is>
      </c>
      <c r="F48" s="3" t="inlineStr">
        <is>
          <t>Exclu ou reporté</t>
        </is>
      </c>
    </row>
    <row r="49" ht="30" customHeight="1">
      <c r="B49" s="19" t="inlineStr">
        <is>
          <t>+ Circuit RPS complet : admission humaine, plafond de cercle (défaut 50), journal réglementaire haché</t>
        </is>
      </c>
      <c r="F49" s="29" t="inlineStr">
        <is>
          <t>- Négociation, LOI, audit d'acquisition et réalisation (V3)</t>
        </is>
      </c>
    </row>
    <row r="50" ht="30" customHeight="1">
      <c r="B50" s="19" t="inlineStr">
        <is>
          <t>+ Signature électronique et preuve : prestataire PSC togolais, repli papier, archivage PSAE</t>
        </is>
      </c>
      <c r="F50" s="29" t="inlineStr">
        <is>
          <t>- Génération documentaire LegalTech (V3)</t>
        </is>
      </c>
    </row>
    <row r="51" ht="30" customHeight="1">
      <c r="B51" s="19" t="inlineStr">
        <is>
          <t>+ Data room : arborescence OHADA, rendu serveur, filigrane dynamique, téléchargement contrôlé, révocation en moins de 60 s</t>
        </is>
      </c>
    </row>
    <row r="52" ht="30" customHeight="1">
      <c r="B52" s="19" t="inlineStr">
        <is>
          <t>+ Fils de questions-réponses par document</t>
        </is>
      </c>
    </row>
    <row r="54" ht="24" customHeight="1">
      <c r="B54" s="11" t="inlineStr">
        <is>
          <t>Lot</t>
        </is>
      </c>
      <c r="C54" s="11" t="inlineStr">
        <is>
          <t>Charge (j/p)</t>
        </is>
      </c>
      <c r="D54" s="11" t="inlineStr">
        <is>
          <t>Réalisé (j/p)</t>
        </is>
      </c>
      <c r="E54" s="11" t="inlineStr">
        <is>
          <t>Avancement</t>
        </is>
      </c>
      <c r="F54" s="11" t="inlineStr">
        <is>
          <t>Tâches</t>
        </is>
      </c>
      <c r="G54" s="11" t="inlineStr">
        <is>
          <t>Complétées</t>
        </is>
      </c>
      <c r="H54" s="11" t="inlineStr">
        <is>
          <t>Bloquées</t>
        </is>
      </c>
      <c r="I54" s="11" t="inlineStr">
        <is>
          <t>En retard</t>
        </is>
      </c>
    </row>
    <row r="55">
      <c r="B55" s="13" t="inlineStr">
        <is>
          <t>Conception</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Mise en relation</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Circuit RPS réel</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Signature électronique</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Data room</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Questions-réponses</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QA et sécurité</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30" t="inlineStr">
        <is>
          <t>Total V2</t>
        </is>
      </c>
      <c r="C62" s="30">
        <f>SUM(C55:C61)</f>
        <v/>
      </c>
      <c r="D62" s="31">
        <f>SUM(D55:D61)</f>
        <v/>
      </c>
      <c r="E62" s="32">
        <f>IF(C62=0,0,D62/C62)</f>
        <v/>
      </c>
      <c r="F62" s="30">
        <f>SUM(F55:F61)</f>
        <v/>
      </c>
      <c r="G62" s="30">
        <f>SUM(G55:G61)</f>
        <v/>
      </c>
      <c r="H62" s="30">
        <f>SUM(H55:H61)</f>
        <v/>
      </c>
      <c r="I62" s="30">
        <f>SUM(I55:I61)</f>
        <v/>
      </c>
    </row>
    <row r="64">
      <c r="B64" s="3" t="inlineStr">
        <is>
          <t>Prérequis</t>
        </is>
      </c>
    </row>
    <row r="65" ht="30" customHeight="1">
      <c r="B65" s="19" t="inlineStr">
        <is>
          <t>V1 stabilisée ; identité documentaire et qualification ; RPS durci puis branché ; contrat PSC/PSAE et NDA revu juridiquement en V2.</t>
        </is>
      </c>
    </row>
    <row r="66">
      <c r="B66" s="3" t="inlineStr">
        <is>
          <t>Décision ou règle</t>
        </is>
      </c>
    </row>
    <row r="67" ht="36" customHeight="1">
      <c r="B67" s="33" t="inlineStr">
        <is>
          <t>Construire une tranche complète qualification &gt; admission &gt; NDA &gt; T2 &gt; document &gt; révocation. Les tests IA exécutables restent en V5 ; leurs contrats sont préparés en V2.</t>
        </is>
      </c>
      <c r="C67" s="34" t="n"/>
      <c r="D67" s="34" t="n"/>
      <c r="E67" s="34" t="n"/>
      <c r="F67" s="34" t="n"/>
      <c r="G67" s="34" t="n"/>
      <c r="H67" s="34" t="n"/>
      <c r="I67" s="34" t="n"/>
    </row>
    <row r="70" ht="26" customHeight="1">
      <c r="B70" s="22" t="inlineStr">
        <is>
          <t>V3  Négociation et réalisation, LegalTech OHADA, Finance et rétrocession, support, fermeture des portes de conformité</t>
        </is>
      </c>
    </row>
    <row r="71" ht="28" customHeight="1">
      <c r="B71" s="23" t="inlineStr">
        <is>
          <t>Début prévu</t>
        </is>
      </c>
      <c r="C71" s="23" t="inlineStr">
        <is>
          <t>Fin prévue</t>
        </is>
      </c>
      <c r="D71" s="23" t="inlineStr">
        <is>
          <t>Charge (j/p)</t>
        </is>
      </c>
      <c r="E71" s="23" t="inlineStr">
        <is>
          <t>Charge (sem.-pers.)</t>
        </is>
      </c>
      <c r="F71" s="23" t="inlineStr">
        <is>
          <t>Avancement</t>
        </is>
      </c>
      <c r="G71" s="23" t="inlineStr">
        <is>
          <t>État</t>
        </is>
      </c>
      <c r="H71" s="23" t="inlineStr">
        <is>
          <t>Semaines calendaires</t>
        </is>
      </c>
      <c r="I71" s="23" t="inlineStr">
        <is>
          <t>ETP requis à pleine cadence</t>
        </is>
      </c>
    </row>
    <row r="72">
      <c r="B72" s="24">
        <f>Versions!D8</f>
        <v/>
      </c>
      <c r="C72" s="24">
        <f>Versions!E8</f>
        <v/>
      </c>
      <c r="D72" s="25">
        <f>Versions!G8</f>
        <v/>
      </c>
      <c r="E72" s="26">
        <f>Versions!H8</f>
        <v/>
      </c>
      <c r="F72" s="27">
        <f>Versions!J8</f>
        <v/>
      </c>
      <c r="G72" s="28">
        <f>Versions!P8</f>
        <v/>
      </c>
      <c r="H72" s="26">
        <f>ROUND((Versions!E8-Versions!D8)/7,1)</f>
        <v/>
      </c>
      <c r="I72" s="26">
        <f>IFERROR(ROUND(Versions!H8/((Versions!E8-Versions!D8)/7),1),0)</f>
        <v/>
      </c>
    </row>
    <row r="73" ht="48" customHeight="1">
      <c r="B73" s="19" t="inlineStr">
        <is>
          <t>Ce qui rend une transaction réelle facturable et légalement défendable : négociation et réalisation, LegalTech OHADA, moteur de frais et rétrocession, support, fermeture des dix portes de conformité et durcissement de l'exploitation.</t>
        </is>
      </c>
    </row>
    <row r="74">
      <c r="B74" s="3" t="inlineStr">
        <is>
          <t>Inclus</t>
        </is>
      </c>
      <c r="F74" s="3" t="inlineStr">
        <is>
          <t>Exclu ou reporté</t>
        </is>
      </c>
    </row>
    <row r="75" ht="30" customHeight="1">
      <c r="B75" s="19" t="inlineStr">
        <is>
          <t>+ Offre, contre-offre, LOI et registre des points ouverts d'audit d'acquisition</t>
        </is>
      </c>
      <c r="F75" s="29" t="inlineStr">
        <is>
          <t>- Module Deal-Experts complet (V4 ; articulation des missions antérieures en A04)</t>
        </is>
      </c>
    </row>
    <row r="76" ht="30" customHeight="1">
      <c r="B76" s="19" t="inlineStr">
        <is>
          <t>+ Réalisation documentée sans Deal-Pay natif, création automatique du FeeEvent</t>
        </is>
      </c>
      <c r="F76" s="29" t="inlineStr">
        <is>
          <t>- Modules réseau : Alerte &amp; Rebond, Deal-Connect, Guichet Diaspora (V4)</t>
        </is>
      </c>
    </row>
    <row r="77" ht="30" customHeight="1">
      <c r="B77" s="19" t="inlineStr">
        <is>
          <t>+ LegalTech OHADA : NDA, LOI, pacte simplifié, SPA, cession d'actifs, contrat de travail (droit togolais)</t>
        </is>
      </c>
    </row>
    <row r="78" ht="30" customHeight="1">
      <c r="B78" s="19" t="inlineStr">
        <is>
          <t>+ Finance : barème de frais sous drapeau juridique, rétrocession CCI, journal de calcul recalculable, rapport trimestriel</t>
        </is>
      </c>
    </row>
    <row r="79" ht="30" customHeight="1">
      <c r="B79" s="19" t="inlineStr">
        <is>
          <t>+ Abonnements prépayés, grâce, factures NIF, paiements des services et rapprochement par rail (sans séquestre de cession)</t>
        </is>
      </c>
    </row>
    <row r="80" ht="30" customHeight="1">
      <c r="B80" s="19" t="inlineStr">
        <is>
          <t>+ Support et accès privilégiés, mode break-glass journalisé</t>
        </is>
      </c>
    </row>
    <row r="81" ht="30" customHeight="1">
      <c r="B81" s="19" t="inlineStr">
        <is>
          <t>+ Portes de conformité G1 à G10 : IPDCP, revues juridiques, DPO, pentest indépendant</t>
        </is>
      </c>
    </row>
    <row r="82" ht="30" customHeight="1">
      <c r="B82" s="19" t="inlineStr">
        <is>
          <t>+ Exploitation : supervision SLA 99,5 %, sauvegardes testées, procédure d'incident</t>
        </is>
      </c>
    </row>
    <row r="84" ht="24" customHeight="1">
      <c r="B84" s="11" t="inlineStr">
        <is>
          <t>Lot</t>
        </is>
      </c>
      <c r="C84" s="11" t="inlineStr">
        <is>
          <t>Charge (j/p)</t>
        </is>
      </c>
      <c r="D84" s="11" t="inlineStr">
        <is>
          <t>Réalisé (j/p)</t>
        </is>
      </c>
      <c r="E84" s="11" t="inlineStr">
        <is>
          <t>Avancement</t>
        </is>
      </c>
      <c r="F84" s="11" t="inlineStr">
        <is>
          <t>Tâches</t>
        </is>
      </c>
      <c r="G84" s="11" t="inlineStr">
        <is>
          <t>Complétées</t>
        </is>
      </c>
      <c r="H84" s="11" t="inlineStr">
        <is>
          <t>Bloquées</t>
        </is>
      </c>
      <c r="I84" s="11" t="inlineStr">
        <is>
          <t>En retard</t>
        </is>
      </c>
    </row>
    <row r="85">
      <c r="B85" s="13" t="inlineStr">
        <is>
          <t>Conception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LegalTech OHADA</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Conformité fiscale</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Négociation</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Audit d'acquisition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13" t="inlineStr">
        <is>
          <t>Réalisation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Finance</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Facturation abonnements</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Support</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Portes de conformité</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Exploitation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QA et livraison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30" t="inlineStr">
        <is>
          <t>Total V3</t>
        </is>
      </c>
      <c r="C97" s="30">
        <f>SUM(C85:C96)</f>
        <v/>
      </c>
      <c r="D97" s="31">
        <f>SUM(D85:D96)</f>
        <v/>
      </c>
      <c r="E97" s="32">
        <f>IF(C97=0,0,D97/C97)</f>
        <v/>
      </c>
      <c r="F97" s="30">
        <f>SUM(F85:F96)</f>
        <v/>
      </c>
      <c r="G97" s="30">
        <f>SUM(G85:G96)</f>
        <v/>
      </c>
      <c r="H97" s="30">
        <f>SUM(H85:H96)</f>
        <v/>
      </c>
      <c r="I97" s="30">
        <f>SUM(I85:I96)</f>
        <v/>
      </c>
    </row>
    <row r="99">
      <c r="B99" s="3" t="inlineStr">
        <is>
          <t>Prérequis</t>
        </is>
      </c>
    </row>
    <row r="100" ht="30" customHeight="1">
      <c r="B100" s="19" t="inlineStr">
        <is>
          <t>Qualification, NDA, T2 et data room validés en V2 ; contractualisation paiement ; avis juridique écrit sur le barème. CLOSED_REPORTED est réalisé dans V3, pas un prérequis V2.</t>
        </is>
      </c>
    </row>
    <row r="101">
      <c r="B101" s="3" t="inlineStr">
        <is>
          <t>Décision ou règle</t>
        </is>
      </c>
    </row>
    <row r="102" ht="36" customHeight="1">
      <c r="B102" s="33" t="inlineStr">
        <is>
          <t>Le barème de frais et la rétrocession ne s'activent qu'après avis juridique écrit, jamais par simple décision produit.</t>
        </is>
      </c>
      <c r="C102" s="34" t="n"/>
      <c r="D102" s="34" t="n"/>
      <c r="E102" s="34" t="n"/>
      <c r="F102" s="34" t="n"/>
      <c r="G102" s="34" t="n"/>
      <c r="H102" s="34" t="n"/>
      <c r="I102" s="34" t="n"/>
    </row>
    <row r="105" ht="26" customHeight="1">
      <c r="B105" s="22" t="inlineStr">
        <is>
          <t>V4  Alerte &amp; Rebond, Deal-Connect (Remo.co), Guichet Diaspora, Deal-Experts</t>
        </is>
      </c>
    </row>
    <row r="106" ht="28" customHeight="1">
      <c r="B106" s="23" t="inlineStr">
        <is>
          <t>Début prévu</t>
        </is>
      </c>
      <c r="C106" s="23" t="inlineStr">
        <is>
          <t>Fin prévue</t>
        </is>
      </c>
      <c r="D106" s="23" t="inlineStr">
        <is>
          <t>Charge (j/p)</t>
        </is>
      </c>
      <c r="E106" s="23" t="inlineStr">
        <is>
          <t>Charge (sem.-pers.)</t>
        </is>
      </c>
      <c r="F106" s="23" t="inlineStr">
        <is>
          <t>Avancement</t>
        </is>
      </c>
      <c r="G106" s="23" t="inlineStr">
        <is>
          <t>État</t>
        </is>
      </c>
      <c r="H106" s="23" t="inlineStr">
        <is>
          <t>Semaines calendaires</t>
        </is>
      </c>
      <c r="I106" s="23" t="inlineStr">
        <is>
          <t>ETP requis à pleine cadence</t>
        </is>
      </c>
    </row>
    <row r="107">
      <c r="B107" s="24">
        <f>Versions!D9</f>
        <v/>
      </c>
      <c r="C107" s="24">
        <f>Versions!E9</f>
        <v/>
      </c>
      <c r="D107" s="25">
        <f>Versions!G9</f>
        <v/>
      </c>
      <c r="E107" s="26">
        <f>Versions!H9</f>
        <v/>
      </c>
      <c r="F107" s="27">
        <f>Versions!J9</f>
        <v/>
      </c>
      <c r="G107" s="28">
        <f>Versions!P9</f>
        <v/>
      </c>
      <c r="H107" s="26">
        <f>ROUND((Versions!E9-Versions!D9)/7,1)</f>
        <v/>
      </c>
      <c r="I107" s="26">
        <f>IFERROR(ROUND(Versions!H9/((Versions!E9-Versions!D9)/7),1),0)</f>
        <v/>
      </c>
    </row>
    <row r="108" ht="48" customHeight="1">
      <c r="B108" s="19" t="inlineStr">
        <is>
          <t>Les modules réseau. Seul changement d'architecture notable : la brique de salons et rendez-vous virtuels est externalisée vers Remo.co plutôt que construite en propre.</t>
        </is>
      </c>
    </row>
    <row r="109">
      <c r="B109" s="3" t="inlineStr">
        <is>
          <t>Inclus</t>
        </is>
      </c>
      <c r="F109" s="3" t="inlineStr">
        <is>
          <t>Exclu ou reporté</t>
        </is>
      </c>
    </row>
    <row r="110" ht="30" customHeight="1">
      <c r="B110" s="19" t="inlineStr">
        <is>
          <t>+ Alerte &amp; Rebond : auto-diagnostic, cellule de crise confidentielle, listings d'actifs en difficulté, coupe-circuit</t>
        </is>
      </c>
      <c r="F110" s="29" t="inlineStr">
        <is>
          <t>- Mécanismes d'enchère en temps réel (non présumés contractuels)</t>
        </is>
      </c>
    </row>
    <row r="111" ht="30" customHeight="1">
      <c r="B111" s="19" t="inlineStr">
        <is>
          <t>+ Deal-Connect : événements B2B via connecteur Remo.co ; DealPME gère inscriptions, billetterie, attribution et reporting</t>
        </is>
      </c>
      <c r="F111" s="29" t="inlineStr">
        <is>
          <t>- Tout conseil de change ou d'investissement fourni par la plateforme</t>
        </is>
      </c>
    </row>
    <row r="112" ht="30" customHeight="1">
      <c r="B112" s="19" t="inlineStr">
        <is>
          <t>+ Guichet Diaspora : liste de suivi, rendez-vous sécurisé via Remo.co, contraintes transfrontalières, renvoi vers banque et conseil</t>
        </is>
      </c>
    </row>
    <row r="113" ht="30" customHeight="1">
      <c r="B113" s="19" t="inlineStr">
        <is>
          <t>+ Deal-Experts (P13 contractuel) : registre d'experts, routage, accès temporaire scopé</t>
        </is>
      </c>
    </row>
    <row r="115" ht="24" customHeight="1">
      <c r="B115" s="11" t="inlineStr">
        <is>
          <t>Lot</t>
        </is>
      </c>
      <c r="C115" s="11" t="inlineStr">
        <is>
          <t>Charge (j/p)</t>
        </is>
      </c>
      <c r="D115" s="11" t="inlineStr">
        <is>
          <t>Réalisé (j/p)</t>
        </is>
      </c>
      <c r="E115" s="11" t="inlineStr">
        <is>
          <t>Avancement</t>
        </is>
      </c>
      <c r="F115" s="11" t="inlineStr">
        <is>
          <t>Tâches</t>
        </is>
      </c>
      <c r="G115" s="11" t="inlineStr">
        <is>
          <t>Complétées</t>
        </is>
      </c>
      <c r="H115" s="11" t="inlineStr">
        <is>
          <t>Bloquées</t>
        </is>
      </c>
      <c r="I115" s="11" t="inlineStr">
        <is>
          <t>En retard</t>
        </is>
      </c>
    </row>
    <row r="116">
      <c r="B116" s="13" t="inlineStr">
        <is>
          <t>Conception</t>
        </is>
      </c>
      <c r="C116" s="12">
        <f>SUMIFS(Taches!$M$6:$M$325,Taches!$C$6:$C$325,"V4",Taches!$E$6:$E$325,$B116)</f>
        <v/>
      </c>
      <c r="D116" s="15">
        <f>SUMIFS(Taches!$N$6:$N$325,Taches!$C$6:$C$325,"V4",Taches!$E$6:$E$325,$B116)</f>
        <v/>
      </c>
      <c r="E116" s="16">
        <f>IF(C116=0,0,D116/C116)</f>
        <v/>
      </c>
      <c r="F116" s="12">
        <f>COUNTIFS(Taches!$C$6:$C$325,"V4",Taches!$E$6:$E$325,$B116,Taches!$J$6:$J$325,"&lt;&gt;Abandonnée",Taches!$B$6:$B$325,"&lt;&gt;")</f>
        <v/>
      </c>
      <c r="G116" s="12">
        <f>COUNTIFS(Taches!$C$6:$C$325,"V4",Taches!$E$6:$E$325,$B116,Taches!$J$6:$J$325,"Complétée")</f>
        <v/>
      </c>
      <c r="H116" s="12">
        <f>COUNTIFS(Taches!$C$6:$C$325,"V4",Taches!$E$6:$E$325,$B116,Taches!$J$6:$J$325,"Bloquée")</f>
        <v/>
      </c>
      <c r="I116" s="12">
        <f>COUNTIFS(Taches!$C$6:$C$325,"V4",Taches!$E$6:$E$325,$B116,Taches!$U$6:$U$325,"En retard")</f>
        <v/>
      </c>
    </row>
    <row r="117">
      <c r="B117" s="13" t="inlineStr">
        <is>
          <t>Alerte &amp; Rebond</t>
        </is>
      </c>
      <c r="C117" s="12">
        <f>SUMIFS(Taches!$M$6:$M$325,Taches!$C$6:$C$325,"V4",Taches!$E$6:$E$325,$B117)</f>
        <v/>
      </c>
      <c r="D117" s="15">
        <f>SUMIFS(Taches!$N$6:$N$325,Taches!$C$6:$C$325,"V4",Taches!$E$6:$E$325,$B117)</f>
        <v/>
      </c>
      <c r="E117" s="16">
        <f>IF(C117=0,0,D117/C117)</f>
        <v/>
      </c>
      <c r="F117" s="12">
        <f>COUNTIFS(Taches!$C$6:$C$325,"V4",Taches!$E$6:$E$325,$B117,Taches!$J$6:$J$325,"&lt;&gt;Abandonnée",Taches!$B$6:$B$325,"&lt;&gt;")</f>
        <v/>
      </c>
      <c r="G117" s="12">
        <f>COUNTIFS(Taches!$C$6:$C$325,"V4",Taches!$E$6:$E$325,$B117,Taches!$J$6:$J$325,"Complétée")</f>
        <v/>
      </c>
      <c r="H117" s="12">
        <f>COUNTIFS(Taches!$C$6:$C$325,"V4",Taches!$E$6:$E$325,$B117,Taches!$J$6:$J$325,"Bloquée")</f>
        <v/>
      </c>
      <c r="I117" s="12">
        <f>COUNTIFS(Taches!$C$6:$C$325,"V4",Taches!$E$6:$E$325,$B117,Taches!$U$6:$U$325,"En retard")</f>
        <v/>
      </c>
    </row>
    <row r="118">
      <c r="B118" s="13" t="inlineStr">
        <is>
          <t>Actifs en difficulté</t>
        </is>
      </c>
      <c r="C118" s="12">
        <f>SUMIFS(Taches!$M$6:$M$325,Taches!$C$6:$C$325,"V4",Taches!$E$6:$E$325,$B118)</f>
        <v/>
      </c>
      <c r="D118" s="15">
        <f>SUMIFS(Taches!$N$6:$N$325,Taches!$C$6:$C$325,"V4",Taches!$E$6:$E$325,$B118)</f>
        <v/>
      </c>
      <c r="E118" s="16">
        <f>IF(C118=0,0,D118/C118)</f>
        <v/>
      </c>
      <c r="F118" s="12">
        <f>COUNTIFS(Taches!$C$6:$C$325,"V4",Taches!$E$6:$E$325,$B118,Taches!$J$6:$J$325,"&lt;&gt;Abandonnée",Taches!$B$6:$B$325,"&lt;&gt;")</f>
        <v/>
      </c>
      <c r="G118" s="12">
        <f>COUNTIFS(Taches!$C$6:$C$325,"V4",Taches!$E$6:$E$325,$B118,Taches!$J$6:$J$325,"Complétée")</f>
        <v/>
      </c>
      <c r="H118" s="12">
        <f>COUNTIFS(Taches!$C$6:$C$325,"V4",Taches!$E$6:$E$325,$B118,Taches!$J$6:$J$325,"Bloquée")</f>
        <v/>
      </c>
      <c r="I118" s="12">
        <f>COUNTIFS(Taches!$C$6:$C$325,"V4",Taches!$E$6:$E$325,$B118,Taches!$U$6:$U$325,"En retard")</f>
        <v/>
      </c>
    </row>
    <row r="119">
      <c r="B119" s="13" t="inlineStr">
        <is>
          <t>Deal-Connect</t>
        </is>
      </c>
      <c r="C119" s="12">
        <f>SUMIFS(Taches!$M$6:$M$325,Taches!$C$6:$C$325,"V4",Taches!$E$6:$E$325,$B119)</f>
        <v/>
      </c>
      <c r="D119" s="15">
        <f>SUMIFS(Taches!$N$6:$N$325,Taches!$C$6:$C$325,"V4",Taches!$E$6:$E$325,$B119)</f>
        <v/>
      </c>
      <c r="E119" s="16">
        <f>IF(C119=0,0,D119/C119)</f>
        <v/>
      </c>
      <c r="F119" s="12">
        <f>COUNTIFS(Taches!$C$6:$C$325,"V4",Taches!$E$6:$E$325,$B119,Taches!$J$6:$J$325,"&lt;&gt;Abandonnée",Taches!$B$6:$B$325,"&lt;&gt;")</f>
        <v/>
      </c>
      <c r="G119" s="12">
        <f>COUNTIFS(Taches!$C$6:$C$325,"V4",Taches!$E$6:$E$325,$B119,Taches!$J$6:$J$325,"Complétée")</f>
        <v/>
      </c>
      <c r="H119" s="12">
        <f>COUNTIFS(Taches!$C$6:$C$325,"V4",Taches!$E$6:$E$325,$B119,Taches!$J$6:$J$325,"Bloquée")</f>
        <v/>
      </c>
      <c r="I119" s="12">
        <f>COUNTIFS(Taches!$C$6:$C$325,"V4",Taches!$E$6:$E$325,$B119,Taches!$U$6:$U$325,"En retard")</f>
        <v/>
      </c>
    </row>
    <row r="120">
      <c r="B120" s="13" t="inlineStr">
        <is>
          <t>Guichet Diaspora</t>
        </is>
      </c>
      <c r="C120" s="12">
        <f>SUMIFS(Taches!$M$6:$M$325,Taches!$C$6:$C$325,"V4",Taches!$E$6:$E$325,$B120)</f>
        <v/>
      </c>
      <c r="D120" s="15">
        <f>SUMIFS(Taches!$N$6:$N$325,Taches!$C$6:$C$325,"V4",Taches!$E$6:$E$325,$B120)</f>
        <v/>
      </c>
      <c r="E120" s="16">
        <f>IF(C120=0,0,D120/C120)</f>
        <v/>
      </c>
      <c r="F120" s="12">
        <f>COUNTIFS(Taches!$C$6:$C$325,"V4",Taches!$E$6:$E$325,$B120,Taches!$J$6:$J$325,"&lt;&gt;Abandonnée",Taches!$B$6:$B$325,"&lt;&gt;")</f>
        <v/>
      </c>
      <c r="G120" s="12">
        <f>COUNTIFS(Taches!$C$6:$C$325,"V4",Taches!$E$6:$E$325,$B120,Taches!$J$6:$J$325,"Complétée")</f>
        <v/>
      </c>
      <c r="H120" s="12">
        <f>COUNTIFS(Taches!$C$6:$C$325,"V4",Taches!$E$6:$E$325,$B120,Taches!$J$6:$J$325,"Bloquée")</f>
        <v/>
      </c>
      <c r="I120" s="12">
        <f>COUNTIFS(Taches!$C$6:$C$325,"V4",Taches!$E$6:$E$325,$B120,Taches!$U$6:$U$325,"En retard")</f>
        <v/>
      </c>
    </row>
    <row r="121">
      <c r="B121" s="13" t="inlineStr">
        <is>
          <t>Deal-Experts</t>
        </is>
      </c>
      <c r="C121" s="12">
        <f>SUMIFS(Taches!$M$6:$M$325,Taches!$C$6:$C$325,"V4",Taches!$E$6:$E$325,$B121)</f>
        <v/>
      </c>
      <c r="D121" s="15">
        <f>SUMIFS(Taches!$N$6:$N$325,Taches!$C$6:$C$325,"V4",Taches!$E$6:$E$325,$B121)</f>
        <v/>
      </c>
      <c r="E121" s="16">
        <f>IF(C121=0,0,D121/C121)</f>
        <v/>
      </c>
      <c r="F121" s="12">
        <f>COUNTIFS(Taches!$C$6:$C$325,"V4",Taches!$E$6:$E$325,$B121,Taches!$J$6:$J$325,"&lt;&gt;Abandonnée",Taches!$B$6:$B$325,"&lt;&gt;")</f>
        <v/>
      </c>
      <c r="G121" s="12">
        <f>COUNTIFS(Taches!$C$6:$C$325,"V4",Taches!$E$6:$E$325,$B121,Taches!$J$6:$J$325,"Complétée")</f>
        <v/>
      </c>
      <c r="H121" s="12">
        <f>COUNTIFS(Taches!$C$6:$C$325,"V4",Taches!$E$6:$E$325,$B121,Taches!$J$6:$J$325,"Bloquée")</f>
        <v/>
      </c>
      <c r="I121" s="12">
        <f>COUNTIFS(Taches!$C$6:$C$325,"V4",Taches!$E$6:$E$325,$B121,Taches!$U$6:$U$325,"En retard")</f>
        <v/>
      </c>
    </row>
    <row r="122">
      <c r="B122" s="13" t="inlineStr">
        <is>
          <t>QA et livraison</t>
        </is>
      </c>
      <c r="C122" s="12">
        <f>SUMIFS(Taches!$M$6:$M$325,Taches!$C$6:$C$325,"V4",Taches!$E$6:$E$325,$B122)</f>
        <v/>
      </c>
      <c r="D122" s="15">
        <f>SUMIFS(Taches!$N$6:$N$325,Taches!$C$6:$C$325,"V4",Taches!$E$6:$E$325,$B122)</f>
        <v/>
      </c>
      <c r="E122" s="16">
        <f>IF(C122=0,0,D122/C122)</f>
        <v/>
      </c>
      <c r="F122" s="12">
        <f>COUNTIFS(Taches!$C$6:$C$325,"V4",Taches!$E$6:$E$325,$B122,Taches!$J$6:$J$325,"&lt;&gt;Abandonnée",Taches!$B$6:$B$325,"&lt;&gt;")</f>
        <v/>
      </c>
      <c r="G122" s="12">
        <f>COUNTIFS(Taches!$C$6:$C$325,"V4",Taches!$E$6:$E$325,$B122,Taches!$J$6:$J$325,"Complétée")</f>
        <v/>
      </c>
      <c r="H122" s="12">
        <f>COUNTIFS(Taches!$C$6:$C$325,"V4",Taches!$E$6:$E$325,$B122,Taches!$J$6:$J$325,"Bloquée")</f>
        <v/>
      </c>
      <c r="I122" s="12">
        <f>COUNTIFS(Taches!$C$6:$C$325,"V4",Taches!$E$6:$E$325,$B122,Taches!$U$6:$U$325,"En retard")</f>
        <v/>
      </c>
    </row>
    <row r="123">
      <c r="B123" s="30" t="inlineStr">
        <is>
          <t>Total V4</t>
        </is>
      </c>
      <c r="C123" s="30">
        <f>SUM(C116:C122)</f>
        <v/>
      </c>
      <c r="D123" s="31">
        <f>SUM(D116:D122)</f>
        <v/>
      </c>
      <c r="E123" s="32">
        <f>IF(C123=0,0,D123/C123)</f>
        <v/>
      </c>
      <c r="F123" s="30">
        <f>SUM(F116:F122)</f>
        <v/>
      </c>
      <c r="G123" s="30">
        <f>SUM(G116:G122)</f>
        <v/>
      </c>
      <c r="H123" s="30">
        <f>SUM(H116:H122)</f>
        <v/>
      </c>
      <c r="I123" s="30">
        <f>SUM(I116:I122)</f>
        <v/>
      </c>
    </row>
    <row r="125">
      <c r="B125" s="3" t="inlineStr">
        <is>
          <t>Prérequis</t>
        </is>
      </c>
    </row>
    <row r="126" ht="30" customHeight="1">
      <c r="B126" s="19" t="inlineStr">
        <is>
          <t>Portes de conformité fermées (V3) ; cadrage écrit de l'intégration Remo.co.</t>
        </is>
      </c>
    </row>
    <row r="127">
      <c r="B127" s="3" t="inlineStr">
        <is>
          <t>Décision ou règle</t>
        </is>
      </c>
    </row>
    <row r="128" ht="36" customHeight="1">
      <c r="B128" s="33" t="inlineStr">
        <is>
          <t>Remo.co est retenu. Le périmètre exact (SSO natif, webhooks de présence, marque blanche) dépend du plan Remo.co choisi.</t>
        </is>
      </c>
      <c r="C128" s="34" t="n"/>
      <c r="D128" s="34" t="n"/>
      <c r="E128" s="34" t="n"/>
      <c r="F128" s="34" t="n"/>
      <c r="G128" s="34" t="n"/>
      <c r="H128" s="34" t="n"/>
      <c r="I128" s="34" t="n"/>
    </row>
    <row r="131" ht="26" customHeight="1">
      <c r="B131" s="22" t="inlineStr">
        <is>
          <t>V5  VDR Intelligence : DealLens, Evidence Map, Issue Radar, Clean Team</t>
        </is>
      </c>
    </row>
    <row r="132" ht="28" customHeight="1">
      <c r="B132" s="23" t="inlineStr">
        <is>
          <t>Début prévu</t>
        </is>
      </c>
      <c r="C132" s="23" t="inlineStr">
        <is>
          <t>Fin prévue</t>
        </is>
      </c>
      <c r="D132" s="23" t="inlineStr">
        <is>
          <t>Charge (j/p)</t>
        </is>
      </c>
      <c r="E132" s="23" t="inlineStr">
        <is>
          <t>Charge (sem.-pers.)</t>
        </is>
      </c>
      <c r="F132" s="23" t="inlineStr">
        <is>
          <t>Avancement</t>
        </is>
      </c>
      <c r="G132" s="23" t="inlineStr">
        <is>
          <t>État</t>
        </is>
      </c>
      <c r="H132" s="23" t="inlineStr">
        <is>
          <t>Semaines calendaires</t>
        </is>
      </c>
      <c r="I132" s="23" t="inlineStr">
        <is>
          <t>ETP requis à pleine cadence</t>
        </is>
      </c>
    </row>
    <row r="133">
      <c r="B133" s="24">
        <f>Versions!D10</f>
        <v/>
      </c>
      <c r="C133" s="24">
        <f>Versions!E10</f>
        <v/>
      </c>
      <c r="D133" s="25">
        <f>Versions!G10</f>
        <v/>
      </c>
      <c r="E133" s="26">
        <f>Versions!H10</f>
        <v/>
      </c>
      <c r="F133" s="27">
        <f>Versions!J10</f>
        <v/>
      </c>
      <c r="G133" s="28">
        <f>Versions!P10</f>
        <v/>
      </c>
      <c r="H133" s="26">
        <f>ROUND((Versions!E10-Versions!D10)/7,1)</f>
        <v/>
      </c>
      <c r="I133" s="26">
        <f>IFERROR(ROUND(Versions!H10/((Versions!E10-Versions!D10)/7),1),0)</f>
        <v/>
      </c>
    </row>
    <row r="134" ht="48" customHeight="1">
      <c r="B134" s="19" t="inlineStr">
        <is>
          <t>Le module le plus spécifié du corpus existant et pourtant le plus éloigné de la production : aucun fournisseur IA n'est engagé. Placé en dernier car le moins urgent contractuellement et le plus risqué techniquement.</t>
        </is>
      </c>
    </row>
    <row r="135">
      <c r="B135" s="3" t="inlineStr">
        <is>
          <t>Inclus</t>
        </is>
      </c>
      <c r="F135" s="3" t="inlineStr">
        <is>
          <t>Exclu ou reporté</t>
        </is>
      </c>
    </row>
    <row r="136" ht="30" customHeight="1">
      <c r="B136" s="19" t="inlineStr">
        <is>
          <t>+ Contrat fournisseur IA et pare-feu de permission : filtrage avant récupération, jamais après</t>
        </is>
      </c>
      <c r="F136" s="29" t="inlineStr">
        <is>
          <t>- Toute action autonome de l'IA : publication, changement de permission, certification, réponse au cédant</t>
        </is>
      </c>
    </row>
    <row r="137" ht="30" customHeight="1">
      <c r="B137" s="19" t="inlineStr">
        <is>
          <t>+ Neuf surfaces : Cockpit, DealLens document et salle, Issue Radar, Evidence Map, Atelier Q&amp;R, Engagement Pulse, Audit, Accès et Clean Team</t>
        </is>
      </c>
    </row>
    <row r="138" ht="30" customHeight="1">
      <c r="B138" s="19" t="inlineStr">
        <is>
          <t>+ Rapprochement financier, intelligence de version, caviardage assisté avec revue humaine</t>
        </is>
      </c>
    </row>
    <row r="139" ht="30" customHeight="1">
      <c r="B139" s="19" t="inlineStr">
        <is>
          <t>+ Tests AI-01 à AI-06, DOC-01 à DOC-03, Q&amp;A-01, UI-01</t>
        </is>
      </c>
    </row>
    <row r="141" ht="24" customHeight="1">
      <c r="B141" s="11" t="inlineStr">
        <is>
          <t>Lot</t>
        </is>
      </c>
      <c r="C141" s="11" t="inlineStr">
        <is>
          <t>Charge (j/p)</t>
        </is>
      </c>
      <c r="D141" s="11" t="inlineStr">
        <is>
          <t>Réalisé (j/p)</t>
        </is>
      </c>
      <c r="E141" s="11" t="inlineStr">
        <is>
          <t>Avancement</t>
        </is>
      </c>
      <c r="F141" s="11" t="inlineStr">
        <is>
          <t>Tâches</t>
        </is>
      </c>
      <c r="G141" s="11" t="inlineStr">
        <is>
          <t>Complétées</t>
        </is>
      </c>
      <c r="H141" s="11" t="inlineStr">
        <is>
          <t>Bloquées</t>
        </is>
      </c>
      <c r="I141" s="11" t="inlineStr">
        <is>
          <t>En retard</t>
        </is>
      </c>
    </row>
    <row r="142">
      <c r="B142" s="13" t="inlineStr">
        <is>
          <t>Conception</t>
        </is>
      </c>
      <c r="C142" s="12">
        <f>SUMIFS(Taches!$M$6:$M$325,Taches!$C$6:$C$325,"V5",Taches!$E$6:$E$325,$B142)</f>
        <v/>
      </c>
      <c r="D142" s="15">
        <f>SUMIFS(Taches!$N$6:$N$325,Taches!$C$6:$C$325,"V5",Taches!$E$6:$E$325,$B142)</f>
        <v/>
      </c>
      <c r="E142" s="16">
        <f>IF(C142=0,0,D142/C142)</f>
        <v/>
      </c>
      <c r="F142" s="12">
        <f>COUNTIFS(Taches!$C$6:$C$325,"V5",Taches!$E$6:$E$325,$B142,Taches!$J$6:$J$325,"&lt;&gt;Abandonnée",Taches!$B$6:$B$325,"&lt;&gt;")</f>
        <v/>
      </c>
      <c r="G142" s="12">
        <f>COUNTIFS(Taches!$C$6:$C$325,"V5",Taches!$E$6:$E$325,$B142,Taches!$J$6:$J$325,"Complétée")</f>
        <v/>
      </c>
      <c r="H142" s="12">
        <f>COUNTIFS(Taches!$C$6:$C$325,"V5",Taches!$E$6:$E$325,$B142,Taches!$J$6:$J$325,"Bloquée")</f>
        <v/>
      </c>
      <c r="I142" s="12">
        <f>COUNTIFS(Taches!$C$6:$C$325,"V5",Taches!$E$6:$E$325,$B142,Taches!$U$6:$U$325,"En retard")</f>
        <v/>
      </c>
    </row>
    <row r="143">
      <c r="B143" s="13" t="inlineStr">
        <is>
          <t>Fournisseur IA</t>
        </is>
      </c>
      <c r="C143" s="12">
        <f>SUMIFS(Taches!$M$6:$M$325,Taches!$C$6:$C$325,"V5",Taches!$E$6:$E$325,$B143)</f>
        <v/>
      </c>
      <c r="D143" s="15">
        <f>SUMIFS(Taches!$N$6:$N$325,Taches!$C$6:$C$325,"V5",Taches!$E$6:$E$325,$B143)</f>
        <v/>
      </c>
      <c r="E143" s="16">
        <f>IF(C143=0,0,D143/C143)</f>
        <v/>
      </c>
      <c r="F143" s="12">
        <f>COUNTIFS(Taches!$C$6:$C$325,"V5",Taches!$E$6:$E$325,$B143,Taches!$J$6:$J$325,"&lt;&gt;Abandonnée",Taches!$B$6:$B$325,"&lt;&gt;")</f>
        <v/>
      </c>
      <c r="G143" s="12">
        <f>COUNTIFS(Taches!$C$6:$C$325,"V5",Taches!$E$6:$E$325,$B143,Taches!$J$6:$J$325,"Complétée")</f>
        <v/>
      </c>
      <c r="H143" s="12">
        <f>COUNTIFS(Taches!$C$6:$C$325,"V5",Taches!$E$6:$E$325,$B143,Taches!$J$6:$J$325,"Bloquée")</f>
        <v/>
      </c>
      <c r="I143" s="12">
        <f>COUNTIFS(Taches!$C$6:$C$325,"V5",Taches!$E$6:$E$325,$B143,Taches!$U$6:$U$325,"En retard")</f>
        <v/>
      </c>
    </row>
    <row r="144">
      <c r="B144" s="13" t="inlineStr">
        <is>
          <t>Ingestion</t>
        </is>
      </c>
      <c r="C144" s="12">
        <f>SUMIFS(Taches!$M$6:$M$325,Taches!$C$6:$C$325,"V5",Taches!$E$6:$E$325,$B144)</f>
        <v/>
      </c>
      <c r="D144" s="15">
        <f>SUMIFS(Taches!$N$6:$N$325,Taches!$C$6:$C$325,"V5",Taches!$E$6:$E$325,$B144)</f>
        <v/>
      </c>
      <c r="E144" s="16">
        <f>IF(C144=0,0,D144/C144)</f>
        <v/>
      </c>
      <c r="F144" s="12">
        <f>COUNTIFS(Taches!$C$6:$C$325,"V5",Taches!$E$6:$E$325,$B144,Taches!$J$6:$J$325,"&lt;&gt;Abandonnée",Taches!$B$6:$B$325,"&lt;&gt;")</f>
        <v/>
      </c>
      <c r="G144" s="12">
        <f>COUNTIFS(Taches!$C$6:$C$325,"V5",Taches!$E$6:$E$325,$B144,Taches!$J$6:$J$325,"Complétée")</f>
        <v/>
      </c>
      <c r="H144" s="12">
        <f>COUNTIFS(Taches!$C$6:$C$325,"V5",Taches!$E$6:$E$325,$B144,Taches!$J$6:$J$325,"Bloquée")</f>
        <v/>
      </c>
      <c r="I144" s="12">
        <f>COUNTIFS(Taches!$C$6:$C$325,"V5",Taches!$E$6:$E$325,$B144,Taches!$U$6:$U$325,"En retard")</f>
        <v/>
      </c>
    </row>
    <row r="145">
      <c r="B145" s="13" t="inlineStr">
        <is>
          <t>DealLens</t>
        </is>
      </c>
      <c r="C145" s="12">
        <f>SUMIFS(Taches!$M$6:$M$325,Taches!$C$6:$C$325,"V5",Taches!$E$6:$E$325,$B145)</f>
        <v/>
      </c>
      <c r="D145" s="15">
        <f>SUMIFS(Taches!$N$6:$N$325,Taches!$C$6:$C$325,"V5",Taches!$E$6:$E$325,$B145)</f>
        <v/>
      </c>
      <c r="E145" s="16">
        <f>IF(C145=0,0,D145/C145)</f>
        <v/>
      </c>
      <c r="F145" s="12">
        <f>COUNTIFS(Taches!$C$6:$C$325,"V5",Taches!$E$6:$E$325,$B145,Taches!$J$6:$J$325,"&lt;&gt;Abandonnée",Taches!$B$6:$B$325,"&lt;&gt;")</f>
        <v/>
      </c>
      <c r="G145" s="12">
        <f>COUNTIFS(Taches!$C$6:$C$325,"V5",Taches!$E$6:$E$325,$B145,Taches!$J$6:$J$325,"Complétée")</f>
        <v/>
      </c>
      <c r="H145" s="12">
        <f>COUNTIFS(Taches!$C$6:$C$325,"V5",Taches!$E$6:$E$325,$B145,Taches!$J$6:$J$325,"Bloquée")</f>
        <v/>
      </c>
      <c r="I145" s="12">
        <f>COUNTIFS(Taches!$C$6:$C$325,"V5",Taches!$E$6:$E$325,$B145,Taches!$U$6:$U$325,"En retard")</f>
        <v/>
      </c>
    </row>
    <row r="146">
      <c r="B146" s="13" t="inlineStr">
        <is>
          <t>Surfaces</t>
        </is>
      </c>
      <c r="C146" s="12">
        <f>SUMIFS(Taches!$M$6:$M$325,Taches!$C$6:$C$325,"V5",Taches!$E$6:$E$325,$B146)</f>
        <v/>
      </c>
      <c r="D146" s="15">
        <f>SUMIFS(Taches!$N$6:$N$325,Taches!$C$6:$C$325,"V5",Taches!$E$6:$E$325,$B146)</f>
        <v/>
      </c>
      <c r="E146" s="16">
        <f>IF(C146=0,0,D146/C146)</f>
        <v/>
      </c>
      <c r="F146" s="12">
        <f>COUNTIFS(Taches!$C$6:$C$325,"V5",Taches!$E$6:$E$325,$B146,Taches!$J$6:$J$325,"&lt;&gt;Abandonnée",Taches!$B$6:$B$325,"&lt;&gt;")</f>
        <v/>
      </c>
      <c r="G146" s="12">
        <f>COUNTIFS(Taches!$C$6:$C$325,"V5",Taches!$E$6:$E$325,$B146,Taches!$J$6:$J$325,"Complétée")</f>
        <v/>
      </c>
      <c r="H146" s="12">
        <f>COUNTIFS(Taches!$C$6:$C$325,"V5",Taches!$E$6:$E$325,$B146,Taches!$J$6:$J$325,"Bloquée")</f>
        <v/>
      </c>
      <c r="I146" s="12">
        <f>COUNTIFS(Taches!$C$6:$C$325,"V5",Taches!$E$6:$E$325,$B146,Taches!$U$6:$U$325,"En retard")</f>
        <v/>
      </c>
    </row>
    <row r="147">
      <c r="B147" s="13" t="inlineStr">
        <is>
          <t>Accès</t>
        </is>
      </c>
      <c r="C147" s="12">
        <f>SUMIFS(Taches!$M$6:$M$325,Taches!$C$6:$C$325,"V5",Taches!$E$6:$E$325,$B147)</f>
        <v/>
      </c>
      <c r="D147" s="15">
        <f>SUMIFS(Taches!$N$6:$N$325,Taches!$C$6:$C$325,"V5",Taches!$E$6:$E$325,$B147)</f>
        <v/>
      </c>
      <c r="E147" s="16">
        <f>IF(C147=0,0,D147/C147)</f>
        <v/>
      </c>
      <c r="F147" s="12">
        <f>COUNTIFS(Taches!$C$6:$C$325,"V5",Taches!$E$6:$E$325,$B147,Taches!$J$6:$J$325,"&lt;&gt;Abandonnée",Taches!$B$6:$B$325,"&lt;&gt;")</f>
        <v/>
      </c>
      <c r="G147" s="12">
        <f>COUNTIFS(Taches!$C$6:$C$325,"V5",Taches!$E$6:$E$325,$B147,Taches!$J$6:$J$325,"Complétée")</f>
        <v/>
      </c>
      <c r="H147" s="12">
        <f>COUNTIFS(Taches!$C$6:$C$325,"V5",Taches!$E$6:$E$325,$B147,Taches!$J$6:$J$325,"Bloquée")</f>
        <v/>
      </c>
      <c r="I147" s="12">
        <f>COUNTIFS(Taches!$C$6:$C$325,"V5",Taches!$E$6:$E$325,$B147,Taches!$U$6:$U$325,"En retard")</f>
        <v/>
      </c>
    </row>
    <row r="148">
      <c r="B148" s="13" t="inlineStr">
        <is>
          <t>QA IA</t>
        </is>
      </c>
      <c r="C148" s="12">
        <f>SUMIFS(Taches!$M$6:$M$325,Taches!$C$6:$C$325,"V5",Taches!$E$6:$E$325,$B148)</f>
        <v/>
      </c>
      <c r="D148" s="15">
        <f>SUMIFS(Taches!$N$6:$N$325,Taches!$C$6:$C$325,"V5",Taches!$E$6:$E$325,$B148)</f>
        <v/>
      </c>
      <c r="E148" s="16">
        <f>IF(C148=0,0,D148/C148)</f>
        <v/>
      </c>
      <c r="F148" s="12">
        <f>COUNTIFS(Taches!$C$6:$C$325,"V5",Taches!$E$6:$E$325,$B148,Taches!$J$6:$J$325,"&lt;&gt;Abandonnée",Taches!$B$6:$B$325,"&lt;&gt;")</f>
        <v/>
      </c>
      <c r="G148" s="12">
        <f>COUNTIFS(Taches!$C$6:$C$325,"V5",Taches!$E$6:$E$325,$B148,Taches!$J$6:$J$325,"Complétée")</f>
        <v/>
      </c>
      <c r="H148" s="12">
        <f>COUNTIFS(Taches!$C$6:$C$325,"V5",Taches!$E$6:$E$325,$B148,Taches!$J$6:$J$325,"Bloquée")</f>
        <v/>
      </c>
      <c r="I148" s="12">
        <f>COUNTIFS(Taches!$C$6:$C$325,"V5",Taches!$E$6:$E$325,$B148,Taches!$U$6:$U$325,"En retard")</f>
        <v/>
      </c>
    </row>
    <row r="149">
      <c r="B149" s="30" t="inlineStr">
        <is>
          <t>Total V5</t>
        </is>
      </c>
      <c r="C149" s="30">
        <f>SUM(C142:C148)</f>
        <v/>
      </c>
      <c r="D149" s="31">
        <f>SUM(D142:D148)</f>
        <v/>
      </c>
      <c r="E149" s="32">
        <f>IF(C149=0,0,D149/C149)</f>
        <v/>
      </c>
      <c r="F149" s="30">
        <f>SUM(F142:F148)</f>
        <v/>
      </c>
      <c r="G149" s="30">
        <f>SUM(G142:G148)</f>
        <v/>
      </c>
      <c r="H149" s="30">
        <f>SUM(H142:H148)</f>
        <v/>
      </c>
      <c r="I149" s="30">
        <f>SUM(I142:I148)</f>
        <v/>
      </c>
    </row>
    <row r="151">
      <c r="B151" s="3" t="inlineStr">
        <is>
          <t>Prérequis</t>
        </is>
      </c>
    </row>
    <row r="152" ht="30" customHeight="1">
      <c r="B152" s="19" t="inlineStr">
        <is>
          <t>Data room de production stable (V2) ; contrat fournisseur IA avec clauses de confidentialité.</t>
        </is>
      </c>
    </row>
    <row r="153">
      <c r="B153" s="3" t="inlineStr">
        <is>
          <t>Décision ou règle</t>
        </is>
      </c>
    </row>
    <row r="154" ht="36" customHeight="1">
      <c r="B154" s="33" t="inlineStr">
        <is>
          <t>DealLens reste assistif et lecture seule : il explique, résume, extrait et propose, il ne décide jamais.</t>
        </is>
      </c>
      <c r="C154" s="34" t="n"/>
      <c r="D154" s="34" t="n"/>
      <c r="E154" s="34" t="n"/>
      <c r="F154" s="34" t="n"/>
      <c r="G154" s="34" t="n"/>
      <c r="H154" s="34" t="n"/>
      <c r="I154" s="34" t="n"/>
    </row>
  </sheetData>
  <mergeCells count="61">
    <mergeCell ref="F13:I13"/>
    <mergeCell ref="F111:I111"/>
    <mergeCell ref="B100:I100"/>
    <mergeCell ref="B49:E49"/>
    <mergeCell ref="B154:I154"/>
    <mergeCell ref="B47:I47"/>
    <mergeCell ref="B139:E139"/>
    <mergeCell ref="B15:E15"/>
    <mergeCell ref="B134:I134"/>
    <mergeCell ref="B51:E51"/>
    <mergeCell ref="B80:E80"/>
    <mergeCell ref="B102:I102"/>
    <mergeCell ref="F136:I136"/>
    <mergeCell ref="F49:I49"/>
    <mergeCell ref="B10:E10"/>
    <mergeCell ref="B131:I131"/>
    <mergeCell ref="B76:E76"/>
    <mergeCell ref="B110:E110"/>
    <mergeCell ref="B70:I70"/>
    <mergeCell ref="B79:E79"/>
    <mergeCell ref="B105:I105"/>
    <mergeCell ref="B50:E50"/>
    <mergeCell ref="B39:I39"/>
    <mergeCell ref="B75:E75"/>
    <mergeCell ref="B113:E113"/>
    <mergeCell ref="B152:I152"/>
    <mergeCell ref="F11:I11"/>
    <mergeCell ref="B16:E16"/>
    <mergeCell ref="B138:E138"/>
    <mergeCell ref="B67:I67"/>
    <mergeCell ref="B81:E81"/>
    <mergeCell ref="F10:I10"/>
    <mergeCell ref="B8:I8"/>
    <mergeCell ref="B73:I73"/>
    <mergeCell ref="B18:E18"/>
    <mergeCell ref="B44:I44"/>
    <mergeCell ref="B12:E12"/>
    <mergeCell ref="B52:E52"/>
    <mergeCell ref="F12:I12"/>
    <mergeCell ref="B77:E77"/>
    <mergeCell ref="B11:E11"/>
    <mergeCell ref="B128:I128"/>
    <mergeCell ref="B108:I108"/>
    <mergeCell ref="B111:E111"/>
    <mergeCell ref="B65:I65"/>
    <mergeCell ref="B14:E14"/>
    <mergeCell ref="B136:E136"/>
    <mergeCell ref="F76:I76"/>
    <mergeCell ref="B17:E17"/>
    <mergeCell ref="F50:I50"/>
    <mergeCell ref="F110:I110"/>
    <mergeCell ref="B13:E13"/>
    <mergeCell ref="F75:I75"/>
    <mergeCell ref="B82:E82"/>
    <mergeCell ref="B78:E78"/>
    <mergeCell ref="B5:I5"/>
    <mergeCell ref="B112:E112"/>
    <mergeCell ref="B19:E19"/>
    <mergeCell ref="B41:I41"/>
    <mergeCell ref="B137:E137"/>
    <mergeCell ref="B126:I126"/>
  </mergeCells>
  <conditionalFormatting sqref="E22:E35">
    <cfRule type="dataBar" priority="1">
      <dataBar>
        <cfvo type="num" val="0"/>
        <cfvo type="num" val="1"/>
        <color rgb="006678F1"/>
      </dataBar>
    </cfRule>
  </conditionalFormatting>
  <conditionalFormatting sqref="H22:I35">
    <cfRule type="expression" priority="2" dxfId="4">
      <formula>H22&gt;0</formula>
    </cfRule>
  </conditionalFormatting>
  <conditionalFormatting sqref="E55:E61">
    <cfRule type="dataBar" priority="3">
      <dataBar>
        <cfvo type="num" val="0"/>
        <cfvo type="num" val="1"/>
        <color rgb="006678F1"/>
      </dataBar>
    </cfRule>
  </conditionalFormatting>
  <conditionalFormatting sqref="H55:I61">
    <cfRule type="expression" priority="4" dxfId="4">
      <formula>H55&gt;0</formula>
    </cfRule>
  </conditionalFormatting>
  <conditionalFormatting sqref="E85:E96">
    <cfRule type="dataBar" priority="5">
      <dataBar>
        <cfvo type="num" val="0"/>
        <cfvo type="num" val="1"/>
        <color rgb="006678F1"/>
      </dataBar>
    </cfRule>
  </conditionalFormatting>
  <conditionalFormatting sqref="H85:I96">
    <cfRule type="expression" priority="6" dxfId="4">
      <formula>H85&gt;0</formula>
    </cfRule>
  </conditionalFormatting>
  <conditionalFormatting sqref="E116:E122">
    <cfRule type="dataBar" priority="7">
      <dataBar>
        <cfvo type="num" val="0"/>
        <cfvo type="num" val="1"/>
        <color rgb="006678F1"/>
      </dataBar>
    </cfRule>
  </conditionalFormatting>
  <conditionalFormatting sqref="H116:I122">
    <cfRule type="expression" priority="8" dxfId="4">
      <formula>H116&gt;0</formula>
    </cfRule>
  </conditionalFormatting>
  <conditionalFormatting sqref="E142:E148">
    <cfRule type="dataBar" priority="9">
      <dataBar>
        <cfvo type="num" val="0"/>
        <cfvo type="num" val="1"/>
        <color rgb="006678F1"/>
      </dataBar>
    </cfRule>
  </conditionalFormatting>
  <conditionalFormatting sqref="H142:I148">
    <cfRule type="expression" priority="10" dxfId="4">
      <formula>H142&gt;0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2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20"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Fin réelle</t>
        </is>
      </c>
      <c r="C7" s="20"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8" ht="44" customHeight="1">
      <c r="B8" s="35" t="inlineStr">
        <is>
          <t>Mettre à jour une tâche</t>
        </is>
      </c>
      <c r="C8"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9" ht="44" customHeight="1">
      <c r="B9" s="35" t="inlineStr">
        <is>
          <t>Ajouter une tâche</t>
        </is>
      </c>
      <c r="C9"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0" ht="44" customHeight="1">
      <c r="B10" s="35" t="inlineStr">
        <is>
          <t>Abandonner une tâche</t>
        </is>
      </c>
      <c r="C10" s="20" t="inlineStr">
        <is>
          <t>Mettre le statut 'Abandonnée' : la tâche sort des totaux de charge sans être supprimée (traçabilité).</t>
        </is>
      </c>
    </row>
    <row r="11" ht="44" customHeight="1">
      <c r="B11" s="35" t="inlineStr">
        <is>
          <t>Codes couleur</t>
        </is>
      </c>
      <c r="C11" s="20" t="inlineStr">
        <is>
          <t>Cellules jaune pâle : à saisir. Cellules grises : calculées, ne pas modifier. Statuts colorés automatiquement (vert complétée, ambre en cours, rouge bloquée).</t>
        </is>
      </c>
    </row>
    <row r="12" ht="44" customHeight="1">
      <c r="B12" s="35" t="inlineStr">
        <is>
          <t>Modules</t>
        </is>
      </c>
      <c r="C12" s="20" t="inlineStr">
        <is>
          <t>Avancement pondéré par la charge des tâches du module. Colonnes Responsable et Commentaire à saisir. Les éléments hors périmètre v0 sont listés pour mémoire, sans tâche.</t>
        </is>
      </c>
    </row>
    <row r="13" ht="44" customHeight="1">
      <c r="B13" s="35" t="inlineStr">
        <is>
          <t>Versions</t>
        </is>
      </c>
      <c r="C13" s="20" t="inlineStr">
        <is>
          <t>Les dates de début et de fin se saisissent ici. L'état passe automatiquement à 'En dépassement' si la date de fin est passée sans 100 %.</t>
        </is>
      </c>
    </row>
    <row r="14" ht="44" customHeight="1">
      <c r="B14" s="35" t="inlineStr">
        <is>
          <t>Jalons</t>
        </is>
      </c>
      <c r="C14" s="20" t="inlineStr">
        <is>
          <t>Saisir la date cible et le statut. La colonne Alerte signale 'Dépassé' ou 'Cette semaine'. Le tableau de bord affiche le prochain jalon non atteint.</t>
        </is>
      </c>
    </row>
    <row r="15" ht="44" customHeight="1">
      <c r="B15" s="35" t="inlineStr">
        <is>
          <t>Risques</t>
        </is>
      </c>
      <c r="C15" s="20" t="inlineStr">
        <is>
          <t>Saisir probabilité et impact de 1 à 5. Le score et le niveau se calculent. Passer le statut à 'Clos' quand le risque est levé.</t>
        </is>
      </c>
    </row>
    <row r="16" ht="44" customHeight="1">
      <c r="B16" s="35" t="inlineStr">
        <is>
          <t>Securite</t>
        </is>
      </c>
      <c r="C16" s="20" t="inlineStr">
        <is>
          <t>Registre des constats de sécurité : chaque ligne renvoie à la tâche qui la traite ; le statut et l'avancement se lisent automatiquement. Un report vers une version ultérieure doit être justifié et accompagné d'une mitigation.</t>
        </is>
      </c>
    </row>
    <row r="17" ht="44" customHeight="1">
      <c r="B17" s="35" t="inlineStr">
        <is>
          <t>Decisions</t>
        </is>
      </c>
      <c r="C17" s="20" t="inlineStr">
        <is>
          <t>Toute demande de changement de périmètre s'inscrit ici avant d'être traduite en tâches. Statut : Ouvert, En discussion, Tranché.</t>
        </is>
      </c>
    </row>
    <row r="18" ht="44" customHeight="1">
      <c r="B18" s="35" t="inlineStr">
        <is>
          <t>Gantt</t>
        </is>
      </c>
      <c r="C18" s="20" t="inlineStr">
        <is>
          <t>Barres hebdomadaires calculées depuis 'Début prévu' et 'Fin prévue' de chaque tâche. Modifier les dates dans Taches, pas dans le Gantt. La colonne de la semaine courante est surlignée.</t>
        </is>
      </c>
    </row>
    <row r="19" ht="44" customHeight="1">
      <c r="B19" s="35" t="inlineStr">
        <is>
          <t>Unités</t>
        </is>
      </c>
      <c r="C19" s="20" t="inlineStr">
        <is>
          <t>Charges en jours-personne (j/p). 5 j/p = 1 semaine-personne. Le calendrier réel dépend du nombre de personnes réellement affectées.</t>
        </is>
      </c>
    </row>
    <row r="20" ht="44" customHeight="1">
      <c r="B20" s="35" t="inlineStr">
        <is>
          <t>Paramètres</t>
        </is>
      </c>
      <c r="C20" s="20" t="inlineStr">
        <is>
          <t>Les listes déroulantes et l'avancement par défaut de chaque statut se modifient dans l'onglet Parametres.</t>
        </is>
      </c>
    </row>
    <row r="21" ht="44" customHeight="1">
      <c r="B21" s="35" t="inlineStr">
        <is>
          <t>Partage</t>
        </is>
      </c>
      <c r="C21"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Panne partenaire ne produit jamais une fausse attestation</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À faire</t>
        </is>
      </c>
      <c r="K230" s="39" t="n"/>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À faire</t>
        </is>
      </c>
      <c r="K232" s="39" t="n"/>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À faire</t>
        </is>
      </c>
      <c r="K233" s="39" t="n"/>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À faire</t>
        </is>
      </c>
      <c r="K242" s="39" t="n"/>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À faire</t>
        </is>
      </c>
      <c r="K243" s="39" t="n"/>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À faire</t>
        </is>
      </c>
      <c r="K244" s="39" t="n"/>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À faire</t>
        </is>
      </c>
      <c r="K245" s="39" t="n"/>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3" t="inlineStr">
        <is>
          <t>Socle V0</t>
        </is>
      </c>
      <c r="E24" s="20" t="inlineStr">
        <is>
          <t>P13</t>
        </is>
      </c>
      <c r="F24" s="20"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PSC/PSAE pendant V1 ; disposer d'un gabarit NDA revu en V2, sans attendre LegalTech V3 ; jalon J08 maintenu</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V2, clauses de non-réutilisation des données ; contrat attendu le 15/01/2027 (J16 et A08 alignés)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row r="20">
      <c r="B20" s="54" t="inlineStr">
        <is>
          <t>R15</t>
        </is>
      </c>
      <c r="C20" s="20" t="inlineStr">
        <is>
          <t>Compléments d'intégration et de recette insuffisamment suivis</t>
        </is>
      </c>
      <c r="D20" s="20" t="inlineStr">
        <is>
          <t>Qualité du suivi</t>
        </is>
      </c>
      <c r="E20" s="36" t="n">
        <v>3</v>
      </c>
      <c r="F20" s="36" t="n">
        <v>4</v>
      </c>
      <c r="G20" s="12">
        <f>E20*F20</f>
        <v/>
      </c>
      <c r="H20" s="12">
        <f>IF(G20&gt;=15,"Critique",IF(G20&gt;=8,"Élevé",IF(G20&gt;=4,"Moyen","Faible")))</f>
        <v/>
      </c>
      <c r="I20" s="54" t="inlineStr">
        <is>
          <t>V1</t>
        </is>
      </c>
      <c r="J20" s="20" t="inlineStr">
        <is>
          <t>Chef de projet</t>
        </is>
      </c>
      <c r="K20" s="20" t="inlineStr">
        <is>
          <t>Acquis conservés ; correctifs, intégrations et preuves suivis dans des tâches distinctes, reliées aux travaux initiaux</t>
        </is>
      </c>
      <c r="L20" s="36" t="inlineStr">
        <is>
          <t>Ouvert</t>
        </is>
      </c>
    </row>
    <row r="21">
      <c r="B21" s="54" t="inlineStr">
        <is>
          <t>R16</t>
        </is>
      </c>
      <c r="C21" s="20" t="inlineStr">
        <is>
          <t>Paiements, facturation prépayée et KYC documentaire absents du plan détaillé</t>
        </is>
      </c>
      <c r="D21" s="20" t="inlineStr">
        <is>
          <t>Périmètre</t>
        </is>
      </c>
      <c r="E21" s="36" t="n">
        <v>4</v>
      </c>
      <c r="F21" s="36" t="n">
        <v>5</v>
      </c>
      <c r="G21" s="12">
        <f>E21*F21</f>
        <v/>
      </c>
      <c r="H21" s="12">
        <f>IF(G21&gt;=15,"Critique",IF(G21&gt;=8,"Élevé",IF(G21&gt;=4,"Moyen","Faible")))</f>
        <v/>
      </c>
      <c r="I21" s="54" t="inlineStr">
        <is>
          <t>V3</t>
        </is>
      </c>
      <c r="J21" s="20" t="inlineStr">
        <is>
          <t>Chef de projet</t>
        </is>
      </c>
      <c r="K21" s="20" t="inlineStr">
        <is>
          <t>Exigences v0 réintroduites en V2-046 et V3-044/045 ; consulter les fournisseurs pendant V1/V2 et revalider les charges sans déplacer les versions</t>
        </is>
      </c>
      <c r="L21" s="36" t="inlineStr">
        <is>
          <t>Ouvert</t>
        </is>
      </c>
    </row>
    <row r="22">
      <c r="B22" s="54" t="inlineStr">
        <is>
          <t>R17</t>
        </is>
      </c>
      <c r="C22" s="20" t="inlineStr">
        <is>
          <t>Admissions et journal RPS non protégés contre la concurrence</t>
        </is>
      </c>
      <c r="D22" s="20" t="inlineStr">
        <is>
          <t>Technique</t>
        </is>
      </c>
      <c r="E22" s="36" t="n">
        <v>4</v>
      </c>
      <c r="F22" s="36" t="n">
        <v>5</v>
      </c>
      <c r="G22" s="12">
        <f>E22*F22</f>
        <v/>
      </c>
      <c r="H22" s="12">
        <f>IF(G22&gt;=15,"Critique",IF(G22&gt;=8,"Élevé",IF(G22&gt;=4,"Moyen","Faible")))</f>
        <v/>
      </c>
      <c r="I22" s="54" t="inlineStr">
        <is>
          <t>V2</t>
        </is>
      </c>
      <c r="J22" s="20" t="inlineStr">
        <is>
          <t>Chef de projet</t>
        </is>
      </c>
      <c r="K22" s="20" t="inlineStr">
        <is>
          <t>V2-044 avant V2-045 : tests concurrents, transactions, append-only, identité interservices ; ne pas activer les titres sur la seule foi des tests unitaires</t>
        </is>
      </c>
      <c r="L22" s="36" t="inlineStr">
        <is>
          <t>Ouvert</t>
        </is>
      </c>
    </row>
  </sheetData>
  <conditionalFormatting sqref="H6:H72">
    <cfRule type="expression" priority="1" dxfId="1">
      <formula>H6="Critique"</formula>
    </cfRule>
    <cfRule type="expression" priority="2" dxfId="5">
      <formula>H6="Élevé"</formula>
    </cfRule>
    <cfRule type="expression" priority="3" dxfId="6">
      <formula>H6="Moyen"</formula>
    </cfRule>
  </conditionalFormatting>
  <conditionalFormatting sqref="L6:L72">
    <cfRule type="expression" priority="4" dxfId="2">
      <formula>L6="Clos"</formula>
    </cfRule>
  </conditionalFormatting>
  <dataValidations count="2">
    <dataValidation sqref="E6:F72" showDropDown="0" showInputMessage="0" showErrorMessage="0" allowBlank="0" type="whole" operator="between">
      <formula1>1</formula1>
      <formula2>5</formula2>
    </dataValidation>
    <dataValidation sqref="L6:L72"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20" t="inlineStr">
        <is>
          <t>Une règle de conception écrite dans les conventions mais sans artefact ni test : le registre des contrôles d'interface était exigé par nos propres documents et n'existait nulle part (constat du 11/09/2026)</t>
        </is>
      </c>
      <c r="D16" s="20" t="inlineStr">
        <is>
          <t>Dérive silencieuse : 376 identifiants inventés, condition bloquante de recette non tenue</t>
        </is>
      </c>
      <c r="E16" s="20" t="inlineStr">
        <is>
          <t>Registre importé dans le dépôt (qa/registre-interactions.json) et test qui refuse tout identifiant inconnu ; preuve de couverture produite automatiquement</t>
        </is>
      </c>
      <c r="F16" s="54" t="inlineStr">
        <is>
          <t>V1</t>
        </is>
      </c>
      <c r="G16" s="20"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20" t="inlineStr">
        <is>
          <t>Aucun pentest indépendant</t>
        </is>
      </c>
      <c r="D17" s="20" t="inlineStr">
        <is>
          <t>Failles non détectées par l'équipe elle-même</t>
        </is>
      </c>
      <c r="E17" s="20" t="inlineStr">
        <is>
          <t>Reporté en V3 (porte G10) : exige un prestataire externe et un périmètre stabilisé ; mitigation V1 = revue interne S08, aucun environnement public avant V3 ; commander le pentest dès V2</t>
        </is>
      </c>
      <c r="F17" s="54" t="inlineStr">
        <is>
          <t>V3</t>
        </is>
      </c>
      <c r="G17" s="20"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20" t="inlineStr">
        <is>
          <t>Documents servis sans rendu serveur ni filigrane (data room absente en V1)</t>
        </is>
      </c>
      <c r="D18" s="20" t="inlineStr">
        <is>
          <t>Fuite de documents confidentiels</t>
        </is>
      </c>
      <c r="E18" s="20" t="inlineStr">
        <is>
          <t>Reporté en V2 avec la data room : rendu serveur, filigrane, URL pré-signées courtes, révocation en moins de 60 s ; V1 ne stocke aucun document de data room</t>
        </is>
      </c>
      <c r="F18" s="54" t="inlineStr">
        <is>
          <t>V2</t>
        </is>
      </c>
      <c r="G18" s="20"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20" t="inlineStr">
        <is>
          <t>Preuve de signature non qualifiée (pas de NDA en V1)</t>
        </is>
      </c>
      <c r="D19" s="20" t="inlineStr">
        <is>
          <t>NDA non opposable</t>
        </is>
      </c>
      <c r="E19" s="20" t="inlineStr">
        <is>
          <t>Reporté en V2 : prestataire PSC accrédité ARCEP, archivage PSAE ; V1 n'exécute aucun NDA</t>
        </is>
      </c>
      <c r="F19" s="54" t="inlineStr">
        <is>
          <t>V2</t>
        </is>
      </c>
      <c r="G19" s="20"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20" t="inlineStr">
        <is>
          <t>Accès administrateur non tracé par mode break-glass</t>
        </is>
      </c>
      <c r="D20" s="20" t="inlineStr">
        <is>
          <t>Accès silencieux à des dossiers confidentiels</t>
        </is>
      </c>
      <c r="E20" s="20" t="inlineStr">
        <is>
          <t>Reporté en V3 avec le module support ; V1 : journal d'audit persisté sur toute action sensible, aucun endpoint d'accès aux données confidentielles pour l'administrateur</t>
        </is>
      </c>
      <c r="F20" s="54" t="inlineStr">
        <is>
          <t>V3</t>
        </is>
      </c>
      <c r="G20" s="20"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20" t="inlineStr">
        <is>
          <t>Vérification d'identité documentaire sans biométrie</t>
        </is>
      </c>
      <c r="D21" s="20" t="inlineStr">
        <is>
          <t>Usurpation d'identité au-delà de ce que le document capture</t>
        </is>
      </c>
      <c r="E21" s="20" t="inlineStr">
        <is>
          <t>Voulu par le v0 : biométrie interdite sans autorisation IPDCP (drapeau FEATURE_BIOMETRIC_KYC fermé) ; revue humaine et recoupement RCCM en V1</t>
        </is>
      </c>
      <c r="F21" s="54" t="inlineStr">
        <is>
          <t>P2</t>
        </is>
      </c>
      <c r="G21" s="20" t="inlineStr"/>
      <c r="H21" s="12">
        <f>IF($G21="","Sans tâche",IFERROR(INDEX(Taches!$J$6:$J$325,MATCH($G21,Taches!$F$6:$F$325,0)),"À planifier"))</f>
        <v/>
      </c>
      <c r="I21" s="16">
        <f>IF($G21="","",IFERROR(INDEX(Taches!$L$6:$L$325,MATCH($G21,Taches!$F$6:$F$325,0)),0))</f>
        <v/>
      </c>
      <c r="J21" s="37" t="n"/>
    </row>
    <row r="22" ht="58" customHeight="1">
      <c r="B22" s="54" t="inlineStr">
        <is>
          <t>S14</t>
        </is>
      </c>
      <c r="C22" s="20" t="inlineStr">
        <is>
          <t>Portes de conformité G1 à G10 non fermées (IPDCP, DPO, avis juridiques)</t>
        </is>
      </c>
      <c r="D22" s="20" t="inlineStr">
        <is>
          <t>Lancement commercial juridiquement exposé</t>
        </is>
      </c>
      <c r="E22" s="20" t="inlineStr">
        <is>
          <t>Reporté en V3 : condition explicite de lancement ; V1 est une démonstration à données synthétiques, jamais un service public</t>
        </is>
      </c>
      <c r="F22" s="54" t="inlineStr">
        <is>
          <t>V3</t>
        </is>
      </c>
      <c r="G22" s="20"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Articulation Deal-Experts (P13)</t>
        </is>
      </c>
      <c r="E13" s="20" t="inlineStr">
        <is>
          <t>Le référentiel p. 23-24 classe explicitement P13 en socle contractuel, art. 12.3. Confirmer l'organisation des missions nécessaires à Deal-Ready et à l'audit avant le module complet V4.</t>
        </is>
      </c>
      <c r="F13" s="36" t="inlineStr">
        <is>
          <t>Ouvert</t>
        </is>
      </c>
      <c r="G13" s="20" t="inlineStr">
        <is>
          <t>CCI-Togo</t>
        </is>
      </c>
      <c r="H13" s="20" t="inlineStr">
        <is>
          <t>V4 conservée ; responsabilités et accès experts des parcours antérieurs à expliciter</t>
        </is>
      </c>
      <c r="I13" s="20" t="inlineStr">
        <is>
          <t>Valider une modalité opérationnelle avec la CCI-Togo avant V2</t>
        </is>
      </c>
      <c r="J13" s="54" t="inlineStr">
        <is>
          <t>15/10/2026</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A15</t>
        </is>
      </c>
      <c r="C17" s="54" t="inlineStr">
        <is>
          <t>11/09/2026</t>
        </is>
      </c>
      <c r="D17" s="20" t="inlineStr">
        <is>
          <t>Registre d'interactions</t>
        </is>
      </c>
      <c r="E17" s="20"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20" t="inlineStr">
        <is>
          <t>Chef de projet</t>
        </is>
      </c>
      <c r="H17" s="20" t="inlineStr">
        <is>
          <t>Au 12/09 : 371 identifiants relevés, 365 contrats à documenter ; PASS de couverture ne vaut pas PASS de recette</t>
        </is>
      </c>
      <c r="I17" s="20" t="inlineStr">
        <is>
          <t>Documenter et tester les parcours V1 en V1-092, puis terminer et étendre en V2-003</t>
        </is>
      </c>
      <c r="J17" s="54" t="inlineStr">
        <is>
          <t>25/11/2026</t>
        </is>
      </c>
    </row>
    <row r="18">
      <c r="B18" s="54" t="inlineStr">
        <is>
          <t>A13</t>
        </is>
      </c>
      <c r="C18" s="54" t="inlineStr">
        <is>
          <t>02/10/2026</t>
        </is>
      </c>
      <c r="D18" s="20" t="inlineStr">
        <is>
          <t>Retrait d'une publication</t>
        </is>
      </c>
      <c r="E18"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20" t="inlineStr">
        <is>
          <t>M. Bruno</t>
        </is>
      </c>
      <c r="H18" s="20" t="inlineStr">
        <is>
          <t>Un cédant qui suspend une vente ne doit pas avoir à abandonner son dossier</t>
        </is>
      </c>
      <c r="I18" s="20" t="inlineStr">
        <is>
          <t>Trancher avant le début de V2</t>
        </is>
      </c>
      <c r="J18" s="54" t="inlineStr">
        <is>
          <t>16/10/2026</t>
        </is>
      </c>
    </row>
    <row r="19">
      <c r="B19" s="54" t="inlineStr">
        <is>
          <t>A12</t>
        </is>
      </c>
      <c r="C19" s="54" t="inlineStr">
        <is>
          <t>24/09/2026</t>
        </is>
      </c>
      <c r="D19" s="20" t="inlineStr">
        <is>
          <t>Certification visible dans le jeu de démonstration</t>
        </is>
      </c>
      <c r="E19"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20" t="inlineStr">
        <is>
          <t>Chef de projet</t>
        </is>
      </c>
      <c r="H19" s="20" t="inlineStr">
        <is>
          <t>La démonstration montre les deux états, certifié et non certifié, sans altérer les cas de référence</t>
        </is>
      </c>
      <c r="I19" s="20" t="inlineStr">
        <is>
          <t>Confirmer le choix du dossier certifié avec M. Bruno avant la répétition générale</t>
        </is>
      </c>
      <c r="J19" s="54" t="inlineStr">
        <is>
          <t>12/10/2026</t>
        </is>
      </c>
    </row>
    <row r="20">
      <c r="B20" s="54" t="inlineStr">
        <is>
          <t>A11</t>
        </is>
      </c>
      <c r="C20" s="54" t="inlineStr">
        <is>
          <t>23/09/2026</t>
        </is>
      </c>
      <c r="D20" s="20" t="inlineStr">
        <is>
          <t>Formats acceptés en pièce de dossier</t>
        </is>
      </c>
      <c r="E20"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20" t="inlineStr">
        <is>
          <t>Chef de projet</t>
        </is>
      </c>
      <c r="H20" s="20" t="inlineStr">
        <is>
          <t>Ergonomie réelle contre surface de risque, arbitrée par l'analyse antivirus obligatoire</t>
        </is>
      </c>
      <c r="I20" s="20" t="inlineStr">
        <is>
          <t>Revoir si le pentest de V3 signale un vecteur bureautique</t>
        </is>
      </c>
      <c r="J20" s="54" t="inlineStr">
        <is>
          <t>18/12/2026</t>
        </is>
      </c>
    </row>
    <row r="21">
      <c r="B21" s="54" t="inlineStr">
        <is>
          <t>A10</t>
        </is>
      </c>
      <c r="C21" s="54" t="inlineStr">
        <is>
          <t>15/09/2026</t>
        </is>
      </c>
      <c r="D21" s="20" t="inlineStr">
        <is>
          <t>Préalable à la certification</t>
        </is>
      </c>
      <c r="E21" s="20" t="inlineStr">
        <is>
          <t>L'octroi Deal-Ready exige une vérification RCCM ou CFE enregistrée pour l'entreprise ; le serveur refuse l'octroi sans elle (INVALID_TRANSITION). Le refus et le retrait restent possibles sans vérification.</t>
        </is>
      </c>
      <c r="F21" s="36" t="inlineStr">
        <is>
          <t>Tranché</t>
        </is>
      </c>
      <c r="G21" s="20" t="inlineStr">
        <is>
          <t>Chef de projet</t>
        </is>
      </c>
      <c r="H21" s="20" t="inlineStr">
        <is>
          <t>Évite un badge accordé sur des données uniquement déclaratives</t>
        </is>
      </c>
      <c r="I21" s="20" t="inlineStr">
        <is>
          <t>Confirmer la règle avec la CCI-Togo lors de la recette</t>
        </is>
      </c>
      <c r="J21" s="54" t="inlineStr">
        <is>
          <t>15/10/2026</t>
        </is>
      </c>
    </row>
    <row r="22">
      <c r="B22" s="54" t="inlineStr">
        <is>
          <t>A09</t>
        </is>
      </c>
      <c r="C22" s="54" t="inlineStr">
        <is>
          <t>10/09/2026</t>
        </is>
      </c>
      <c r="D22" s="20" t="inlineStr">
        <is>
          <t>Palette de l'application</t>
        </is>
      </c>
      <c r="E22"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20" t="inlineStr">
        <is>
          <t>Designer UI/UX</t>
        </is>
      </c>
      <c r="H22" s="20" t="inlineStr">
        <is>
          <t>Cohérence visuelle entre application et site public</t>
        </is>
      </c>
      <c r="I22" s="20" t="inlineStr">
        <is>
          <t>Trancher dès la nomination du designer</t>
        </is>
      </c>
      <c r="J22" s="54" t="inlineStr">
        <is>
          <t>18/09/2026</t>
        </is>
      </c>
    </row>
    <row r="23">
      <c r="B23" s="54" t="inlineStr">
        <is>
          <t>A08</t>
        </is>
      </c>
      <c r="C23" s="54" t="inlineStr">
        <is>
          <t>09/09/2026</t>
        </is>
      </c>
      <c r="D23" s="20" t="inlineStr">
        <is>
          <t>Fournisseur IA (DealLens)</t>
        </is>
      </c>
      <c r="E23" s="20" t="inlineStr">
        <is>
          <t>Quel fournisseur, avec quelles clauses de confidentialité ?</t>
        </is>
      </c>
      <c r="F23" s="36" t="inlineStr">
        <is>
          <t>Ouvert</t>
        </is>
      </c>
      <c r="G23" s="20" t="inlineStr">
        <is>
          <t>Conseil juridique</t>
        </is>
      </c>
      <c r="H23" s="20" t="inlineStr">
        <is>
          <t>Bloque tout le lot V5</t>
        </is>
      </c>
      <c r="I23" s="20" t="inlineStr">
        <is>
          <t>Consultation dès V2 ; échéance alignée sur J16, avant le début de V5</t>
        </is>
      </c>
      <c r="J23" s="54" t="inlineStr">
        <is>
          <t>15/01/2027</t>
        </is>
      </c>
    </row>
    <row r="24">
      <c r="B24" s="54" t="inlineStr">
        <is>
          <t>D05</t>
        </is>
      </c>
      <c r="C24" s="54" t="inlineStr">
        <is>
          <t>12/09/2026</t>
        </is>
      </c>
      <c r="D24" s="20" t="inlineStr">
        <is>
          <t>Enrichissement du suivi et conservation des acquis</t>
        </is>
      </c>
      <c r="E24" s="20"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20" t="inlineStr">
        <is>
          <t>Chef de projet</t>
        </is>
      </c>
      <c r="H24" s="20" t="inlineStr">
        <is>
          <t>Suivi enrichi sans retrait des réalisations ; charges additionnelles visibles</t>
        </is>
      </c>
      <c r="I24" s="20" t="inlineStr">
        <is>
          <t>Réaliser et clôturer les compléments au fil des livraisons</t>
        </is>
      </c>
      <c r="J24" s="54" t="inlineStr">
        <is>
          <t>18/09/2026</t>
        </is>
      </c>
    </row>
    <row r="25">
      <c r="B25" s="54" t="inlineStr">
        <is>
          <t>A16</t>
        </is>
      </c>
      <c r="C25" s="54" t="inlineStr">
        <is>
          <t>12/09/2026</t>
        </is>
      </c>
      <c r="D25" s="20" t="inlineStr">
        <is>
          <t>Prestataires email, SMS et paiement</t>
        </is>
      </c>
      <c r="E25" s="20" t="inlineStr">
        <is>
          <t>Confirmer les prestataires, les accès de test et le responsable de chaque intégration. Les adaptateurs factices ne valident pas un service réel.</t>
        </is>
      </c>
      <c r="F25" s="36" t="inlineStr">
        <is>
          <t>Ouvert</t>
        </is>
      </c>
      <c r="G25" s="20" t="inlineStr">
        <is>
          <t>M. Bruno</t>
        </is>
      </c>
      <c r="H25" s="20" t="inlineStr">
        <is>
          <t>Conditionne identité, notifications et facturation avant lancement</t>
        </is>
      </c>
      <c r="I25" s="20" t="inlineStr">
        <is>
          <t>Email/SMS dès V1 ; agrégateur principal et secours à cadrer pendant V2</t>
        </is>
      </c>
      <c r="J25" s="54" t="inlineStr">
        <is>
          <t>18/09/2026</t>
        </is>
      </c>
    </row>
  </sheetData>
  <conditionalFormatting sqref="F6:F75">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5"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2026-09-12T02:10:00Z</dcterms:created>
  <dcterms:modified xsi:type="dcterms:W3CDTF">2026-09-12T02:10:12Z</dcterms:modified>
</cp:coreProperties>
</file>