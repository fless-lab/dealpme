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COUNTIFS(Risques!$H$6:$H$68,"Critique",Risques!$L$6:$L$68,"&lt;&gt;Clos")+COUNTIFS(Risques!$H$6:$H$68,"Élevé",Risques!$L$6:$L$68,"&lt;&gt;Clos")</f>
        <v/>
      </c>
      <c r="I10" s="7" t="n"/>
      <c r="J10" s="9">
        <f>COUNTIF(Decisions!$F$6:$F$67,"Ouvert")+COUNTIF(Decisions!$F$6:$F$67,"En discussion")</f>
        <v/>
      </c>
      <c r="K10" s="7" t="n"/>
      <c r="L10" s="9">
        <f>COUNTIF(Jalons!$I$6:$I$22,"Dépassé")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COUNTIF(Risques!$L$6:$L$68,"Ouvert")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IFERROR(INDEX(Jalons!$C$6:$C$22,MATCH(MIN(Jalons!$J$6:$J$22),Jalons!$J$6:$J$22,0)),"Aucun")</f>
        <v/>
      </c>
      <c r="J49" s="4">
        <f>IFERROR(MIN(Jalons!$J$6:$J$22),"")</f>
        <v/>
      </c>
    </row>
    <row r="50">
      <c r="B50" s="3" t="inlineStr">
        <is>
          <t>Jalons des 30 prochains jours</t>
        </is>
      </c>
      <c r="D50" s="5">
        <f>COUNTIFS(Jalons!$E$6:$E$22,"&gt;="&amp;TODAY(),Jalons!$E$6:$E$22,"&lt;="&amp;(TODAY()+30),Jalons!$F$6:$F$22,"&lt;&gt;Atteint")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Fondations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Auth et rôles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Espace CCI-Togo</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Deal-Ready</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Dossier cédant</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Marketplace actifs</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Évaluation indicative</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Démonstration RPS</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Deal-Connect (Remo)</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Sécurité</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Frontend et design</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QA et livraison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30" t="inlineStr">
        <is>
          <t>Total V1</t>
        </is>
      </c>
      <c r="C34" s="30">
        <f>SUM(C22:C33)</f>
        <v/>
      </c>
      <c r="D34" s="31">
        <f>SUM(D22:D33)</f>
        <v/>
      </c>
      <c r="E34" s="32">
        <f>IF(C34=0,0,D34/C34)</f>
        <v/>
      </c>
      <c r="F34" s="30">
        <f>SUM(F22:F33)</f>
        <v/>
      </c>
      <c r="G34" s="30">
        <f>SUM(G22:G33)</f>
        <v/>
      </c>
      <c r="H34" s="30">
        <f>SUM(H22:H33)</f>
        <v/>
      </c>
      <c r="I34" s="30">
        <f>SUM(I22:I33)</f>
        <v/>
      </c>
    </row>
    <row r="36">
      <c r="B36" s="3" t="inlineStr">
        <is>
          <t>Prérequis</t>
        </is>
      </c>
    </row>
    <row r="37" ht="30" customHeight="1">
      <c r="B37" s="19" t="inlineStr">
        <is>
          <t>Équipe de développement confirmée (5 à 6 profils) ; réponse sur l'API CFE/RCCM ; designer UI/UX confirmé.</t>
        </is>
      </c>
    </row>
    <row r="38">
      <c r="B38" s="3" t="inlineStr">
        <is>
          <t>Décision ou règle</t>
        </is>
      </c>
    </row>
    <row r="39" ht="36" customHeight="1">
      <c r="B39" s="33" t="inlineStr">
        <is>
          <t>La démonstration RPS fait partie de V1. Sans équipe à 5 ou 6 profils, la démonstration RPS est le premier lot à retirer, avant le matching automatisé.</t>
        </is>
      </c>
      <c r="C39" s="34" t="n"/>
      <c r="D39" s="34" t="n"/>
      <c r="E39" s="34" t="n"/>
      <c r="F39" s="34" t="n"/>
      <c r="G39" s="34" t="n"/>
      <c r="H39" s="34" t="n"/>
      <c r="I39" s="34" t="n"/>
    </row>
    <row r="42" ht="26" customHeight="1">
      <c r="B42" s="22" t="inlineStr">
        <is>
          <t>V2  Cession de titres en cercle restreint (RPS réel), signature électronique, data room et Q&amp;R</t>
        </is>
      </c>
    </row>
    <row r="43" ht="28" customHeight="1">
      <c r="B43" s="23" t="inlineStr">
        <is>
          <t>Début prévu</t>
        </is>
      </c>
      <c r="C43" s="23" t="inlineStr">
        <is>
          <t>Fin prévue</t>
        </is>
      </c>
      <c r="D43" s="23" t="inlineStr">
        <is>
          <t>Charge (j/p)</t>
        </is>
      </c>
      <c r="E43" s="23" t="inlineStr">
        <is>
          <t>Charge (sem.-pers.)</t>
        </is>
      </c>
      <c r="F43" s="23" t="inlineStr">
        <is>
          <t>Avancement</t>
        </is>
      </c>
      <c r="G43" s="23" t="inlineStr">
        <is>
          <t>État</t>
        </is>
      </c>
      <c r="H43" s="23" t="inlineStr">
        <is>
          <t>Semaines calendaires</t>
        </is>
      </c>
      <c r="I43" s="23" t="inlineStr">
        <is>
          <t>ETP requis à pleine cadence</t>
        </is>
      </c>
    </row>
    <row r="44">
      <c r="B44" s="24">
        <f>Versions!D7</f>
        <v/>
      </c>
      <c r="C44" s="24">
        <f>Versions!E7</f>
        <v/>
      </c>
      <c r="D44" s="25">
        <f>Versions!G7</f>
        <v/>
      </c>
      <c r="E44" s="26">
        <f>Versions!H7</f>
        <v/>
      </c>
      <c r="F44" s="27">
        <f>Versions!J7</f>
        <v/>
      </c>
      <c r="G44" s="28">
        <f>Versions!P7</f>
        <v/>
      </c>
      <c r="H44" s="26">
        <f>ROUND((Versions!E7-Versions!D7)/7,1)</f>
        <v/>
      </c>
      <c r="I44" s="26">
        <f>IFERROR(ROUND(Versions!H7/((Versions!E7-Versions!D7)/7),1),0)</f>
        <v/>
      </c>
    </row>
    <row r="45" ht="48" customHeight="1">
      <c r="B45" s="19" t="inlineStr">
        <is>
          <t>Le cœur du différenciateur produit : le moteur RPS complet pour les cessions de titres et la data room. Prérequis à toute diligence réelle.</t>
        </is>
      </c>
    </row>
    <row r="46">
      <c r="B46" s="3" t="inlineStr">
        <is>
          <t>Inclus</t>
        </is>
      </c>
      <c r="F46" s="3" t="inlineStr">
        <is>
          <t>Exclu ou reporté</t>
        </is>
      </c>
    </row>
    <row r="47" ht="30" customHeight="1">
      <c r="B47" s="19" t="inlineStr">
        <is>
          <t>+ Circuit RPS complet : admission humaine, plafond de cercle (défaut 50), journal réglementaire haché</t>
        </is>
      </c>
      <c r="F47" s="29" t="inlineStr">
        <is>
          <t>- Négociation, LOI, audit d'acquisition et réalisation (V3)</t>
        </is>
      </c>
    </row>
    <row r="48" ht="30" customHeight="1">
      <c r="B48" s="19" t="inlineStr">
        <is>
          <t>+ Signature électronique et preuve : prestataire PSC togolais, repli papier, archivage PSAE</t>
        </is>
      </c>
      <c r="F48" s="29" t="inlineStr">
        <is>
          <t>- Génération documentaire LegalTech (V3)</t>
        </is>
      </c>
    </row>
    <row r="49" ht="30" customHeight="1">
      <c r="B49" s="19" t="inlineStr">
        <is>
          <t>+ Data room : arborescence OHADA, rendu serveur, filigrane dynamique, téléchargement contrôlé, révocation en moins de 60 s</t>
        </is>
      </c>
    </row>
    <row r="50" ht="30" customHeight="1">
      <c r="B50" s="19" t="inlineStr">
        <is>
          <t>+ Fils de questions-réponses par document</t>
        </is>
      </c>
    </row>
    <row r="52" ht="24" customHeight="1">
      <c r="B52" s="11" t="inlineStr">
        <is>
          <t>Lot</t>
        </is>
      </c>
      <c r="C52" s="11" t="inlineStr">
        <is>
          <t>Charge (j/p)</t>
        </is>
      </c>
      <c r="D52" s="11" t="inlineStr">
        <is>
          <t>Réalisé (j/p)</t>
        </is>
      </c>
      <c r="E52" s="11" t="inlineStr">
        <is>
          <t>Avancement</t>
        </is>
      </c>
      <c r="F52" s="11" t="inlineStr">
        <is>
          <t>Tâches</t>
        </is>
      </c>
      <c r="G52" s="11" t="inlineStr">
        <is>
          <t>Complétées</t>
        </is>
      </c>
      <c r="H52" s="11" t="inlineStr">
        <is>
          <t>Bloquées</t>
        </is>
      </c>
      <c r="I52" s="11" t="inlineStr">
        <is>
          <t>En retard</t>
        </is>
      </c>
    </row>
    <row r="53">
      <c r="B53" s="13" t="inlineStr">
        <is>
          <t>Circuit RPS réel</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Signature électronique</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Data room</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Questions-réponses</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QA et sécurité</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30" t="inlineStr">
        <is>
          <t>Total V2</t>
        </is>
      </c>
      <c r="C58" s="30">
        <f>SUM(C53:C57)</f>
        <v/>
      </c>
      <c r="D58" s="31">
        <f>SUM(D53:D57)</f>
        <v/>
      </c>
      <c r="E58" s="32">
        <f>IF(C58=0,0,D58/C58)</f>
        <v/>
      </c>
      <c r="F58" s="30">
        <f>SUM(F53:F57)</f>
        <v/>
      </c>
      <c r="G58" s="30">
        <f>SUM(G53:G57)</f>
        <v/>
      </c>
      <c r="H58" s="30">
        <f>SUM(H53:H57)</f>
        <v/>
      </c>
      <c r="I58" s="30">
        <f>SUM(I53:I57)</f>
        <v/>
      </c>
    </row>
    <row r="60">
      <c r="B60" s="3" t="inlineStr">
        <is>
          <t>Prérequis</t>
        </is>
      </c>
    </row>
    <row r="61" ht="30" customHeight="1">
      <c r="B61" s="19" t="inlineStr">
        <is>
          <t>Modèle de données Deal et Organisation de V1 ; contrat avec le prestataire de signature qualifiée.</t>
        </is>
      </c>
    </row>
    <row r="64" ht="26" customHeight="1">
      <c r="B64" s="22" t="inlineStr">
        <is>
          <t>V3  Négociation et réalisation, LegalTech OHADA, Finance et rétrocession, support, fermeture des portes de conformité</t>
        </is>
      </c>
    </row>
    <row r="65" ht="28" customHeight="1">
      <c r="B65" s="23" t="inlineStr">
        <is>
          <t>Début prévu</t>
        </is>
      </c>
      <c r="C65" s="23" t="inlineStr">
        <is>
          <t>Fin prévue</t>
        </is>
      </c>
      <c r="D65" s="23" t="inlineStr">
        <is>
          <t>Charge (j/p)</t>
        </is>
      </c>
      <c r="E65" s="23" t="inlineStr">
        <is>
          <t>Charge (sem.-pers.)</t>
        </is>
      </c>
      <c r="F65" s="23" t="inlineStr">
        <is>
          <t>Avancement</t>
        </is>
      </c>
      <c r="G65" s="23" t="inlineStr">
        <is>
          <t>État</t>
        </is>
      </c>
      <c r="H65" s="23" t="inlineStr">
        <is>
          <t>Semaines calendaires</t>
        </is>
      </c>
      <c r="I65" s="23" t="inlineStr">
        <is>
          <t>ETP requis à pleine cadence</t>
        </is>
      </c>
    </row>
    <row r="66">
      <c r="B66" s="24">
        <f>Versions!D8</f>
        <v/>
      </c>
      <c r="C66" s="24">
        <f>Versions!E8</f>
        <v/>
      </c>
      <c r="D66" s="25">
        <f>Versions!G8</f>
        <v/>
      </c>
      <c r="E66" s="26">
        <f>Versions!H8</f>
        <v/>
      </c>
      <c r="F66" s="27">
        <f>Versions!J8</f>
        <v/>
      </c>
      <c r="G66" s="28">
        <f>Versions!P8</f>
        <v/>
      </c>
      <c r="H66" s="26">
        <f>ROUND((Versions!E8-Versions!D8)/7,1)</f>
        <v/>
      </c>
      <c r="I66" s="26">
        <f>IFERROR(ROUND(Versions!H8/((Versions!E8-Versions!D8)/7),1),0)</f>
        <v/>
      </c>
    </row>
    <row r="67" ht="48" customHeight="1">
      <c r="B67" s="19" t="inlineStr">
        <is>
          <t>Ce qui rend une transaction réelle facturable et légalement défendable : négociation et réalisation, LegalTech OHADA, moteur de frais et rétrocession, support, fermeture des dix portes de conformité et durcissement de l'exploitation.</t>
        </is>
      </c>
    </row>
    <row r="68">
      <c r="B68" s="3" t="inlineStr">
        <is>
          <t>Inclus</t>
        </is>
      </c>
      <c r="F68" s="3" t="inlineStr">
        <is>
          <t>Exclu ou reporté</t>
        </is>
      </c>
    </row>
    <row r="69" ht="30" customHeight="1">
      <c r="B69" s="19" t="inlineStr">
        <is>
          <t>+ Offre, contre-offre, LOI et registre des points ouverts d'audit d'acquisition</t>
        </is>
      </c>
      <c r="F69" s="29" t="inlineStr">
        <is>
          <t>- Deal-Experts (V4, sous réserve d'arbitrage)</t>
        </is>
      </c>
    </row>
    <row r="70" ht="30" customHeight="1">
      <c r="B70" s="19" t="inlineStr">
        <is>
          <t>+ Réalisation documentée sans Deal-Pay natif, création automatique du FeeEvent</t>
        </is>
      </c>
      <c r="F70" s="29" t="inlineStr">
        <is>
          <t>- Modules réseau : Alerte &amp; Rebond, Deal-Connect, Guichet Diaspora (V4)</t>
        </is>
      </c>
    </row>
    <row r="71" ht="30" customHeight="1">
      <c r="B71" s="19" t="inlineStr">
        <is>
          <t>+ LegalTech OHADA : NDA, LOI, pacte simplifié, SPA, cession d'actifs, contrat de travail (droit togolais)</t>
        </is>
      </c>
    </row>
    <row r="72" ht="30" customHeight="1">
      <c r="B72" s="19" t="inlineStr">
        <is>
          <t>+ Finance : barème de frais sous drapeau juridique, rétrocession CCI, journal de calcul recalculable, rapport trimestriel</t>
        </is>
      </c>
    </row>
    <row r="73" ht="30" customHeight="1">
      <c r="B73" s="19" t="inlineStr">
        <is>
          <t>+ Support et accès privilégiés, mode break-glass journalisé</t>
        </is>
      </c>
    </row>
    <row r="74" ht="30" customHeight="1">
      <c r="B74" s="19" t="inlineStr">
        <is>
          <t>+ Portes de conformité G1 à G10 : IPDCP, revues juridiques, DPO, pentest indépendant</t>
        </is>
      </c>
    </row>
    <row r="75" ht="30" customHeight="1">
      <c r="B75" s="19" t="inlineStr">
        <is>
          <t>+ Exploitation : supervision SLA 99,5 %, sauvegardes testées, procédure d'incident</t>
        </is>
      </c>
    </row>
    <row r="77" ht="24" customHeight="1">
      <c r="B77" s="11" t="inlineStr">
        <is>
          <t>Lot</t>
        </is>
      </c>
      <c r="C77" s="11" t="inlineStr">
        <is>
          <t>Charge (j/p)</t>
        </is>
      </c>
      <c r="D77" s="11" t="inlineStr">
        <is>
          <t>Réalisé (j/p)</t>
        </is>
      </c>
      <c r="E77" s="11" t="inlineStr">
        <is>
          <t>Avancement</t>
        </is>
      </c>
      <c r="F77" s="11" t="inlineStr">
        <is>
          <t>Tâches</t>
        </is>
      </c>
      <c r="G77" s="11" t="inlineStr">
        <is>
          <t>Complétées</t>
        </is>
      </c>
      <c r="H77" s="11" t="inlineStr">
        <is>
          <t>Bloquées</t>
        </is>
      </c>
      <c r="I77" s="11" t="inlineStr">
        <is>
          <t>En retard</t>
        </is>
      </c>
    </row>
    <row r="78">
      <c r="B78" s="13" t="inlineStr">
        <is>
          <t>LegalTech OHADA</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Conformité fiscale</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Négociation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Audit d'acquisition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Réalisation</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Finance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Support</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Portes de conformité</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Exploitation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30" t="inlineStr">
        <is>
          <t>Total V3</t>
        </is>
      </c>
      <c r="C87" s="30">
        <f>SUM(C78:C86)</f>
        <v/>
      </c>
      <c r="D87" s="31">
        <f>SUM(D78:D86)</f>
        <v/>
      </c>
      <c r="E87" s="32">
        <f>IF(C87=0,0,D87/C87)</f>
        <v/>
      </c>
      <c r="F87" s="30">
        <f>SUM(F78:F86)</f>
        <v/>
      </c>
      <c r="G87" s="30">
        <f>SUM(G78:G86)</f>
        <v/>
      </c>
      <c r="H87" s="30">
        <f>SUM(H78:H86)</f>
        <v/>
      </c>
      <c r="I87" s="30">
        <f>SUM(I78:I86)</f>
        <v/>
      </c>
    </row>
    <row r="89">
      <c r="B89" s="3" t="inlineStr">
        <is>
          <t>Prérequis</t>
        </is>
      </c>
    </row>
    <row r="90" ht="30" customHeight="1">
      <c r="B90" s="19" t="inlineStr">
        <is>
          <t>Des transactions peuvent atteindre CLOSED_REPORTED (V2) ; avis juridique écrit sur le barème de frais.</t>
        </is>
      </c>
    </row>
    <row r="91">
      <c r="B91" s="3" t="inlineStr">
        <is>
          <t>Décision ou règle</t>
        </is>
      </c>
    </row>
    <row r="92" ht="36" customHeight="1">
      <c r="B92" s="33" t="inlineStr">
        <is>
          <t>Le barème de frais et la rétrocession ne s'activent qu'après avis juridique écrit, jamais par simple décision produit.</t>
        </is>
      </c>
      <c r="C92" s="34" t="n"/>
      <c r="D92" s="34" t="n"/>
      <c r="E92" s="34" t="n"/>
      <c r="F92" s="34" t="n"/>
      <c r="G92" s="34" t="n"/>
      <c r="H92" s="34" t="n"/>
      <c r="I92" s="34" t="n"/>
    </row>
    <row r="95" ht="26" customHeight="1">
      <c r="B95" s="22" t="inlineStr">
        <is>
          <t>V4  Alerte &amp; Rebond, Deal-Connect (Remo.co), Guichet Diaspora, Deal-Experts</t>
        </is>
      </c>
    </row>
    <row r="96" ht="28" customHeight="1">
      <c r="B96" s="23" t="inlineStr">
        <is>
          <t>Début prévu</t>
        </is>
      </c>
      <c r="C96" s="23" t="inlineStr">
        <is>
          <t>Fin prévue</t>
        </is>
      </c>
      <c r="D96" s="23" t="inlineStr">
        <is>
          <t>Charge (j/p)</t>
        </is>
      </c>
      <c r="E96" s="23" t="inlineStr">
        <is>
          <t>Charge (sem.-pers.)</t>
        </is>
      </c>
      <c r="F96" s="23" t="inlineStr">
        <is>
          <t>Avancement</t>
        </is>
      </c>
      <c r="G96" s="23" t="inlineStr">
        <is>
          <t>État</t>
        </is>
      </c>
      <c r="H96" s="23" t="inlineStr">
        <is>
          <t>Semaines calendaires</t>
        </is>
      </c>
      <c r="I96" s="23" t="inlineStr">
        <is>
          <t>ETP requis à pleine cadence</t>
        </is>
      </c>
    </row>
    <row r="97">
      <c r="B97" s="24">
        <f>Versions!D9</f>
        <v/>
      </c>
      <c r="C97" s="24">
        <f>Versions!E9</f>
        <v/>
      </c>
      <c r="D97" s="25">
        <f>Versions!G9</f>
        <v/>
      </c>
      <c r="E97" s="26">
        <f>Versions!H9</f>
        <v/>
      </c>
      <c r="F97" s="27">
        <f>Versions!J9</f>
        <v/>
      </c>
      <c r="G97" s="28">
        <f>Versions!P9</f>
        <v/>
      </c>
      <c r="H97" s="26">
        <f>ROUND((Versions!E9-Versions!D9)/7,1)</f>
        <v/>
      </c>
      <c r="I97" s="26">
        <f>IFERROR(ROUND(Versions!H9/((Versions!E9-Versions!D9)/7),1),0)</f>
        <v/>
      </c>
    </row>
    <row r="98" ht="48" customHeight="1">
      <c r="B98" s="19" t="inlineStr">
        <is>
          <t>Les modules réseau. Seul changement d'architecture notable : la brique de salons et rendez-vous virtuels est externalisée vers Remo.co plutôt que construite en propre.</t>
        </is>
      </c>
    </row>
    <row r="99">
      <c r="B99" s="3" t="inlineStr">
        <is>
          <t>Inclus</t>
        </is>
      </c>
      <c r="F99" s="3" t="inlineStr">
        <is>
          <t>Exclu ou reporté</t>
        </is>
      </c>
    </row>
    <row r="100" ht="30" customHeight="1">
      <c r="B100" s="19" t="inlineStr">
        <is>
          <t>+ Alerte &amp; Rebond : auto-diagnostic, cellule de crise confidentielle, listings d'actifs en difficulté, coupe-circuit</t>
        </is>
      </c>
      <c r="F100" s="29" t="inlineStr">
        <is>
          <t>- Mécanismes d'enchère en temps réel (non présumés contractuels)</t>
        </is>
      </c>
    </row>
    <row r="101" ht="30" customHeight="1">
      <c r="B101" s="19" t="inlineStr">
        <is>
          <t>+ Deal-Connect : événements B2B via connecteur Remo.co ; DealPME gère inscriptions, billetterie, attribution et reporting</t>
        </is>
      </c>
      <c r="F101" s="29" t="inlineStr">
        <is>
          <t>- Tout conseil de change ou d'investissement fourni par la plateforme</t>
        </is>
      </c>
    </row>
    <row r="102" ht="30" customHeight="1">
      <c r="B102" s="19" t="inlineStr">
        <is>
          <t>+ Guichet Diaspora : liste de suivi, rendez-vous sécurisé via Remo.co, contraintes transfrontalières, renvoi vers banque et conseil</t>
        </is>
      </c>
    </row>
    <row r="103" ht="30" customHeight="1">
      <c r="B103" s="19" t="inlineStr">
        <is>
          <t>+ Deal-Experts : registre d'experts, routage, accès temporaire scopé (sous réserve de l'arbitrage P13)</t>
        </is>
      </c>
    </row>
    <row r="105" ht="24" customHeight="1">
      <c r="B105" s="11" t="inlineStr">
        <is>
          <t>Lot</t>
        </is>
      </c>
      <c r="C105" s="11" t="inlineStr">
        <is>
          <t>Charge (j/p)</t>
        </is>
      </c>
      <c r="D105" s="11" t="inlineStr">
        <is>
          <t>Réalisé (j/p)</t>
        </is>
      </c>
      <c r="E105" s="11" t="inlineStr">
        <is>
          <t>Avancement</t>
        </is>
      </c>
      <c r="F105" s="11" t="inlineStr">
        <is>
          <t>Tâches</t>
        </is>
      </c>
      <c r="G105" s="11" t="inlineStr">
        <is>
          <t>Complétées</t>
        </is>
      </c>
      <c r="H105" s="11" t="inlineStr">
        <is>
          <t>Bloquées</t>
        </is>
      </c>
      <c r="I105" s="11" t="inlineStr">
        <is>
          <t>En retard</t>
        </is>
      </c>
    </row>
    <row r="106">
      <c r="B106" s="13" t="inlineStr">
        <is>
          <t>Alerte &amp; Rebond</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Actifs en difficulté</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Deal-Connect</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13" t="inlineStr">
        <is>
          <t>Guichet Diaspora</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Deal-Experts</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30" t="inlineStr">
        <is>
          <t>Total V4</t>
        </is>
      </c>
      <c r="C111" s="30">
        <f>SUM(C106:C110)</f>
        <v/>
      </c>
      <c r="D111" s="31">
        <f>SUM(D106:D110)</f>
        <v/>
      </c>
      <c r="E111" s="32">
        <f>IF(C111=0,0,D111/C111)</f>
        <v/>
      </c>
      <c r="F111" s="30">
        <f>SUM(F106:F110)</f>
        <v/>
      </c>
      <c r="G111" s="30">
        <f>SUM(G106:G110)</f>
        <v/>
      </c>
      <c r="H111" s="30">
        <f>SUM(H106:H110)</f>
        <v/>
      </c>
      <c r="I111" s="30">
        <f>SUM(I106:I110)</f>
        <v/>
      </c>
    </row>
    <row r="113">
      <c r="B113" s="3" t="inlineStr">
        <is>
          <t>Prérequis</t>
        </is>
      </c>
    </row>
    <row r="114" ht="30" customHeight="1">
      <c r="B114" s="19" t="inlineStr">
        <is>
          <t>Portes de conformité fermées (V3) ; cadrage écrit de l'intégration Remo.co.</t>
        </is>
      </c>
    </row>
    <row r="115">
      <c r="B115" s="3" t="inlineStr">
        <is>
          <t>Décision ou règle</t>
        </is>
      </c>
    </row>
    <row r="116" ht="36" customHeight="1">
      <c r="B116" s="33" t="inlineStr">
        <is>
          <t>Remo.co est retenu. Le périmètre exact (SSO natif, webhooks de présence, marque blanche) dépend du plan Remo.co choisi.</t>
        </is>
      </c>
      <c r="C116" s="34" t="n"/>
      <c r="D116" s="34" t="n"/>
      <c r="E116" s="34" t="n"/>
      <c r="F116" s="34" t="n"/>
      <c r="G116" s="34" t="n"/>
      <c r="H116" s="34" t="n"/>
      <c r="I116" s="34" t="n"/>
    </row>
    <row r="119" ht="26" customHeight="1">
      <c r="B119" s="22" t="inlineStr">
        <is>
          <t>V5  VDR Intelligence : DealLens, Evidence Map, Issue Radar, Clean Team</t>
        </is>
      </c>
    </row>
    <row r="120" ht="28" customHeight="1">
      <c r="B120" s="23" t="inlineStr">
        <is>
          <t>Début prévu</t>
        </is>
      </c>
      <c r="C120" s="23" t="inlineStr">
        <is>
          <t>Fin prévue</t>
        </is>
      </c>
      <c r="D120" s="23" t="inlineStr">
        <is>
          <t>Charge (j/p)</t>
        </is>
      </c>
      <c r="E120" s="23" t="inlineStr">
        <is>
          <t>Charge (sem.-pers.)</t>
        </is>
      </c>
      <c r="F120" s="23" t="inlineStr">
        <is>
          <t>Avancement</t>
        </is>
      </c>
      <c r="G120" s="23" t="inlineStr">
        <is>
          <t>État</t>
        </is>
      </c>
      <c r="H120" s="23" t="inlineStr">
        <is>
          <t>Semaines calendaires</t>
        </is>
      </c>
      <c r="I120" s="23" t="inlineStr">
        <is>
          <t>ETP requis à pleine cadence</t>
        </is>
      </c>
    </row>
    <row r="121">
      <c r="B121" s="24">
        <f>Versions!D10</f>
        <v/>
      </c>
      <c r="C121" s="24">
        <f>Versions!E10</f>
        <v/>
      </c>
      <c r="D121" s="25">
        <f>Versions!G10</f>
        <v/>
      </c>
      <c r="E121" s="26">
        <f>Versions!H10</f>
        <v/>
      </c>
      <c r="F121" s="27">
        <f>Versions!J10</f>
        <v/>
      </c>
      <c r="G121" s="28">
        <f>Versions!P10</f>
        <v/>
      </c>
      <c r="H121" s="26">
        <f>ROUND((Versions!E10-Versions!D10)/7,1)</f>
        <v/>
      </c>
      <c r="I121" s="26">
        <f>IFERROR(ROUND(Versions!H10/((Versions!E10-Versions!D10)/7),1),0)</f>
        <v/>
      </c>
    </row>
    <row r="122" ht="48" customHeight="1">
      <c r="B122" s="19" t="inlineStr">
        <is>
          <t>Le module le plus spécifié du corpus existant et pourtant le plus éloigné de la production : aucun fournisseur IA n'est engagé. Placé en dernier car le moins urgent contractuellement et le plus risqué techniquement.</t>
        </is>
      </c>
    </row>
    <row r="123">
      <c r="B123" s="3" t="inlineStr">
        <is>
          <t>Inclus</t>
        </is>
      </c>
      <c r="F123" s="3" t="inlineStr">
        <is>
          <t>Exclu ou reporté</t>
        </is>
      </c>
    </row>
    <row r="124" ht="30" customHeight="1">
      <c r="B124" s="19" t="inlineStr">
        <is>
          <t>+ Contrat fournisseur IA et pare-feu de permission : filtrage avant récupération, jamais après</t>
        </is>
      </c>
      <c r="F124" s="29" t="inlineStr">
        <is>
          <t>- Toute action autonome de l'IA : publication, changement de permission, certification, réponse au cédant</t>
        </is>
      </c>
    </row>
    <row r="125" ht="30" customHeight="1">
      <c r="B125" s="19" t="inlineStr">
        <is>
          <t>+ Neuf surfaces : Cockpit, DealLens document et salle, Issue Radar, Evidence Map, Atelier Q&amp;R, Engagement Pulse, Audit, Accès et Clean Team</t>
        </is>
      </c>
    </row>
    <row r="126" ht="30" customHeight="1">
      <c r="B126" s="19" t="inlineStr">
        <is>
          <t>+ Rapprochement financier, intelligence de version, caviardage assisté avec revue humaine</t>
        </is>
      </c>
    </row>
    <row r="127" ht="30" customHeight="1">
      <c r="B127" s="19" t="inlineStr">
        <is>
          <t>+ Tests AI-01 à AI-06, DOC-01 à DOC-03, Q&amp;A-01, UI-01</t>
        </is>
      </c>
    </row>
    <row r="129" ht="24" customHeight="1">
      <c r="B129" s="11" t="inlineStr">
        <is>
          <t>Lot</t>
        </is>
      </c>
      <c r="C129" s="11" t="inlineStr">
        <is>
          <t>Charge (j/p)</t>
        </is>
      </c>
      <c r="D129" s="11" t="inlineStr">
        <is>
          <t>Réalisé (j/p)</t>
        </is>
      </c>
      <c r="E129" s="11" t="inlineStr">
        <is>
          <t>Avancement</t>
        </is>
      </c>
      <c r="F129" s="11" t="inlineStr">
        <is>
          <t>Tâches</t>
        </is>
      </c>
      <c r="G129" s="11" t="inlineStr">
        <is>
          <t>Complétées</t>
        </is>
      </c>
      <c r="H129" s="11" t="inlineStr">
        <is>
          <t>Bloquées</t>
        </is>
      </c>
      <c r="I129" s="11" t="inlineStr">
        <is>
          <t>En retard</t>
        </is>
      </c>
    </row>
    <row r="130">
      <c r="B130" s="13" t="inlineStr">
        <is>
          <t>Fournisseur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Ingestion</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DealLens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Surfaces</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13" t="inlineStr">
        <is>
          <t>Accès</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QA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30" t="inlineStr">
        <is>
          <t>Total V5</t>
        </is>
      </c>
      <c r="C136" s="30">
        <f>SUM(C130:C135)</f>
        <v/>
      </c>
      <c r="D136" s="31">
        <f>SUM(D130:D135)</f>
        <v/>
      </c>
      <c r="E136" s="32">
        <f>IF(C136=0,0,D136/C136)</f>
        <v/>
      </c>
      <c r="F136" s="30">
        <f>SUM(F130:F135)</f>
        <v/>
      </c>
      <c r="G136" s="30">
        <f>SUM(G130:G135)</f>
        <v/>
      </c>
      <c r="H136" s="30">
        <f>SUM(H130:H135)</f>
        <v/>
      </c>
      <c r="I136" s="30">
        <f>SUM(I130:I135)</f>
        <v/>
      </c>
    </row>
    <row r="138">
      <c r="B138" s="3" t="inlineStr">
        <is>
          <t>Prérequis</t>
        </is>
      </c>
    </row>
    <row r="139" ht="30" customHeight="1">
      <c r="B139" s="19" t="inlineStr">
        <is>
          <t>Data room de production stable (V2) ; contrat fournisseur IA avec clauses de confidentialité.</t>
        </is>
      </c>
    </row>
    <row r="140">
      <c r="B140" s="3" t="inlineStr">
        <is>
          <t>Décision ou règle</t>
        </is>
      </c>
    </row>
    <row r="141" ht="36" customHeight="1">
      <c r="B141" s="33" t="inlineStr">
        <is>
          <t>DealLens reste assistif et lecture seule : il explique, résume, extrait et propose, il ne décide jamais.</t>
        </is>
      </c>
      <c r="C141" s="34" t="n"/>
      <c r="D141" s="34" t="n"/>
      <c r="E141" s="34" t="n"/>
      <c r="F141" s="34" t="n"/>
      <c r="G141" s="34" t="n"/>
      <c r="H141" s="34" t="n"/>
      <c r="I141" s="34" t="n"/>
    </row>
  </sheetData>
  <mergeCells count="59">
    <mergeCell ref="F13:I13"/>
    <mergeCell ref="B49:E49"/>
    <mergeCell ref="B127:E127"/>
    <mergeCell ref="B74:E74"/>
    <mergeCell ref="B141:I141"/>
    <mergeCell ref="B15:E15"/>
    <mergeCell ref="F48:I48"/>
    <mergeCell ref="B90:I90"/>
    <mergeCell ref="B124:E124"/>
    <mergeCell ref="B122:I122"/>
    <mergeCell ref="B50:E50"/>
    <mergeCell ref="B39:I39"/>
    <mergeCell ref="B75:E75"/>
    <mergeCell ref="B126:E126"/>
    <mergeCell ref="F11:I11"/>
    <mergeCell ref="B16:E16"/>
    <mergeCell ref="B42:I42"/>
    <mergeCell ref="F69:I69"/>
    <mergeCell ref="B100:E100"/>
    <mergeCell ref="B72:E72"/>
    <mergeCell ref="B98:I98"/>
    <mergeCell ref="B47:E47"/>
    <mergeCell ref="B67:I67"/>
    <mergeCell ref="B61:I61"/>
    <mergeCell ref="B125:E125"/>
    <mergeCell ref="F10:I10"/>
    <mergeCell ref="B8:I8"/>
    <mergeCell ref="B119:I119"/>
    <mergeCell ref="B18:E18"/>
    <mergeCell ref="B71:E71"/>
    <mergeCell ref="B102:E102"/>
    <mergeCell ref="B116:I116"/>
    <mergeCell ref="F124:I124"/>
    <mergeCell ref="B12:E12"/>
    <mergeCell ref="B70:E70"/>
    <mergeCell ref="F12:I12"/>
    <mergeCell ref="B48:E48"/>
    <mergeCell ref="B11:E11"/>
    <mergeCell ref="B37:I37"/>
    <mergeCell ref="B101:E101"/>
    <mergeCell ref="B14:E14"/>
    <mergeCell ref="B17:E17"/>
    <mergeCell ref="B92:I92"/>
    <mergeCell ref="F101:I101"/>
    <mergeCell ref="F70:I70"/>
    <mergeCell ref="B64:I64"/>
    <mergeCell ref="B139:I139"/>
    <mergeCell ref="B73:E73"/>
    <mergeCell ref="B13:E13"/>
    <mergeCell ref="B69:E69"/>
    <mergeCell ref="B95:I95"/>
    <mergeCell ref="F47:I47"/>
    <mergeCell ref="F100:I100"/>
    <mergeCell ref="B5:I5"/>
    <mergeCell ref="B114:I114"/>
    <mergeCell ref="B19:E19"/>
    <mergeCell ref="B45:I45"/>
    <mergeCell ref="B103:E103"/>
    <mergeCell ref="B10:E10"/>
  </mergeCells>
  <conditionalFormatting sqref="E22:E33">
    <cfRule type="dataBar" priority="1">
      <dataBar>
        <cfvo type="num" val="0"/>
        <cfvo type="num" val="1"/>
        <color rgb="006678F1"/>
      </dataBar>
    </cfRule>
  </conditionalFormatting>
  <conditionalFormatting sqref="H22:I33">
    <cfRule type="expression" priority="2" dxfId="4">
      <formula>H22&gt;0</formula>
    </cfRule>
  </conditionalFormatting>
  <conditionalFormatting sqref="E53:E57">
    <cfRule type="dataBar" priority="3">
      <dataBar>
        <cfvo type="num" val="0"/>
        <cfvo type="num" val="1"/>
        <color rgb="006678F1"/>
      </dataBar>
    </cfRule>
  </conditionalFormatting>
  <conditionalFormatting sqref="H53:I57">
    <cfRule type="expression" priority="4" dxfId="4">
      <formula>H53&gt;0</formula>
    </cfRule>
  </conditionalFormatting>
  <conditionalFormatting sqref="E78:E86">
    <cfRule type="dataBar" priority="5">
      <dataBar>
        <cfvo type="num" val="0"/>
        <cfvo type="num" val="1"/>
        <color rgb="006678F1"/>
      </dataBar>
    </cfRule>
  </conditionalFormatting>
  <conditionalFormatting sqref="H78:I86">
    <cfRule type="expression" priority="6" dxfId="4">
      <formula>H78&gt;0</formula>
    </cfRule>
  </conditionalFormatting>
  <conditionalFormatting sqref="E106:E110">
    <cfRule type="dataBar" priority="7">
      <dataBar>
        <cfvo type="num" val="0"/>
        <cfvo type="num" val="1"/>
        <color rgb="006678F1"/>
      </dataBar>
    </cfRule>
  </conditionalFormatting>
  <conditionalFormatting sqref="H106:I110">
    <cfRule type="expression" priority="8" dxfId="4">
      <formula>H106&gt;0</formula>
    </cfRule>
  </conditionalFormatting>
  <conditionalFormatting sqref="E130:E135">
    <cfRule type="dataBar" priority="9">
      <dataBar>
        <cfvo type="num" val="0"/>
        <cfvo type="num" val="1"/>
        <color rgb="006678F1"/>
      </dataBar>
    </cfRule>
  </conditionalFormatting>
  <conditionalFormatting sqref="H130:I135">
    <cfRule type="expression" priority="10" dxfId="4">
      <formula>H130&gt;0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46274</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46274</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46275</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46275</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46274</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46271</v>
      </c>
      <c r="Q13" s="40" t="n">
        <v>46276</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OPS</t>
        </is>
      </c>
      <c r="E16" s="37" t="inlineStr">
        <is>
          <t>Sécurité</t>
        </is>
      </c>
      <c r="F16" s="37" t="inlineStr">
        <is>
          <t>RLS effective : rôle applicatif sans contournement, contexte app.organisation_id et app.roles par transaction</t>
        </is>
      </c>
      <c r="G16" s="37" t="inlineStr">
        <is>
          <t>Test négatif : un cédant ne lit pas le dossier d'un autre cédant</t>
        </is>
      </c>
      <c r="H16" s="38" t="n">
        <v>4</v>
      </c>
      <c r="I16" s="36" t="inlineStr">
        <is>
          <t>Haute</t>
        </is>
      </c>
      <c r="J16" s="36" t="inlineStr">
        <is>
          <t>En cours</t>
        </is>
      </c>
      <c r="K16" s="39" t="n">
        <v>0.3</v>
      </c>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c r="S16" s="37" t="inlineStr"/>
      <c r="T16" s="36" t="inlineStr">
        <is>
          <t>Oui</t>
        </is>
      </c>
      <c r="U16" s="13">
        <f>IF($B16="","",IF(AND(J16&lt;&gt;"Complétée",J16&lt;&gt;"Abandonnée",Q16&lt;&gt;"",TODAY()&gt;Q16),"En retard",""))</f>
        <v/>
      </c>
      <c r="V16" s="37" t="n"/>
    </row>
    <row r="17">
      <c r="B17" s="36" t="inlineStr">
        <is>
          <t>V1-012</t>
        </is>
      </c>
      <c r="C17" s="36" t="inlineStr">
        <is>
          <t>V1</t>
        </is>
      </c>
      <c r="D17" s="36" t="inlineStr">
        <is>
          <t>OPS</t>
        </is>
      </c>
      <c r="E17" s="37" t="inlineStr">
        <is>
          <t>Sécurité</t>
        </is>
      </c>
      <c r="F17" s="37" t="inlineStr">
        <is>
          <t>Anti-force-brute : limitation de débit par IP et par compte, verrouillage progressif, journal des échecs</t>
        </is>
      </c>
      <c r="G17" s="37" t="inlineStr">
        <is>
          <t>Cinquième échec en une minute renvoie 429 et laisse une trace</t>
        </is>
      </c>
      <c r="H17" s="38" t="n">
        <v>2</v>
      </c>
      <c r="I17" s="36" t="inlineStr">
        <is>
          <t>Haute</t>
        </is>
      </c>
      <c r="J17" s="36" t="inlineStr">
        <is>
          <t>À faire</t>
        </is>
      </c>
      <c r="K17" s="39" t="n"/>
      <c r="L17" s="16">
        <f>IF($B17="","",IF(J17="Complétée",1,IF(J17="Abandonnée",0,IF(K17&lt;&gt;"",K17,IFERROR(VLOOKUP(J17,Parametres!$B$6:$C$12,2,FALSE),0)))))</f>
        <v/>
      </c>
      <c r="M17" s="15">
        <f>IF($B17="","",IF(J17="Abandonnée",0,H17))</f>
        <v/>
      </c>
      <c r="N17" s="15">
        <f>IF($B17="","",M17*L17)</f>
        <v/>
      </c>
      <c r="O17" s="37" t="n"/>
      <c r="P17" s="40" t="n">
        <v>46273</v>
      </c>
      <c r="Q17" s="40" t="n">
        <v>46276</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OPS</t>
        </is>
      </c>
      <c r="E18" s="37" t="inlineStr">
        <is>
          <t>Sécurité</t>
        </is>
      </c>
      <c r="F18" s="37" t="inlineStr">
        <is>
          <t>Vérification email, MFA obligatoire pour les officiers CCI-Togo et les administrateurs, liaison OTP</t>
        </is>
      </c>
      <c r="G18" s="37" t="inlineStr">
        <is>
          <t>Officier sans second facteur ne peut pas certifier</t>
        </is>
      </c>
      <c r="H18" s="38" t="n">
        <v>3</v>
      </c>
      <c r="I18" s="36" t="inlineStr">
        <is>
          <t>Haute</t>
        </is>
      </c>
      <c r="J18" s="36" t="inlineStr">
        <is>
          <t>À faire</t>
        </is>
      </c>
      <c r="K18" s="39" t="n"/>
      <c r="L18" s="16">
        <f>IF($B18="","",IF(J18="Complétée",1,IF(J18="Abandonnée",0,IF(K18&lt;&gt;"",K18,IFERROR(VLOOKUP(J18,Parametres!$B$6:$C$12,2,FALSE),0)))))</f>
        <v/>
      </c>
      <c r="M18" s="15">
        <f>IF($B18="","",IF(J18="Abandonnée",0,H18))</f>
        <v/>
      </c>
      <c r="N18" s="15">
        <f>IF($B18="","",M18*L18)</f>
        <v/>
      </c>
      <c r="O18" s="37" t="n"/>
      <c r="P18" s="40" t="n">
        <v>46273</v>
      </c>
      <c r="Q18" s="40" t="n">
        <v>46278</v>
      </c>
      <c r="R18" s="40" t="n"/>
      <c r="S18" s="37" t="inlineStr">
        <is>
          <t>OTP SMS</t>
        </is>
      </c>
      <c r="T18" s="36" t="inlineStr">
        <is>
          <t>Non</t>
        </is>
      </c>
      <c r="U18" s="13">
        <f>IF($B18="","",IF(AND(J18&lt;&gt;"Complétée",J18&lt;&gt;"Abandonnée",Q18&lt;&gt;"",TODAY()&gt;Q18),"En retard",""))</f>
        <v/>
      </c>
      <c r="V18" s="37" t="n"/>
    </row>
    <row r="19">
      <c r="B19" s="36" t="inlineStr">
        <is>
          <t>V1-014</t>
        </is>
      </c>
      <c r="C19" s="36" t="inlineStr">
        <is>
          <t>V1</t>
        </is>
      </c>
      <c r="D19" s="36" t="inlineStr">
        <is>
          <t>OPS</t>
        </is>
      </c>
      <c r="E19" s="37" t="inlineStr">
        <is>
          <t>Sécurité</t>
        </is>
      </c>
      <c r="F19" s="37" t="inlineStr">
        <is>
          <t>Chiffrement applicatif des champs CONFIDENTIAL_DEAL, clé gérée hors base, rotation documentée</t>
        </is>
      </c>
      <c r="G19" s="37" t="inlineStr">
        <is>
          <t>Prix illisible dans un dump de la base</t>
        </is>
      </c>
      <c r="H19" s="38" t="n">
        <v>3</v>
      </c>
      <c r="I19" s="36" t="inlineStr">
        <is>
          <t>Haute</t>
        </is>
      </c>
      <c r="J19" s="36" t="inlineStr">
        <is>
          <t>À faire</t>
        </is>
      </c>
      <c r="K19" s="39" t="n"/>
      <c r="L19" s="16">
        <f>IF($B19="","",IF(J19="Complétée",1,IF(J19="Abandonnée",0,IF(K19&lt;&gt;"",K19,IFERROR(VLOOKUP(J19,Parametres!$B$6:$C$12,2,FALSE),0)))))</f>
        <v/>
      </c>
      <c r="M19" s="15">
        <f>IF($B19="","",IF(J19="Abandonnée",0,H19))</f>
        <v/>
      </c>
      <c r="N19" s="15">
        <f>IF($B19="","",M19*L19)</f>
        <v/>
      </c>
      <c r="O19" s="37" t="n"/>
      <c r="P19" s="40" t="n">
        <v>46274</v>
      </c>
      <c r="Q19" s="40" t="n">
        <v>46279</v>
      </c>
      <c r="R19" s="40" t="n"/>
      <c r="S19" s="37" t="inlineStr"/>
      <c r="T19" s="36" t="inlineStr">
        <is>
          <t>Non</t>
        </is>
      </c>
      <c r="U19" s="13">
        <f>IF($B19="","",IF(AND(J19&lt;&gt;"Complétée",J19&lt;&gt;"Abandonnée",Q19&lt;&gt;"",TODAY()&gt;Q19),"En retard",""))</f>
        <v/>
      </c>
      <c r="V19" s="37" t="n"/>
    </row>
    <row r="20">
      <c r="B20" s="36" t="inlineStr">
        <is>
          <t>V1-015</t>
        </is>
      </c>
      <c r="C20" s="36" t="inlineStr">
        <is>
          <t>V1</t>
        </is>
      </c>
      <c r="D20" s="36" t="inlineStr">
        <is>
          <t>OPS</t>
        </is>
      </c>
      <c r="E20" s="37" t="inlineStr">
        <is>
          <t>Sécurité</t>
        </is>
      </c>
      <c r="F20" s="37" t="inlineStr">
        <is>
          <t>En-têtes de sécurité HTTP, CORS strict, cookies sécurisés, taille maximale des corps de requête</t>
        </is>
      </c>
      <c r="G20" s="37" t="inlineStr">
        <is>
          <t>Scan d'en-têtes sans constat, origine inconnue refusée</t>
        </is>
      </c>
      <c r="H20" s="38" t="n">
        <v>1</v>
      </c>
      <c r="I20" s="36" t="inlineStr">
        <is>
          <t>Moyenne</t>
        </is>
      </c>
      <c r="J20" s="36" t="inlineStr">
        <is>
          <t>À faire</t>
        </is>
      </c>
      <c r="K20" s="39" t="n"/>
      <c r="L20" s="16">
        <f>IF($B20="","",IF(J20="Complétée",1,IF(J20="Abandonnée",0,IF(K20&lt;&gt;"",K20,IFERROR(VLOOKUP(J20,Parametres!$B$6:$C$12,2,FALSE),0)))))</f>
        <v/>
      </c>
      <c r="M20" s="15">
        <f>IF($B20="","",IF(J20="Abandonnée",0,H20))</f>
        <v/>
      </c>
      <c r="N20" s="15">
        <f>IF($B20="","",M20*L20)</f>
        <v/>
      </c>
      <c r="O20" s="37" t="n"/>
      <c r="P20" s="40" t="n">
        <v>46274</v>
      </c>
      <c r="Q20" s="40" t="n">
        <v>46276</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Sécurité</t>
        </is>
      </c>
      <c r="F21" s="37" t="inlineStr">
        <is>
          <t>Idempotence persistée en base et vérification de signature HMAC sur tous les webhooks</t>
        </is>
      </c>
      <c r="G21" s="37" t="inlineStr">
        <is>
          <t>Rejeu d'un webhook sans double effet ; signature invalide rejetée</t>
        </is>
      </c>
      <c r="H21" s="38" t="n">
        <v>2</v>
      </c>
      <c r="I21" s="36" t="inlineStr">
        <is>
          <t>Haute</t>
        </is>
      </c>
      <c r="J21" s="36" t="inlineStr">
        <is>
          <t>En cours</t>
        </is>
      </c>
      <c r="K21" s="39" t="n">
        <v>0.2</v>
      </c>
      <c r="L21" s="16">
        <f>IF($B21="","",IF(J21="Complétée",1,IF(J21="Abandonnée",0,IF(K21&lt;&gt;"",K21,IFERROR(VLOOKUP(J21,Parametres!$B$6:$C$12,2,FALSE),0)))))</f>
        <v/>
      </c>
      <c r="M21" s="15">
        <f>IF($B21="","",IF(J21="Abandonnée",0,H21))</f>
        <v/>
      </c>
      <c r="N21" s="15">
        <f>IF($B21="","",M21*L21)</f>
        <v/>
      </c>
      <c r="O21" s="37" t="inlineStr">
        <is>
          <t>Abdou-Raouf</t>
        </is>
      </c>
      <c r="P21" s="40" t="n">
        <v>46274</v>
      </c>
      <c r="Q21" s="40" t="n">
        <v>46277</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Sécurité</t>
        </is>
      </c>
      <c r="F22" s="37" t="inlineStr">
        <is>
          <t>Revue de sécurité interne (liste de contrôle v0 : paliers, URL pré-signées, compteur RPS) et scan de dépendances bloquant en CI</t>
        </is>
      </c>
      <c r="G22" s="37" t="inlineStr">
        <is>
          <t>Rapport de revue archivé, CI rouge sur vulnérabilité critique</t>
        </is>
      </c>
      <c r="H22" s="38" t="n">
        <v>3</v>
      </c>
      <c r="I22" s="36" t="inlineStr">
        <is>
          <t>Haute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46279</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Mots de passe de démonstration uniques par compte, jeu de démonstration interdit hors environnement local</t>
        </is>
      </c>
      <c r="G23" s="37" t="inlineStr">
        <is>
          <t>Le chargement refuse de s'exécuter si NODE_ENV n'est pas development</t>
        </is>
      </c>
      <c r="H23" s="38" t="n">
        <v>1</v>
      </c>
      <c r="I23" s="36" t="inlineStr">
        <is>
          <t>Moyenne</t>
        </is>
      </c>
      <c r="J23" s="36" t="inlineStr">
        <is>
          <t>À faire</t>
        </is>
      </c>
      <c r="K23" s="39" t="n"/>
      <c r="L23" s="16">
        <f>IF($B23="","",IF(J23="Complétée",1,IF(J23="Abandonnée",0,IF(K23&lt;&gt;"",K23,IFERROR(VLOOKUP(J23,Parametres!$B$6:$C$12,2,FALSE),0)))))</f>
        <v/>
      </c>
      <c r="M23" s="15">
        <f>IF($B23="","",IF(J23="Abandonnée",0,H23))</f>
        <v/>
      </c>
      <c r="N23" s="15">
        <f>IF($B23="","",M23*L23)</f>
        <v/>
      </c>
      <c r="O23" s="37" t="n"/>
      <c r="P23" s="40" t="n">
        <v>46275</v>
      </c>
      <c r="Q23" s="40" t="n">
        <v>46277</v>
      </c>
      <c r="R23" s="40" t="n"/>
      <c r="S23" s="37" t="inlineStr"/>
      <c r="T23" s="36" t="inlineStr">
        <is>
          <t>Non</t>
        </is>
      </c>
      <c r="U23" s="13">
        <f>IF($B23="","",IF(AND(J23&lt;&gt;"Complétée",J23&lt;&gt;"Abandonnée",Q23&lt;&gt;"",TODAY()&gt;Q23),"En retard",""))</f>
        <v/>
      </c>
      <c r="V23" s="37" t="n"/>
    </row>
    <row r="24">
      <c r="B24" s="36" t="inlineStr">
        <is>
          <t>V1-019</t>
        </is>
      </c>
      <c r="C24" s="36" t="inlineStr">
        <is>
          <t>V1</t>
        </is>
      </c>
      <c r="D24" s="36" t="inlineStr">
        <is>
          <t>IDN</t>
        </is>
      </c>
      <c r="E24" s="37" t="inlineStr">
        <is>
          <t>Auth et rôles</t>
        </is>
      </c>
      <c r="F24" s="37" t="inlineStr">
        <is>
          <t>Inscription email + mot de passe (Argon2id), vérification email</t>
        </is>
      </c>
      <c r="G24" s="37" t="inlineStr">
        <is>
          <t>Compte créé, email vérifié, mot de passe jamais en clair</t>
        </is>
      </c>
      <c r="H24" s="38" t="n">
        <v>3</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46275</v>
      </c>
      <c r="Q24" s="40" t="n">
        <v>46280</v>
      </c>
      <c r="R24" s="40" t="n"/>
      <c r="S24" s="37" t="inlineStr"/>
      <c r="T24" s="36" t="inlineStr">
        <is>
          <t>Non</t>
        </is>
      </c>
      <c r="U24" s="13">
        <f>IF($B24="","",IF(AND(J24&lt;&gt;"Complétée",J24&lt;&gt;"Abandonnée",Q24&lt;&gt;"",TODAY()&gt;Q24),"En retard",""))</f>
        <v/>
      </c>
      <c r="V24" s="37" t="n"/>
    </row>
    <row r="25">
      <c r="B25" s="36" t="inlineStr">
        <is>
          <t>V1-020</t>
        </is>
      </c>
      <c r="C25" s="36" t="inlineStr">
        <is>
          <t>V1</t>
        </is>
      </c>
      <c r="D25" s="36" t="inlineStr">
        <is>
          <t>IDN</t>
        </is>
      </c>
      <c r="E25" s="37" t="inlineStr">
        <is>
          <t>Auth et rôles</t>
        </is>
      </c>
      <c r="F25" s="37" t="inlineStr">
        <is>
          <t>OTP SMS (intégration fournisseur SMS)</t>
        </is>
      </c>
      <c r="G25" s="37" t="inlineStr">
        <is>
          <t>Code reçu et validé en moins de 60 s en test</t>
        </is>
      </c>
      <c r="H25" s="38" t="n">
        <v>3</v>
      </c>
      <c r="I25" s="36" t="inlineStr">
        <is>
          <t>Haute</t>
        </is>
      </c>
      <c r="J25" s="36" t="inlineStr">
        <is>
          <t>À faire</t>
        </is>
      </c>
      <c r="K25" s="39" t="n"/>
      <c r="L25" s="16">
        <f>IF($B25="","",IF(J25="Complétée",1,IF(J25="Abandonnée",0,IF(K25&lt;&gt;"",K25,IFERROR(VLOOKUP(J25,Parametres!$B$6:$C$12,2,FALSE),0)))))</f>
        <v/>
      </c>
      <c r="M25" s="15">
        <f>IF($B25="","",IF(J25="Abandonnée",0,H25))</f>
        <v/>
      </c>
      <c r="N25" s="15">
        <f>IF($B25="","",M25*L25)</f>
        <v/>
      </c>
      <c r="O25" s="37" t="n"/>
      <c r="P25" s="40" t="n">
        <v>46275</v>
      </c>
      <c r="Q25" s="40" t="n">
        <v>46280</v>
      </c>
      <c r="R25" s="40" t="n"/>
      <c r="S25" s="37" t="inlineStr"/>
      <c r="T25" s="36" t="inlineStr">
        <is>
          <t>Non</t>
        </is>
      </c>
      <c r="U25" s="13">
        <f>IF($B25="","",IF(AND(J25&lt;&gt;"Complétée",J25&lt;&gt;"Abandonnée",Q25&lt;&gt;"",TODAY()&gt;Q25),"En retard",""))</f>
        <v/>
      </c>
      <c r="V25" s="37" t="n"/>
    </row>
    <row r="26">
      <c r="B26" s="36" t="inlineStr">
        <is>
          <t>V1-021</t>
        </is>
      </c>
      <c r="C26" s="36" t="inlineStr">
        <is>
          <t>V1</t>
        </is>
      </c>
      <c r="D26" s="36" t="inlineStr">
        <is>
          <t>IDN</t>
        </is>
      </c>
      <c r="E26" s="37" t="inlineStr">
        <is>
          <t>Auth et rôles</t>
        </is>
      </c>
      <c r="F26" s="37" t="inlineStr">
        <is>
          <t>Rôles et permissions évalués côté serveur (cédant, investisseur, agent CCI-Togo, admin)</t>
        </is>
      </c>
      <c r="G26" s="37" t="inlineStr">
        <is>
          <t>Chaque endpoint refuse un rôle non autorisé (tests négatifs)</t>
        </is>
      </c>
      <c r="H26" s="38" t="n">
        <v>4</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46276</v>
      </c>
      <c r="Q26" s="40" t="n">
        <v>46282</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IDN</t>
        </is>
      </c>
      <c r="E27" s="37" t="inlineStr">
        <is>
          <t>Auth et rôles</t>
        </is>
      </c>
      <c r="F27" s="37" t="inlineStr">
        <is>
          <t>Gestion de session : expiration, liste des appareils, révocation à distance</t>
        </is>
      </c>
      <c r="G27" s="37" t="inlineStr">
        <is>
          <t>Session révoquée inutilisable immédiatement</t>
        </is>
      </c>
      <c r="H27" s="38" t="n">
        <v>2</v>
      </c>
      <c r="I27" s="36" t="inlineStr">
        <is>
          <t>Moyenne</t>
        </is>
      </c>
      <c r="J27" s="36" t="inlineStr">
        <is>
          <t>En cours</t>
        </is>
      </c>
      <c r="K27" s="39" t="n">
        <v>0.7</v>
      </c>
      <c r="L27" s="16">
        <f>IF($B27="","",IF(J27="Complétée",1,IF(J27="Abandonnée",0,IF(K27&lt;&gt;"",K27,IFERROR(VLOOKUP(J27,Parametres!$B$6:$C$12,2,FALSE),0)))))</f>
        <v/>
      </c>
      <c r="M27" s="15">
        <f>IF($B27="","",IF(J27="Abandonnée",0,H27))</f>
        <v/>
      </c>
      <c r="N27" s="15">
        <f>IF($B27="","",M27*L27)</f>
        <v/>
      </c>
      <c r="O27" s="37" t="inlineStr">
        <is>
          <t>Abdou-Raouf</t>
        </is>
      </c>
      <c r="P27" s="40" t="n">
        <v>46276</v>
      </c>
      <c r="Q27" s="40" t="n">
        <v>46279</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IDN</t>
        </is>
      </c>
      <c r="E28" s="37" t="inlineStr">
        <is>
          <t>Auth et rôles</t>
        </is>
      </c>
      <c r="F28" s="37" t="inlineStr">
        <is>
          <t>Consentements séparés (CGU, confidentialité, marketing)</t>
        </is>
      </c>
      <c r="G28" s="37" t="inlineStr">
        <is>
          <t>Trois cases distinctes, marketing non pré-coché</t>
        </is>
      </c>
      <c r="H28" s="38" t="n">
        <v>2</v>
      </c>
      <c r="I28" s="36" t="inlineStr">
        <is>
          <t>Moyenne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46277</v>
      </c>
      <c r="Q28" s="40" t="n">
        <v>46280</v>
      </c>
      <c r="R28" s="40" t="n">
        <v>46274</v>
      </c>
      <c r="S28" s="37" t="inlineStr"/>
      <c r="T28" s="36" t="inlineStr">
        <is>
          <t>Non</t>
        </is>
      </c>
      <c r="U28" s="13">
        <f>IF($B28="","",IF(AND(J28&lt;&gt;"Complétée",J28&lt;&gt;"Abandonnée",Q28&lt;&gt;"",TODAY()&gt;Q28),"En retard",""))</f>
        <v/>
      </c>
      <c r="V28" s="37" t="n"/>
    </row>
    <row r="29">
      <c r="B29" s="36" t="inlineStr">
        <is>
          <t>V1-024</t>
        </is>
      </c>
      <c r="C29" s="36" t="inlineStr">
        <is>
          <t>V1</t>
        </is>
      </c>
      <c r="D29" s="36" t="inlineStr">
        <is>
          <t>IDN</t>
        </is>
      </c>
      <c r="E29" s="37" t="inlineStr">
        <is>
          <t>Auth et rôles</t>
        </is>
      </c>
      <c r="F29" s="37" t="inlineStr">
        <is>
          <t>Paliers d'abonnement : modèle et entitlements (sans paiement en V1)</t>
        </is>
      </c>
      <c r="G29" s="37" t="inlineStr">
        <is>
          <t>Entitlement résolu depuis un service unique versionné</t>
        </is>
      </c>
      <c r="H29" s="38" t="n">
        <v>4</v>
      </c>
      <c r="I29" s="36" t="inlineStr">
        <is>
          <t>Moyenne</t>
        </is>
      </c>
      <c r="J29" s="36" t="inlineStr">
        <is>
          <t>En cours</t>
        </is>
      </c>
      <c r="K29" s="39" t="n">
        <v>0.5</v>
      </c>
      <c r="L29" s="16">
        <f>IF($B29="","",IF(J29="Complétée",1,IF(J29="Abandonnée",0,IF(K29&lt;&gt;"",K29,IFERROR(VLOOKUP(J29,Parametres!$B$6:$C$12,2,FALSE),0)))))</f>
        <v/>
      </c>
      <c r="M29" s="15">
        <f>IF($B29="","",IF(J29="Abandonnée",0,H29))</f>
        <v/>
      </c>
      <c r="N29" s="15">
        <f>IF($B29="","",M29*L29)</f>
        <v/>
      </c>
      <c r="O29" s="37" t="inlineStr">
        <is>
          <t>Abdou-Raouf</t>
        </is>
      </c>
      <c r="P29" s="40" t="n">
        <v>46277</v>
      </c>
      <c r="Q29" s="40" t="n">
        <v>46283</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IDN</t>
        </is>
      </c>
      <c r="E30" s="37" t="inlineStr">
        <is>
          <t>Auth et rôles</t>
        </is>
      </c>
      <c r="F30" s="37" t="inlineStr">
        <is>
          <t>Écrans authentification (connexion, inscription, OTP, profil)</t>
        </is>
      </c>
      <c r="G30" s="37" t="inlineStr">
        <is>
          <t>Parcours complet sur mobile et desktop</t>
        </is>
      </c>
      <c r="H30" s="38" t="n">
        <v>4</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46278</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GOV</t>
        </is>
      </c>
      <c r="E31" s="37" t="inlineStr">
        <is>
          <t>Espace CCI-Togo</t>
        </is>
      </c>
      <c r="F31" s="37" t="inlineStr">
        <is>
          <t>Workflow de confirmation d'adhésion (demande, décision, référence stockée)</t>
        </is>
      </c>
      <c r="G31" s="37" t="inlineStr">
        <is>
          <t>Seule la référence de confirmation est stockée, jamais la base des membres</t>
        </is>
      </c>
      <c r="H31" s="38" t="n">
        <v>4</v>
      </c>
      <c r="I31" s="36" t="inlineStr">
        <is>
          <t>Haute</t>
        </is>
      </c>
      <c r="J31" s="36" t="inlineStr">
        <is>
          <t>En cours</t>
        </is>
      </c>
      <c r="K31" s="39" t="n">
        <v>0.8</v>
      </c>
      <c r="L31" s="16">
        <f>IF($B31="","",IF(J31="Complétée",1,IF(J31="Abandonnée",0,IF(K31&lt;&gt;"",K31,IFERROR(VLOOKUP(J31,Parametres!$B$6:$C$12,2,FALSE),0)))))</f>
        <v/>
      </c>
      <c r="M31" s="15">
        <f>IF($B31="","",IF(J31="Abandonnée",0,H31))</f>
        <v/>
      </c>
      <c r="N31" s="15">
        <f>IF($B31="","",M31*L31)</f>
        <v/>
      </c>
      <c r="O31" s="37" t="inlineStr">
        <is>
          <t>Abdou-Raouf</t>
        </is>
      </c>
      <c r="P31" s="40" t="n">
        <v>46278</v>
      </c>
      <c r="Q31" s="40" t="n">
        <v>46284</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GOV</t>
        </is>
      </c>
      <c r="E32" s="37" t="inlineStr">
        <is>
          <t>Espace CCI-Togo</t>
        </is>
      </c>
      <c r="F32" s="37" t="inlineStr">
        <is>
          <t>Vérification RCCM / CFE : adaptateur (API si disponible, sinon saisie manuelle supervisée)</t>
        </is>
      </c>
      <c r="G32" s="37" t="inlineStr">
        <is>
          <t>Source et horodatage de vérification stockés</t>
        </is>
      </c>
      <c r="H32" s="38" t="n">
        <v>5</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46279</v>
      </c>
      <c r="Q32" s="40" t="n">
        <v>46286</v>
      </c>
      <c r="R32" s="40" t="n"/>
      <c r="S32" s="37" t="inlineStr">
        <is>
          <t>Réponse sur l'API CFE/RCCM</t>
        </is>
      </c>
      <c r="T32" s="36" t="inlineStr">
        <is>
          <t>Oui</t>
        </is>
      </c>
      <c r="U32" s="13">
        <f>IF($B32="","",IF(AND(J32&lt;&gt;"Complétée",J32&lt;&gt;"Abandonnée",Q32&lt;&gt;"",TODAY()&gt;Q32),"En retard",""))</f>
        <v/>
      </c>
      <c r="V32" s="37" t="n"/>
    </row>
    <row r="33">
      <c r="B33" s="36" t="inlineStr">
        <is>
          <t>V1-028</t>
        </is>
      </c>
      <c r="C33" s="36" t="inlineStr">
        <is>
          <t>V1</t>
        </is>
      </c>
      <c r="D33" s="36" t="inlineStr">
        <is>
          <t>GOV</t>
        </is>
      </c>
      <c r="E33" s="37" t="inlineStr">
        <is>
          <t>Espace CCI-Togo</t>
        </is>
      </c>
      <c r="F33" s="37" t="inlineStr">
        <is>
          <t>RegistryRecord stocké séparément des données déclarées par le cédant</t>
        </is>
      </c>
      <c r="G33" s="37" t="inlineStr">
        <is>
          <t>Deux tables distinctes, aucune fusion à l'affichage</t>
        </is>
      </c>
      <c r="H33" s="38" t="n">
        <v>2</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46279</v>
      </c>
      <c r="Q33" s="40" t="n">
        <v>46282</v>
      </c>
      <c r="R33" s="40" t="n">
        <v>46274</v>
      </c>
      <c r="S33" s="37" t="inlineStr"/>
      <c r="T33" s="36" t="inlineStr">
        <is>
          <t>Non</t>
        </is>
      </c>
      <c r="U33" s="13">
        <f>IF($B33="","",IF(AND(J33&lt;&gt;"Complétée",J33&lt;&gt;"Abandonnée",Q33&lt;&gt;"",TODAY()&gt;Q33),"En retard",""))</f>
        <v/>
      </c>
      <c r="V33" s="37" t="n"/>
    </row>
    <row r="34">
      <c r="B34" s="36" t="inlineStr">
        <is>
          <t>V1-029</t>
        </is>
      </c>
      <c r="C34" s="36" t="inlineStr">
        <is>
          <t>V1</t>
        </is>
      </c>
      <c r="D34" s="36" t="inlineStr">
        <is>
          <t>GOV</t>
        </is>
      </c>
      <c r="E34" s="37" t="inlineStr">
        <is>
          <t>Espace CCI-Togo</t>
        </is>
      </c>
      <c r="F34" s="37" t="inlineStr">
        <is>
          <t>Tableau de bord institutionnel agrégé (version minimale)</t>
        </is>
      </c>
      <c r="G34" s="37" t="inlineStr">
        <is>
          <t>Aucune vue sur le contenu confidentiel d'un dossier</t>
        </is>
      </c>
      <c r="H34" s="38" t="n">
        <v>3</v>
      </c>
      <c r="I34" s="36" t="inlineStr">
        <is>
          <t>Moyenne</t>
        </is>
      </c>
      <c r="J34" s="36" t="inlineStr">
        <is>
          <t>À faire</t>
        </is>
      </c>
      <c r="K34" s="39" t="n"/>
      <c r="L34" s="16">
        <f>IF($B34="","",IF(J34="Complétée",1,IF(J34="Abandonnée",0,IF(K34&lt;&gt;"",K34,IFERROR(VLOOKUP(J34,Parametres!$B$6:$C$12,2,FALSE),0)))))</f>
        <v/>
      </c>
      <c r="M34" s="15">
        <f>IF($B34="","",IF(J34="Abandonnée",0,H34))</f>
        <v/>
      </c>
      <c r="N34" s="15">
        <f>IF($B34="","",M34*L34)</f>
        <v/>
      </c>
      <c r="O34" s="37" t="n"/>
      <c r="P34" s="40" t="n">
        <v>46280</v>
      </c>
      <c r="Q34" s="40" t="n">
        <v>46285</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GOV</t>
        </is>
      </c>
      <c r="E35" s="37" t="inlineStr">
        <is>
          <t>Espace CCI-Togo</t>
        </is>
      </c>
      <c r="F35" s="37" t="inlineStr">
        <is>
          <t>Écrans console CCI-Togo</t>
        </is>
      </c>
      <c r="G35" s="37" t="inlineStr">
        <is>
          <t>Rôles et journal d'audit séparés du back-office plateforme</t>
        </is>
      </c>
      <c r="H35" s="38" t="n">
        <v>5</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46280</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CCI</t>
        </is>
      </c>
      <c r="E36" s="37" t="inlineStr">
        <is>
          <t>Deal-Ready</t>
        </is>
      </c>
      <c r="F36" s="37" t="inlineStr">
        <is>
          <t>Modèle Certification : portée, décision, officier, expiration, révocation</t>
        </is>
      </c>
      <c r="G36" s="37" t="inlineStr">
        <is>
          <t>Chaque décision porte un officier nommé</t>
        </is>
      </c>
      <c r="H36" s="38" t="n">
        <v>2</v>
      </c>
      <c r="I36" s="36" t="inlineStr">
        <is>
          <t>Haute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46281</v>
      </c>
      <c r="Q36" s="40" t="n">
        <v>46284</v>
      </c>
      <c r="R36" s="40" t="n">
        <v>46274</v>
      </c>
      <c r="S36" s="37" t="inlineStr"/>
      <c r="T36" s="36" t="inlineStr">
        <is>
          <t>Non</t>
        </is>
      </c>
      <c r="U36" s="13">
        <f>IF($B36="","",IF(AND(J36&lt;&gt;"Complétée",J36&lt;&gt;"Abandonnée",Q36&lt;&gt;"",TODAY()&gt;Q36),"En retard",""))</f>
        <v/>
      </c>
      <c r="V36" s="37" t="n"/>
    </row>
    <row r="37">
      <c r="B37" s="36" t="inlineStr">
        <is>
          <t>V1-032</t>
        </is>
      </c>
      <c r="C37" s="36" t="inlineStr">
        <is>
          <t>V1</t>
        </is>
      </c>
      <c r="D37" s="36" t="inlineStr">
        <is>
          <t>CCI</t>
        </is>
      </c>
      <c r="E37" s="37" t="inlineStr">
        <is>
          <t>Deal-Ready</t>
        </is>
      </c>
      <c r="F37" s="37" t="inlineStr">
        <is>
          <t>Workflow de décision nominative (octroi, refus, retrait) et déclaration de conflit d'intérêts</t>
        </is>
      </c>
      <c r="G37" s="37" t="inlineStr">
        <is>
          <t>Octroi automatique impossible par construction (test négatif)</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46281</v>
      </c>
      <c r="Q37" s="40" t="n">
        <v>46287</v>
      </c>
      <c r="R37" s="40" t="n">
        <v>46275</v>
      </c>
      <c r="S37" s="37" t="inlineStr"/>
      <c r="T37" s="36" t="inlineStr">
        <is>
          <t>Non</t>
        </is>
      </c>
      <c r="U37" s="13">
        <f>IF($B37="","",IF(AND(J37&lt;&gt;"Complétée",J37&lt;&gt;"Abandonnée",Q37&lt;&gt;"",TODAY()&gt;Q37),"En retard",""))</f>
        <v/>
      </c>
      <c r="V37" s="37" t="n"/>
    </row>
    <row r="38">
      <c r="B38" s="36" t="inlineStr">
        <is>
          <t>V1-033</t>
        </is>
      </c>
      <c r="C38" s="36" t="inlineStr">
        <is>
          <t>V1</t>
        </is>
      </c>
      <c r="D38" s="36" t="inlineStr">
        <is>
          <t>CCI</t>
        </is>
      </c>
      <c r="E38" s="37" t="inlineStr">
        <is>
          <t>Deal-Ready</t>
        </is>
      </c>
      <c r="F38" s="37" t="inlineStr">
        <is>
          <t>Checklist Deal-Ready et pièces attendues</t>
        </is>
      </c>
      <c r="G38" s="37" t="inlineStr">
        <is>
          <t>Liste des manques visible par l'entreprise</t>
        </is>
      </c>
      <c r="H38" s="38" t="n">
        <v>3</v>
      </c>
      <c r="I38" s="36" t="inlineStr">
        <is>
          <t>Moyenne</t>
        </is>
      </c>
      <c r="J38" s="36" t="inlineStr">
        <is>
          <t>À faire</t>
        </is>
      </c>
      <c r="K38" s="39" t="n"/>
      <c r="L38" s="16">
        <f>IF($B38="","",IF(J38="Complétée",1,IF(J38="Abandonnée",0,IF(K38&lt;&gt;"",K38,IFERROR(VLOOKUP(J38,Parametres!$B$6:$C$12,2,FALSE),0)))))</f>
        <v/>
      </c>
      <c r="M38" s="15">
        <f>IF($B38="","",IF(J38="Abandonnée",0,H38))</f>
        <v/>
      </c>
      <c r="N38" s="15">
        <f>IF($B38="","",M38*L38)</f>
        <v/>
      </c>
      <c r="O38" s="37" t="n"/>
      <c r="P38" s="40" t="n">
        <v>46282</v>
      </c>
      <c r="Q38" s="40" t="n">
        <v>46287</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CCI</t>
        </is>
      </c>
      <c r="E39" s="37" t="inlineStr">
        <is>
          <t>Deal-Ready</t>
        </is>
      </c>
      <c r="F39" s="37" t="inlineStr">
        <is>
          <t>Écrans côté entreprise : demande, suivi de remédiation</t>
        </is>
      </c>
      <c r="G39" s="37" t="inlineStr">
        <is>
          <t>Statut et pièces manquantes visibles</t>
        </is>
      </c>
      <c r="H39" s="38" t="n">
        <v>4</v>
      </c>
      <c r="I39" s="36" t="inlineStr">
        <is>
          <t>Moyenne</t>
        </is>
      </c>
      <c r="J39" s="36" t="inlineStr">
        <is>
          <t>À faire</t>
        </is>
      </c>
      <c r="K39" s="39" t="n"/>
      <c r="L39" s="16">
        <f>IF($B39="","",IF(J39="Complétée",1,IF(J39="Abandonnée",0,IF(K39&lt;&gt;"",K39,IFERROR(VLOOKUP(J39,Parametres!$B$6:$C$12,2,FALSE),0)))))</f>
        <v/>
      </c>
      <c r="M39" s="15">
        <f>IF($B39="","",IF(J39="Abandonnée",0,H39))</f>
        <v/>
      </c>
      <c r="N39" s="15">
        <f>IF($B39="","",M39*L39)</f>
        <v/>
      </c>
      <c r="O39" s="37" t="n"/>
      <c r="P39" s="40" t="n">
        <v>46282</v>
      </c>
      <c r="Q39" s="40" t="n">
        <v>46288</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CCI</t>
        </is>
      </c>
      <c r="E40" s="37" t="inlineStr">
        <is>
          <t>Deal-Ready</t>
        </is>
      </c>
      <c r="F40" s="37" t="inlineStr">
        <is>
          <t>Badge Deal-Ready : affichage avec périmètre et limites explicites</t>
        </is>
      </c>
      <c r="G40" s="37" t="inlineStr">
        <is>
          <t>Texte du badge précise ce qui est vérifié et ce qui ne l'est pas</t>
        </is>
      </c>
      <c r="H40" s="38" t="n">
        <v>2</v>
      </c>
      <c r="I40" s="36" t="inlineStr">
        <is>
          <t>Haute</t>
        </is>
      </c>
      <c r="J40" s="36" t="inlineStr">
        <is>
          <t>En cours</t>
        </is>
      </c>
      <c r="K40" s="39" t="n">
        <v>0.6</v>
      </c>
      <c r="L40" s="16">
        <f>IF($B40="","",IF(J40="Complétée",1,IF(J40="Abandonnée",0,IF(K40&lt;&gt;"",K40,IFERROR(VLOOKUP(J40,Parametres!$B$6:$C$12,2,FALSE),0)))))</f>
        <v/>
      </c>
      <c r="M40" s="15">
        <f>IF($B40="","",IF(J40="Abandonnée",0,H40))</f>
        <v/>
      </c>
      <c r="N40" s="15">
        <f>IF($B40="","",M40*L40)</f>
        <v/>
      </c>
      <c r="O40" s="37" t="inlineStr">
        <is>
          <t>Abdou-Raouf</t>
        </is>
      </c>
      <c r="P40" s="40" t="n">
        <v>46283</v>
      </c>
      <c r="Q40" s="40" t="n">
        <v>46286</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CCI</t>
        </is>
      </c>
      <c r="E41" s="37" t="inlineStr">
        <is>
          <t>Deal-Ready</t>
        </is>
      </c>
      <c r="F41" s="37" t="inlineStr">
        <is>
          <t>Journal d'audit des décisions de certification</t>
        </is>
      </c>
      <c r="G41" s="37" t="inlineStr">
        <is>
          <t>Chaque décision exportable avec horodatage et officier</t>
        </is>
      </c>
      <c r="H41" s="38" t="n">
        <v>2</v>
      </c>
      <c r="I41" s="36" t="inlineStr">
        <is>
          <t>Moyenne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46283</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Dossier cédant</t>
        </is>
      </c>
      <c r="F42" s="37" t="inlineStr">
        <is>
          <t>Assistant de constitution de dossier : étapes, branchement par type de cession dès l'étape 1</t>
        </is>
      </c>
      <c r="G42" s="37" t="inlineStr">
        <is>
          <t>Parcours actif complet, branche titres présente mais bloquée en V1</t>
        </is>
      </c>
      <c r="H42" s="38" t="n">
        <v>6</v>
      </c>
      <c r="I42" s="36" t="inlineStr">
        <is>
          <t>Haute</t>
        </is>
      </c>
      <c r="J42" s="36" t="inlineStr">
        <is>
          <t>En cours</t>
        </is>
      </c>
      <c r="K42" s="39" t="n">
        <v>0.15</v>
      </c>
      <c r="L42" s="16">
        <f>IF($B42="","",IF(J42="Complétée",1,IF(J42="Abandonnée",0,IF(K42&lt;&gt;"",K42,IFERROR(VLOOKUP(J42,Parametres!$B$6:$C$12,2,FALSE),0)))))</f>
        <v/>
      </c>
      <c r="M42" s="15">
        <f>IF($B42="","",IF(J42="Abandonnée",0,H42))</f>
        <v/>
      </c>
      <c r="N42" s="15">
        <f>IF($B42="","",M42*L42)</f>
        <v/>
      </c>
      <c r="O42" s="37" t="inlineStr">
        <is>
          <t>Abdou-Raouf</t>
        </is>
      </c>
      <c r="P42" s="40" t="n">
        <v>46283</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Dossier cédant</t>
        </is>
      </c>
      <c r="F43" s="37" t="inlineStr">
        <is>
          <t>Upload de documents : scan antivirus, stockage chiffré, jamais d'URL publique</t>
        </is>
      </c>
      <c r="G43" s="37" t="inlineStr">
        <is>
          <t>Fichier infecté rejeté, URL directe inaccessible (test négatif)</t>
        </is>
      </c>
      <c r="H43" s="38" t="n">
        <v>4</v>
      </c>
      <c r="I43" s="36" t="inlineStr">
        <is>
          <t>Haute</t>
        </is>
      </c>
      <c r="J43" s="36" t="inlineStr">
        <is>
          <t>À faire</t>
        </is>
      </c>
      <c r="K43" s="39" t="n"/>
      <c r="L43" s="16">
        <f>IF($B43="","",IF(J43="Complétée",1,IF(J43="Abandonnée",0,IF(K43&lt;&gt;"",K43,IFERROR(VLOOKUP(J43,Parametres!$B$6:$C$12,2,FALSE),0)))))</f>
        <v/>
      </c>
      <c r="M43" s="15">
        <f>IF($B43="","",IF(J43="Abandonnée",0,H43))</f>
        <v/>
      </c>
      <c r="N43" s="15">
        <f>IF($B43="","",M43*L43)</f>
        <v/>
      </c>
      <c r="O43" s="37" t="n"/>
      <c r="P43" s="40" t="n">
        <v>46284</v>
      </c>
      <c r="Q43" s="40" t="n">
        <v>46290</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Dossier cédant</t>
        </is>
      </c>
      <c r="F44" s="37" t="inlineStr">
        <is>
          <t>Provenance et versionnage des données déclarées</t>
        </is>
      </c>
      <c r="G44" s="37" t="inlineStr">
        <is>
          <t>Chaque valeur porte source et date, mention 'déclaré, non audité'</t>
        </is>
      </c>
      <c r="H44" s="38" t="n">
        <v>3</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46285</v>
      </c>
      <c r="Q44" s="40" t="n">
        <v>46290</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Dossier cédant</t>
        </is>
      </c>
      <c r="F45" s="37" t="inlineStr">
        <is>
          <t>Contrôle de complétude et liste des manques</t>
        </is>
      </c>
      <c r="G45" s="37" t="inlineStr">
        <is>
          <t>Dossier incomplet reste en DRAFT</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46285</v>
      </c>
      <c r="Q45" s="40" t="n">
        <v>46290</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Dossier cédant</t>
        </is>
      </c>
      <c r="F46" s="37" t="inlineStr">
        <is>
          <t>Écrans Pass Transmission (assistant, récapitulatif)</t>
        </is>
      </c>
      <c r="G46" s="37" t="inlineStr">
        <is>
          <t>Récapitulatif fidèle aux données saisies</t>
        </is>
      </c>
      <c r="H46" s="38" t="n">
        <v>5</v>
      </c>
      <c r="I46" s="36" t="inlineStr">
        <is>
          <t>Haute</t>
        </is>
      </c>
      <c r="J46" s="36" t="inlineStr">
        <is>
          <t>À faire</t>
        </is>
      </c>
      <c r="K46" s="39" t="n"/>
      <c r="L46" s="16">
        <f>IF($B46="","",IF(J46="Complétée",1,IF(J46="Abandonnée",0,IF(K46&lt;&gt;"",K46,IFERROR(VLOOKUP(J46,Parametres!$B$6:$C$12,2,FALSE),0)))))</f>
        <v/>
      </c>
      <c r="M46" s="15">
        <f>IF($B46="","",IF(J46="Abandonnée",0,H46))</f>
        <v/>
      </c>
      <c r="N46" s="15">
        <f>IF($B46="","",M46*L46)</f>
        <v/>
      </c>
      <c r="O46" s="37" t="n"/>
      <c r="P46" s="40" t="n">
        <v>46285</v>
      </c>
      <c r="Q46" s="40" t="n">
        <v>46292</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Marketplace actifs</t>
        </is>
      </c>
      <c r="F47" s="37" t="inlineStr">
        <is>
          <t>Fiche opportunité T0 (secteur, région, tranche de CA) et publication</t>
        </is>
      </c>
      <c r="G47" s="37" t="inlineStr">
        <is>
          <t>Aucun champ au-delà de T0 sérialisé (allow-list serveur)</t>
        </is>
      </c>
      <c r="H47" s="38" t="n">
        <v>4</v>
      </c>
      <c r="I47" s="36" t="inlineStr">
        <is>
          <t>Haute</t>
        </is>
      </c>
      <c r="J47" s="36" t="inlineStr">
        <is>
          <t>En cours</t>
        </is>
      </c>
      <c r="K47" s="39" t="n">
        <v>0.85</v>
      </c>
      <c r="L47" s="16">
        <f>IF($B47="","",IF(J47="Complétée",1,IF(J47="Abandonnée",0,IF(K47&lt;&gt;"",K47,IFERROR(VLOOKUP(J47,Parametres!$B$6:$C$12,2,FALSE),0)))))</f>
        <v/>
      </c>
      <c r="M47" s="15">
        <f>IF($B47="","",IF(J47="Abandonnée",0,H47))</f>
        <v/>
      </c>
      <c r="N47" s="15">
        <f>IF($B47="","",M47*L47)</f>
        <v/>
      </c>
      <c r="O47" s="37" t="inlineStr">
        <is>
          <t>Abdou-Raouf</t>
        </is>
      </c>
      <c r="P47" s="40" t="n">
        <v>46286</v>
      </c>
      <c r="Q47" s="40" t="n">
        <v>46292</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MKT</t>
        </is>
      </c>
      <c r="E48" s="37" t="inlineStr">
        <is>
          <t>Marketplace actifs</t>
        </is>
      </c>
      <c r="F48" s="37" t="inlineStr">
        <is>
          <t>Recherche et filtres (secteur, région, tranche, statut de certification)</t>
        </is>
      </c>
      <c r="G48" s="37" t="inlineStr">
        <is>
          <t>Résultats limités aux champs T0</t>
        </is>
      </c>
      <c r="H48" s="38" t="n">
        <v>4</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46287</v>
      </c>
      <c r="Q48" s="40" t="n">
        <v>46293</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Marketplace actifs</t>
        </is>
      </c>
      <c r="F49" s="37" t="inlineStr">
        <is>
          <t>Mise en relation : manifestation d'intérêt et messagerie simple (pièces jointes bloquées)</t>
        </is>
      </c>
      <c r="G49" s="37" t="inlineStr">
        <is>
          <t>Intérêt tracé, message reçu, pièce jointe refusée</t>
        </is>
      </c>
      <c r="H49" s="38" t="n">
        <v>5</v>
      </c>
      <c r="I49" s="36" t="inlineStr">
        <is>
          <t>Haute</t>
        </is>
      </c>
      <c r="J49" s="36" t="inlineStr">
        <is>
          <t>En cours</t>
        </is>
      </c>
      <c r="K49" s="39" t="n">
        <v>0.6</v>
      </c>
      <c r="L49" s="16">
        <f>IF($B49="","",IF(J49="Complétée",1,IF(J49="Abandonnée",0,IF(K49&lt;&gt;"",K49,IFERROR(VLOOKUP(J49,Parametres!$B$6:$C$12,2,FALSE),0)))))</f>
        <v/>
      </c>
      <c r="M49" s="15">
        <f>IF($B49="","",IF(J49="Abandonnée",0,H49))</f>
        <v/>
      </c>
      <c r="N49" s="15">
        <f>IF($B49="","",M49*L49)</f>
        <v/>
      </c>
      <c r="O49" s="37" t="inlineStr">
        <is>
          <t>Abdou-Raouf</t>
        </is>
      </c>
      <c r="P49" s="40" t="n">
        <v>46287</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Marketplace actifs</t>
        </is>
      </c>
      <c r="F50" s="37" t="inlineStr">
        <is>
          <t>Alertes sauvegardées opt-in (version simple)</t>
        </is>
      </c>
      <c r="G50" s="37" t="inlineStr">
        <is>
          <t>Aucune alerte sans opt-in explicite</t>
        </is>
      </c>
      <c r="H50" s="38" t="n">
        <v>3</v>
      </c>
      <c r="I50" s="36" t="inlineStr">
        <is>
          <t>Basse</t>
        </is>
      </c>
      <c r="J50" s="36" t="inlineStr">
        <is>
          <t>À faire</t>
        </is>
      </c>
      <c r="K50" s="39" t="n"/>
      <c r="L50" s="16">
        <f>IF($B50="","",IF(J50="Complétée",1,IF(J50="Abandonnée",0,IF(K50&lt;&gt;"",K50,IFERROR(VLOOKUP(J50,Parametres!$B$6:$C$12,2,FALSE),0)))))</f>
        <v/>
      </c>
      <c r="M50" s="15">
        <f>IF($B50="","",IF(J50="Abandonnée",0,H50))</f>
        <v/>
      </c>
      <c r="N50" s="15">
        <f>IF($B50="","",M50*L50)</f>
        <v/>
      </c>
      <c r="O50" s="37" t="n"/>
      <c r="P50" s="40" t="n">
        <v>46288</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Marketplace actifs</t>
        </is>
      </c>
      <c r="F51" s="37" t="inlineStr">
        <is>
          <t>Tableau de bord cédant (vues, intérêts reçus)</t>
        </is>
      </c>
      <c r="G51" s="37" t="inlineStr">
        <is>
          <t>Compteurs cohérents avec le journal</t>
        </is>
      </c>
      <c r="H51" s="38" t="n">
        <v>3</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46288</v>
      </c>
      <c r="Q51" s="40" t="n">
        <v>46293</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Marketplace actifs</t>
        </is>
      </c>
      <c r="F52" s="37" t="inlineStr">
        <is>
          <t>Écrans marketplace (liste, détail, recherche)</t>
        </is>
      </c>
      <c r="G52" s="37" t="inlineStr">
        <is>
          <t>Six onglets de la fiche opportunité conformes à la Tranche 3</t>
        </is>
      </c>
      <c r="H52" s="38" t="n">
        <v>5</v>
      </c>
      <c r="I52" s="36" t="inlineStr">
        <is>
          <t>Haute</t>
        </is>
      </c>
      <c r="J52" s="36" t="inlineStr">
        <is>
          <t>À faire</t>
        </is>
      </c>
      <c r="K52" s="39" t="n"/>
      <c r="L52" s="16">
        <f>IF($B52="","",IF(J52="Complétée",1,IF(J52="Abandonnée",0,IF(K52&lt;&gt;"",K52,IFERROR(VLOOKUP(J52,Parametres!$B$6:$C$12,2,FALSE),0)))))</f>
        <v/>
      </c>
      <c r="M52" s="15">
        <f>IF($B52="","",IF(J52="Abandonnée",0,H52))</f>
        <v/>
      </c>
      <c r="N52" s="15">
        <f>IF($B52="","",M52*L52)</f>
        <v/>
      </c>
      <c r="O52" s="37" t="n"/>
      <c r="P52" s="40" t="n">
        <v>46289</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Évaluation indicative</t>
        </is>
      </c>
      <c r="F53" s="37" t="inlineStr">
        <is>
          <t>Saisie des données financières minimales et retraitements documentés</t>
        </is>
      </c>
      <c r="G53" s="37" t="inlineStr">
        <is>
          <t>Retraitement tracé avec justification</t>
        </is>
      </c>
      <c r="H53" s="38" t="n">
        <v>3</v>
      </c>
      <c r="I53" s="36" t="inlineStr">
        <is>
          <t>Moyenne</t>
        </is>
      </c>
      <c r="J53" s="36" t="inlineStr">
        <is>
          <t>En cours</t>
        </is>
      </c>
      <c r="K53" s="39" t="n">
        <v>0.4</v>
      </c>
      <c r="L53" s="16">
        <f>IF($B53="","",IF(J53="Complétée",1,IF(J53="Abandonnée",0,IF(K53&lt;&gt;"",K53,IFERROR(VLOOKUP(J53,Parametres!$B$6:$C$12,2,FALSE),0)))))</f>
        <v/>
      </c>
      <c r="M53" s="15">
        <f>IF($B53="","",IF(J53="Abandonnée",0,H53))</f>
        <v/>
      </c>
      <c r="N53" s="15">
        <f>IF($B53="","",M53*L53)</f>
        <v/>
      </c>
      <c r="O53" s="37" t="inlineStr">
        <is>
          <t>Abdou-Raouf</t>
        </is>
      </c>
      <c r="P53" s="40" t="n">
        <v>46289</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Évaluation indicative</t>
        </is>
      </c>
      <c r="F54" s="37" t="inlineStr">
        <is>
          <t>Calcul de fourchette indicative, méthode et sources affichées</t>
        </is>
      </c>
      <c r="G54" s="37" t="inlineStr">
        <is>
          <t>Méthode, date et sources visibles à côté du résultat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46290</v>
      </c>
      <c r="Q54" s="40" t="n">
        <v>46295</v>
      </c>
      <c r="R54" s="40" t="n">
        <v>46274</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Évaluation indicative</t>
        </is>
      </c>
      <c r="F55" s="37" t="inlineStr">
        <is>
          <t>Mentions 'indicative, non opposable' et journal de calcul versionné</t>
        </is>
      </c>
      <c r="G55" s="37" t="inlineStr">
        <is>
          <t>Mention non masquable, calcul rejouable</t>
        </is>
      </c>
      <c r="H55" s="38" t="n">
        <v>2</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46290</v>
      </c>
      <c r="Q55" s="40" t="n">
        <v>46293</v>
      </c>
      <c r="R55" s="40" t="n">
        <v>46274</v>
      </c>
      <c r="S55" s="37" t="inlineStr"/>
      <c r="T55" s="36" t="inlineStr">
        <is>
          <t>Non</t>
        </is>
      </c>
      <c r="U55" s="13">
        <f>IF($B55="","",IF(AND(J55&lt;&gt;"Complétée",J55&lt;&gt;"Abandonnée",Q55&lt;&gt;"",TODAY()&gt;Q55),"En retard",""))</f>
        <v/>
      </c>
      <c r="V55" s="37" t="n"/>
    </row>
    <row r="56">
      <c r="B56" s="36" t="inlineStr">
        <is>
          <t>V1-051</t>
        </is>
      </c>
      <c r="C56" s="36" t="inlineStr">
        <is>
          <t>V1</t>
        </is>
      </c>
      <c r="D56" s="36" t="inlineStr">
        <is>
          <t>RPS</t>
        </is>
      </c>
      <c r="E56" s="37" t="inlineStr">
        <is>
          <t>Démonstration RPS</t>
        </is>
      </c>
      <c r="F56" s="37" t="inlineStr">
        <is>
          <t>Scénario scripté : dossier titres, tentative de publication trop large</t>
        </is>
      </c>
      <c r="G56" s="37" t="inlineStr">
        <is>
          <t>Scénario rejouable en moins de 3 minutes</t>
        </is>
      </c>
      <c r="H56" s="38" t="n">
        <v>4</v>
      </c>
      <c r="I56" s="36" t="inlineStr">
        <is>
          <t>Moyenne</t>
        </is>
      </c>
      <c r="J56" s="36" t="inlineStr">
        <is>
          <t>En cours</t>
        </is>
      </c>
      <c r="K56" s="39" t="n">
        <v>0.3</v>
      </c>
      <c r="L56" s="16">
        <f>IF($B56="","",IF(J56="Complétée",1,IF(J56="Abandonnée",0,IF(K56&lt;&gt;"",K56,IFERROR(VLOOKUP(J56,Parametres!$B$6:$C$12,2,FALSE),0)))))</f>
        <v/>
      </c>
      <c r="M56" s="15">
        <f>IF($B56="","",IF(J56="Abandonnée",0,H56))</f>
        <v/>
      </c>
      <c r="N56" s="15">
        <f>IF($B56="","",M56*L56)</f>
        <v/>
      </c>
      <c r="O56" s="37" t="inlineStr">
        <is>
          <t>Abdou-Raouf</t>
        </is>
      </c>
      <c r="P56" s="40" t="n">
        <v>46291</v>
      </c>
      <c r="Q56" s="40" t="n">
        <v>46297</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RPS</t>
        </is>
      </c>
      <c r="E57" s="37" t="inlineStr">
        <is>
          <t>Démonstration RPS</t>
        </is>
      </c>
      <c r="F57" s="37" t="inlineStr">
        <is>
          <t>Bannière de blocage et texte explicatif (risque de nullité, paliers T0/T1)</t>
        </is>
      </c>
      <c r="G57" s="37" t="inlineStr">
        <is>
          <t>Texte validé par M. Bruno</t>
        </is>
      </c>
      <c r="H57" s="38" t="n">
        <v>3</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46291</v>
      </c>
      <c r="Q57" s="40" t="n">
        <v>46296</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RPS</t>
        </is>
      </c>
      <c r="E58" s="37" t="inlineStr">
        <is>
          <t>Démonstration RPS</t>
        </is>
      </c>
      <c r="F58" s="37" t="inlineStr">
        <is>
          <t>Fixture synthétique dédiée, étiquetée 'démonstration'</t>
        </is>
      </c>
      <c r="G58" s="37" t="inlineStr">
        <is>
          <t>Étiquette visible sur chaque écran du scénario</t>
        </is>
      </c>
      <c r="H58" s="38" t="n">
        <v>2</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46292</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RPS</t>
        </is>
      </c>
      <c r="E59" s="37" t="inlineStr">
        <is>
          <t>Démonstration RPS</t>
        </is>
      </c>
      <c r="F59" s="37" t="inlineStr">
        <is>
          <t>Écran T1 anonymisé de démonstration</t>
        </is>
      </c>
      <c r="G59" s="37" t="inlineStr">
        <is>
          <t>Aucune identité, prix ni conditions affichés</t>
        </is>
      </c>
      <c r="H59" s="38" t="n">
        <v>5</v>
      </c>
      <c r="I59" s="36" t="inlineStr">
        <is>
          <t>Moyenne</t>
        </is>
      </c>
      <c r="J59" s="36" t="inlineStr">
        <is>
          <t>À faire</t>
        </is>
      </c>
      <c r="K59" s="39" t="n"/>
      <c r="L59" s="16">
        <f>IF($B59="","",IF(J59="Complétée",1,IF(J59="Abandonnée",0,IF(K59&lt;&gt;"",K59,IFERROR(VLOOKUP(J59,Parametres!$B$6:$C$12,2,FALSE),0)))))</f>
        <v/>
      </c>
      <c r="M59" s="15">
        <f>IF($B59="","",IF(J59="Abandonnée",0,H59))</f>
        <v/>
      </c>
      <c r="N59" s="15">
        <f>IF($B59="","",M59*L59)</f>
        <v/>
      </c>
      <c r="O59" s="37" t="n"/>
      <c r="P59" s="40" t="n">
        <v>46292</v>
      </c>
      <c r="Q59" s="40" t="n">
        <v>46299</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RPS</t>
        </is>
      </c>
      <c r="E60" s="37" t="inlineStr">
        <is>
          <t>Démonstration RPS</t>
        </is>
      </c>
      <c r="F60" s="37" t="inlineStr">
        <is>
          <t>Journal de démonstration : trace lisible des décisions simulées</t>
        </is>
      </c>
      <c r="G60" s="37" t="inlineStr">
        <is>
          <t>Journal consultable pendant la démo</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46293</v>
      </c>
      <c r="Q60" s="40" t="n">
        <v>46298</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RPS</t>
        </is>
      </c>
      <c r="E61" s="37" t="inlineStr">
        <is>
          <t>Démonstration RPS</t>
        </is>
      </c>
      <c r="F61" s="37" t="inlineStr">
        <is>
          <t>Recette du scénario avec M. Bruno</t>
        </is>
      </c>
      <c r="G61" s="37" t="inlineStr">
        <is>
          <t>Validation écrite du déroulé</t>
        </is>
      </c>
      <c r="H61" s="38" t="n">
        <v>1</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46293</v>
      </c>
      <c r="Q61" s="40" t="n">
        <v>46295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CNX</t>
        </is>
      </c>
      <c r="E62" s="37" t="inlineStr">
        <is>
          <t>Deal-Connect (Remo)</t>
        </is>
      </c>
      <c r="F62" s="37" t="inlineStr">
        <is>
          <t>Cadrage de l'intégration Remo.co : plan retenu, API, SSO, webhooks, marque blanche</t>
        </is>
      </c>
      <c r="G62" s="37" t="inlineStr">
        <is>
          <t>Périmètre d'intégration validé par M. Bruno sur la documentation Remo</t>
        </is>
      </c>
      <c r="H62" s="38" t="n">
        <v>3</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46293</v>
      </c>
      <c r="Q62" s="40" t="n">
        <v>46298</v>
      </c>
      <c r="R62" s="40" t="n"/>
      <c r="S62" s="37" t="inlineStr"/>
      <c r="T62" s="36" t="inlineStr">
        <is>
          <t>Oui</t>
        </is>
      </c>
      <c r="U62" s="13">
        <f>IF($B62="","",IF(AND(J62&lt;&gt;"Complétée",J62&lt;&gt;"Abandonnée",Q62&lt;&gt;"",TODAY()&gt;Q62),"En retard",""))</f>
        <v/>
      </c>
      <c r="V62" s="37" t="n"/>
    </row>
    <row r="63">
      <c r="B63" s="36" t="inlineStr">
        <is>
          <t>V1-058</t>
        </is>
      </c>
      <c r="C63" s="36" t="inlineStr">
        <is>
          <t>V1</t>
        </is>
      </c>
      <c r="D63" s="36" t="inlineStr">
        <is>
          <t>CNX</t>
        </is>
      </c>
      <c r="E63" s="37" t="inlineStr">
        <is>
          <t>Deal-Connect (Remo)</t>
        </is>
      </c>
      <c r="F63" s="37" t="inlineStr">
        <is>
          <t>Connecteur Remo.co : création d'événements, lien d'accès unique, webhooks de présence</t>
        </is>
      </c>
      <c r="G63" s="37" t="inlineStr">
        <is>
          <t>Présence remontée et rattachée à l'inscription DealPME</t>
        </is>
      </c>
      <c r="H63" s="38" t="n">
        <v>8</v>
      </c>
      <c r="I63" s="36" t="inlineStr">
        <is>
          <t>Haute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46294</v>
      </c>
      <c r="Q63" s="40" t="n">
        <v>46306</v>
      </c>
      <c r="R63" s="40" t="n"/>
      <c r="S63" s="37" t="inlineStr">
        <is>
          <t>Cadrage Remo.co</t>
        </is>
      </c>
      <c r="T63" s="36" t="inlineStr">
        <is>
          <t>Non</t>
        </is>
      </c>
      <c r="U63" s="13">
        <f>IF($B63="","",IF(AND(J63&lt;&gt;"Complétée",J63&lt;&gt;"Abandonnée",Q63&lt;&gt;"",TODAY()&gt;Q63),"En retard",""))</f>
        <v/>
      </c>
      <c r="V63" s="37" t="n"/>
    </row>
    <row r="64">
      <c r="B64" s="36" t="inlineStr">
        <is>
          <t>V1-059</t>
        </is>
      </c>
      <c r="C64" s="36" t="inlineStr">
        <is>
          <t>V1</t>
        </is>
      </c>
      <c r="D64" s="36" t="inlineStr">
        <is>
          <t>CNX</t>
        </is>
      </c>
      <c r="E64" s="37" t="inlineStr">
        <is>
          <t>Deal-Connect (Remo)</t>
        </is>
      </c>
      <c r="F64" s="37" t="inlineStr">
        <is>
          <t>Inscriptions DEALPME_FIRST : consentement d'échange de contacts, attribution de campagne</t>
        </is>
      </c>
      <c r="G64" s="37" t="inlineStr">
        <is>
          <t>Aucun contact échangé sans consentement explicite</t>
        </is>
      </c>
      <c r="H64" s="38" t="n">
        <v>3</v>
      </c>
      <c r="I64" s="36" t="inlineStr">
        <is>
          <t>Haute</t>
        </is>
      </c>
      <c r="J64" s="36" t="inlineStr">
        <is>
          <t>En cours</t>
        </is>
      </c>
      <c r="K64" s="39" t="n">
        <v>0.5</v>
      </c>
      <c r="L64" s="16">
        <f>IF($B64="","",IF(J64="Complétée",1,IF(J64="Abandonnée",0,IF(K64&lt;&gt;"",K64,IFERROR(VLOOKUP(J64,Parametres!$B$6:$C$12,2,FALSE),0)))))</f>
        <v/>
      </c>
      <c r="M64" s="15">
        <f>IF($B64="","",IF(J64="Abandonnée",0,H64))</f>
        <v/>
      </c>
      <c r="N64" s="15">
        <f>IF($B64="","",M64*L64)</f>
        <v/>
      </c>
      <c r="O64" s="37" t="inlineStr">
        <is>
          <t>Abdou-Raouf</t>
        </is>
      </c>
      <c r="P64" s="40" t="n">
        <v>46295</v>
      </c>
      <c r="Q64" s="40" t="n">
        <v>46300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CNX</t>
        </is>
      </c>
      <c r="E65" s="37" t="inlineStr">
        <is>
          <t>Deal-Connect (Remo)</t>
        </is>
      </c>
      <c r="F65" s="37" t="inlineStr">
        <is>
          <t>Écran Deal-Connect V1 : liste des événements, inscription, bouton d'accès Remo</t>
        </is>
      </c>
      <c r="G65" s="37" t="inlineStr">
        <is>
          <t>Parcours inscription puis accès en moins de trois clics</t>
        </is>
      </c>
      <c r="H65" s="38" t="n">
        <v>4</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46295</v>
      </c>
      <c r="Q65" s="40" t="n">
        <v>46301</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DIA</t>
        </is>
      </c>
      <c r="E66" s="37" t="inlineStr">
        <is>
          <t>Deal-Connect (Remo)</t>
        </is>
      </c>
      <c r="F66" s="37" t="inlineStr">
        <is>
          <t>Demande de rendez-vous diaspora avec avis transfrontalier, entretien vidéo via Remo après confirmation humaine</t>
        </is>
      </c>
      <c r="G66" s="37" t="inlineStr">
        <is>
          <t>Aucune demande sans reconnaissance de l'avis transfrontalier</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46296</v>
      </c>
      <c r="Q66" s="40" t="n">
        <v>46302</v>
      </c>
      <c r="R66" s="40" t="n"/>
      <c r="S66" s="37" t="inlineStr">
        <is>
          <t>Connecteur Remo.co</t>
        </is>
      </c>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Frontend et design</t>
        </is>
      </c>
      <c r="F67" s="37" t="inlineStr">
        <is>
          <t>Intégration du design system (tokens et composants de base issus de la Tranche 3)</t>
        </is>
      </c>
      <c r="G67" s="37" t="inlineStr">
        <is>
          <t>Tokens couleurs et typographie conformes à la charte</t>
        </is>
      </c>
      <c r="H67" s="38" t="n">
        <v>5</v>
      </c>
      <c r="I67" s="36" t="inlineStr">
        <is>
          <t>Haute</t>
        </is>
      </c>
      <c r="J67" s="36" t="inlineStr">
        <is>
          <t>En cours</t>
        </is>
      </c>
      <c r="K67" s="39" t="n">
        <v>0.5</v>
      </c>
      <c r="L67" s="16">
        <f>IF($B67="","",IF(J67="Complétée",1,IF(J67="Abandonnée",0,IF(K67&lt;&gt;"",K67,IFERROR(VLOOKUP(J67,Parametres!$B$6:$C$12,2,FALSE),0)))))</f>
        <v/>
      </c>
      <c r="M67" s="15">
        <f>IF($B67="","",IF(J67="Abandonnée",0,H67))</f>
        <v/>
      </c>
      <c r="N67" s="15">
        <f>IF($B67="","",M67*L67)</f>
        <v/>
      </c>
      <c r="O67" s="37" t="inlineStr">
        <is>
          <t>Abdou-Raouf</t>
        </is>
      </c>
      <c r="P67" s="40" t="n">
        <v>46296</v>
      </c>
      <c r="Q67" s="40" t="n">
        <v>46303</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Frontend et design</t>
        </is>
      </c>
      <c r="F68" s="37" t="inlineStr">
        <is>
          <t>Gabarit applicatif : AppShell, navigation, états vide / chargement / erreur</t>
        </is>
      </c>
      <c r="G68" s="37" t="inlineStr">
        <is>
          <t>Chaque écran possède ses trois états</t>
        </is>
      </c>
      <c r="H68" s="38" t="n">
        <v>4</v>
      </c>
      <c r="I68" s="36" t="inlineStr">
        <is>
          <t>Haute</t>
        </is>
      </c>
      <c r="J68" s="36" t="inlineStr">
        <is>
          <t>En cours</t>
        </is>
      </c>
      <c r="K68" s="39" t="n">
        <v>0.5</v>
      </c>
      <c r="L68" s="16">
        <f>IF($B68="","",IF(J68="Complétée",1,IF(J68="Abandonnée",0,IF(K68&lt;&gt;"",K68,IFERROR(VLOOKUP(J68,Parametres!$B$6:$C$12,2,FALSE),0)))))</f>
        <v/>
      </c>
      <c r="M68" s="15">
        <f>IF($B68="","",IF(J68="Abandonnée",0,H68))</f>
        <v/>
      </c>
      <c r="N68" s="15">
        <f>IF($B68="","",M68*L68)</f>
        <v/>
      </c>
      <c r="O68" s="37" t="inlineStr">
        <is>
          <t>Abdou-Raouf</t>
        </is>
      </c>
      <c r="P68" s="40" t="n">
        <v>46297</v>
      </c>
      <c r="Q68" s="40" t="n">
        <v>46303</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TRV</t>
        </is>
      </c>
      <c r="E69" s="37" t="inlineStr">
        <is>
          <t>Frontend et design</t>
        </is>
      </c>
      <c r="F69" s="37" t="inlineStr">
        <is>
          <t>Responsive mobile sur les parcours V1</t>
        </is>
      </c>
      <c r="G69" s="37" t="inlineStr">
        <is>
          <t>Aucune casse de mise en page entre 360 et 1920 px</t>
        </is>
      </c>
      <c r="H69" s="38" t="n">
        <v>4</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46297</v>
      </c>
      <c r="Q69" s="40" t="n">
        <v>46303</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TRV</t>
        </is>
      </c>
      <c r="E70" s="37" t="inlineStr">
        <is>
          <t>Frontend et design</t>
        </is>
      </c>
      <c r="F70" s="37" t="inlineStr">
        <is>
          <t>Revue visuelle avec le designer UI/UX</t>
        </is>
      </c>
      <c r="G70" s="37" t="inlineStr">
        <is>
          <t>Liste des écarts traitée</t>
        </is>
      </c>
      <c r="H70" s="38" t="n">
        <v>2</v>
      </c>
      <c r="I70" s="36" t="inlineStr">
        <is>
          <t>Moyenne</t>
        </is>
      </c>
      <c r="J70" s="36" t="inlineStr">
        <is>
          <t>À faire</t>
        </is>
      </c>
      <c r="K70" s="39" t="n"/>
      <c r="L70" s="16">
        <f>IF($B70="","",IF(J70="Complétée",1,IF(J70="Abandonnée",0,IF(K70&lt;&gt;"",K70,IFERROR(VLOOKUP(J70,Parametres!$B$6:$C$12,2,FALSE),0)))))</f>
        <v/>
      </c>
      <c r="M70" s="15">
        <f>IF($B70="","",IF(J70="Abandonnée",0,H70))</f>
        <v/>
      </c>
      <c r="N70" s="15">
        <f>IF($B70="","",M70*L70)</f>
        <v/>
      </c>
      <c r="O70" s="37" t="n"/>
      <c r="P70" s="40" t="n">
        <v>46298</v>
      </c>
      <c r="Q70" s="40" t="n">
        <v>46301</v>
      </c>
      <c r="R70" s="40" t="n"/>
      <c r="S70" s="37" t="inlineStr">
        <is>
          <t>Designer UI/UX confirmé</t>
        </is>
      </c>
      <c r="T70" s="36" t="inlineStr">
        <is>
          <t>Non</t>
        </is>
      </c>
      <c r="U70" s="13">
        <f>IF($B70="","",IF(AND(J70&lt;&gt;"Complétée",J70&lt;&gt;"Abandonnée",Q70&lt;&gt;"",TODAY()&gt;Q70),"En retard",""))</f>
        <v/>
      </c>
      <c r="V70" s="37" t="n"/>
    </row>
    <row r="71">
      <c r="B71" s="36" t="inlineStr">
        <is>
          <t>V1-066</t>
        </is>
      </c>
      <c r="C71" s="36" t="inlineStr">
        <is>
          <t>V1</t>
        </is>
      </c>
      <c r="D71" s="36" t="inlineStr">
        <is>
          <t>TRV</t>
        </is>
      </c>
      <c r="E71" s="37" t="inlineStr">
        <is>
          <t>QA et livraison</t>
        </is>
      </c>
      <c r="F71" s="37" t="inlineStr">
        <is>
          <t>Tests automatisés : unitaires et bout en bout sur les parcours critiques</t>
        </is>
      </c>
      <c r="G71" s="37" t="inlineStr">
        <is>
          <t>Couverture des parcours inscription, dossier, publication, certification</t>
        </is>
      </c>
      <c r="H71" s="38" t="n">
        <v>5</v>
      </c>
      <c r="I71" s="36" t="inlineStr">
        <is>
          <t>Haute</t>
        </is>
      </c>
      <c r="J71" s="36" t="inlineStr">
        <is>
          <t>En cours</t>
        </is>
      </c>
      <c r="K71" s="39" t="n">
        <v>0.35</v>
      </c>
      <c r="L71" s="16">
        <f>IF($B71="","",IF(J71="Complétée",1,IF(J71="Abandonnée",0,IF(K71&lt;&gt;"",K71,IFERROR(VLOOKUP(J71,Parametres!$B$6:$C$12,2,FALSE),0)))))</f>
        <v/>
      </c>
      <c r="M71" s="15">
        <f>IF($B71="","",IF(J71="Abandonnée",0,H71))</f>
        <v/>
      </c>
      <c r="N71" s="15">
        <f>IF($B71="","",M71*L71)</f>
        <v/>
      </c>
      <c r="O71" s="37" t="inlineStr">
        <is>
          <t>Abdou-Raouf</t>
        </is>
      </c>
      <c r="P71" s="40" t="n">
        <v>46308</v>
      </c>
      <c r="Q71" s="40" t="n">
        <v>46310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TRV</t>
        </is>
      </c>
      <c r="E72" s="37" t="inlineStr">
        <is>
          <t>QA et livraison</t>
        </is>
      </c>
      <c r="F72" s="37" t="inlineStr">
        <is>
          <t>Tests négatifs : permissions serveur, accès non autorisés, contrôles morts</t>
        </is>
      </c>
      <c r="G72" s="37" t="inlineStr">
        <is>
          <t>Aucun contrôle visible sans réaction définie</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46308</v>
      </c>
      <c r="Q72" s="40" t="n">
        <v>46310</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TRV</t>
        </is>
      </c>
      <c r="E73" s="37" t="inlineStr">
        <is>
          <t>QA et livraison</t>
        </is>
      </c>
      <c r="F73" s="37" t="inlineStr">
        <is>
          <t>Jeu de données de démonstration complet (synthétique, étiqueté)</t>
        </is>
      </c>
      <c r="G73" s="37" t="inlineStr">
        <is>
          <t>Aucune donnée réelle, étiquette visible</t>
        </is>
      </c>
      <c r="H73" s="38" t="n">
        <v>3</v>
      </c>
      <c r="I73" s="36" t="inlineStr">
        <is>
          <t>Haute</t>
        </is>
      </c>
      <c r="J73" s="36" t="inlineStr">
        <is>
          <t>En cours</t>
        </is>
      </c>
      <c r="K73" s="39" t="n">
        <v>0.6</v>
      </c>
      <c r="L73" s="16">
        <f>IF($B73="","",IF(J73="Complétée",1,IF(J73="Abandonnée",0,IF(K73&lt;&gt;"",K73,IFERROR(VLOOKUP(J73,Parametres!$B$6:$C$12,2,FALSE),0)))))</f>
        <v/>
      </c>
      <c r="M73" s="15">
        <f>IF($B73="","",IF(J73="Abandonnée",0,H73))</f>
        <v/>
      </c>
      <c r="N73" s="15">
        <f>IF($B73="","",M73*L73)</f>
        <v/>
      </c>
      <c r="O73" s="37" t="inlineStr">
        <is>
          <t>Abdou-Raouf</t>
        </is>
      </c>
      <c r="P73" s="40" t="n">
        <v>46308</v>
      </c>
      <c r="Q73" s="40" t="n">
        <v>46310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QA et livraison</t>
        </is>
      </c>
      <c r="F74" s="37" t="inlineStr">
        <is>
          <t>Recette interne et corrections</t>
        </is>
      </c>
      <c r="G74" s="37" t="inlineStr">
        <is>
          <t>Zéro anomalie bloquante ouverte</t>
        </is>
      </c>
      <c r="H74" s="38" t="n">
        <v>4</v>
      </c>
      <c r="I74" s="36" t="inlineStr">
        <is>
          <t>Haute</t>
        </is>
      </c>
      <c r="J74" s="36" t="inlineStr">
        <is>
          <t>À faire</t>
        </is>
      </c>
      <c r="K74" s="39" t="n"/>
      <c r="L74" s="16">
        <f>IF($B74="","",IF(J74="Complétée",1,IF(J74="Abandonnée",0,IF(K74&lt;&gt;"",K74,IFERROR(VLOOKUP(J74,Parametres!$B$6:$C$12,2,FALSE),0)))))</f>
        <v/>
      </c>
      <c r="M74" s="15">
        <f>IF($B74="","",IF(J74="Abandonnée",0,H74))</f>
        <v/>
      </c>
      <c r="N74" s="15">
        <f>IF($B74="","",M74*L74)</f>
        <v/>
      </c>
      <c r="O74" s="37" t="n"/>
      <c r="P74" s="40" t="n">
        <v>46308</v>
      </c>
      <c r="Q74" s="40" t="n">
        <v>46310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QA et livraison</t>
        </is>
      </c>
      <c r="F75" s="37" t="inlineStr">
        <is>
          <t>Documentation développeur et guide de démonstration</t>
        </is>
      </c>
      <c r="G75" s="37" t="inlineStr">
        <is>
          <t>Nouvel arrivant opérationnel en une journée</t>
        </is>
      </c>
      <c r="H75" s="38" t="n">
        <v>3</v>
      </c>
      <c r="I75" s="36" t="inlineStr">
        <is>
          <t>Moyenne</t>
        </is>
      </c>
      <c r="J75" s="36" t="inlineStr">
        <is>
          <t>En cours</t>
        </is>
      </c>
      <c r="K75" s="39" t="n">
        <v>0.6</v>
      </c>
      <c r="L75" s="16">
        <f>IF($B75="","",IF(J75="Complétée",1,IF(J75="Abandonnée",0,IF(K75&lt;&gt;"",K75,IFERROR(VLOOKUP(J75,Parametres!$B$6:$C$12,2,FALSE),0)))))</f>
        <v/>
      </c>
      <c r="M75" s="15">
        <f>IF($B75="","",IF(J75="Abandonnée",0,H75))</f>
        <v/>
      </c>
      <c r="N75" s="15">
        <f>IF($B75="","",M75*L75)</f>
        <v/>
      </c>
      <c r="O75" s="37" t="inlineStr">
        <is>
          <t>Abdou-Raouf</t>
        </is>
      </c>
      <c r="P75" s="40" t="n">
        <v>46308</v>
      </c>
      <c r="Q75" s="40" t="n">
        <v>46310</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QA et livraison</t>
        </is>
      </c>
      <c r="F76" s="37" t="inlineStr">
        <is>
          <t>Préparation de la démonstration du 15/10 (script, environnement, données)</t>
        </is>
      </c>
      <c r="G76" s="37" t="inlineStr">
        <is>
          <t>Répétition générale réalisée</t>
        </is>
      </c>
      <c r="H76" s="38" t="n">
        <v>2</v>
      </c>
      <c r="I76" s="36" t="inlineStr">
        <is>
          <t>Haute</t>
        </is>
      </c>
      <c r="J76" s="36" t="inlineStr">
        <is>
          <t>À faire</t>
        </is>
      </c>
      <c r="K76" s="39" t="n"/>
      <c r="L76" s="16">
        <f>IF($B76="","",IF(J76="Complétée",1,IF(J76="Abandonnée",0,IF(K76&lt;&gt;"",K76,IFERROR(VLOOKUP(J76,Parametres!$B$6:$C$12,2,FALSE),0)))))</f>
        <v/>
      </c>
      <c r="M76" s="15">
        <f>IF($B76="","",IF(J76="Abandonnée",0,H76))</f>
        <v/>
      </c>
      <c r="N76" s="15">
        <f>IF($B76="","",M76*L76)</f>
        <v/>
      </c>
      <c r="O76" s="37" t="n"/>
      <c r="P76" s="40" t="n">
        <v>46308</v>
      </c>
      <c r="Q76" s="40" t="n">
        <v>46310</v>
      </c>
      <c r="R76" s="40" t="n"/>
      <c r="S76" s="37" t="inlineStr"/>
      <c r="T76" s="36" t="inlineStr">
        <is>
          <t>Non</t>
        </is>
      </c>
      <c r="U76" s="13">
        <f>IF($B76="","",IF(AND(J76&lt;&gt;"Complétée",J76&lt;&gt;"Abandonnée",Q76&lt;&gt;"",TODAY()&gt;Q76),"En retard",""))</f>
        <v/>
      </c>
      <c r="V76" s="37" t="n"/>
    </row>
    <row r="77">
      <c r="B77" s="36" t="inlineStr">
        <is>
          <t>V2-001</t>
        </is>
      </c>
      <c r="C77" s="36" t="inlineStr">
        <is>
          <t>V2</t>
        </is>
      </c>
      <c r="D77" s="36" t="inlineStr">
        <is>
          <t>RPS</t>
        </is>
      </c>
      <c r="E77" s="37" t="inlineStr">
        <is>
          <t>Circuit RPS réel</t>
        </is>
      </c>
      <c r="F77" s="37" t="inlineStr">
        <is>
          <t>Micro-service RPS indépendant : datastore, API, déploiement séparé</t>
        </is>
      </c>
      <c r="G77" s="37" t="inlineStr">
        <is>
          <t>Déployable indépendamment du reste de la plateforme</t>
        </is>
      </c>
      <c r="H77" s="38" t="n">
        <v>6</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46311</v>
      </c>
      <c r="Q77" s="40" t="n">
        <v>46320</v>
      </c>
      <c r="R77" s="40" t="n"/>
      <c r="S77" s="37" t="inlineStr"/>
      <c r="T77" s="36" t="inlineStr">
        <is>
          <t>Non</t>
        </is>
      </c>
      <c r="U77" s="13">
        <f>IF($B77="","",IF(AND(J77&lt;&gt;"Complétée",J77&lt;&gt;"Abandonnée",Q77&lt;&gt;"",TODAY()&gt;Q77),"En retard",""))</f>
        <v/>
      </c>
      <c r="V77" s="37" t="n"/>
    </row>
    <row r="78">
      <c r="B78" s="36" t="inlineStr">
        <is>
          <t>V2-002</t>
        </is>
      </c>
      <c r="C78" s="36" t="inlineStr">
        <is>
          <t>V2</t>
        </is>
      </c>
      <c r="D78" s="36" t="inlineStr">
        <is>
          <t>RPS</t>
        </is>
      </c>
      <c r="E78" s="37" t="inlineStr">
        <is>
          <t>Circuit RPS réel</t>
        </is>
      </c>
      <c r="F78" s="37" t="inlineStr">
        <is>
          <t>Table Disclosure append-only et compteur par personne (pas par session)</t>
        </is>
      </c>
      <c r="G78" s="37" t="inlineStr">
        <is>
          <t>Révocation crée une ligne, ne supprime jamais</t>
        </is>
      </c>
      <c r="H78" s="38" t="n">
        <v>5</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46313</v>
      </c>
      <c r="Q78" s="40" t="n">
        <v>46320</v>
      </c>
      <c r="R78" s="40" t="n"/>
      <c r="S78" s="37" t="inlineStr"/>
      <c r="T78" s="36" t="inlineStr">
        <is>
          <t>Non</t>
        </is>
      </c>
      <c r="U78" s="13">
        <f>IF($B78="","",IF(AND(J78&lt;&gt;"Complétée",J78&lt;&gt;"Abandonnée",Q78&lt;&gt;"",TODAY()&gt;Q78),"En retard",""))</f>
        <v/>
      </c>
      <c r="V78" s="37" t="n"/>
    </row>
    <row r="79">
      <c r="B79" s="36" t="inlineStr">
        <is>
          <t>V2-003</t>
        </is>
      </c>
      <c r="C79" s="36" t="inlineStr">
        <is>
          <t>V2</t>
        </is>
      </c>
      <c r="D79" s="36" t="inlineStr">
        <is>
          <t>RPS</t>
        </is>
      </c>
      <c r="E79" s="37" t="inlineStr">
        <is>
          <t>Circuit RPS réel</t>
        </is>
      </c>
      <c r="F79" s="37" t="inlineStr">
        <is>
          <t>Graphe de personnes liées (comptées une seule fois)</t>
        </is>
      </c>
      <c r="G79" s="37" t="inlineStr">
        <is>
          <t>Deux comptes liés comptent pour une personne</t>
        </is>
      </c>
      <c r="H79" s="38" t="n">
        <v>4</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46314</v>
      </c>
      <c r="Q79" s="40" t="n">
        <v>46320</v>
      </c>
      <c r="R79" s="40" t="n"/>
      <c r="S79" s="37" t="inlineStr"/>
      <c r="T79" s="36" t="inlineStr">
        <is>
          <t>Non</t>
        </is>
      </c>
      <c r="U79" s="13">
        <f>IF($B79="","",IF(AND(J79&lt;&gt;"Complétée",J79&lt;&gt;"Abandonnée",Q79&lt;&gt;"",TODAY()&gt;Q79),"En retard",""))</f>
        <v/>
      </c>
      <c r="V79" s="37" t="n"/>
    </row>
    <row r="80">
      <c r="B80" s="36" t="inlineStr">
        <is>
          <t>V2-004</t>
        </is>
      </c>
      <c r="C80" s="36" t="inlineStr">
        <is>
          <t>V2</t>
        </is>
      </c>
      <c r="D80" s="36" t="inlineStr">
        <is>
          <t>RPS</t>
        </is>
      </c>
      <c r="E80" s="37" t="inlineStr">
        <is>
          <t>Circuit RPS réel</t>
        </is>
      </c>
      <c r="F80" s="37" t="inlineStr">
        <is>
          <t>Plafond de cercle (défaut 50), seuils 80 % et 100 %, bascule en admission manuelle</t>
        </is>
      </c>
      <c r="G80" s="37" t="inlineStr">
        <is>
          <t>Blocage effectif à 100 % (test négatif)</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46316</v>
      </c>
      <c r="Q80" s="40" t="n">
        <v>46322</v>
      </c>
      <c r="R80" s="40" t="n"/>
      <c r="S80" s="37" t="inlineStr"/>
      <c r="T80" s="36" t="inlineStr">
        <is>
          <t>Non</t>
        </is>
      </c>
      <c r="U80" s="13">
        <f>IF($B80="","",IF(AND(J80&lt;&gt;"Complétée",J80&lt;&gt;"Abandonnée",Q80&lt;&gt;"",TODAY()&gt;Q80),"En retard",""))</f>
        <v/>
      </c>
      <c r="V80" s="37" t="n"/>
    </row>
    <row r="81">
      <c r="B81" s="36" t="inlineStr">
        <is>
          <t>V2-005</t>
        </is>
      </c>
      <c r="C81" s="36" t="inlineStr">
        <is>
          <t>V2</t>
        </is>
      </c>
      <c r="D81" s="36" t="inlineStr">
        <is>
          <t>RPS</t>
        </is>
      </c>
      <c r="E81" s="37" t="inlineStr">
        <is>
          <t>Circuit RPS réel</t>
        </is>
      </c>
      <c r="F81" s="37" t="inlineStr">
        <is>
          <t>Workflow d'admission humaine : file, décision, justification enregistrée</t>
        </is>
      </c>
      <c r="G81" s="37" t="inlineStr">
        <is>
          <t>Admission automatique impossible par construction</t>
        </is>
      </c>
      <c r="H81" s="38" t="n">
        <v>6</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46317</v>
      </c>
      <c r="Q81" s="40" t="n">
        <v>46326</v>
      </c>
      <c r="R81" s="40" t="n"/>
      <c r="S81" s="37" t="inlineStr"/>
      <c r="T81" s="36" t="inlineStr">
        <is>
          <t>Non</t>
        </is>
      </c>
      <c r="U81" s="13">
        <f>IF($B81="","",IF(AND(J81&lt;&gt;"Complétée",J81&lt;&gt;"Abandonnée",Q81&lt;&gt;"",TODAY()&gt;Q81),"En retard",""))</f>
        <v/>
      </c>
      <c r="V81" s="37" t="n"/>
    </row>
    <row r="82">
      <c r="B82" s="36" t="inlineStr">
        <is>
          <t>V2-006</t>
        </is>
      </c>
      <c r="C82" s="36" t="inlineStr">
        <is>
          <t>V2</t>
        </is>
      </c>
      <c r="D82" s="36" t="inlineStr">
        <is>
          <t>RPS</t>
        </is>
      </c>
      <c r="E82" s="37" t="inlineStr">
        <is>
          <t>Circuit RPS réel</t>
        </is>
      </c>
      <c r="F82" s="37" t="inlineStr">
        <is>
          <t>Filtre de communication sortante (permettre, caviarder, bloquer)</t>
        </is>
      </c>
      <c r="G82" s="37" t="inlineStr">
        <is>
          <t>Tout message sur un dossier titres passe par le filtre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46319</v>
      </c>
      <c r="Q82" s="40" t="n">
        <v>46326</v>
      </c>
      <c r="R82" s="40" t="n"/>
      <c r="S82" s="37" t="inlineStr"/>
      <c r="T82" s="36" t="inlineStr">
        <is>
          <t>Non</t>
        </is>
      </c>
      <c r="U82" s="13">
        <f>IF($B82="","",IF(AND(J82&lt;&gt;"Complétée",J82&lt;&gt;"Abandonnée",Q82&lt;&gt;"",TODAY()&gt;Q82),"En retard",""))</f>
        <v/>
      </c>
      <c r="V82" s="37" t="n"/>
    </row>
    <row r="83">
      <c r="B83" s="36" t="inlineStr">
        <is>
          <t>V2-007</t>
        </is>
      </c>
      <c r="C83" s="36" t="inlineStr">
        <is>
          <t>V2</t>
        </is>
      </c>
      <c r="D83" s="36" t="inlineStr">
        <is>
          <t>RPS</t>
        </is>
      </c>
      <c r="E83" s="37" t="inlineStr">
        <is>
          <t>Circuit RPS réel</t>
        </is>
      </c>
      <c r="F83" s="37" t="inlineStr">
        <is>
          <t>Journal réglementaire haché et export du pack de preuves par dossier</t>
        </is>
      </c>
      <c r="G83" s="37" t="inlineStr">
        <is>
          <t>Chaîne de hachage vérifiable, archive signée</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46320</v>
      </c>
      <c r="Q83" s="40" t="n">
        <v>46327</v>
      </c>
      <c r="R83" s="40" t="n"/>
      <c r="S83" s="37" t="inlineStr"/>
      <c r="T83" s="36" t="inlineStr">
        <is>
          <t>Non</t>
        </is>
      </c>
      <c r="U83" s="13">
        <f>IF($B83="","",IF(AND(J83&lt;&gt;"Complétée",J83&lt;&gt;"Abandonnée",Q83&lt;&gt;"",TODAY()&gt;Q83),"En retard",""))</f>
        <v/>
      </c>
      <c r="V83" s="37" t="n"/>
    </row>
    <row r="84">
      <c r="B84" s="36" t="inlineStr">
        <is>
          <t>V2-008</t>
        </is>
      </c>
      <c r="C84" s="36" t="inlineStr">
        <is>
          <t>V2</t>
        </is>
      </c>
      <c r="D84" s="36" t="inlineStr">
        <is>
          <t>RPS</t>
        </is>
      </c>
      <c r="E84" s="37" t="inlineStr">
        <is>
          <t>Circuit RPS réel</t>
        </is>
      </c>
      <c r="F84" s="37" t="inlineStr">
        <is>
          <t>Allow-list serveur des champs par palier T0 / T1 / T2</t>
        </is>
      </c>
      <c r="G84" s="37" t="inlineStr">
        <is>
          <t>Prix jamais sérialisé sous T2 (test négatif)</t>
        </is>
      </c>
      <c r="H84" s="38" t="n">
        <v>3</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46322</v>
      </c>
      <c r="Q84" s="40" t="n">
        <v>46327</v>
      </c>
      <c r="R84" s="40" t="n"/>
      <c r="S84" s="37" t="inlineStr"/>
      <c r="T84" s="36" t="inlineStr">
        <is>
          <t>Non</t>
        </is>
      </c>
      <c r="U84" s="13">
        <f>IF($B84="","",IF(AND(J84&lt;&gt;"Complétée",J84&lt;&gt;"Abandonnée",Q84&lt;&gt;"",TODAY()&gt;Q84),"En retard",""))</f>
        <v/>
      </c>
      <c r="V84" s="37" t="n"/>
    </row>
    <row r="85">
      <c r="B85" s="36" t="inlineStr">
        <is>
          <t>V2-009</t>
        </is>
      </c>
      <c r="C85" s="36" t="inlineStr">
        <is>
          <t>V2</t>
        </is>
      </c>
      <c r="D85" s="36" t="inlineStr">
        <is>
          <t>RPS</t>
        </is>
      </c>
      <c r="E85" s="37" t="inlineStr">
        <is>
          <t>Circuit RPS réel</t>
        </is>
      </c>
      <c r="F85" s="37" t="inlineStr">
        <is>
          <t>Écrans admission et cercle (conformité)</t>
        </is>
      </c>
      <c r="G85" s="37" t="inlineStr">
        <is>
          <t>Compteur et capacité restante visibles</t>
        </is>
      </c>
      <c r="H85" s="38" t="n">
        <v>2</v>
      </c>
      <c r="I85" s="36" t="inlineStr">
        <is>
          <t>Moyenne</t>
        </is>
      </c>
      <c r="J85" s="36" t="inlineStr">
        <is>
          <t>Backlog</t>
        </is>
      </c>
      <c r="K85" s="39" t="n"/>
      <c r="L85" s="16">
        <f>IF($B85="","",IF(J85="Complétée",1,IF(J85="Abandonnée",0,IF(K85&lt;&gt;"",K85,IFERROR(VLOOKUP(J85,Parametres!$B$6:$C$12,2,FALSE),0)))))</f>
        <v/>
      </c>
      <c r="M85" s="15">
        <f>IF($B85="","",IF(J85="Abandonnée",0,H85))</f>
        <v/>
      </c>
      <c r="N85" s="15">
        <f>IF($B85="","",M85*L85)</f>
        <v/>
      </c>
      <c r="O85" s="37" t="n"/>
      <c r="P85" s="40" t="n">
        <v>46323</v>
      </c>
      <c r="Q85" s="40" t="n">
        <v>46326</v>
      </c>
      <c r="R85" s="40" t="n"/>
      <c r="S85" s="37" t="inlineStr"/>
      <c r="T85" s="36" t="inlineStr">
        <is>
          <t>Non</t>
        </is>
      </c>
      <c r="U85" s="13">
        <f>IF($B85="","",IF(AND(J85&lt;&gt;"Complétée",J85&lt;&gt;"Abandonnée",Q85&lt;&gt;"",TODAY()&gt;Q85),"En retard",""))</f>
        <v/>
      </c>
      <c r="V85" s="37" t="n"/>
    </row>
    <row r="86">
      <c r="B86" s="36" t="inlineStr">
        <is>
          <t>V2-010</t>
        </is>
      </c>
      <c r="C86" s="36" t="inlineStr">
        <is>
          <t>V2</t>
        </is>
      </c>
      <c r="D86" s="36" t="inlineStr">
        <is>
          <t>SIG</t>
        </is>
      </c>
      <c r="E86" s="37" t="inlineStr">
        <is>
          <t>Signature électronique</t>
        </is>
      </c>
      <c r="F86" s="37" t="inlineStr">
        <is>
          <t>Sélection et contractualisation du prestataire PSC accrédité (coordination)</t>
        </is>
      </c>
      <c r="G86" s="37" t="inlineStr">
        <is>
          <t>Contrat signé, attestation d'accréditation archivée</t>
        </is>
      </c>
      <c r="H86" s="38" t="n">
        <v>3</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46323</v>
      </c>
      <c r="Q86" s="40" t="n">
        <v>46328</v>
      </c>
      <c r="R86" s="40" t="n"/>
      <c r="S86" s="37" t="inlineStr"/>
      <c r="T86" s="36" t="inlineStr">
        <is>
          <t>Oui</t>
        </is>
      </c>
      <c r="U86" s="13">
        <f>IF($B86="","",IF(AND(J86&lt;&gt;"Complétée",J86&lt;&gt;"Abandonnée",Q86&lt;&gt;"",TODAY()&gt;Q86),"En retard",""))</f>
        <v/>
      </c>
      <c r="V86" s="37" t="n"/>
    </row>
    <row r="87">
      <c r="B87" s="36" t="inlineStr">
        <is>
          <t>V2-011</t>
        </is>
      </c>
      <c r="C87" s="36" t="inlineStr">
        <is>
          <t>V2</t>
        </is>
      </c>
      <c r="D87" s="36" t="inlineStr">
        <is>
          <t>SIG</t>
        </is>
      </c>
      <c r="E87" s="37" t="inlineStr">
        <is>
          <t>Signature électronique</t>
        </is>
      </c>
      <c r="F87" s="37" t="inlineStr">
        <is>
          <t>Intégration API de signature qualifiée, webhooks à signature vérifiée</t>
        </is>
      </c>
      <c r="G87" s="37" t="inlineStr">
        <is>
          <t>Webhook non signé rejeté (test négatif)</t>
        </is>
      </c>
      <c r="H87" s="38" t="n">
        <v>7</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46324</v>
      </c>
      <c r="Q87" s="40" t="n">
        <v>46334</v>
      </c>
      <c r="R87" s="40" t="n"/>
      <c r="S87" s="37" t="inlineStr">
        <is>
          <t>Contrat PSC</t>
        </is>
      </c>
      <c r="T87" s="36" t="inlineStr">
        <is>
          <t>Non</t>
        </is>
      </c>
      <c r="U87" s="13">
        <f>IF($B87="","",IF(AND(J87&lt;&gt;"Complétée",J87&lt;&gt;"Abandonnée",Q87&lt;&gt;"",TODAY()&gt;Q87),"En retard",""))</f>
        <v/>
      </c>
      <c r="V87" s="37" t="n"/>
    </row>
    <row r="88">
      <c r="B88" s="36" t="inlineStr">
        <is>
          <t>V2-012</t>
        </is>
      </c>
      <c r="C88" s="36" t="inlineStr">
        <is>
          <t>V2</t>
        </is>
      </c>
      <c r="D88" s="36" t="inlineStr">
        <is>
          <t>SIG</t>
        </is>
      </c>
      <c r="E88" s="37" t="inlineStr">
        <is>
          <t>Signature électronique</t>
        </is>
      </c>
      <c r="F88" s="37" t="inlineStr">
        <is>
          <t>Parcours de repli papier : PDF, contre-signature, vérification CCIT</t>
        </is>
      </c>
      <c r="G88" s="37" t="inlineStr">
        <is>
          <t>Un utilisateur refusant la signature électronique n'est pas bloqué</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46327</v>
      </c>
      <c r="Q88" s="40" t="n">
        <v>46333</v>
      </c>
      <c r="R88" s="40" t="n"/>
      <c r="S88" s="37" t="inlineStr"/>
      <c r="T88" s="36" t="inlineStr">
        <is>
          <t>Non</t>
        </is>
      </c>
      <c r="U88" s="13">
        <f>IF($B88="","",IF(AND(J88&lt;&gt;"Complétée",J88&lt;&gt;"Abandonnée",Q88&lt;&gt;"",TODAY()&gt;Q88),"En retard",""))</f>
        <v/>
      </c>
      <c r="V88" s="37" t="n"/>
    </row>
    <row r="89">
      <c r="B89" s="36" t="inlineStr">
        <is>
          <t>V2-013</t>
        </is>
      </c>
      <c r="C89" s="36" t="inlineStr">
        <is>
          <t>V2</t>
        </is>
      </c>
      <c r="D89" s="36" t="inlineStr">
        <is>
          <t>SIG</t>
        </is>
      </c>
      <c r="E89" s="37" t="inlineStr">
        <is>
          <t>Signature électronique</t>
        </is>
      </c>
      <c r="F89" s="37" t="inlineStr">
        <is>
          <t>SignatureEvidence : hash SHA-256, chaîne de certificats, jeton d'horodatage</t>
        </is>
      </c>
      <c r="G89" s="37" t="inlineStr">
        <is>
          <t>Preuve complète stockée pour chaque NDA</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46328</v>
      </c>
      <c r="Q89" s="40" t="n">
        <v>46334</v>
      </c>
      <c r="R89" s="40" t="n"/>
      <c r="S89" s="37" t="inlineStr"/>
      <c r="T89" s="36" t="inlineStr">
        <is>
          <t>Non</t>
        </is>
      </c>
      <c r="U89" s="13">
        <f>IF($B89="","",IF(AND(J89&lt;&gt;"Complétée",J89&lt;&gt;"Abandonnée",Q89&lt;&gt;"",TODAY()&gt;Q89),"En retard",""))</f>
        <v/>
      </c>
      <c r="V89" s="37" t="n"/>
    </row>
    <row r="90">
      <c r="B90" s="36" t="inlineStr">
        <is>
          <t>V2-014</t>
        </is>
      </c>
      <c r="C90" s="36" t="inlineStr">
        <is>
          <t>V2</t>
        </is>
      </c>
      <c r="D90" s="36" t="inlineStr">
        <is>
          <t>SIG</t>
        </is>
      </c>
      <c r="E90" s="37" t="inlineStr">
        <is>
          <t>Signature électronique</t>
        </is>
      </c>
      <c r="F90" s="37" t="inlineStr">
        <is>
          <t>Intégration archivage électronique accrédité (PSAE)</t>
        </is>
      </c>
      <c r="G90" s="37" t="inlineStr">
        <is>
          <t>Référence d'archive stockée sur chaque preuve</t>
        </is>
      </c>
      <c r="H90" s="38" t="n">
        <v>5</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46329</v>
      </c>
      <c r="Q90" s="40" t="n">
        <v>46336</v>
      </c>
      <c r="R90" s="40" t="n"/>
      <c r="S90" s="37" t="inlineStr"/>
      <c r="T90" s="36" t="inlineStr">
        <is>
          <t>Non</t>
        </is>
      </c>
      <c r="U90" s="13">
        <f>IF($B90="","",IF(AND(J90&lt;&gt;"Complétée",J90&lt;&gt;"Abandonnée",Q90&lt;&gt;"",TODAY()&gt;Q90),"En retard",""))</f>
        <v/>
      </c>
      <c r="V90" s="37" t="n"/>
    </row>
    <row r="91">
      <c r="B91" s="36" t="inlineStr">
        <is>
          <t>V2-015</t>
        </is>
      </c>
      <c r="C91" s="36" t="inlineStr">
        <is>
          <t>V2</t>
        </is>
      </c>
      <c r="D91" s="36" t="inlineStr">
        <is>
          <t>SIG</t>
        </is>
      </c>
      <c r="E91" s="37" t="inlineStr">
        <is>
          <t>Signature électronique</t>
        </is>
      </c>
      <c r="F91" s="37" t="inlineStr">
        <is>
          <t>Écrans NDA : génération, signature, statut</t>
        </is>
      </c>
      <c r="G91" s="37" t="inlineStr">
        <is>
          <t>Statut NDA visible côté cédant et investisseur</t>
        </is>
      </c>
      <c r="H91" s="38" t="n">
        <v>2</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46331</v>
      </c>
      <c r="Q91" s="40" t="n">
        <v>46334</v>
      </c>
      <c r="R91" s="40" t="n"/>
      <c r="S91" s="37" t="inlineStr"/>
      <c r="T91" s="36" t="inlineStr">
        <is>
          <t>Non</t>
        </is>
      </c>
      <c r="U91" s="13">
        <f>IF($B91="","",IF(AND(J91&lt;&gt;"Complétée",J91&lt;&gt;"Abandonnée",Q91&lt;&gt;"",TODAY()&gt;Q91),"En retard",""))</f>
        <v/>
      </c>
      <c r="V91" s="37" t="n"/>
    </row>
    <row r="92">
      <c r="B92" s="36" t="inlineStr">
        <is>
          <t>V2-016</t>
        </is>
      </c>
      <c r="C92" s="36" t="inlineStr">
        <is>
          <t>V2</t>
        </is>
      </c>
      <c r="D92" s="36" t="inlineStr">
        <is>
          <t>VDR</t>
        </is>
      </c>
      <c r="E92" s="37" t="inlineStr">
        <is>
          <t>Data room</t>
        </is>
      </c>
      <c r="F92" s="37" t="inlineStr">
        <is>
          <t>Stockage objet chiffré, URLs pré-signées courtes liées à la session</t>
        </is>
      </c>
      <c r="G92" s="37" t="inlineStr">
        <is>
          <t>Accès direct hors session refusé</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46331</v>
      </c>
      <c r="Q92" s="40" t="n">
        <v>46338</v>
      </c>
      <c r="R92" s="40" t="n"/>
      <c r="S92" s="37" t="inlineStr"/>
      <c r="T92" s="36" t="inlineStr">
        <is>
          <t>Non</t>
        </is>
      </c>
      <c r="U92" s="13">
        <f>IF($B92="","",IF(AND(J92&lt;&gt;"Complétée",J92&lt;&gt;"Abandonnée",Q92&lt;&gt;"",TODAY()&gt;Q92),"En retard",""))</f>
        <v/>
      </c>
      <c r="V92" s="37" t="n"/>
    </row>
    <row r="93">
      <c r="B93" s="36" t="inlineStr">
        <is>
          <t>V2-017</t>
        </is>
      </c>
      <c r="C93" s="36" t="inlineStr">
        <is>
          <t>V2</t>
        </is>
      </c>
      <c r="D93" s="36" t="inlineStr">
        <is>
          <t>VDR</t>
        </is>
      </c>
      <c r="E93" s="37" t="inlineStr">
        <is>
          <t>Data room</t>
        </is>
      </c>
      <c r="F93" s="37" t="inlineStr">
        <is>
          <t>Visualiseur rendu serveur, page à page, chargement progressif (3G)</t>
        </is>
      </c>
      <c r="G93" s="37" t="inlineStr">
        <is>
          <t>Première page en moins de 6 s sur réseau de référence</t>
        </is>
      </c>
      <c r="H93" s="38" t="n">
        <v>8</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46333</v>
      </c>
      <c r="Q93" s="40" t="n">
        <v>46345</v>
      </c>
      <c r="R93" s="40" t="n"/>
      <c r="S93" s="37" t="inlineStr"/>
      <c r="T93" s="36" t="inlineStr">
        <is>
          <t>Non</t>
        </is>
      </c>
      <c r="U93" s="13">
        <f>IF($B93="","",IF(AND(J93&lt;&gt;"Complétée",J93&lt;&gt;"Abandonnée",Q93&lt;&gt;"",TODAY()&gt;Q93),"En retard",""))</f>
        <v/>
      </c>
      <c r="V93" s="37" t="n"/>
    </row>
    <row r="94">
      <c r="B94" s="36" t="inlineStr">
        <is>
          <t>V2-018</t>
        </is>
      </c>
      <c r="C94" s="36" t="inlineStr">
        <is>
          <t>V2</t>
        </is>
      </c>
      <c r="D94" s="36" t="inlineStr">
        <is>
          <t>VDR</t>
        </is>
      </c>
      <c r="E94" s="37" t="inlineStr">
        <is>
          <t>Data room</t>
        </is>
      </c>
      <c r="F94" s="37" t="inlineStr">
        <is>
          <t>Filigrane dynamique par page (identité, compte, horodatage, référence du deal)</t>
        </is>
      </c>
      <c r="G94" s="37" t="inlineStr">
        <is>
          <t>Chaque page rendue porte le filigrane (test DOC-02)</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46335</v>
      </c>
      <c r="Q94" s="40" t="n">
        <v>46342</v>
      </c>
      <c r="R94" s="40" t="n"/>
      <c r="S94" s="37" t="inlineStr"/>
      <c r="T94" s="36" t="inlineStr">
        <is>
          <t>Non</t>
        </is>
      </c>
      <c r="U94" s="13">
        <f>IF($B94="","",IF(AND(J94&lt;&gt;"Complétée",J94&lt;&gt;"Abandonnée",Q94&lt;&gt;"",TODAY()&gt;Q94),"En retard",""))</f>
        <v/>
      </c>
      <c r="V94" s="37" t="n"/>
    </row>
    <row r="95">
      <c r="B95" s="36" t="inlineStr">
        <is>
          <t>V2-019</t>
        </is>
      </c>
      <c r="C95" s="36" t="inlineStr">
        <is>
          <t>V2</t>
        </is>
      </c>
      <c r="D95" s="36" t="inlineStr">
        <is>
          <t>VDR</t>
        </is>
      </c>
      <c r="E95" s="37" t="inlineStr">
        <is>
          <t>Data room</t>
        </is>
      </c>
      <c r="F95" s="37" t="inlineStr">
        <is>
          <t>Arborescence OHADA par défaut et gestion des dossiers</t>
        </is>
      </c>
      <c r="G95" s="37" t="inlineStr">
        <is>
          <t>Squelette créé automatiquement à l'ouverture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46337</v>
      </c>
      <c r="Q95" s="40" t="n">
        <v>46343</v>
      </c>
      <c r="R95" s="40" t="n"/>
      <c r="S95" s="37" t="inlineStr"/>
      <c r="T95" s="36" t="inlineStr">
        <is>
          <t>Non</t>
        </is>
      </c>
      <c r="U95" s="13">
        <f>IF($B95="","",IF(AND(J95&lt;&gt;"Complétée",J95&lt;&gt;"Abandonnée",Q95&lt;&gt;"",TODAY()&gt;Q95),"En retard",""))</f>
        <v/>
      </c>
      <c r="V95" s="37" t="n"/>
    </row>
    <row r="96">
      <c r="B96" s="36" t="inlineStr">
        <is>
          <t>V2-020</t>
        </is>
      </c>
      <c r="C96" s="36" t="inlineStr">
        <is>
          <t>V2</t>
        </is>
      </c>
      <c r="D96" s="36" t="inlineStr">
        <is>
          <t>VDR</t>
        </is>
      </c>
      <c r="E96" s="37" t="inlineStr">
        <is>
          <t>Data room</t>
        </is>
      </c>
      <c r="F96" s="37" t="inlineStr">
        <is>
          <t>Permissions par document, téléchargement désactivé par défaut</t>
        </is>
      </c>
      <c r="G96" s="37" t="inlineStr">
        <is>
          <t>Téléchargement refusé sans droit explicite (test DOC-01)</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46338</v>
      </c>
      <c r="Q96" s="40" t="n">
        <v>46345</v>
      </c>
      <c r="R96" s="40" t="n"/>
      <c r="S96" s="37" t="inlineStr"/>
      <c r="T96" s="36" t="inlineStr">
        <is>
          <t>Non</t>
        </is>
      </c>
      <c r="U96" s="13">
        <f>IF($B96="","",IF(AND(J96&lt;&gt;"Complétée",J96&lt;&gt;"Abandonnée",Q96&lt;&gt;"",TODAY()&gt;Q96),"En retard",""))</f>
        <v/>
      </c>
      <c r="V96" s="37" t="n"/>
    </row>
    <row r="97">
      <c r="B97" s="36" t="inlineStr">
        <is>
          <t>V2-021</t>
        </is>
      </c>
      <c r="C97" s="36" t="inlineStr">
        <is>
          <t>V2</t>
        </is>
      </c>
      <c r="D97" s="36" t="inlineStr">
        <is>
          <t>VDR</t>
        </is>
      </c>
      <c r="E97" s="37" t="inlineStr">
        <is>
          <t>Data room</t>
        </is>
      </c>
      <c r="F97" s="37" t="inlineStr">
        <is>
          <t>Grants d'accès scopés avec expiration obligatoire</t>
        </is>
      </c>
      <c r="G97" s="37" t="inlineStr">
        <is>
          <t>Accès perpétuel impossible à créer</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46340</v>
      </c>
      <c r="Q97" s="40" t="n">
        <v>46346</v>
      </c>
      <c r="R97" s="40" t="n"/>
      <c r="S97" s="37" t="inlineStr"/>
      <c r="T97" s="36" t="inlineStr">
        <is>
          <t>Non</t>
        </is>
      </c>
      <c r="U97" s="13">
        <f>IF($B97="","",IF(AND(J97&lt;&gt;"Complétée",J97&lt;&gt;"Abandonnée",Q97&lt;&gt;"",TODAY()&gt;Q97),"En retard",""))</f>
        <v/>
      </c>
      <c r="V97" s="37" t="n"/>
    </row>
    <row r="98">
      <c r="B98" s="36" t="inlineStr">
        <is>
          <t>V2-022</t>
        </is>
      </c>
      <c r="C98" s="36" t="inlineStr">
        <is>
          <t>V2</t>
        </is>
      </c>
      <c r="D98" s="36" t="inlineStr">
        <is>
          <t>VDR</t>
        </is>
      </c>
      <c r="E98" s="37" t="inlineStr">
        <is>
          <t>Data room</t>
        </is>
      </c>
      <c r="F98" s="37" t="inlineStr">
        <is>
          <t>Révocation effective en moins de 60 s avec invalidation des URLs</t>
        </is>
      </c>
      <c r="G98" s="37" t="inlineStr">
        <is>
          <t>Test chronométré de révocation</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46341</v>
      </c>
      <c r="Q98" s="40" t="n">
        <v>46347</v>
      </c>
      <c r="R98" s="40" t="n"/>
      <c r="S98" s="37" t="inlineStr"/>
      <c r="T98" s="36" t="inlineStr">
        <is>
          <t>Non</t>
        </is>
      </c>
      <c r="U98" s="13">
        <f>IF($B98="","",IF(AND(J98&lt;&gt;"Complétée",J98&lt;&gt;"Abandonnée",Q98&lt;&gt;"",TODAY()&gt;Q98),"En retard",""))</f>
        <v/>
      </c>
      <c r="V98" s="37" t="n"/>
    </row>
    <row r="99">
      <c r="B99" s="36" t="inlineStr">
        <is>
          <t>V2-023</t>
        </is>
      </c>
      <c r="C99" s="36" t="inlineStr">
        <is>
          <t>V2</t>
        </is>
      </c>
      <c r="D99" s="36" t="inlineStr">
        <is>
          <t>VDR</t>
        </is>
      </c>
      <c r="E99" s="37" t="inlineStr">
        <is>
          <t>Data room</t>
        </is>
      </c>
      <c r="F99" s="37" t="inlineStr">
        <is>
          <t>Journal DocumentView : qui, quel document, quand, durée, IP</t>
        </is>
      </c>
      <c r="G99" s="37" t="inlineStr">
        <is>
          <t>Export du journal par dossier</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46342</v>
      </c>
      <c r="Q99" s="40" t="n">
        <v>46348</v>
      </c>
      <c r="R99" s="40" t="n"/>
      <c r="S99" s="37" t="inlineStr"/>
      <c r="T99" s="36" t="inlineStr">
        <is>
          <t>Non</t>
        </is>
      </c>
      <c r="U99" s="13">
        <f>IF($B99="","",IF(AND(J99&lt;&gt;"Complétée",J99&lt;&gt;"Abandonnée",Q99&lt;&gt;"",TODAY()&gt;Q99),"En retard",""))</f>
        <v/>
      </c>
      <c r="V99" s="37" t="n"/>
    </row>
    <row r="100">
      <c r="B100" s="36" t="inlineStr">
        <is>
          <t>V2-024</t>
        </is>
      </c>
      <c r="C100" s="36" t="inlineStr">
        <is>
          <t>V2</t>
        </is>
      </c>
      <c r="D100" s="36" t="inlineStr">
        <is>
          <t>VDR</t>
        </is>
      </c>
      <c r="E100" s="37" t="inlineStr">
        <is>
          <t>Data room</t>
        </is>
      </c>
      <c r="F100" s="37" t="inlineStr">
        <is>
          <t>Upload en masse, antivirus, OCR des documents photographiés</t>
        </is>
      </c>
      <c r="G100" s="37" t="inlineStr">
        <is>
          <t>Reprise d'un upload interrompu</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46343</v>
      </c>
      <c r="Q100" s="40" t="n">
        <v>46352</v>
      </c>
      <c r="R100" s="40" t="n"/>
      <c r="S100" s="37" t="inlineStr"/>
      <c r="T100" s="36" t="inlineStr">
        <is>
          <t>Non</t>
        </is>
      </c>
      <c r="U100" s="13">
        <f>IF($B100="","",IF(AND(J100&lt;&gt;"Complétée",J100&lt;&gt;"Abandonnée",Q100&lt;&gt;"",TODAY()&gt;Q100),"En retard",""))</f>
        <v/>
      </c>
      <c r="V100" s="37" t="n"/>
    </row>
    <row r="101">
      <c r="B101" s="36" t="inlineStr">
        <is>
          <t>V2-025</t>
        </is>
      </c>
      <c r="C101" s="36" t="inlineStr">
        <is>
          <t>V2</t>
        </is>
      </c>
      <c r="D101" s="36" t="inlineStr">
        <is>
          <t>VDR</t>
        </is>
      </c>
      <c r="E101" s="37" t="inlineStr">
        <is>
          <t>Data room</t>
        </is>
      </c>
      <c r="F101" s="37" t="inlineStr">
        <is>
          <t>Écrans data room : arborescence, visualiseur, administration des accès</t>
        </is>
      </c>
      <c r="G101" s="37" t="inlineStr">
        <is>
          <t>Parcours complet sur mobile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46345</v>
      </c>
      <c r="Q101" s="40" t="n">
        <v>46352</v>
      </c>
      <c r="R101" s="40" t="n"/>
      <c r="S101" s="37" t="inlineStr"/>
      <c r="T101" s="36" t="inlineStr">
        <is>
          <t>Non</t>
        </is>
      </c>
      <c r="U101" s="13">
        <f>IF($B101="","",IF(AND(J101&lt;&gt;"Complétée",J101&lt;&gt;"Abandonnée",Q101&lt;&gt;"",TODAY()&gt;Q101),"En retard",""))</f>
        <v/>
      </c>
      <c r="V101" s="37" t="n"/>
    </row>
    <row r="102">
      <c r="B102" s="36" t="inlineStr">
        <is>
          <t>V2-026</t>
        </is>
      </c>
      <c r="C102" s="36" t="inlineStr">
        <is>
          <t>V2</t>
        </is>
      </c>
      <c r="D102" s="36" t="inlineStr">
        <is>
          <t>VDR</t>
        </is>
      </c>
      <c r="E102" s="37" t="inlineStr">
        <is>
          <t>Questions-réponses</t>
        </is>
      </c>
      <c r="F102" s="37" t="inlineStr">
        <is>
          <t>Fils de questions par document, visibilité contrôlée par le cédant</t>
        </is>
      </c>
      <c r="G102" s="37" t="inlineStr">
        <is>
          <t>Question invisible aux autres investisseurs par défaut</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46347</v>
      </c>
      <c r="Q102" s="40" t="n">
        <v>46356</v>
      </c>
      <c r="R102" s="40" t="n"/>
      <c r="S102" s="37" t="inlineStr"/>
      <c r="T102" s="36" t="inlineStr">
        <is>
          <t>Non</t>
        </is>
      </c>
      <c r="U102" s="13">
        <f>IF($B102="","",IF(AND(J102&lt;&gt;"Complétée",J102&lt;&gt;"Abandonnée",Q102&lt;&gt;"",TODAY()&gt;Q102),"En retard",""))</f>
        <v/>
      </c>
      <c r="V102" s="37" t="n"/>
    </row>
    <row r="103">
      <c r="B103" s="36" t="inlineStr">
        <is>
          <t>V2-027</t>
        </is>
      </c>
      <c r="C103" s="36" t="inlineStr">
        <is>
          <t>V2</t>
        </is>
      </c>
      <c r="D103" s="36" t="inlineStr">
        <is>
          <t>VDR</t>
        </is>
      </c>
      <c r="E103" s="37" t="inlineStr">
        <is>
          <t>Questions-réponses</t>
        </is>
      </c>
      <c r="F103" s="37" t="inlineStr">
        <is>
          <t>Statuts, catégories, pièces jointes et journalisation des actions</t>
        </is>
      </c>
      <c r="G103" s="37" t="inlineStr">
        <is>
          <t>Chaque création / réponse / clôture journalisée</t>
        </is>
      </c>
      <c r="H103" s="38" t="n">
        <v>4</v>
      </c>
      <c r="I103" s="36" t="inlineStr">
        <is>
          <t>Moyenne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46349</v>
      </c>
      <c r="Q103" s="40" t="n">
        <v>46355</v>
      </c>
      <c r="R103" s="40" t="n"/>
      <c r="S103" s="37" t="inlineStr"/>
      <c r="T103" s="36" t="inlineStr">
        <is>
          <t>Non</t>
        </is>
      </c>
      <c r="U103" s="13">
        <f>IF($B103="","",IF(AND(J103&lt;&gt;"Complétée",J103&lt;&gt;"Abandonnée",Q103&lt;&gt;"",TODAY()&gt;Q103),"En retard",""))</f>
        <v/>
      </c>
      <c r="V103" s="37" t="n"/>
    </row>
    <row r="104">
      <c r="B104" s="36" t="inlineStr">
        <is>
          <t>V2-028</t>
        </is>
      </c>
      <c r="C104" s="36" t="inlineStr">
        <is>
          <t>V2</t>
        </is>
      </c>
      <c r="D104" s="36" t="inlineStr">
        <is>
          <t>VDR</t>
        </is>
      </c>
      <c r="E104" s="37" t="inlineStr">
        <is>
          <t>Questions-réponses</t>
        </is>
      </c>
      <c r="F104" s="37" t="inlineStr">
        <is>
          <t>Écrans Q&amp;R</t>
        </is>
      </c>
      <c r="G104" s="37" t="inlineStr">
        <is>
          <t>Filtre par statut et par document</t>
        </is>
      </c>
      <c r="H104" s="38" t="n">
        <v>5</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46350</v>
      </c>
      <c r="Q104" s="40" t="n">
        <v>46357</v>
      </c>
      <c r="R104" s="40" t="n"/>
      <c r="S104" s="37" t="inlineStr"/>
      <c r="T104" s="36" t="inlineStr">
        <is>
          <t>Non</t>
        </is>
      </c>
      <c r="U104" s="13">
        <f>IF($B104="","",IF(AND(J104&lt;&gt;"Complétée",J104&lt;&gt;"Abandonnée",Q104&lt;&gt;"",TODAY()&gt;Q104),"En retard",""))</f>
        <v/>
      </c>
      <c r="V104" s="37" t="n"/>
    </row>
    <row r="105">
      <c r="B105" s="36" t="inlineStr">
        <is>
          <t>V2-029</t>
        </is>
      </c>
      <c r="C105" s="36" t="inlineStr">
        <is>
          <t>V2</t>
        </is>
      </c>
      <c r="D105" s="36" t="inlineStr">
        <is>
          <t>TRV</t>
        </is>
      </c>
      <c r="E105" s="37" t="inlineStr">
        <is>
          <t>QA et sécurité</t>
        </is>
      </c>
      <c r="F105" s="37" t="inlineStr">
        <is>
          <t>Tests de contournement de palier et de fuite T0 / T1 (DISCLOSURE_LEAK)</t>
        </is>
      </c>
      <c r="G105" s="37" t="inlineStr">
        <is>
          <t>Zéro fuite sur les 12 cas de référence</t>
        </is>
      </c>
      <c r="H105" s="38" t="n">
        <v>6</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46352</v>
      </c>
      <c r="Q105" s="40" t="n">
        <v>46361</v>
      </c>
      <c r="R105" s="40" t="n"/>
      <c r="S105" s="37" t="inlineStr"/>
      <c r="T105" s="36" t="inlineStr">
        <is>
          <t>Non</t>
        </is>
      </c>
      <c r="U105" s="13">
        <f>IF($B105="","",IF(AND(J105&lt;&gt;"Complétée",J105&lt;&gt;"Abandonnée",Q105&lt;&gt;"",TODAY()&gt;Q105),"En retard",""))</f>
        <v/>
      </c>
      <c r="V105" s="37" t="n"/>
    </row>
    <row r="106">
      <c r="B106" s="36" t="inlineStr">
        <is>
          <t>V2-030</t>
        </is>
      </c>
      <c r="C106" s="36" t="inlineStr">
        <is>
          <t>V2</t>
        </is>
      </c>
      <c r="D106" s="36" t="inlineStr">
        <is>
          <t>TRV</t>
        </is>
      </c>
      <c r="E106" s="37" t="inlineStr">
        <is>
          <t>QA et sécurité</t>
        </is>
      </c>
      <c r="F106" s="37" t="inlineStr">
        <is>
          <t>Tests de révocation et d'expiration (REVOKED_ACCESS_ALLOWED)</t>
        </is>
      </c>
      <c r="G106" s="37" t="inlineStr">
        <is>
          <t>Utilisateur révoqué sans accès résiduel</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46353</v>
      </c>
      <c r="Q106" s="40" t="n">
        <v>46359</v>
      </c>
      <c r="R106" s="40" t="n"/>
      <c r="S106" s="37" t="inlineStr"/>
      <c r="T106" s="36" t="inlineStr">
        <is>
          <t>Non</t>
        </is>
      </c>
      <c r="U106" s="13">
        <f>IF($B106="","",IF(AND(J106&lt;&gt;"Complétée",J106&lt;&gt;"Abandonnée",Q106&lt;&gt;"",TODAY()&gt;Q106),"En retard",""))</f>
        <v/>
      </c>
      <c r="V106" s="37" t="n"/>
    </row>
    <row r="107">
      <c r="B107" s="36" t="inlineStr">
        <is>
          <t>V2-031</t>
        </is>
      </c>
      <c r="C107" s="36" t="inlineStr">
        <is>
          <t>V2</t>
        </is>
      </c>
      <c r="D107" s="36" t="inlineStr">
        <is>
          <t>TRV</t>
        </is>
      </c>
      <c r="E107" s="37" t="inlineStr">
        <is>
          <t>QA et sécurité</t>
        </is>
      </c>
      <c r="F107" s="37" t="inlineStr">
        <is>
          <t>Revue de sécurité interne et préparation du périmètre de pentest</t>
        </is>
      </c>
      <c r="G107" s="37" t="inlineStr">
        <is>
          <t>Périmètre de pentest rédigé</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46355</v>
      </c>
      <c r="Q107" s="40" t="n">
        <v>46362</v>
      </c>
      <c r="R107" s="40" t="n"/>
      <c r="S107" s="37" t="inlineStr"/>
      <c r="T107" s="36" t="inlineStr">
        <is>
          <t>Non</t>
        </is>
      </c>
      <c r="U107" s="13">
        <f>IF($B107="","",IF(AND(J107&lt;&gt;"Complétée",J107&lt;&gt;"Abandonnée",Q107&lt;&gt;"",TODAY()&gt;Q107),"En retard",""))</f>
        <v/>
      </c>
      <c r="V107" s="37" t="n"/>
    </row>
    <row r="108">
      <c r="B108" s="36" t="inlineStr">
        <is>
          <t>V2-032</t>
        </is>
      </c>
      <c r="C108" s="36" t="inlineStr">
        <is>
          <t>V2</t>
        </is>
      </c>
      <c r="D108" s="36" t="inlineStr">
        <is>
          <t>TRV</t>
        </is>
      </c>
      <c r="E108" s="37" t="inlineStr">
        <is>
          <t>QA et sécurité</t>
        </is>
      </c>
      <c r="F108" s="37" t="inlineStr">
        <is>
          <t>Recette V2 et corrections</t>
        </is>
      </c>
      <c r="G108" s="37" t="inlineStr">
        <is>
          <t>Zéro anomalie bloquante ouverte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46356</v>
      </c>
      <c r="Q108" s="40" t="n">
        <v>46363</v>
      </c>
      <c r="R108" s="40" t="n"/>
      <c r="S108" s="37" t="inlineStr"/>
      <c r="T108" s="36" t="inlineStr">
        <is>
          <t>Non</t>
        </is>
      </c>
      <c r="U108" s="13">
        <f>IF($B108="","",IF(AND(J108&lt;&gt;"Complétée",J108&lt;&gt;"Abandonnée",Q108&lt;&gt;"",TODAY()&gt;Q108),"En retard",""))</f>
        <v/>
      </c>
      <c r="V108" s="37" t="n"/>
    </row>
    <row r="109">
      <c r="B109" s="36" t="inlineStr">
        <is>
          <t>V3-001</t>
        </is>
      </c>
      <c r="C109" s="36" t="inlineStr">
        <is>
          <t>V3</t>
        </is>
      </c>
      <c r="D109" s="36" t="inlineStr">
        <is>
          <t>LEG</t>
        </is>
      </c>
      <c r="E109" s="37" t="inlineStr">
        <is>
          <t>LegalTech OHADA</t>
        </is>
      </c>
      <c r="F109" s="37" t="inlineStr">
        <is>
          <t>Modèles versionnés : NDA, LOI, pacte simplifié, SPA, cession d'actifs, contrat de travail (Code du travail togolais)</t>
        </is>
      </c>
      <c r="G109" s="37" t="inlineStr">
        <is>
          <t>Chaque modèle porte version et référence du conseil</t>
        </is>
      </c>
      <c r="H109" s="38" t="n">
        <v>8</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46367</v>
      </c>
      <c r="Q109" s="40" t="n">
        <v>46379</v>
      </c>
      <c r="R109" s="40" t="n"/>
      <c r="S109" s="37" t="inlineStr"/>
      <c r="T109" s="36" t="inlineStr">
        <is>
          <t>Non</t>
        </is>
      </c>
      <c r="U109" s="13">
        <f>IF($B109="","",IF(AND(J109&lt;&gt;"Complétée",J109&lt;&gt;"Abandonnée",Q109&lt;&gt;"",TODAY()&gt;Q109),"En retard",""))</f>
        <v/>
      </c>
      <c r="V109" s="37" t="n"/>
    </row>
    <row r="110">
      <c r="B110" s="36" t="inlineStr">
        <is>
          <t>V3-002</t>
        </is>
      </c>
      <c r="C110" s="36" t="inlineStr">
        <is>
          <t>V3</t>
        </is>
      </c>
      <c r="D110" s="36" t="inlineStr">
        <is>
          <t>LEG</t>
        </is>
      </c>
      <c r="E110" s="37" t="inlineStr">
        <is>
          <t>LegalTech OHADA</t>
        </is>
      </c>
      <c r="F110" s="37" t="inlineStr">
        <is>
          <t>Moteur de génération PDF avec variables et mention 'aide à la rédaction, pas un conseil juridique'</t>
        </is>
      </c>
      <c r="G110" s="37" t="inlineStr">
        <is>
          <t>Mention présente sur chaque document généré</t>
        </is>
      </c>
      <c r="H110" s="38" t="n">
        <v>7</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46370</v>
      </c>
      <c r="Q110" s="40" t="n">
        <v>46380</v>
      </c>
      <c r="R110" s="40" t="n"/>
      <c r="S110" s="37" t="inlineStr"/>
      <c r="T110" s="36" t="inlineStr">
        <is>
          <t>Non</t>
        </is>
      </c>
      <c r="U110" s="13">
        <f>IF($B110="","",IF(AND(J110&lt;&gt;"Complétée",J110&lt;&gt;"Abandonnée",Q110&lt;&gt;"",TODAY()&gt;Q110),"En retard",""))</f>
        <v/>
      </c>
      <c r="V110" s="37" t="n"/>
    </row>
    <row r="111">
      <c r="B111" s="36" t="inlineStr">
        <is>
          <t>V3-003</t>
        </is>
      </c>
      <c r="C111" s="36" t="inlineStr">
        <is>
          <t>V3</t>
        </is>
      </c>
      <c r="D111" s="36" t="inlineStr">
        <is>
          <t>LEG</t>
        </is>
      </c>
      <c r="E111" s="37" t="inlineStr">
        <is>
          <t>LegalTech OHADA</t>
        </is>
      </c>
      <c r="F111" s="37" t="inlineStr">
        <is>
          <t>Revue des modèles par le conseil juridique (coordination)</t>
        </is>
      </c>
      <c r="G111" s="37" t="inlineStr">
        <is>
          <t>Avis écrit archivé par modèle</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46372</v>
      </c>
      <c r="Q111" s="40" t="n">
        <v>46378</v>
      </c>
      <c r="R111" s="40" t="n"/>
      <c r="S111" s="37" t="inlineStr"/>
      <c r="T111" s="36" t="inlineStr">
        <is>
          <t>Oui</t>
        </is>
      </c>
      <c r="U111" s="13">
        <f>IF($B111="","",IF(AND(J111&lt;&gt;"Complétée",J111&lt;&gt;"Abandonnée",Q111&lt;&gt;"",TODAY()&gt;Q111),"En retard",""))</f>
        <v/>
      </c>
      <c r="V111" s="37" t="n"/>
    </row>
    <row r="112">
      <c r="B112" s="36" t="inlineStr">
        <is>
          <t>V3-004</t>
        </is>
      </c>
      <c r="C112" s="36" t="inlineStr">
        <is>
          <t>V3</t>
        </is>
      </c>
      <c r="D112" s="36" t="inlineStr">
        <is>
          <t>LEG</t>
        </is>
      </c>
      <c r="E112" s="37" t="inlineStr">
        <is>
          <t>LegalTech OHADA</t>
        </is>
      </c>
      <c r="F112" s="37" t="inlineStr">
        <is>
          <t>Liaison avec transferRestrictions : alertes clauses d'agrément et de préemption</t>
        </is>
      </c>
      <c r="G112" s="37" t="inlineStr">
        <is>
          <t>Alerte affichée dès qu'une restriction existe</t>
        </is>
      </c>
      <c r="H112" s="38" t="n">
        <v>3</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46374</v>
      </c>
      <c r="Q112" s="40" t="n">
        <v>46379</v>
      </c>
      <c r="R112" s="40" t="n"/>
      <c r="S112" s="37" t="inlineStr"/>
      <c r="T112" s="36" t="inlineStr">
        <is>
          <t>Non</t>
        </is>
      </c>
      <c r="U112" s="13">
        <f>IF($B112="","",IF(AND(J112&lt;&gt;"Complétée",J112&lt;&gt;"Abandonnée",Q112&lt;&gt;"",TODAY()&gt;Q112),"En retard",""))</f>
        <v/>
      </c>
      <c r="V112" s="37" t="n"/>
    </row>
    <row r="113">
      <c r="B113" s="36" t="inlineStr">
        <is>
          <t>V3-005</t>
        </is>
      </c>
      <c r="C113" s="36" t="inlineStr">
        <is>
          <t>V3</t>
        </is>
      </c>
      <c r="D113" s="36" t="inlineStr">
        <is>
          <t>LEG</t>
        </is>
      </c>
      <c r="E113" s="37" t="inlineStr">
        <is>
          <t>Conformité fiscale</t>
        </is>
      </c>
      <c r="F113" s="37" t="inlineStr">
        <is>
          <t>Intégration du module fiscal partenaire (simulation, attestation) derrière drapeau</t>
        </is>
      </c>
      <c r="G113" s="37" t="inlineStr">
        <is>
          <t>Panne partenaire ne produit jamais une fausse attestation</t>
        </is>
      </c>
      <c r="H113" s="38" t="n">
        <v>6</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46375</v>
      </c>
      <c r="Q113" s="40" t="n">
        <v>46384</v>
      </c>
      <c r="R113" s="40" t="n"/>
      <c r="S113" s="37" t="inlineStr">
        <is>
          <t>Partenaire fiscal confirmé</t>
        </is>
      </c>
      <c r="T113" s="36" t="inlineStr">
        <is>
          <t>Non</t>
        </is>
      </c>
      <c r="U113" s="13">
        <f>IF($B113="","",IF(AND(J113&lt;&gt;"Complétée",J113&lt;&gt;"Abandonnée",Q113&lt;&gt;"",TODAY()&gt;Q113),"En retard",""))</f>
        <v/>
      </c>
      <c r="V113" s="37" t="n"/>
    </row>
    <row r="114">
      <c r="B114" s="36" t="inlineStr">
        <is>
          <t>V3-006</t>
        </is>
      </c>
      <c r="C114" s="36" t="inlineStr">
        <is>
          <t>V3</t>
        </is>
      </c>
      <c r="D114" s="36" t="inlineStr">
        <is>
          <t>LEG</t>
        </is>
      </c>
      <c r="E114" s="37" t="inlineStr">
        <is>
          <t>LegalTech OHADA</t>
        </is>
      </c>
      <c r="F114" s="37" t="inlineStr">
        <is>
          <t>Écrans LegalTech</t>
        </is>
      </c>
      <c r="G114" s="37" t="inlineStr">
        <is>
          <t>Quota de documents par palier respecté</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46377</v>
      </c>
      <c r="Q114" s="40" t="n">
        <v>46380</v>
      </c>
      <c r="R114" s="40" t="n"/>
      <c r="S114" s="37" t="inlineStr"/>
      <c r="T114" s="36" t="inlineStr">
        <is>
          <t>Non</t>
        </is>
      </c>
      <c r="U114" s="13">
        <f>IF($B114="","",IF(AND(J114&lt;&gt;"Complétée",J114&lt;&gt;"Abandonnée",Q114&lt;&gt;"",TODAY()&gt;Q114),"En retard",""))</f>
        <v/>
      </c>
      <c r="V114" s="37" t="n"/>
    </row>
    <row r="115">
      <c r="B115" s="36" t="inlineStr">
        <is>
          <t>V3-007</t>
        </is>
      </c>
      <c r="C115" s="36" t="inlineStr">
        <is>
          <t>V3</t>
        </is>
      </c>
      <c r="D115" s="36" t="inlineStr">
        <is>
          <t>NEG</t>
        </is>
      </c>
      <c r="E115" s="37" t="inlineStr">
        <is>
          <t>Négociation</t>
        </is>
      </c>
      <c r="F115" s="37" t="inlineStr">
        <is>
          <t>Offre et contre-offre structurées et versionnées</t>
        </is>
      </c>
      <c r="G115" s="37" t="inlineStr">
        <is>
          <t>Toutes les versions conservées</t>
        </is>
      </c>
      <c r="H115" s="38" t="n">
        <v>6</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46378</v>
      </c>
      <c r="Q115" s="40" t="n">
        <v>46387</v>
      </c>
      <c r="R115" s="40" t="n"/>
      <c r="S115" s="37" t="inlineStr"/>
      <c r="T115" s="36" t="inlineStr">
        <is>
          <t>Non</t>
        </is>
      </c>
      <c r="U115" s="13">
        <f>IF($B115="","",IF(AND(J115&lt;&gt;"Complétée",J115&lt;&gt;"Abandonnée",Q115&lt;&gt;"",TODAY()&gt;Q115),"En retard",""))</f>
        <v/>
      </c>
      <c r="V115" s="37" t="n"/>
    </row>
    <row r="116">
      <c r="B116" s="36" t="inlineStr">
        <is>
          <t>V3-008</t>
        </is>
      </c>
      <c r="C116" s="36" t="inlineStr">
        <is>
          <t>V3</t>
        </is>
      </c>
      <c r="D116" s="36" t="inlineStr">
        <is>
          <t>NEG</t>
        </is>
      </c>
      <c r="E116" s="37" t="inlineStr">
        <is>
          <t>Négociation</t>
        </is>
      </c>
      <c r="F116" s="37" t="inlineStr">
        <is>
          <t>Générateur de LOI branché sur LegalTech</t>
        </is>
      </c>
      <c r="G116" s="37" t="inlineStr">
        <is>
          <t>LOI générée depuis l'offre acceptée</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46380</v>
      </c>
      <c r="Q116" s="40" t="n">
        <v>46386</v>
      </c>
      <c r="R116" s="40" t="n"/>
      <c r="S116" s="37" t="inlineStr">
        <is>
          <t>Moteur de génération</t>
        </is>
      </c>
      <c r="T116" s="36" t="inlineStr">
        <is>
          <t>Non</t>
        </is>
      </c>
      <c r="U116" s="13">
        <f>IF($B116="","",IF(AND(J116&lt;&gt;"Complétée",J116&lt;&gt;"Abandonnée",Q116&lt;&gt;"",TODAY()&gt;Q116),"En retard",""))</f>
        <v/>
      </c>
      <c r="V116" s="37" t="n"/>
    </row>
    <row r="117">
      <c r="B117" s="36" t="inlineStr">
        <is>
          <t>V3-009</t>
        </is>
      </c>
      <c r="C117" s="36" t="inlineStr">
        <is>
          <t>V3</t>
        </is>
      </c>
      <c r="D117" s="36" t="inlineStr">
        <is>
          <t>NEG</t>
        </is>
      </c>
      <c r="E117" s="37" t="inlineStr">
        <is>
          <t>Audit d'acquisition</t>
        </is>
      </c>
      <c r="F117" s="37" t="inlineStr">
        <is>
          <t>Registre des points ouverts d'audit d'acquisition (P15)</t>
        </is>
      </c>
      <c r="G117" s="37" t="inlineStr">
        <is>
          <t>Chaque point porte propriétaire, échéance, statut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46382</v>
      </c>
      <c r="Q117" s="40" t="n">
        <v>46391</v>
      </c>
      <c r="R117" s="40" t="n"/>
      <c r="S117" s="37" t="inlineStr"/>
      <c r="T117" s="36" t="inlineStr">
        <is>
          <t>Non</t>
        </is>
      </c>
      <c r="U117" s="13">
        <f>IF($B117="","",IF(AND(J117&lt;&gt;"Complétée",J117&lt;&gt;"Abandonnée",Q117&lt;&gt;"",TODAY()&gt;Q117),"En retard",""))</f>
        <v/>
      </c>
      <c r="V117" s="37" t="n"/>
    </row>
    <row r="118">
      <c r="B118" s="36" t="inlineStr">
        <is>
          <t>V3-010</t>
        </is>
      </c>
      <c r="C118" s="36" t="inlineStr">
        <is>
          <t>V3</t>
        </is>
      </c>
      <c r="D118" s="36" t="inlineStr">
        <is>
          <t>NEG</t>
        </is>
      </c>
      <c r="E118" s="37" t="inlineStr">
        <is>
          <t>Audit d'acquisition</t>
        </is>
      </c>
      <c r="F118" s="37" t="inlineStr">
        <is>
          <t>Décision poursuivre / renégocier / abandonner avec motifs structurés</t>
        </is>
      </c>
      <c r="G118" s="37" t="inlineStr">
        <is>
          <t>Motif obligatoire à l'abandon</t>
        </is>
      </c>
      <c r="H118" s="38" t="n">
        <v>3</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46384</v>
      </c>
      <c r="Q118" s="40" t="n">
        <v>46389</v>
      </c>
      <c r="R118" s="40" t="n"/>
      <c r="S118" s="37" t="inlineStr"/>
      <c r="T118" s="36" t="inlineStr">
        <is>
          <t>Non</t>
        </is>
      </c>
      <c r="U118" s="13">
        <f>IF($B118="","",IF(AND(J118&lt;&gt;"Complétée",J118&lt;&gt;"Abandonnée",Q118&lt;&gt;"",TODAY()&gt;Q118),"En retard",""))</f>
        <v/>
      </c>
      <c r="V118" s="37" t="n"/>
    </row>
    <row r="119">
      <c r="B119" s="36" t="inlineStr">
        <is>
          <t>V3-011</t>
        </is>
      </c>
      <c r="C119" s="36" t="inlineStr">
        <is>
          <t>V3</t>
        </is>
      </c>
      <c r="D119" s="36" t="inlineStr">
        <is>
          <t>NEG</t>
        </is>
      </c>
      <c r="E119" s="37" t="inlineStr">
        <is>
          <t>Négociation</t>
        </is>
      </c>
      <c r="F119" s="37" t="inlineStr">
        <is>
          <t>Écrans négociation et audit</t>
        </is>
      </c>
      <c r="G119" s="37" t="inlineStr">
        <is>
          <t>Conditions sensibles visibles uniquement en T2</t>
        </is>
      </c>
      <c r="H119" s="38" t="n">
        <v>6</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46385</v>
      </c>
      <c r="Q119" s="40" t="n">
        <v>46394</v>
      </c>
      <c r="R119" s="40" t="n"/>
      <c r="S119" s="37" t="inlineStr"/>
      <c r="T119" s="36" t="inlineStr">
        <is>
          <t>Non</t>
        </is>
      </c>
      <c r="U119" s="13">
        <f>IF($B119="","",IF(AND(J119&lt;&gt;"Complétée",J119&lt;&gt;"Abandonnée",Q119&lt;&gt;"",TODAY()&gt;Q119),"En retard",""))</f>
        <v/>
      </c>
      <c r="V119" s="37" t="n"/>
    </row>
    <row r="120">
      <c r="B120" s="36" t="inlineStr">
        <is>
          <t>V3-012</t>
        </is>
      </c>
      <c r="C120" s="36" t="inlineStr">
        <is>
          <t>V3</t>
        </is>
      </c>
      <c r="D120" s="36" t="inlineStr">
        <is>
          <t>REA</t>
        </is>
      </c>
      <c r="E120" s="37" t="inlineStr">
        <is>
          <t>Réalisation</t>
        </is>
      </c>
      <c r="F120" s="37" t="inlineStr">
        <is>
          <t>Statut de réalisation (réalisé, différé, abandonné) et dossier de preuves</t>
        </is>
      </c>
      <c r="G120" s="37" t="inlineStr">
        <is>
          <t>Résultat présenté avec son niveau de preuve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46387</v>
      </c>
      <c r="Q120" s="40" t="n">
        <v>46394</v>
      </c>
      <c r="R120" s="40" t="n"/>
      <c r="S120" s="37" t="inlineStr"/>
      <c r="T120" s="36" t="inlineStr">
        <is>
          <t>Non</t>
        </is>
      </c>
      <c r="U120" s="13">
        <f>IF($B120="","",IF(AND(J120&lt;&gt;"Complétée",J120&lt;&gt;"Abandonnée",Q120&lt;&gt;"",TODAY()&gt;Q120),"En retard",""))</f>
        <v/>
      </c>
      <c r="V120" s="37" t="n"/>
    </row>
    <row r="121">
      <c r="B121" s="36" t="inlineStr">
        <is>
          <t>V3-013</t>
        </is>
      </c>
      <c r="C121" s="36" t="inlineStr">
        <is>
          <t>V3</t>
        </is>
      </c>
      <c r="D121" s="36" t="inlineStr">
        <is>
          <t>REA</t>
        </is>
      </c>
      <c r="E121" s="37" t="inlineStr">
        <is>
          <t>Réalisation</t>
        </is>
      </c>
      <c r="F121" s="37" t="inlineStr">
        <is>
          <t>Références de formalités externes (RCCM) et confirmations des parties</t>
        </is>
      </c>
      <c r="G121" s="37" t="inlineStr">
        <is>
          <t>Référence RCCM stockée avec horodatage</t>
        </is>
      </c>
      <c r="H121" s="38" t="n">
        <v>3</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46389</v>
      </c>
      <c r="Q121" s="40" t="n">
        <v>46394</v>
      </c>
      <c r="R121" s="40" t="n"/>
      <c r="S121" s="37" t="inlineStr"/>
      <c r="T121" s="36" t="inlineStr">
        <is>
          <t>Non</t>
        </is>
      </c>
      <c r="U121" s="13">
        <f>IF($B121="","",IF(AND(J121&lt;&gt;"Complétée",J121&lt;&gt;"Abandonnée",Q121&lt;&gt;"",TODAY()&gt;Q121),"En retard",""))</f>
        <v/>
      </c>
      <c r="V121" s="37" t="n"/>
    </row>
    <row r="122">
      <c r="B122" s="36" t="inlineStr">
        <is>
          <t>V3-014</t>
        </is>
      </c>
      <c r="C122" s="36" t="inlineStr">
        <is>
          <t>V3</t>
        </is>
      </c>
      <c r="D122" s="36" t="inlineStr">
        <is>
          <t>REA</t>
        </is>
      </c>
      <c r="E122" s="37" t="inlineStr">
        <is>
          <t>Réalisation</t>
        </is>
      </c>
      <c r="F122" s="37" t="inlineStr">
        <is>
          <t>Création automatique du FeeEvent (PENDING ou SUSPENDED) à l'entrée en CLOSED_REPORTED</t>
        </is>
      </c>
      <c r="G122" s="37" t="inlineStr">
        <is>
          <t>Aucune réalisation sans FeeEvent (test)</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46390</v>
      </c>
      <c r="Q122" s="40" t="n">
        <v>46396</v>
      </c>
      <c r="R122" s="40" t="n"/>
      <c r="S122" s="37" t="inlineStr"/>
      <c r="T122" s="36" t="inlineStr">
        <is>
          <t>Non</t>
        </is>
      </c>
      <c r="U122" s="13">
        <f>IF($B122="","",IF(AND(J122&lt;&gt;"Complétée",J122&lt;&gt;"Abandonnée",Q122&lt;&gt;"",TODAY()&gt;Q122),"En retard",""))</f>
        <v/>
      </c>
      <c r="V122" s="37" t="n"/>
    </row>
    <row r="123">
      <c r="B123" s="36" t="inlineStr">
        <is>
          <t>V3-015</t>
        </is>
      </c>
      <c r="C123" s="36" t="inlineStr">
        <is>
          <t>V3</t>
        </is>
      </c>
      <c r="D123" s="36" t="inlineStr">
        <is>
          <t>REA</t>
        </is>
      </c>
      <c r="E123" s="37" t="inlineStr">
        <is>
          <t>Réalisation</t>
        </is>
      </c>
      <c r="F123" s="37" t="inlineStr">
        <is>
          <t>Écrans réalisation</t>
        </is>
      </c>
      <c r="G123" s="37" t="inlineStr">
        <is>
          <t>Statut lisible par les deux parties</t>
        </is>
      </c>
      <c r="H123" s="38" t="n">
        <v>3</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46392</v>
      </c>
      <c r="Q123" s="40" t="n">
        <v>46397</v>
      </c>
      <c r="R123" s="40" t="n"/>
      <c r="S123" s="37" t="inlineStr"/>
      <c r="T123" s="36" t="inlineStr">
        <is>
          <t>Non</t>
        </is>
      </c>
      <c r="U123" s="13">
        <f>IF($B123="","",IF(AND(J123&lt;&gt;"Complétée",J123&lt;&gt;"Abandonnée",Q123&lt;&gt;"",TODAY()&gt;Q123),"En retard",""))</f>
        <v/>
      </c>
      <c r="V123" s="37" t="n"/>
    </row>
    <row r="124">
      <c r="B124" s="36" t="inlineStr">
        <is>
          <t>V3-016</t>
        </is>
      </c>
      <c r="C124" s="36" t="inlineStr">
        <is>
          <t>V3</t>
        </is>
      </c>
      <c r="D124" s="36" t="inlineStr">
        <is>
          <t>FIN</t>
        </is>
      </c>
      <c r="E124" s="37" t="inlineStr">
        <is>
          <t>Finance</t>
        </is>
      </c>
      <c r="F124" s="37" t="inlineStr">
        <is>
          <t>Enregistrement des revenus, catégories contractuelles et attribution</t>
        </is>
      </c>
      <c r="G124" s="37" t="inlineStr">
        <is>
          <t>Chaque revenu rattaché à une catégorie et un canal</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46393</v>
      </c>
      <c r="Q124" s="40" t="n">
        <v>46400</v>
      </c>
      <c r="R124" s="40" t="n"/>
      <c r="S124" s="37" t="inlineStr"/>
      <c r="T124" s="36" t="inlineStr">
        <is>
          <t>Non</t>
        </is>
      </c>
      <c r="U124" s="13">
        <f>IF($B124="","",IF(AND(J124&lt;&gt;"Complétée",J124&lt;&gt;"Abandonnée",Q124&lt;&gt;"",TODAY()&gt;Q124),"En retard",""))</f>
        <v/>
      </c>
      <c r="V124" s="37" t="n"/>
    </row>
    <row r="125">
      <c r="B125" s="36" t="inlineStr">
        <is>
          <t>V3-017</t>
        </is>
      </c>
      <c r="C125" s="36" t="inlineStr">
        <is>
          <t>V3</t>
        </is>
      </c>
      <c r="D125" s="36" t="inlineStr">
        <is>
          <t>FIN</t>
        </is>
      </c>
      <c r="E125" s="37" t="inlineStr">
        <is>
          <t>Finance</t>
        </is>
      </c>
      <c r="F125" s="37" t="inlineStr">
        <is>
          <t>Calcul du revenu net (déductions contractuelles) avec décomposition stockée</t>
        </is>
      </c>
      <c r="G125" s="37" t="inlineStr">
        <is>
          <t>Décomposition auditable ligne par ligne</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46394</v>
      </c>
      <c r="Q125" s="40" t="n">
        <v>46401</v>
      </c>
      <c r="R125" s="40" t="n"/>
      <c r="S125" s="37" t="inlineStr"/>
      <c r="T125" s="36" t="inlineStr">
        <is>
          <t>Non</t>
        </is>
      </c>
      <c r="U125" s="13">
        <f>IF($B125="","",IF(AND(J125&lt;&gt;"Complétée",J125&lt;&gt;"Abandonnée",Q125&lt;&gt;"",TODAY()&gt;Q125),"En retard",""))</f>
        <v/>
      </c>
      <c r="V125" s="37" t="n"/>
    </row>
    <row r="126">
      <c r="B126" s="36" t="inlineStr">
        <is>
          <t>V3-018</t>
        </is>
      </c>
      <c r="C126" s="36" t="inlineStr">
        <is>
          <t>V3</t>
        </is>
      </c>
      <c r="D126" s="36" t="inlineStr">
        <is>
          <t>FIN</t>
        </is>
      </c>
      <c r="E126" s="37" t="inlineStr">
        <is>
          <t>Finance</t>
        </is>
      </c>
      <c r="F126" s="37" t="inlineStr">
        <is>
          <t>Barème de frais par tranche et minimum garanti, sous drapeau juridique DP-RPS-021</t>
        </is>
      </c>
      <c r="G126" s="37" t="inlineStr">
        <is>
          <t>Barème inactif tant que le drapeau est fermé</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46396</v>
      </c>
      <c r="Q126" s="40" t="n">
        <v>46403</v>
      </c>
      <c r="R126" s="40" t="n"/>
      <c r="S126" s="37" t="inlineStr">
        <is>
          <t>Avis juridique écrit</t>
        </is>
      </c>
      <c r="T126" s="36" t="inlineStr">
        <is>
          <t>Non</t>
        </is>
      </c>
      <c r="U126" s="13">
        <f>IF($B126="","",IF(AND(J126&lt;&gt;"Complétée",J126&lt;&gt;"Abandonnée",Q126&lt;&gt;"",TODAY()&gt;Q126),"En retard",""))</f>
        <v/>
      </c>
      <c r="V126" s="37" t="n"/>
    </row>
    <row r="127">
      <c r="B127" s="36" t="inlineStr">
        <is>
          <t>V3-019</t>
        </is>
      </c>
      <c r="C127" s="36" t="inlineStr">
        <is>
          <t>V3</t>
        </is>
      </c>
      <c r="D127" s="36" t="inlineStr">
        <is>
          <t>FIN</t>
        </is>
      </c>
      <c r="E127" s="37" t="inlineStr">
        <is>
          <t>Finance</t>
        </is>
      </c>
      <c r="F127" s="37" t="inlineStr">
        <is>
          <t>Rétrocession par catégorie (90/10, 50/50, 70/30) et test d'éligibilité</t>
        </is>
      </c>
      <c r="G127" s="37" t="inlineStr">
        <is>
          <t>Transaction non attribuée exclue automatiquement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46398</v>
      </c>
      <c r="Q127" s="40" t="n">
        <v>46407</v>
      </c>
      <c r="R127" s="40" t="n"/>
      <c r="S127" s="37" t="inlineStr"/>
      <c r="T127" s="36" t="inlineStr">
        <is>
          <t>Non</t>
        </is>
      </c>
      <c r="U127" s="13">
        <f>IF($B127="","",IF(AND(J127&lt;&gt;"Complétée",J127&lt;&gt;"Abandonnée",Q127&lt;&gt;"",TODAY()&gt;Q127),"En retard",""))</f>
        <v/>
      </c>
      <c r="V127" s="37" t="n"/>
    </row>
    <row r="128">
      <c r="B128" s="36" t="inlineStr">
        <is>
          <t>V3-020</t>
        </is>
      </c>
      <c r="C128" s="36" t="inlineStr">
        <is>
          <t>V3</t>
        </is>
      </c>
      <c r="D128" s="36" t="inlineStr">
        <is>
          <t>FIN</t>
        </is>
      </c>
      <c r="E128" s="37" t="inlineStr">
        <is>
          <t>Finance</t>
        </is>
      </c>
      <c r="F128" s="37" t="inlineStr">
        <is>
          <t>Journal de calcul recalculable sans accès au code source</t>
        </is>
      </c>
      <c r="G128" s="37" t="inlineStr">
        <is>
          <t>Recalcul indépendant identique au centime</t>
        </is>
      </c>
      <c r="H128" s="38" t="n">
        <v>5</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46400</v>
      </c>
      <c r="Q128" s="40" t="n">
        <v>46407</v>
      </c>
      <c r="R128" s="40" t="n"/>
      <c r="S128" s="37" t="inlineStr"/>
      <c r="T128" s="36" t="inlineStr">
        <is>
          <t>Non</t>
        </is>
      </c>
      <c r="U128" s="13">
        <f>IF($B128="","",IF(AND(J128&lt;&gt;"Complétée",J128&lt;&gt;"Abandonnée",Q128&lt;&gt;"",TODAY()&gt;Q128),"En retard",""))</f>
        <v/>
      </c>
      <c r="V128" s="37" t="n"/>
    </row>
    <row r="129">
      <c r="B129" s="36" t="inlineStr">
        <is>
          <t>V3-021</t>
        </is>
      </c>
      <c r="C129" s="36" t="inlineStr">
        <is>
          <t>V3</t>
        </is>
      </c>
      <c r="D129" s="36" t="inlineStr">
        <is>
          <t>FIN</t>
        </is>
      </c>
      <c r="E129" s="37" t="inlineStr">
        <is>
          <t>Finance</t>
        </is>
      </c>
      <c r="F129" s="37" t="inlineStr">
        <is>
          <t>Reporting continu, rapport trimestriel archivé, fenêtre de contestation 30 jours</t>
        </is>
      </c>
      <c r="G129" s="37" t="inlineStr">
        <is>
          <t>Rapport immuable après archivage</t>
        </is>
      </c>
      <c r="H129" s="38" t="n">
        <v>6</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46402</v>
      </c>
      <c r="Q129" s="40" t="n">
        <v>46411</v>
      </c>
      <c r="R129" s="40" t="n"/>
      <c r="S129" s="37" t="inlineStr"/>
      <c r="T129" s="36" t="inlineStr">
        <is>
          <t>Non</t>
        </is>
      </c>
      <c r="U129" s="13">
        <f>IF($B129="","",IF(AND(J129&lt;&gt;"Complétée",J129&lt;&gt;"Abandonnée",Q129&lt;&gt;"",TODAY()&gt;Q129),"En retard",""))</f>
        <v/>
      </c>
      <c r="V129" s="37" t="n"/>
    </row>
    <row r="130">
      <c r="B130" s="36" t="inlineStr">
        <is>
          <t>V3-022</t>
        </is>
      </c>
      <c r="C130" s="36" t="inlineStr">
        <is>
          <t>V3</t>
        </is>
      </c>
      <c r="D130" s="36" t="inlineStr">
        <is>
          <t>FIN</t>
        </is>
      </c>
      <c r="E130" s="37" t="inlineStr">
        <is>
          <t>Finance</t>
        </is>
      </c>
      <c r="F130" s="37" t="inlineStr">
        <is>
          <t>Export d'audit scopé (jamais le code ni les données d'autres clients)</t>
        </is>
      </c>
      <c r="G130" s="37" t="inlineStr">
        <is>
          <t>Export vérifié par le contrôle CCI-Togo</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46404</v>
      </c>
      <c r="Q130" s="40" t="n">
        <v>46409</v>
      </c>
      <c r="R130" s="40" t="n"/>
      <c r="S130" s="37" t="inlineStr"/>
      <c r="T130" s="36" t="inlineStr">
        <is>
          <t>Non</t>
        </is>
      </c>
      <c r="U130" s="13">
        <f>IF($B130="","",IF(AND(J130&lt;&gt;"Complétée",J130&lt;&gt;"Abandonnée",Q130&lt;&gt;"",TODAY()&gt;Q130),"En retard",""))</f>
        <v/>
      </c>
      <c r="V130" s="37" t="n"/>
    </row>
    <row r="131">
      <c r="B131" s="36" t="inlineStr">
        <is>
          <t>V3-023</t>
        </is>
      </c>
      <c r="C131" s="36" t="inlineStr">
        <is>
          <t>V3</t>
        </is>
      </c>
      <c r="D131" s="36" t="inlineStr">
        <is>
          <t>SUP</t>
        </is>
      </c>
      <c r="E131" s="37" t="inlineStr">
        <is>
          <t>Support</t>
        </is>
      </c>
      <c r="F131" s="37" t="inlineStr">
        <is>
          <t>Système de tickets et sévérités P1 à P4 avec délais contractuels</t>
        </is>
      </c>
      <c r="G131" s="37" t="inlineStr">
        <is>
          <t>Délai d'accusé mesuré par sévérité</t>
        </is>
      </c>
      <c r="H131" s="38" t="n">
        <v>4</v>
      </c>
      <c r="I131" s="36" t="inlineStr">
        <is>
          <t>Moyenne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46405</v>
      </c>
      <c r="Q131" s="40" t="n">
        <v>46411</v>
      </c>
      <c r="R131" s="40" t="n"/>
      <c r="S131" s="37" t="inlineStr"/>
      <c r="T131" s="36" t="inlineStr">
        <is>
          <t>Non</t>
        </is>
      </c>
      <c r="U131" s="13">
        <f>IF($B131="","",IF(AND(J131&lt;&gt;"Complétée",J131&lt;&gt;"Abandonnée",Q131&lt;&gt;"",TODAY()&gt;Q131),"En retard",""))</f>
        <v/>
      </c>
      <c r="V131" s="37" t="n"/>
    </row>
    <row r="132">
      <c r="B132" s="36" t="inlineStr">
        <is>
          <t>V3-024</t>
        </is>
      </c>
      <c r="C132" s="36" t="inlineStr">
        <is>
          <t>V3</t>
        </is>
      </c>
      <c r="D132" s="36" t="inlineStr">
        <is>
          <t>SUP</t>
        </is>
      </c>
      <c r="E132" s="37" t="inlineStr">
        <is>
          <t>Support</t>
        </is>
      </c>
      <c r="F132" s="37" t="inlineStr">
        <is>
          <t>Accès privilégié motivé, scopé, expirant, avec notification du propriétaire du dossier</t>
        </is>
      </c>
      <c r="G132" s="37" t="inlineStr">
        <is>
          <t>Propriétaire notifié à chaque accès</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46407</v>
      </c>
      <c r="Q132" s="40" t="n">
        <v>46413</v>
      </c>
      <c r="R132" s="40" t="n"/>
      <c r="S132" s="37" t="inlineStr"/>
      <c r="T132" s="36" t="inlineStr">
        <is>
          <t>Non</t>
        </is>
      </c>
      <c r="U132" s="13">
        <f>IF($B132="","",IF(AND(J132&lt;&gt;"Complétée",J132&lt;&gt;"Abandonnée",Q132&lt;&gt;"",TODAY()&gt;Q132),"En retard",""))</f>
        <v/>
      </c>
      <c r="V132" s="37" t="n"/>
    </row>
    <row r="133">
      <c r="B133" s="36" t="inlineStr">
        <is>
          <t>V3-025</t>
        </is>
      </c>
      <c r="C133" s="36" t="inlineStr">
        <is>
          <t>V3</t>
        </is>
      </c>
      <c r="D133" s="36" t="inlineStr">
        <is>
          <t>SUP</t>
        </is>
      </c>
      <c r="E133" s="37" t="inlineStr">
        <is>
          <t>Support</t>
        </is>
      </c>
      <c r="F133" s="37" t="inlineStr">
        <is>
          <t>Mode 'break-glass' journalisé pour l'administration</t>
        </is>
      </c>
      <c r="G133" s="37" t="inlineStr">
        <is>
          <t>Chaque usage journalisé avec motif et approbateur</t>
        </is>
      </c>
      <c r="H133" s="38" t="n">
        <v>2</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46408</v>
      </c>
      <c r="Q133" s="40" t="n">
        <v>46411</v>
      </c>
      <c r="R133" s="40" t="n"/>
      <c r="S133" s="37" t="inlineStr"/>
      <c r="T133" s="36" t="inlineStr">
        <is>
          <t>Non</t>
        </is>
      </c>
      <c r="U133" s="13">
        <f>IF($B133="","",IF(AND(J133&lt;&gt;"Complétée",J133&lt;&gt;"Abandonnée",Q133&lt;&gt;"",TODAY()&gt;Q133),"En retard",""))</f>
        <v/>
      </c>
      <c r="V133" s="37" t="n"/>
    </row>
    <row r="134">
      <c r="B134" s="36" t="inlineStr">
        <is>
          <t>V3-026</t>
        </is>
      </c>
      <c r="C134" s="36" t="inlineStr">
        <is>
          <t>V3</t>
        </is>
      </c>
      <c r="D134" s="36" t="inlineStr">
        <is>
          <t>OPS</t>
        </is>
      </c>
      <c r="E134" s="37" t="inlineStr">
        <is>
          <t>Portes de conformité</t>
        </is>
      </c>
      <c r="F134" s="37" t="inlineStr">
        <is>
          <t>Déclaration IPDCP et autorisation de transfert transfrontalier (G1, G2)</t>
        </is>
      </c>
      <c r="G134" s="37" t="inlineStr">
        <is>
          <t>Récépissés archivés</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46409</v>
      </c>
      <c r="Q134" s="40" t="n">
        <v>46416</v>
      </c>
      <c r="R134" s="40" t="n"/>
      <c r="S134" s="37" t="inlineStr"/>
      <c r="T134" s="36" t="inlineStr">
        <is>
          <t>Oui</t>
        </is>
      </c>
      <c r="U134" s="13">
        <f>IF($B134="","",IF(AND(J134&lt;&gt;"Complétée",J134&lt;&gt;"Abandonnée",Q134&lt;&gt;"",TODAY()&gt;Q134),"En retard",""))</f>
        <v/>
      </c>
      <c r="V134" s="37" t="n"/>
    </row>
    <row r="135">
      <c r="B135" s="36" t="inlineStr">
        <is>
          <t>V3-027</t>
        </is>
      </c>
      <c r="C135" s="36" t="inlineStr">
        <is>
          <t>V3</t>
        </is>
      </c>
      <c r="D135" s="36" t="inlineStr">
        <is>
          <t>OPS</t>
        </is>
      </c>
      <c r="E135" s="37" t="inlineStr">
        <is>
          <t>Portes de conformité</t>
        </is>
      </c>
      <c r="F135" s="37" t="inlineStr">
        <is>
          <t>Revue juridique NDA, CGU, politique de confidentialité (G4)</t>
        </is>
      </c>
      <c r="G135" s="37" t="inlineStr">
        <is>
          <t>Avis écrit archivé</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46411</v>
      </c>
      <c r="Q135" s="40" t="n">
        <v>46416</v>
      </c>
      <c r="R135" s="40" t="n"/>
      <c r="S135" s="37" t="inlineStr"/>
      <c r="T135" s="36" t="inlineStr">
        <is>
          <t>Non</t>
        </is>
      </c>
      <c r="U135" s="13">
        <f>IF($B135="","",IF(AND(J135&lt;&gt;"Complétée",J135&lt;&gt;"Abandonnée",Q135&lt;&gt;"",TODAY()&gt;Q135),"En retard",""))</f>
        <v/>
      </c>
      <c r="V135" s="37" t="n"/>
    </row>
    <row r="136">
      <c r="B136" s="36" t="inlineStr">
        <is>
          <t>V3-028</t>
        </is>
      </c>
      <c r="C136" s="36" t="inlineStr">
        <is>
          <t>V3</t>
        </is>
      </c>
      <c r="D136" s="36" t="inlineStr">
        <is>
          <t>OPS</t>
        </is>
      </c>
      <c r="E136" s="37" t="inlineStr">
        <is>
          <t>Portes de conformité</t>
        </is>
      </c>
      <c r="F136" s="37" t="inlineStr">
        <is>
          <t>Avis juridique écrit sur le RPS (G5) et vérification des tests de plafond (G6)</t>
        </is>
      </c>
      <c r="G136" s="37" t="inlineStr">
        <is>
          <t>Avis et rapport de tests archivés</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46412</v>
      </c>
      <c r="Q136" s="40" t="n">
        <v>46418</v>
      </c>
      <c r="R136" s="40" t="n"/>
      <c r="S136" s="37" t="inlineStr"/>
      <c r="T136" s="36" t="inlineStr">
        <is>
          <t>Non</t>
        </is>
      </c>
      <c r="U136" s="13">
        <f>IF($B136="","",IF(AND(J136&lt;&gt;"Complétée",J136&lt;&gt;"Abandonnée",Q136&lt;&gt;"",TODAY()&gt;Q136),"En retard",""))</f>
        <v/>
      </c>
      <c r="V136" s="37" t="n"/>
    </row>
    <row r="137">
      <c r="B137" s="36" t="inlineStr">
        <is>
          <t>V3-029</t>
        </is>
      </c>
      <c r="C137" s="36" t="inlineStr">
        <is>
          <t>V3</t>
        </is>
      </c>
      <c r="D137" s="36" t="inlineStr">
        <is>
          <t>OPS</t>
        </is>
      </c>
      <c r="E137" s="37" t="inlineStr">
        <is>
          <t>Portes de conformité</t>
        </is>
      </c>
      <c r="F137" s="37" t="inlineStr">
        <is>
          <t>Audit du texte d'interface : aucune allégation non prouvée (G7)</t>
        </is>
      </c>
      <c r="G137" s="37" t="inlineStr">
        <is>
          <t>Zéro occurrence de 'sécurisé', 'certifié' non justifiée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46414</v>
      </c>
      <c r="Q137" s="40" t="n">
        <v>46419</v>
      </c>
      <c r="R137" s="40" t="n"/>
      <c r="S137" s="37" t="inlineStr"/>
      <c r="T137" s="36" t="inlineStr">
        <is>
          <t>Non</t>
        </is>
      </c>
      <c r="U137" s="13">
        <f>IF($B137="","",IF(AND(J137&lt;&gt;"Complétée",J137&lt;&gt;"Abandonnée",Q137&lt;&gt;"",TODAY()&gt;Q137),"En retard",""))</f>
        <v/>
      </c>
      <c r="V137" s="37" t="n"/>
    </row>
    <row r="138">
      <c r="B138" s="36" t="inlineStr">
        <is>
          <t>V3-030</t>
        </is>
      </c>
      <c r="C138" s="36" t="inlineStr">
        <is>
          <t>V3</t>
        </is>
      </c>
      <c r="D138" s="36" t="inlineStr">
        <is>
          <t>OPS</t>
        </is>
      </c>
      <c r="E138" s="37" t="inlineStr">
        <is>
          <t>Portes de conformité</t>
        </is>
      </c>
      <c r="F138" s="37" t="inlineStr">
        <is>
          <t>Recalcul indépendant de la rétrocession (G8)</t>
        </is>
      </c>
      <c r="G138" s="37" t="inlineStr">
        <is>
          <t>Rapprochement signé par la Finance</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46415</v>
      </c>
      <c r="Q138" s="40" t="n">
        <v>46420</v>
      </c>
      <c r="R138" s="40" t="n"/>
      <c r="S138" s="37" t="inlineStr"/>
      <c r="T138" s="36" t="inlineStr">
        <is>
          <t>Non</t>
        </is>
      </c>
      <c r="U138" s="13">
        <f>IF($B138="","",IF(AND(J138&lt;&gt;"Complétée",J138&lt;&gt;"Abandonnée",Q138&lt;&gt;"",TODAY()&gt;Q138),"En retard",""))</f>
        <v/>
      </c>
      <c r="V138" s="37" t="n"/>
    </row>
    <row r="139">
      <c r="B139" s="36" t="inlineStr">
        <is>
          <t>V3-031</t>
        </is>
      </c>
      <c r="C139" s="36" t="inlineStr">
        <is>
          <t>V3</t>
        </is>
      </c>
      <c r="D139" s="36" t="inlineStr">
        <is>
          <t>OPS</t>
        </is>
      </c>
      <c r="E139" s="37" t="inlineStr">
        <is>
          <t>Portes de conformité</t>
        </is>
      </c>
      <c r="F139" s="37" t="inlineStr">
        <is>
          <t>Nomination du DPO et processus d'effacement (G9)</t>
        </is>
      </c>
      <c r="G139" s="37" t="inlineStr">
        <is>
          <t>DPO nommé, procédure publiée</t>
        </is>
      </c>
      <c r="H139" s="38" t="n">
        <v>2</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46416</v>
      </c>
      <c r="Q139" s="40" t="n">
        <v>46419</v>
      </c>
      <c r="R139" s="40" t="n"/>
      <c r="S139" s="37" t="inlineStr"/>
      <c r="T139" s="36" t="inlineStr">
        <is>
          <t>Non</t>
        </is>
      </c>
      <c r="U139" s="13">
        <f>IF($B139="","",IF(AND(J139&lt;&gt;"Complétée",J139&lt;&gt;"Abandonnée",Q139&lt;&gt;"",TODAY()&gt;Q139),"En retard",""))</f>
        <v/>
      </c>
      <c r="V139" s="37" t="n"/>
    </row>
    <row r="140">
      <c r="B140" s="36" t="inlineStr">
        <is>
          <t>V3-032</t>
        </is>
      </c>
      <c r="C140" s="36" t="inlineStr">
        <is>
          <t>V3</t>
        </is>
      </c>
      <c r="D140" s="36" t="inlineStr">
        <is>
          <t>OPS</t>
        </is>
      </c>
      <c r="E140" s="37" t="inlineStr">
        <is>
          <t>Portes de conformité</t>
        </is>
      </c>
      <c r="F140" s="37" t="inlineStr">
        <is>
          <t>Pentest indépendant et remédiation des constats critiques et élevés (G10)</t>
        </is>
      </c>
      <c r="G140" s="37" t="inlineStr">
        <is>
          <t>Rapport de pentest sans constat critique ouvert</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46416</v>
      </c>
      <c r="Q140" s="40" t="n">
        <v>46423</v>
      </c>
      <c r="R140" s="40" t="n"/>
      <c r="S140" s="37" t="inlineStr"/>
      <c r="T140" s="36" t="inlineStr">
        <is>
          <t>Oui</t>
        </is>
      </c>
      <c r="U140" s="13">
        <f>IF($B140="","",IF(AND(J140&lt;&gt;"Complétée",J140&lt;&gt;"Abandonnée",Q140&lt;&gt;"",TODAY()&gt;Q140),"En retard",""))</f>
        <v/>
      </c>
      <c r="V140" s="37" t="n"/>
    </row>
    <row r="141">
      <c r="B141" s="36" t="inlineStr">
        <is>
          <t>V3-033</t>
        </is>
      </c>
      <c r="C141" s="36" t="inlineStr">
        <is>
          <t>V3</t>
        </is>
      </c>
      <c r="D141" s="36" t="inlineStr">
        <is>
          <t>OPS</t>
        </is>
      </c>
      <c r="E141" s="37" t="inlineStr">
        <is>
          <t>Exploitation</t>
        </is>
      </c>
      <c r="F141" s="37" t="inlineStr">
        <is>
          <t>Supervision, alertes, mesure de disponibilité mensuelle (SLA 99,5 %)</t>
        </is>
      </c>
      <c r="G141" s="37" t="inlineStr">
        <is>
          <t>Tableau de disponibilité mensuel généré</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46418</v>
      </c>
      <c r="Q141" s="40" t="n">
        <v>46427</v>
      </c>
      <c r="R141" s="40" t="n"/>
      <c r="S141" s="37" t="inlineStr"/>
      <c r="T141" s="36" t="inlineStr">
        <is>
          <t>Non</t>
        </is>
      </c>
      <c r="U141" s="13">
        <f>IF($B141="","",IF(AND(J141&lt;&gt;"Complétée",J141&lt;&gt;"Abandonnée",Q141&lt;&gt;"",TODAY()&gt;Q141),"En retard",""))</f>
        <v/>
      </c>
      <c r="V141" s="37" t="n"/>
    </row>
    <row r="142">
      <c r="B142" s="36" t="inlineStr">
        <is>
          <t>V3-034</t>
        </is>
      </c>
      <c r="C142" s="36" t="inlineStr">
        <is>
          <t>V3</t>
        </is>
      </c>
      <c r="D142" s="36" t="inlineStr">
        <is>
          <t>OPS</t>
        </is>
      </c>
      <c r="E142" s="37" t="inlineStr">
        <is>
          <t>Exploitation</t>
        </is>
      </c>
      <c r="F142" s="37" t="inlineStr">
        <is>
          <t>Sauvegardes chiffrées et test de restauration (RPO 1 h, RTO 4 h)</t>
        </is>
      </c>
      <c r="G142" s="37" t="inlineStr">
        <is>
          <t>Restauration complète en moins de 4 h documentée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46421</v>
      </c>
      <c r="Q142" s="40" t="n">
        <v>46428</v>
      </c>
      <c r="R142" s="40" t="n"/>
      <c r="S142" s="37" t="inlineStr"/>
      <c r="T142" s="36" t="inlineStr">
        <is>
          <t>Non</t>
        </is>
      </c>
      <c r="U142" s="13">
        <f>IF($B142="","",IF(AND(J142&lt;&gt;"Complétée",J142&lt;&gt;"Abandonnée",Q142&lt;&gt;"",TODAY()&gt;Q142),"En retard",""))</f>
        <v/>
      </c>
      <c r="V142" s="37" t="n"/>
    </row>
    <row r="143">
      <c r="B143" s="36" t="inlineStr">
        <is>
          <t>V3-035</t>
        </is>
      </c>
      <c r="C143" s="36" t="inlineStr">
        <is>
          <t>V3</t>
        </is>
      </c>
      <c r="D143" s="36" t="inlineStr">
        <is>
          <t>OPS</t>
        </is>
      </c>
      <c r="E143" s="37" t="inlineStr">
        <is>
          <t>Exploitation</t>
        </is>
      </c>
      <c r="F143" s="37" t="inlineStr">
        <is>
          <t>Procédure d'incident, analyse de cause racine, rollback</t>
        </is>
      </c>
      <c r="G143" s="37" t="inlineStr">
        <is>
          <t>Procédure testée sur un incident simulé</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46422</v>
      </c>
      <c r="Q143" s="40" t="n">
        <v>46428</v>
      </c>
      <c r="R143" s="40" t="n"/>
      <c r="S143" s="37" t="inlineStr"/>
      <c r="T143" s="36" t="inlineStr">
        <is>
          <t>Non</t>
        </is>
      </c>
      <c r="U143" s="13">
        <f>IF($B143="","",IF(AND(J143&lt;&gt;"Complétée",J143&lt;&gt;"Abandonnée",Q143&lt;&gt;"",TODAY()&gt;Q143),"En retard",""))</f>
        <v/>
      </c>
      <c r="V143" s="37" t="n"/>
    </row>
    <row r="144">
      <c r="B144" s="36" t="inlineStr">
        <is>
          <t>V3-036</t>
        </is>
      </c>
      <c r="C144" s="36" t="inlineStr">
        <is>
          <t>V3</t>
        </is>
      </c>
      <c r="D144" s="36" t="inlineStr">
        <is>
          <t>OPS</t>
        </is>
      </c>
      <c r="E144" s="37" t="inlineStr">
        <is>
          <t>Exploitation</t>
        </is>
      </c>
      <c r="F144" s="37" t="inlineStr">
        <is>
          <t>Rotation des clés, gestion des secrets, scan de dépendances en CI</t>
        </is>
      </c>
      <c r="G144" s="37" t="inlineStr">
        <is>
          <t>Build échoue sur vulnérabilité critique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46424</v>
      </c>
      <c r="Q144" s="40" t="n">
        <v>46431</v>
      </c>
      <c r="R144" s="40" t="n"/>
      <c r="S144" s="37" t="inlineStr"/>
      <c r="T144" s="36" t="inlineStr">
        <is>
          <t>Non</t>
        </is>
      </c>
      <c r="U144" s="13">
        <f>IF($B144="","",IF(AND(J144&lt;&gt;"Complétée",J144&lt;&gt;"Abandonnée",Q144&lt;&gt;"",TODAY()&gt;Q144),"En retard",""))</f>
        <v/>
      </c>
      <c r="V144" s="37" t="n"/>
    </row>
    <row r="145">
      <c r="B145" s="36" t="inlineStr">
        <is>
          <t>V4-001</t>
        </is>
      </c>
      <c r="C145" s="36" t="inlineStr">
        <is>
          <t>V4</t>
        </is>
      </c>
      <c r="D145" s="36" t="inlineStr">
        <is>
          <t>REB</t>
        </is>
      </c>
      <c r="E145" s="37" t="inlineStr">
        <is>
          <t>Alerte &amp; Rebond</t>
        </is>
      </c>
      <c r="F145" s="37" t="inlineStr">
        <is>
          <t>Auto-diagnostic : arbre logique et score de santé financière</t>
        </is>
      </c>
      <c r="G145" s="37" t="inlineStr">
        <is>
          <t>Score expliqué, jamais un conseil personnalisé</t>
        </is>
      </c>
      <c r="H145" s="38" t="n">
        <v>6</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46437</v>
      </c>
      <c r="Q145" s="40" t="n">
        <v>46446</v>
      </c>
      <c r="R145" s="40" t="n"/>
      <c r="S145" s="37" t="inlineStr"/>
      <c r="T145" s="36" t="inlineStr">
        <is>
          <t>Non</t>
        </is>
      </c>
      <c r="U145" s="13">
        <f>IF($B145="","",IF(AND(J145&lt;&gt;"Complétée",J145&lt;&gt;"Abandonnée",Q145&lt;&gt;"",TODAY()&gt;Q145),"En retard",""))</f>
        <v/>
      </c>
      <c r="V145" s="37" t="n"/>
    </row>
    <row r="146">
      <c r="B146" s="36" t="inlineStr">
        <is>
          <t>V4-002</t>
        </is>
      </c>
      <c r="C146" s="36" t="inlineStr">
        <is>
          <t>V4</t>
        </is>
      </c>
      <c r="D146" s="36" t="inlineStr">
        <is>
          <t>REB</t>
        </is>
      </c>
      <c r="E146" s="37" t="inlineStr">
        <is>
          <t>Alerte &amp; Rebond</t>
        </is>
      </c>
      <c r="F146" s="37" t="inlineStr">
        <is>
          <t>Dossier de crise confidentiel, INVITE_ONLY, registre d'investisseurs de retournement</t>
        </is>
      </c>
      <c r="G146" s="37" t="inlineStr">
        <is>
          <t>Dossier absent de toute recherche ouverte (test négatif)</t>
        </is>
      </c>
      <c r="H146" s="38" t="n">
        <v>6</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46439</v>
      </c>
      <c r="Q146" s="40" t="n">
        <v>46448</v>
      </c>
      <c r="R146" s="40" t="n"/>
      <c r="S146" s="37" t="inlineStr"/>
      <c r="T146" s="36" t="inlineStr">
        <is>
          <t>Non</t>
        </is>
      </c>
      <c r="U146" s="13">
        <f>IF($B146="","",IF(AND(J146&lt;&gt;"Complétée",J146&lt;&gt;"Abandonnée",Q146&lt;&gt;"",TODAY()&gt;Q146),"En retard",""))</f>
        <v/>
      </c>
      <c r="V146" s="37" t="n"/>
    </row>
    <row r="147">
      <c r="B147" s="36" t="inlineStr">
        <is>
          <t>V4-003</t>
        </is>
      </c>
      <c r="C147" s="36" t="inlineStr">
        <is>
          <t>V4</t>
        </is>
      </c>
      <c r="D147" s="36" t="inlineStr">
        <is>
          <t>REB</t>
        </is>
      </c>
      <c r="E147" s="37" t="inlineStr">
        <is>
          <t>Alerte &amp; Rebond</t>
        </is>
      </c>
      <c r="F147" s="37" t="inlineStr">
        <is>
          <t>Signalement statutaire (mandataire de justice) et avertissement sur les clauses bancaires</t>
        </is>
      </c>
      <c r="G147" s="37" t="inlineStr">
        <is>
          <t>Avertissement affiché avant tout changement de visibilité</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46441</v>
      </c>
      <c r="Q147" s="40" t="n">
        <v>46446</v>
      </c>
      <c r="R147" s="40" t="n"/>
      <c r="S147" s="37" t="inlineStr"/>
      <c r="T147" s="36" t="inlineStr">
        <is>
          <t>Non</t>
        </is>
      </c>
      <c r="U147" s="13">
        <f>IF($B147="","",IF(AND(J147&lt;&gt;"Complétée",J147&lt;&gt;"Abandonnée",Q147&lt;&gt;"",TODAY()&gt;Q147),"En retard",""))</f>
        <v/>
      </c>
      <c r="V147" s="37" t="n"/>
    </row>
    <row r="148">
      <c r="B148" s="36" t="inlineStr">
        <is>
          <t>V4-004</t>
        </is>
      </c>
      <c r="C148" s="36" t="inlineStr">
        <is>
          <t>V4</t>
        </is>
      </c>
      <c r="D148" s="36" t="inlineStr">
        <is>
          <t>REB</t>
        </is>
      </c>
      <c r="E148" s="37" t="inlineStr">
        <is>
          <t>Actifs en difficulté</t>
        </is>
      </c>
      <c r="F148" s="37" t="inlineStr">
        <is>
          <t>Listings d'actifs par catégorie : créances, immobilier, équipement, flotte</t>
        </is>
      </c>
      <c r="G148" s="37" t="inlineStr">
        <is>
          <t>Jeu de champs distinct par catégorie</t>
        </is>
      </c>
      <c r="H148" s="38" t="n">
        <v>7</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46443</v>
      </c>
      <c r="Q148" s="40" t="n">
        <v>46453</v>
      </c>
      <c r="R148" s="40" t="n"/>
      <c r="S148" s="37" t="inlineStr"/>
      <c r="T148" s="36" t="inlineStr">
        <is>
          <t>Non</t>
        </is>
      </c>
      <c r="U148" s="13">
        <f>IF($B148="","",IF(AND(J148&lt;&gt;"Complétée",J148&lt;&gt;"Abandonnée",Q148&lt;&gt;"",TODAY()&gt;Q148),"En retard",""))</f>
        <v/>
      </c>
      <c r="V148" s="37" t="n"/>
    </row>
    <row r="149">
      <c r="B149" s="36" t="inlineStr">
        <is>
          <t>V4-005</t>
        </is>
      </c>
      <c r="C149" s="36" t="inlineStr">
        <is>
          <t>V4</t>
        </is>
      </c>
      <c r="D149" s="36" t="inlineStr">
        <is>
          <t>REB</t>
        </is>
      </c>
      <c r="E149" s="37" t="inlineStr">
        <is>
          <t>Actifs en difficulté</t>
        </is>
      </c>
      <c r="F149" s="37" t="inlineStr">
        <is>
          <t>Coupe-circuit opérateur : retrait immédiat de toutes les surfaces et caches</t>
        </is>
      </c>
      <c r="G149" s="37" t="inlineStr">
        <is>
          <t>Retrait effectif en moins de 60 s</t>
        </is>
      </c>
      <c r="H149" s="38" t="n">
        <v>3</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46445</v>
      </c>
      <c r="Q149" s="40" t="n">
        <v>46450</v>
      </c>
      <c r="R149" s="40" t="n"/>
      <c r="S149" s="37" t="inlineStr"/>
      <c r="T149" s="36" t="inlineStr">
        <is>
          <t>Non</t>
        </is>
      </c>
      <c r="U149" s="13">
        <f>IF($B149="","",IF(AND(J149&lt;&gt;"Complétée",J149&lt;&gt;"Abandonnée",Q149&lt;&gt;"",TODAY()&gt;Q149),"En retard",""))</f>
        <v/>
      </c>
      <c r="V149" s="37" t="n"/>
    </row>
    <row r="150">
      <c r="B150" s="36" t="inlineStr">
        <is>
          <t>V4-006</t>
        </is>
      </c>
      <c r="C150" s="36" t="inlineStr">
        <is>
          <t>V4</t>
        </is>
      </c>
      <c r="D150" s="36" t="inlineStr">
        <is>
          <t>REB</t>
        </is>
      </c>
      <c r="E150" s="37" t="inlineStr">
        <is>
          <t>Alerte &amp; Rebond</t>
        </is>
      </c>
      <c r="F150" s="37" t="inlineStr">
        <is>
          <t>Ingestion des annonces de dissolution / liquidation (flux CFE)</t>
        </is>
      </c>
      <c r="G150" s="37" t="inlineStr">
        <is>
          <t>Flux importé quotidiennement</t>
        </is>
      </c>
      <c r="H150" s="38" t="n">
        <v>5</v>
      </c>
      <c r="I150" s="36" t="inlineStr">
        <is>
          <t>Basse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46446</v>
      </c>
      <c r="Q150" s="40" t="n">
        <v>46453</v>
      </c>
      <c r="R150" s="40" t="n"/>
      <c r="S150" s="37" t="inlineStr"/>
      <c r="T150" s="36" t="inlineStr">
        <is>
          <t>Non</t>
        </is>
      </c>
      <c r="U150" s="13">
        <f>IF($B150="","",IF(AND(J150&lt;&gt;"Complétée",J150&lt;&gt;"Abandonnée",Q150&lt;&gt;"",TODAY()&gt;Q150),"En retard",""))</f>
        <v/>
      </c>
      <c r="V150" s="37" t="n"/>
    </row>
    <row r="151">
      <c r="B151" s="36" t="inlineStr">
        <is>
          <t>V4-007</t>
        </is>
      </c>
      <c r="C151" s="36" t="inlineStr">
        <is>
          <t>V4</t>
        </is>
      </c>
      <c r="D151" s="36" t="inlineStr">
        <is>
          <t>REB</t>
        </is>
      </c>
      <c r="E151" s="37" t="inlineStr">
        <is>
          <t>Alerte &amp; Rebond</t>
        </is>
      </c>
      <c r="F151" s="37" t="inlineStr">
        <is>
          <t>Écrans Alerte &amp; Rebond</t>
        </is>
      </c>
      <c r="G151" s="37" t="inlineStr">
        <is>
          <t>Confidentialité par défaut sur chaque écran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46448</v>
      </c>
      <c r="Q151" s="40" t="n">
        <v>46455</v>
      </c>
      <c r="R151" s="40" t="n"/>
      <c r="S151" s="37" t="inlineStr"/>
      <c r="T151" s="36" t="inlineStr">
        <is>
          <t>Non</t>
        </is>
      </c>
      <c r="U151" s="13">
        <f>IF($B151="","",IF(AND(J151&lt;&gt;"Complétée",J151&lt;&gt;"Abandonnée",Q151&lt;&gt;"",TODAY()&gt;Q151),"En retard",""))</f>
        <v/>
      </c>
      <c r="V151" s="37" t="n"/>
    </row>
    <row r="152">
      <c r="B152" s="36" t="inlineStr">
        <is>
          <t>V4-008</t>
        </is>
      </c>
      <c r="C152" s="36" t="inlineStr">
        <is>
          <t>V4</t>
        </is>
      </c>
      <c r="D152" s="36" t="inlineStr">
        <is>
          <t>CNX</t>
        </is>
      </c>
      <c r="E152" s="37" t="inlineStr">
        <is>
          <t>Deal-Connect</t>
        </is>
      </c>
      <c r="F152" s="37" t="inlineStr">
        <is>
          <t>Stands, billetterie et sponsoring avec catégorisation des revenus</t>
        </is>
      </c>
      <c r="G152" s="37" t="inlineStr">
        <is>
          <t>Revenus catégorisés pour la rétrocession</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46450</v>
      </c>
      <c r="Q152" s="40" t="n">
        <v>46459</v>
      </c>
      <c r="R152" s="40" t="n"/>
      <c r="S152" s="37" t="inlineStr"/>
      <c r="T152" s="36" t="inlineStr">
        <is>
          <t>Non</t>
        </is>
      </c>
      <c r="U152" s="13">
        <f>IF($B152="","",IF(AND(J152&lt;&gt;"Complétée",J152&lt;&gt;"Abandonnée",Q152&lt;&gt;"",TODAY()&gt;Q152),"En retard",""))</f>
        <v/>
      </c>
      <c r="V152" s="37" t="n"/>
    </row>
    <row r="153">
      <c r="B153" s="36" t="inlineStr">
        <is>
          <t>V4-009</t>
        </is>
      </c>
      <c r="C153" s="36" t="inlineStr">
        <is>
          <t>V4</t>
        </is>
      </c>
      <c r="D153" s="36" t="inlineStr">
        <is>
          <t>CNX</t>
        </is>
      </c>
      <c r="E153" s="37" t="inlineStr">
        <is>
          <t>Deal-Connect</t>
        </is>
      </c>
      <c r="F153" s="37" t="inlineStr">
        <is>
          <t>Rendez-vous mutuels opt-in et suggestions par règles</t>
        </is>
      </c>
      <c r="G153" s="37" t="inlineStr">
        <is>
          <t>Aucun rendez-vous sans double accord</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46452</v>
      </c>
      <c r="Q153" s="40" t="n">
        <v>46458</v>
      </c>
      <c r="R153" s="40" t="n"/>
      <c r="S153" s="37" t="inlineStr"/>
      <c r="T153" s="36" t="inlineStr">
        <is>
          <t>Non</t>
        </is>
      </c>
      <c r="U153" s="13">
        <f>IF($B153="","",IF(AND(J153&lt;&gt;"Complétée",J153&lt;&gt;"Abandonnée",Q153&lt;&gt;"",TODAY()&gt;Q153),"En retard",""))</f>
        <v/>
      </c>
      <c r="V153" s="37" t="n"/>
    </row>
    <row r="154">
      <c r="B154" s="36" t="inlineStr">
        <is>
          <t>V4-010</t>
        </is>
      </c>
      <c r="C154" s="36" t="inlineStr">
        <is>
          <t>V4</t>
        </is>
      </c>
      <c r="D154" s="36" t="inlineStr">
        <is>
          <t>CNX</t>
        </is>
      </c>
      <c r="E154" s="37" t="inlineStr">
        <is>
          <t>Deal-Connect</t>
        </is>
      </c>
      <c r="F154" s="37" t="inlineStr">
        <is>
          <t>Rapport post-événement : participation, rendez-vous, satisfaction</t>
        </is>
      </c>
      <c r="G154" s="37" t="inlineStr">
        <is>
          <t>Rapport agrégé sans donnée nominative</t>
        </is>
      </c>
      <c r="H154" s="38" t="n">
        <v>4</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46454</v>
      </c>
      <c r="Q154" s="40" t="n">
        <v>46460</v>
      </c>
      <c r="R154" s="40" t="n"/>
      <c r="S154" s="37" t="inlineStr"/>
      <c r="T154" s="36" t="inlineStr">
        <is>
          <t>Non</t>
        </is>
      </c>
      <c r="U154" s="13">
        <f>IF($B154="","",IF(AND(J154&lt;&gt;"Complétée",J154&lt;&gt;"Abandonnée",Q154&lt;&gt;"",TODAY()&gt;Q154),"En retard",""))</f>
        <v/>
      </c>
      <c r="V154" s="37" t="n"/>
    </row>
    <row r="155">
      <c r="B155" s="36" t="inlineStr">
        <is>
          <t>V4-011</t>
        </is>
      </c>
      <c r="C155" s="36" t="inlineStr">
        <is>
          <t>V4</t>
        </is>
      </c>
      <c r="D155" s="36" t="inlineStr">
        <is>
          <t>CNX</t>
        </is>
      </c>
      <c r="E155" s="37" t="inlineStr">
        <is>
          <t>Deal-Connect</t>
        </is>
      </c>
      <c r="F155" s="37" t="inlineStr">
        <is>
          <t>Écrans Deal-Connect</t>
        </is>
      </c>
      <c r="G155" s="37" t="inlineStr">
        <is>
          <t>Aucun contenu à caractère de titre financier sur les stands</t>
        </is>
      </c>
      <c r="H155" s="38" t="n">
        <v>5</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46455</v>
      </c>
      <c r="Q155" s="40" t="n">
        <v>46462</v>
      </c>
      <c r="R155" s="40" t="n"/>
      <c r="S155" s="37" t="inlineStr"/>
      <c r="T155" s="36" t="inlineStr">
        <is>
          <t>Non</t>
        </is>
      </c>
      <c r="U155" s="13">
        <f>IF($B155="","",IF(AND(J155&lt;&gt;"Complétée",J155&lt;&gt;"Abandonnée",Q155&lt;&gt;"",TODAY()&gt;Q155),"En retard",""))</f>
        <v/>
      </c>
      <c r="V155" s="37" t="n"/>
    </row>
    <row r="156">
      <c r="B156" s="36" t="inlineStr">
        <is>
          <t>V4-012</t>
        </is>
      </c>
      <c r="C156" s="36" t="inlineStr">
        <is>
          <t>V4</t>
        </is>
      </c>
      <c r="D156" s="36" t="inlineStr">
        <is>
          <t>DIA</t>
        </is>
      </c>
      <c r="E156" s="37" t="inlineStr">
        <is>
          <t>Guichet Diaspora</t>
        </is>
      </c>
      <c r="F156" s="37" t="inlineStr">
        <is>
          <t>Profil investisseur diaspora, préférences, liste de suivi</t>
        </is>
      </c>
      <c r="G156" s="37" t="inlineStr">
        <is>
          <t>Preuve de capacité avec date d'expiration</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46457</v>
      </c>
      <c r="Q156" s="40" t="n">
        <v>46464</v>
      </c>
      <c r="R156" s="40" t="n"/>
      <c r="S156" s="37" t="inlineStr"/>
      <c r="T156" s="36" t="inlineStr">
        <is>
          <t>Non</t>
        </is>
      </c>
      <c r="U156" s="13">
        <f>IF($B156="","",IF(AND(J156&lt;&gt;"Complétée",J156&lt;&gt;"Abandonnée",Q156&lt;&gt;"",TODAY()&gt;Q156),"En retard",""))</f>
        <v/>
      </c>
      <c r="V156" s="37" t="n"/>
    </row>
    <row r="157">
      <c r="B157" s="36" t="inlineStr">
        <is>
          <t>V4-013</t>
        </is>
      </c>
      <c r="C157" s="36" t="inlineStr">
        <is>
          <t>V4</t>
        </is>
      </c>
      <c r="D157" s="36" t="inlineStr">
        <is>
          <t>DIA</t>
        </is>
      </c>
      <c r="E157" s="37" t="inlineStr">
        <is>
          <t>Guichet Diaspora</t>
        </is>
      </c>
      <c r="F157" s="37" t="inlineStr">
        <is>
          <t>Présentation des contraintes transfrontalières et taux de change indicatif daté</t>
        </is>
      </c>
      <c r="G157" s="37" t="inlineStr">
        <is>
          <t>Taux affiché avec source et date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46459</v>
      </c>
      <c r="Q157" s="40" t="n">
        <v>46466</v>
      </c>
      <c r="R157" s="40" t="n"/>
      <c r="S157" s="37" t="inlineStr"/>
      <c r="T157" s="36" t="inlineStr">
        <is>
          <t>Non</t>
        </is>
      </c>
      <c r="U157" s="13">
        <f>IF($B157="","",IF(AND(J157&lt;&gt;"Complétée",J157&lt;&gt;"Abandonnée",Q157&lt;&gt;"",TODAY()&gt;Q157),"En retard",""))</f>
        <v/>
      </c>
      <c r="V157" s="37" t="n"/>
    </row>
    <row r="158">
      <c r="B158" s="36" t="inlineStr">
        <is>
          <t>V4-014</t>
        </is>
      </c>
      <c r="C158" s="36" t="inlineStr">
        <is>
          <t>V4</t>
        </is>
      </c>
      <c r="D158" s="36" t="inlineStr">
        <is>
          <t>DIA</t>
        </is>
      </c>
      <c r="E158" s="37" t="inlineStr">
        <is>
          <t>Guichet Diaspora</t>
        </is>
      </c>
      <c r="F158" s="37" t="inlineStr">
        <is>
          <t>Renvoi vers banque / conseil pour les aspects réglementés</t>
        </is>
      </c>
      <c r="G158" s="37" t="inlineStr">
        <is>
          <t>Aucun conseil de change fourni par la plateforme</t>
        </is>
      </c>
      <c r="H158" s="38" t="n">
        <v>3</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46460</v>
      </c>
      <c r="Q158" s="40" t="n">
        <v>46465</v>
      </c>
      <c r="R158" s="40" t="n"/>
      <c r="S158" s="37" t="inlineStr"/>
      <c r="T158" s="36" t="inlineStr">
        <is>
          <t>Non</t>
        </is>
      </c>
      <c r="U158" s="13">
        <f>IF($B158="","",IF(AND(J158&lt;&gt;"Complétée",J158&lt;&gt;"Abandonnée",Q158&lt;&gt;"",TODAY()&gt;Q158),"En retard",""))</f>
        <v/>
      </c>
      <c r="V158" s="37" t="n"/>
    </row>
    <row r="159">
      <c r="B159" s="36" t="inlineStr">
        <is>
          <t>V4-015</t>
        </is>
      </c>
      <c r="C159" s="36" t="inlineStr">
        <is>
          <t>V4</t>
        </is>
      </c>
      <c r="D159" s="36" t="inlineStr">
        <is>
          <t>DIA</t>
        </is>
      </c>
      <c r="E159" s="37" t="inlineStr">
        <is>
          <t>Guichet Diaspora</t>
        </is>
      </c>
      <c r="F159" s="37" t="inlineStr">
        <is>
          <t>Signal de demande diaspora (agrégé, anonymisé)</t>
        </is>
      </c>
      <c r="G159" s="37" t="inlineStr">
        <is>
          <t>Aucune donnée nominative dans le signal</t>
        </is>
      </c>
      <c r="H159" s="38" t="n">
        <v>3</v>
      </c>
      <c r="I159" s="36" t="inlineStr">
        <is>
          <t>Basse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46462</v>
      </c>
      <c r="Q159" s="40" t="n">
        <v>46467</v>
      </c>
      <c r="R159" s="40" t="n"/>
      <c r="S159" s="37" t="inlineStr"/>
      <c r="T159" s="36" t="inlineStr">
        <is>
          <t>Non</t>
        </is>
      </c>
      <c r="U159" s="13">
        <f>IF($B159="","",IF(AND(J159&lt;&gt;"Complétée",J159&lt;&gt;"Abandonnée",Q159&lt;&gt;"",TODAY()&gt;Q159),"En retard",""))</f>
        <v/>
      </c>
      <c r="V159" s="37" t="n"/>
    </row>
    <row r="160">
      <c r="B160" s="36" t="inlineStr">
        <is>
          <t>V4-016</t>
        </is>
      </c>
      <c r="C160" s="36" t="inlineStr">
        <is>
          <t>V4</t>
        </is>
      </c>
      <c r="D160" s="36" t="inlineStr">
        <is>
          <t>DIA</t>
        </is>
      </c>
      <c r="E160" s="37" t="inlineStr">
        <is>
          <t>Guichet Diaspora</t>
        </is>
      </c>
      <c r="F160" s="37" t="inlineStr">
        <is>
          <t>Écrans Guichet Diaspora</t>
        </is>
      </c>
      <c r="G160" s="37" t="inlineStr">
        <is>
          <t>Contraintes affichées avant la phase finale</t>
        </is>
      </c>
      <c r="H160" s="38" t="n">
        <v>5</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46463</v>
      </c>
      <c r="Q160" s="40" t="n">
        <v>46470</v>
      </c>
      <c r="R160" s="40" t="n"/>
      <c r="S160" s="37" t="inlineStr"/>
      <c r="T160" s="36" t="inlineStr">
        <is>
          <t>Non</t>
        </is>
      </c>
      <c r="U160" s="13">
        <f>IF($B160="","",IF(AND(J160&lt;&gt;"Complétée",J160&lt;&gt;"Abandonnée",Q160&lt;&gt;"",TODAY()&gt;Q160),"En retard",""))</f>
        <v/>
      </c>
      <c r="V160" s="37" t="n"/>
    </row>
    <row r="161">
      <c r="B161" s="36" t="inlineStr">
        <is>
          <t>V4-017</t>
        </is>
      </c>
      <c r="C161" s="36" t="inlineStr">
        <is>
          <t>V4</t>
        </is>
      </c>
      <c r="D161" s="36" t="inlineStr">
        <is>
          <t>EXP</t>
        </is>
      </c>
      <c r="E161" s="37" t="inlineStr">
        <is>
          <t>Deal-Experts</t>
        </is>
      </c>
      <c r="F161" s="37" t="inlineStr">
        <is>
          <t>Registre d'experts qualifiés et déclaration de conflit d'intérêts</t>
        </is>
      </c>
      <c r="G161" s="37" t="inlineStr">
        <is>
          <t>Conflit déclaré avant toute proposition</t>
        </is>
      </c>
      <c r="H161" s="38" t="n">
        <v>5</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46465</v>
      </c>
      <c r="Q161" s="40" t="n">
        <v>46472</v>
      </c>
      <c r="R161" s="40" t="n"/>
      <c r="S161" s="37" t="inlineStr">
        <is>
          <t>Arbitrage statut P13</t>
        </is>
      </c>
      <c r="T161" s="36" t="inlineStr">
        <is>
          <t>Non</t>
        </is>
      </c>
      <c r="U161" s="13">
        <f>IF($B161="","",IF(AND(J161&lt;&gt;"Complétée",J161&lt;&gt;"Abandonnée",Q161&lt;&gt;"",TODAY()&gt;Q161),"En retard",""))</f>
        <v/>
      </c>
      <c r="V161" s="37" t="n"/>
    </row>
    <row r="162">
      <c r="B162" s="36" t="inlineStr">
        <is>
          <t>V4-018</t>
        </is>
      </c>
      <c r="C162" s="36" t="inlineStr">
        <is>
          <t>V4</t>
        </is>
      </c>
      <c r="D162" s="36" t="inlineStr">
        <is>
          <t>EXP</t>
        </is>
      </c>
      <c r="E162" s="37" t="inlineStr">
        <is>
          <t>Deal-Experts</t>
        </is>
      </c>
      <c r="F162" s="37" t="inlineStr">
        <is>
          <t>Routage du besoin, propositions, sélection par le client</t>
        </is>
      </c>
      <c r="G162" s="37" t="inlineStr">
        <is>
          <t>Client choisit seul, DealPME n'oriente pas le fond</t>
        </is>
      </c>
      <c r="H162" s="38" t="n">
        <v>5</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46466</v>
      </c>
      <c r="Q162" s="40" t="n">
        <v>46473</v>
      </c>
      <c r="R162" s="40" t="n"/>
      <c r="S162" s="37" t="inlineStr"/>
      <c r="T162" s="36" t="inlineStr">
        <is>
          <t>Non</t>
        </is>
      </c>
      <c r="U162" s="13">
        <f>IF($B162="","",IF(AND(J162&lt;&gt;"Complétée",J162&lt;&gt;"Abandonnée",Q162&lt;&gt;"",TODAY()&gt;Q162),"En retard",""))</f>
        <v/>
      </c>
      <c r="V162" s="37" t="n"/>
    </row>
    <row r="163">
      <c r="B163" s="36" t="inlineStr">
        <is>
          <t>V4-019</t>
        </is>
      </c>
      <c r="C163" s="36" t="inlineStr">
        <is>
          <t>V4</t>
        </is>
      </c>
      <c r="D163" s="36" t="inlineStr">
        <is>
          <t>EXP</t>
        </is>
      </c>
      <c r="E163" s="37" t="inlineStr">
        <is>
          <t>Deal-Experts</t>
        </is>
      </c>
      <c r="F163" s="37" t="inlineStr">
        <is>
          <t>Accès temporaire scopé en lecture, expiration à la remise du livrable</t>
        </is>
      </c>
      <c r="G163" s="37" t="inlineStr">
        <is>
          <t>Accès fermé automatiquement à la livraison</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46468</v>
      </c>
      <c r="Q163" s="40" t="n">
        <v>46475</v>
      </c>
      <c r="R163" s="40" t="n"/>
      <c r="S163" s="37" t="inlineStr"/>
      <c r="T163" s="36" t="inlineStr">
        <is>
          <t>Non</t>
        </is>
      </c>
      <c r="U163" s="13">
        <f>IF($B163="","",IF(AND(J163&lt;&gt;"Complétée",J163&lt;&gt;"Abandonnée",Q163&lt;&gt;"",TODAY()&gt;Q163),"En retard",""))</f>
        <v/>
      </c>
      <c r="V163" s="37" t="n"/>
    </row>
    <row r="164">
      <c r="B164" s="36" t="inlineStr">
        <is>
          <t>V4-020</t>
        </is>
      </c>
      <c r="C164" s="36" t="inlineStr">
        <is>
          <t>V4</t>
        </is>
      </c>
      <c r="D164" s="36" t="inlineStr">
        <is>
          <t>EXP</t>
        </is>
      </c>
      <c r="E164" s="37" t="inlineStr">
        <is>
          <t>Deal-Experts</t>
        </is>
      </c>
      <c r="F164" s="37" t="inlineStr">
        <is>
          <t>Contrat direct client-expert (hors facturation DealPME) et journal</t>
        </is>
      </c>
      <c r="G164" s="37" t="inlineStr">
        <is>
          <t>Aucune facturation de prestation par DealPME</t>
        </is>
      </c>
      <c r="H164" s="38" t="n">
        <v>3</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46470</v>
      </c>
      <c r="Q164" s="40" t="n">
        <v>46475</v>
      </c>
      <c r="R164" s="40" t="n"/>
      <c r="S164" s="37" t="inlineStr"/>
      <c r="T164" s="36" t="inlineStr">
        <is>
          <t>Non</t>
        </is>
      </c>
      <c r="U164" s="13">
        <f>IF($B164="","",IF(AND(J164&lt;&gt;"Complétée",J164&lt;&gt;"Abandonnée",Q164&lt;&gt;"",TODAY()&gt;Q164),"En retard",""))</f>
        <v/>
      </c>
      <c r="V164" s="37" t="n"/>
    </row>
    <row r="165">
      <c r="B165" s="36" t="inlineStr">
        <is>
          <t>V4-021</t>
        </is>
      </c>
      <c r="C165" s="36" t="inlineStr">
        <is>
          <t>V4</t>
        </is>
      </c>
      <c r="D165" s="36" t="inlineStr">
        <is>
          <t>EXP</t>
        </is>
      </c>
      <c r="E165" s="37" t="inlineStr">
        <is>
          <t>Deal-Experts</t>
        </is>
      </c>
      <c r="F165" s="37" t="inlineStr">
        <is>
          <t>Écrans Deal-Experts</t>
        </is>
      </c>
      <c r="G165" s="37" t="inlineStr">
        <is>
          <t>Aucun contenu d'expert imputé à DealPME</t>
        </is>
      </c>
      <c r="H165" s="38" t="n">
        <v>2</v>
      </c>
      <c r="I165" s="36" t="inlineStr">
        <is>
          <t>Basse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46471</v>
      </c>
      <c r="Q165" s="40" t="n">
        <v>46474</v>
      </c>
      <c r="R165" s="40" t="n"/>
      <c r="S165" s="37" t="inlineStr"/>
      <c r="T165" s="36" t="inlineStr">
        <is>
          <t>Non</t>
        </is>
      </c>
      <c r="U165" s="13">
        <f>IF($B165="","",IF(AND(J165&lt;&gt;"Complétée",J165&lt;&gt;"Abandonnée",Q165&lt;&gt;"",TODAY()&gt;Q165),"En retard",""))</f>
        <v/>
      </c>
      <c r="V165" s="37" t="n"/>
    </row>
    <row r="166">
      <c r="B166" s="36" t="inlineStr">
        <is>
          <t>V5-001</t>
        </is>
      </c>
      <c r="C166" s="36" t="inlineStr">
        <is>
          <t>V5</t>
        </is>
      </c>
      <c r="D166" s="36" t="inlineStr">
        <is>
          <t>VDR-IA</t>
        </is>
      </c>
      <c r="E166" s="37" t="inlineStr">
        <is>
          <t>Fournisseur IA</t>
        </is>
      </c>
      <c r="F166" s="37" t="inlineStr">
        <is>
          <t>Qualification et contrat du fournisseur IA (confidentialité, hébergement, aucune réutilisation des données)</t>
        </is>
      </c>
      <c r="G166" s="37" t="inlineStr">
        <is>
          <t>Contrat signé avec clauses de confidentialité</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46479</v>
      </c>
      <c r="Q166" s="40" t="n">
        <v>46486</v>
      </c>
      <c r="R166" s="40" t="n"/>
      <c r="S166" s="37" t="inlineStr"/>
      <c r="T166" s="36" t="inlineStr">
        <is>
          <t>Oui</t>
        </is>
      </c>
      <c r="U166" s="13">
        <f>IF($B166="","",IF(AND(J166&lt;&gt;"Complétée",J166&lt;&gt;"Abandonnée",Q166&lt;&gt;"",TODAY()&gt;Q166),"En retard",""))</f>
        <v/>
      </c>
      <c r="V166" s="37" t="n"/>
    </row>
    <row r="167">
      <c r="B167" s="36" t="inlineStr">
        <is>
          <t>V5-002</t>
        </is>
      </c>
      <c r="C167" s="36" t="inlineStr">
        <is>
          <t>V5</t>
        </is>
      </c>
      <c r="D167" s="36" t="inlineStr">
        <is>
          <t>VDR-IA</t>
        </is>
      </c>
      <c r="E167" s="37" t="inlineStr">
        <is>
          <t>Fournisseur IA</t>
        </is>
      </c>
      <c r="F167" s="37" t="inlineStr">
        <is>
          <t>Dossier de conformité IA : politique, drapeaux fonctionnels, journal des politiques</t>
        </is>
      </c>
      <c r="G167" s="37" t="inlineStr">
        <is>
          <t>Chaque changement de politique audité</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46481</v>
      </c>
      <c r="Q167" s="40" t="n">
        <v>46488</v>
      </c>
      <c r="R167" s="40" t="n"/>
      <c r="S167" s="37" t="inlineStr"/>
      <c r="T167" s="36" t="inlineStr">
        <is>
          <t>Non</t>
        </is>
      </c>
      <c r="U167" s="13">
        <f>IF($B167="","",IF(AND(J167&lt;&gt;"Complétée",J167&lt;&gt;"Abandonnée",Q167&lt;&gt;"",TODAY()&gt;Q167),"En retard",""))</f>
        <v/>
      </c>
      <c r="V167" s="37" t="n"/>
    </row>
    <row r="168">
      <c r="B168" s="36" t="inlineStr">
        <is>
          <t>V5-003</t>
        </is>
      </c>
      <c r="C168" s="36" t="inlineStr">
        <is>
          <t>V5</t>
        </is>
      </c>
      <c r="D168" s="36" t="inlineStr">
        <is>
          <t>VDR-IA</t>
        </is>
      </c>
      <c r="E168" s="37" t="inlineStr">
        <is>
          <t>Ingestion</t>
        </is>
      </c>
      <c r="F168" s="37" t="inlineStr">
        <is>
          <t>Pipeline d'ingestion : classification, OCR, ancres de page, empreinte de version</t>
        </is>
      </c>
      <c r="G168" s="37" t="inlineStr">
        <is>
          <t>États UPLOADED à PUBLISHED implémentés</t>
        </is>
      </c>
      <c r="H168" s="38" t="n">
        <v>8</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46483</v>
      </c>
      <c r="Q168" s="40" t="n">
        <v>46495</v>
      </c>
      <c r="R168" s="40" t="n"/>
      <c r="S168" s="37" t="inlineStr"/>
      <c r="T168" s="36" t="inlineStr">
        <is>
          <t>Non</t>
        </is>
      </c>
      <c r="U168" s="13">
        <f>IF($B168="","",IF(AND(J168&lt;&gt;"Complétée",J168&lt;&gt;"Abandonnée",Q168&lt;&gt;"",TODAY()&gt;Q168),"En retard",""))</f>
        <v/>
      </c>
      <c r="V168" s="37" t="n"/>
    </row>
    <row r="169">
      <c r="B169" s="36" t="inlineStr">
        <is>
          <t>V5-004</t>
        </is>
      </c>
      <c r="C169" s="36" t="inlineStr">
        <is>
          <t>V5</t>
        </is>
      </c>
      <c r="D169" s="36" t="inlineStr">
        <is>
          <t>VDR-IA</t>
        </is>
      </c>
      <c r="E169" s="37" t="inlineStr">
        <is>
          <t>Ingestion</t>
        </is>
      </c>
      <c r="F169" s="37" t="inlineStr">
        <is>
          <t>Indexation filtrée par permission (permission_scope_hash)</t>
        </is>
      </c>
      <c r="G169" s="37" t="inlineStr">
        <is>
          <t>Aucun chunk indexé hors périmètre autorisé</t>
        </is>
      </c>
      <c r="H169" s="38" t="n">
        <v>8</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46486</v>
      </c>
      <c r="Q169" s="40" t="n">
        <v>46498</v>
      </c>
      <c r="R169" s="40" t="n"/>
      <c r="S169" s="37" t="inlineStr"/>
      <c r="T169" s="36" t="inlineStr">
        <is>
          <t>Non</t>
        </is>
      </c>
      <c r="U169" s="13">
        <f>IF($B169="","",IF(AND(J169&lt;&gt;"Complétée",J169&lt;&gt;"Abandonnée",Q169&lt;&gt;"",TODAY()&gt;Q169),"En retard",""))</f>
        <v/>
      </c>
      <c r="V169" s="37" t="n"/>
    </row>
    <row r="170">
      <c r="B170" s="36" t="inlineStr">
        <is>
          <t>V5-005</t>
        </is>
      </c>
      <c r="C170" s="36" t="inlineStr">
        <is>
          <t>V5</t>
        </is>
      </c>
      <c r="D170" s="36" t="inlineStr">
        <is>
          <t>VDR-IA</t>
        </is>
      </c>
      <c r="E170" s="37" t="inlineStr">
        <is>
          <t>DealLens</t>
        </is>
      </c>
      <c r="F170" s="37" t="inlineStr">
        <is>
          <t>Pare-feu de divulgation avant récupération (10 étapes, jamais 'récupérer puis masquer')</t>
        </is>
      </c>
      <c r="G170" s="37" t="inlineStr">
        <is>
          <t>Test AI-01 : aucun document inaccessible cité</t>
        </is>
      </c>
      <c r="H170" s="38" t="n">
        <v>8</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46488</v>
      </c>
      <c r="Q170" s="40" t="n">
        <v>46500</v>
      </c>
      <c r="R170" s="40" t="n"/>
      <c r="S170" s="37" t="inlineStr"/>
      <c r="T170" s="36" t="inlineStr">
        <is>
          <t>Non</t>
        </is>
      </c>
      <c r="U170" s="13">
        <f>IF($B170="","",IF(AND(J170&lt;&gt;"Complétée",J170&lt;&gt;"Abandonnée",Q170&lt;&gt;"",TODAY()&gt;Q170),"En retard",""))</f>
        <v/>
      </c>
      <c r="V170" s="37" t="n"/>
    </row>
    <row r="171">
      <c r="B171" s="36" t="inlineStr">
        <is>
          <t>V5-006</t>
        </is>
      </c>
      <c r="C171" s="36" t="inlineStr">
        <is>
          <t>V5</t>
        </is>
      </c>
      <c r="D171" s="36" t="inlineStr">
        <is>
          <t>VDR-IA</t>
        </is>
      </c>
      <c r="E171" s="37" t="inlineStr">
        <is>
          <t>DealLens</t>
        </is>
      </c>
      <c r="F171" s="37" t="inlineStr">
        <is>
          <t>Contrat de réponse DealLens : citations, niveau de confiance, réponse d'insuffisance</t>
        </is>
      </c>
      <c r="G171" s="37" t="inlineStr">
        <is>
          <t>Test AI-04 : INSUFFISANT sans spéculation</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46491</v>
      </c>
      <c r="Q171" s="40" t="n">
        <v>46500</v>
      </c>
      <c r="R171" s="40" t="n"/>
      <c r="S171" s="37" t="inlineStr"/>
      <c r="T171" s="36" t="inlineStr">
        <is>
          <t>Non</t>
        </is>
      </c>
      <c r="U171" s="13">
        <f>IF($B171="","",IF(AND(J171&lt;&gt;"Complétée",J171&lt;&gt;"Abandonnée",Q171&lt;&gt;"",TODAY()&gt;Q171),"En retard",""))</f>
        <v/>
      </c>
      <c r="V171" s="37" t="n"/>
    </row>
    <row r="172">
      <c r="B172" s="36" t="inlineStr">
        <is>
          <t>V5-007</t>
        </is>
      </c>
      <c r="C172" s="36" t="inlineStr">
        <is>
          <t>V5</t>
        </is>
      </c>
      <c r="D172" s="36" t="inlineStr">
        <is>
          <t>VDR-IA</t>
        </is>
      </c>
      <c r="E172" s="37" t="inlineStr">
        <is>
          <t>DealLens</t>
        </is>
      </c>
      <c r="F172" s="37" t="inlineStr">
        <is>
          <t>DealLens mode document et mode salle entière</t>
        </is>
      </c>
      <c r="G172" s="37" t="inlineStr">
        <is>
          <t>Les deux modes journalisent AI_QUERY_COMPLETED</t>
        </is>
      </c>
      <c r="H172" s="38" t="n">
        <v>8</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46494</v>
      </c>
      <c r="Q172" s="40" t="n">
        <v>46506</v>
      </c>
      <c r="R172" s="40" t="n"/>
      <c r="S172" s="37" t="inlineStr"/>
      <c r="T172" s="36" t="inlineStr">
        <is>
          <t>Non</t>
        </is>
      </c>
      <c r="U172" s="13">
        <f>IF($B172="","",IF(AND(J172&lt;&gt;"Complétée",J172&lt;&gt;"Abandonnée",Q172&lt;&gt;"",TODAY()&gt;Q172),"En retard",""))</f>
        <v/>
      </c>
      <c r="V172" s="37" t="n"/>
    </row>
    <row r="173">
      <c r="B173" s="36" t="inlineStr">
        <is>
          <t>V5-008</t>
        </is>
      </c>
      <c r="C173" s="36" t="inlineStr">
        <is>
          <t>V5</t>
        </is>
      </c>
      <c r="D173" s="36" t="inlineStr">
        <is>
          <t>VDR-IA</t>
        </is>
      </c>
      <c r="E173" s="37" t="inlineStr">
        <is>
          <t>DealLens</t>
        </is>
      </c>
      <c r="F173" s="37" t="inlineStr">
        <is>
          <t>Vérification de chaque citation contre l'ensemble autorisé</t>
        </is>
      </c>
      <c r="G173" s="37" t="inlineStr">
        <is>
          <t>Test AI-03 : chaque citation ouvre la bonne page</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46496</v>
      </c>
      <c r="Q173" s="40" t="n">
        <v>46503</v>
      </c>
      <c r="R173" s="40" t="n"/>
      <c r="S173" s="37" t="inlineStr"/>
      <c r="T173" s="36" t="inlineStr">
        <is>
          <t>Non</t>
        </is>
      </c>
      <c r="U173" s="13">
        <f>IF($B173="","",IF(AND(J173&lt;&gt;"Complétée",J173&lt;&gt;"Abandonnée",Q173&lt;&gt;"",TODAY()&gt;Q173),"En retard",""))</f>
        <v/>
      </c>
      <c r="V173" s="37" t="n"/>
    </row>
    <row r="174">
      <c r="B174" s="36" t="inlineStr">
        <is>
          <t>V5-009</t>
        </is>
      </c>
      <c r="C174" s="36" t="inlineStr">
        <is>
          <t>V5</t>
        </is>
      </c>
      <c r="D174" s="36" t="inlineStr">
        <is>
          <t>VDR-IA</t>
        </is>
      </c>
      <c r="E174" s="37" t="inlineStr">
        <is>
          <t>Surfaces</t>
        </is>
      </c>
      <c r="F174" s="37" t="inlineStr">
        <is>
          <t>Cockpit : couverture par domaine, priorités de revue</t>
        </is>
      </c>
      <c r="G174" s="37" t="inlineStr">
        <is>
          <t>Couverture jamais présentée comme un avis d'audit</t>
        </is>
      </c>
      <c r="H174" s="38" t="n">
        <v>6</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46498</v>
      </c>
      <c r="Q174" s="40" t="n">
        <v>46507</v>
      </c>
      <c r="R174" s="40" t="n"/>
      <c r="S174" s="37" t="inlineStr"/>
      <c r="T174" s="36" t="inlineStr">
        <is>
          <t>Non</t>
        </is>
      </c>
      <c r="U174" s="13">
        <f>IF($B174="","",IF(AND(J174&lt;&gt;"Complétée",J174&lt;&gt;"Abandonnée",Q174&lt;&gt;"",TODAY()&gt;Q174),"En retard",""))</f>
        <v/>
      </c>
      <c r="V174" s="37" t="n"/>
    </row>
    <row r="175">
      <c r="B175" s="36" t="inlineStr">
        <is>
          <t>V5-010</t>
        </is>
      </c>
      <c r="C175" s="36" t="inlineStr">
        <is>
          <t>V5</t>
        </is>
      </c>
      <c r="D175" s="36" t="inlineStr">
        <is>
          <t>VDR-IA</t>
        </is>
      </c>
      <c r="E175" s="37" t="inlineStr">
        <is>
          <t>Surfaces</t>
        </is>
      </c>
      <c r="F175" s="37" t="inlineStr">
        <is>
          <t>Issue Radar : registre structuré de risques</t>
        </is>
      </c>
      <c r="G175" s="37" t="inlineStr">
        <is>
          <t>Chaque risque porte preuve, propriétaire, impact</t>
        </is>
      </c>
      <c r="H175" s="38" t="n">
        <v>7</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46500</v>
      </c>
      <c r="Q175" s="40" t="n">
        <v>46510</v>
      </c>
      <c r="R175" s="40" t="n"/>
      <c r="S175" s="37" t="inlineStr"/>
      <c r="T175" s="36" t="inlineStr">
        <is>
          <t>Non</t>
        </is>
      </c>
      <c r="U175" s="13">
        <f>IF($B175="","",IF(AND(J175&lt;&gt;"Complétée",J175&lt;&gt;"Abandonnée",Q175&lt;&gt;"",TODAY()&gt;Q175),"En retard",""))</f>
        <v/>
      </c>
      <c r="V175" s="37" t="n"/>
    </row>
    <row r="176">
      <c r="B176" s="36" t="inlineStr">
        <is>
          <t>V5-011</t>
        </is>
      </c>
      <c r="C176" s="36" t="inlineStr">
        <is>
          <t>V5</t>
        </is>
      </c>
      <c r="D176" s="36" t="inlineStr">
        <is>
          <t>VDR-IA</t>
        </is>
      </c>
      <c r="E176" s="37" t="inlineStr">
        <is>
          <t>Surfaces</t>
        </is>
      </c>
      <c r="F176" s="37" t="inlineStr">
        <is>
          <t>Evidence Map : graphe typé (SUPPORTS, CONTRADICTS, RAISES, RESOLVES, EVIDENCES)</t>
        </is>
      </c>
      <c r="G176" s="37" t="inlineStr">
        <is>
          <t>Graphe navigable depuis un document</t>
        </is>
      </c>
      <c r="H176" s="38" t="n">
        <v>8</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46503</v>
      </c>
      <c r="Q176" s="40" t="n">
        <v>46515</v>
      </c>
      <c r="R176" s="40" t="n"/>
      <c r="S176" s="37" t="inlineStr"/>
      <c r="T176" s="36" t="inlineStr">
        <is>
          <t>Non</t>
        </is>
      </c>
      <c r="U176" s="13">
        <f>IF($B176="","",IF(AND(J176&lt;&gt;"Complétée",J176&lt;&gt;"Abandonnée",Q176&lt;&gt;"",TODAY()&gt;Q176),"En retard",""))</f>
        <v/>
      </c>
      <c r="V176" s="37" t="n"/>
    </row>
    <row r="177">
      <c r="B177" s="36" t="inlineStr">
        <is>
          <t>V5-012</t>
        </is>
      </c>
      <c r="C177" s="36" t="inlineStr">
        <is>
          <t>V5</t>
        </is>
      </c>
      <c r="D177" s="36" t="inlineStr">
        <is>
          <t>VDR-IA</t>
        </is>
      </c>
      <c r="E177" s="37" t="inlineStr">
        <is>
          <t>Surfaces</t>
        </is>
      </c>
      <c r="F177" s="37" t="inlineStr">
        <is>
          <t>Atelier Q&amp;R avec rôles et brouillons IA jamais soumis automatiquement</t>
        </is>
      </c>
      <c r="G177" s="37" t="inlineStr">
        <is>
          <t>Test AI-06 : brouillon reste DRAFT</t>
        </is>
      </c>
      <c r="H177" s="38" t="n">
        <v>7</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46506</v>
      </c>
      <c r="Q177" s="40" t="n">
        <v>46516</v>
      </c>
      <c r="R177" s="40" t="n"/>
      <c r="S177" s="37" t="inlineStr"/>
      <c r="T177" s="36" t="inlineStr">
        <is>
          <t>Non</t>
        </is>
      </c>
      <c r="U177" s="13">
        <f>IF($B177="","",IF(AND(J177&lt;&gt;"Complétée",J177&lt;&gt;"Abandonnée",Q177&lt;&gt;"",TODAY()&gt;Q177),"En retard",""))</f>
        <v/>
      </c>
      <c r="V177" s="37" t="n"/>
    </row>
    <row r="178">
      <c r="B178" s="36" t="inlineStr">
        <is>
          <t>V5-013</t>
        </is>
      </c>
      <c r="C178" s="36" t="inlineStr">
        <is>
          <t>V5</t>
        </is>
      </c>
      <c r="D178" s="36" t="inlineStr">
        <is>
          <t>VDR-IA</t>
        </is>
      </c>
      <c r="E178" s="37" t="inlineStr">
        <is>
          <t>Surfaces</t>
        </is>
      </c>
      <c r="F178" s="37" t="inlineStr">
        <is>
          <t>Engagement Pulse (descriptif, jamais 'probabilité de closing')</t>
        </is>
      </c>
      <c r="G178" s="37" t="inlineStr">
        <is>
          <t>Libellé vérifié par l'audit de texte</t>
        </is>
      </c>
      <c r="H178" s="38" t="n">
        <v>4</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46508</v>
      </c>
      <c r="Q178" s="40" t="n">
        <v>46514</v>
      </c>
      <c r="R178" s="40" t="n"/>
      <c r="S178" s="37" t="inlineStr"/>
      <c r="T178" s="36" t="inlineStr">
        <is>
          <t>Non</t>
        </is>
      </c>
      <c r="U178" s="13">
        <f>IF($B178="","",IF(AND(J178&lt;&gt;"Complétée",J178&lt;&gt;"Abandonnée",Q178&lt;&gt;"",TODAY()&gt;Q178),"En retard",""))</f>
        <v/>
      </c>
      <c r="V178" s="37" t="n"/>
    </row>
    <row r="179">
      <c r="B179" s="36" t="inlineStr">
        <is>
          <t>V5-014</t>
        </is>
      </c>
      <c r="C179" s="36" t="inlineStr">
        <is>
          <t>V5</t>
        </is>
      </c>
      <c r="D179" s="36" t="inlineStr">
        <is>
          <t>VDR-IA</t>
        </is>
      </c>
      <c r="E179" s="37" t="inlineStr">
        <is>
          <t>Surfaces</t>
        </is>
      </c>
      <c r="F179" s="37" t="inlineStr">
        <is>
          <t>Rapprochement financier (Financial Tie-Out) avec matérialité configurable</t>
        </is>
      </c>
      <c r="G179" s="37" t="inlineStr">
        <is>
          <t>Écart présenté comme point de rapprochement</t>
        </is>
      </c>
      <c r="H179" s="38" t="n">
        <v>7</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46510</v>
      </c>
      <c r="Q179" s="40" t="n">
        <v>46520</v>
      </c>
      <c r="R179" s="40" t="n"/>
      <c r="S179" s="37" t="inlineStr"/>
      <c r="T179" s="36" t="inlineStr">
        <is>
          <t>Non</t>
        </is>
      </c>
      <c r="U179" s="13">
        <f>IF($B179="","",IF(AND(J179&lt;&gt;"Complétée",J179&lt;&gt;"Abandonnée",Q179&lt;&gt;"",TODAY()&gt;Q179),"En retard",""))</f>
        <v/>
      </c>
      <c r="V179" s="37" t="n"/>
    </row>
    <row r="180">
      <c r="B180" s="36" t="inlineStr">
        <is>
          <t>V5-015</t>
        </is>
      </c>
      <c r="C180" s="36" t="inlineStr">
        <is>
          <t>V5</t>
        </is>
      </c>
      <c r="D180" s="36" t="inlineStr">
        <is>
          <t>VDR-IA</t>
        </is>
      </c>
      <c r="E180" s="37" t="inlineStr">
        <is>
          <t>Surfaces</t>
        </is>
      </c>
      <c r="F180" s="37" t="inlineStr">
        <is>
          <t>Intelligence de version : diff textuel et sémantique, matérialité proposée</t>
        </is>
      </c>
      <c r="G180" s="37" t="inlineStr">
        <is>
          <t>Test DOC-03 : nouvelle version n'hérite pas de l'analyse</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46512</v>
      </c>
      <c r="Q180" s="40" t="n">
        <v>46521</v>
      </c>
      <c r="R180" s="40" t="n"/>
      <c r="S180" s="37" t="inlineStr"/>
      <c r="T180" s="36" t="inlineStr">
        <is>
          <t>Non</t>
        </is>
      </c>
      <c r="U180" s="13">
        <f>IF($B180="","",IF(AND(J180&lt;&gt;"Complétée",J180&lt;&gt;"Abandonnée",Q180&lt;&gt;"",TODAY()&gt;Q180),"En retard",""))</f>
        <v/>
      </c>
      <c r="V180" s="37" t="n"/>
    </row>
    <row r="181">
      <c r="B181" s="36" t="inlineStr">
        <is>
          <t>V5-016</t>
        </is>
      </c>
      <c r="C181" s="36" t="inlineStr">
        <is>
          <t>V5</t>
        </is>
      </c>
      <c r="D181" s="36" t="inlineStr">
        <is>
          <t>VDR-IA</t>
        </is>
      </c>
      <c r="E181" s="37" t="inlineStr">
        <is>
          <t>Surfaces</t>
        </is>
      </c>
      <c r="F181" s="37" t="inlineStr">
        <is>
          <t>Caviardage assisté avec revue humaine élément par élément</t>
        </is>
      </c>
      <c r="G181" s="37" t="inlineStr">
        <is>
          <t>Original jamais écrasé</t>
        </is>
      </c>
      <c r="H181" s="38" t="n">
        <v>7</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46515</v>
      </c>
      <c r="Q181" s="40" t="n">
        <v>46525</v>
      </c>
      <c r="R181" s="40" t="n"/>
      <c r="S181" s="37" t="inlineStr"/>
      <c r="T181" s="36" t="inlineStr">
        <is>
          <t>Non</t>
        </is>
      </c>
      <c r="U181" s="13">
        <f>IF($B181="","",IF(AND(J181&lt;&gt;"Complétée",J181&lt;&gt;"Abandonnée",Q181&lt;&gt;"",TODAY()&gt;Q181),"En retard",""))</f>
        <v/>
      </c>
      <c r="V181" s="37" t="n"/>
    </row>
    <row r="182">
      <c r="B182" s="36" t="inlineStr">
        <is>
          <t>V5-017</t>
        </is>
      </c>
      <c r="C182" s="36" t="inlineStr">
        <is>
          <t>V5</t>
        </is>
      </c>
      <c r="D182" s="36" t="inlineStr">
        <is>
          <t>VDR-IA</t>
        </is>
      </c>
      <c r="E182" s="37" t="inlineStr">
        <is>
          <t>Accès</t>
        </is>
      </c>
      <c r="F182" s="37" t="inlineStr">
        <is>
          <t>Accès et Clean Team, MFA step-up sur changements de permission</t>
        </is>
      </c>
      <c r="G182" s="37" t="inlineStr">
        <is>
          <t>Test AI-02 : Clean Team exclue de la recherche standard</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46517</v>
      </c>
      <c r="Q182" s="40" t="n">
        <v>46526</v>
      </c>
      <c r="R182" s="40" t="n"/>
      <c r="S182" s="37" t="inlineStr"/>
      <c r="T182" s="36" t="inlineStr">
        <is>
          <t>Non</t>
        </is>
      </c>
      <c r="U182" s="13">
        <f>IF($B182="","",IF(AND(J182&lt;&gt;"Complétée",J182&lt;&gt;"Abandonnée",Q182&lt;&gt;"",TODAY()&gt;Q182),"En retard",""))</f>
        <v/>
      </c>
      <c r="V182" s="37" t="n"/>
    </row>
    <row r="183">
      <c r="B183" s="36" t="inlineStr">
        <is>
          <t>V5-018</t>
        </is>
      </c>
      <c r="C183" s="36" t="inlineStr">
        <is>
          <t>V5</t>
        </is>
      </c>
      <c r="D183" s="36" t="inlineStr">
        <is>
          <t>VDR-IA</t>
        </is>
      </c>
      <c r="E183" s="37" t="inlineStr">
        <is>
          <t>Accès</t>
        </is>
      </c>
      <c r="F183" s="37" t="inlineStr">
        <is>
          <t>Audit append-only sans contenu sensible ni texte de réponse IA</t>
        </is>
      </c>
      <c r="G183" s="37" t="inlineStr">
        <is>
          <t>Journal ne contient que identifiants, action, résultat</t>
        </is>
      </c>
      <c r="H183" s="38" t="n">
        <v>4</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46519</v>
      </c>
      <c r="Q183" s="40" t="n">
        <v>46525</v>
      </c>
      <c r="R183" s="40" t="n"/>
      <c r="S183" s="37" t="inlineStr"/>
      <c r="T183" s="36" t="inlineStr">
        <is>
          <t>Non</t>
        </is>
      </c>
      <c r="U183" s="13">
        <f>IF($B183="","",IF(AND(J183&lt;&gt;"Complétée",J183&lt;&gt;"Abandonnée",Q183&lt;&gt;"",TODAY()&gt;Q183),"En retard",""))</f>
        <v/>
      </c>
      <c r="V183" s="37" t="n"/>
    </row>
    <row r="184">
      <c r="B184" s="36" t="inlineStr">
        <is>
          <t>V5-019</t>
        </is>
      </c>
      <c r="C184" s="36" t="inlineStr">
        <is>
          <t>V5</t>
        </is>
      </c>
      <c r="D184" s="36" t="inlineStr">
        <is>
          <t>VDR-IA</t>
        </is>
      </c>
      <c r="E184" s="37" t="inlineStr">
        <is>
          <t>Surfaces</t>
        </is>
      </c>
      <c r="F184" s="37" t="inlineStr">
        <is>
          <t>Écrans VDR Intelligence (9 surfaces, responsive)</t>
        </is>
      </c>
      <c r="G184" s="37" t="inlineStr">
        <is>
          <t>Mobile : document, DealLens, Q&amp;R prioritaires</t>
        </is>
      </c>
      <c r="H184" s="38" t="n">
        <v>10</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46521</v>
      </c>
      <c r="Q184" s="40" t="n">
        <v>46535</v>
      </c>
      <c r="R184" s="40" t="n"/>
      <c r="S184" s="37" t="inlineStr"/>
      <c r="T184" s="36" t="inlineStr">
        <is>
          <t>Non</t>
        </is>
      </c>
      <c r="U184" s="13">
        <f>IF($B184="","",IF(AND(J184&lt;&gt;"Complétée",J184&lt;&gt;"Abandonnée",Q184&lt;&gt;"",TODAY()&gt;Q184),"En retard",""))</f>
        <v/>
      </c>
      <c r="V184" s="37" t="n"/>
    </row>
    <row r="185">
      <c r="B185" s="36" t="inlineStr">
        <is>
          <t>V5-020</t>
        </is>
      </c>
      <c r="C185" s="36" t="inlineStr">
        <is>
          <t>V5</t>
        </is>
      </c>
      <c r="D185" s="36" t="inlineStr">
        <is>
          <t>VDR-IA</t>
        </is>
      </c>
      <c r="E185" s="37" t="inlineStr">
        <is>
          <t>QA IA</t>
        </is>
      </c>
      <c r="F185" s="37" t="inlineStr">
        <is>
          <t>Tests AI-01 à AI-06, DOC-01 à DOC-03, Q&amp;A-01, UI-01</t>
        </is>
      </c>
      <c r="G185" s="37" t="inlineStr">
        <is>
          <t>Tous les tests P0 passent</t>
        </is>
      </c>
      <c r="H185" s="38" t="n">
        <v>10</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46524</v>
      </c>
      <c r="Q185" s="40" t="n">
        <v>46538</v>
      </c>
      <c r="R185" s="40" t="n"/>
      <c r="S185" s="37" t="inlineStr"/>
      <c r="T185" s="36" t="inlineStr">
        <is>
          <t>Non</t>
        </is>
      </c>
      <c r="U185" s="13">
        <f>IF($B185="","",IF(AND(J185&lt;&gt;"Complétée",J185&lt;&gt;"Abandonnée",Q185&lt;&gt;"",TODAY()&gt;Q185),"En retard",""))</f>
        <v/>
      </c>
      <c r="V185" s="37" t="n"/>
    </row>
    <row r="186">
      <c r="B186" s="36" t="inlineStr">
        <is>
          <t>V5-021</t>
        </is>
      </c>
      <c r="C186" s="36" t="inlineStr">
        <is>
          <t>V5</t>
        </is>
      </c>
      <c r="D186" s="36" t="inlineStr">
        <is>
          <t>VDR-IA</t>
        </is>
      </c>
      <c r="E186" s="37" t="inlineStr">
        <is>
          <t>QA IA</t>
        </is>
      </c>
      <c r="F186" s="37" t="inlineStr">
        <is>
          <t>Performance : viewer progressif, streaming des réponses, recherche &lt; 1,5 s</t>
        </is>
      </c>
      <c r="G186" s="37" t="inlineStr">
        <is>
          <t>Mesures sur réseau de référence</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46528</v>
      </c>
      <c r="Q186" s="40" t="n">
        <v>46535</v>
      </c>
      <c r="R186" s="40" t="n"/>
      <c r="S186" s="37" t="inlineStr"/>
      <c r="T186" s="36" t="inlineStr">
        <is>
          <t>Non</t>
        </is>
      </c>
      <c r="U186" s="13">
        <f>IF($B186="","",IF(AND(J186&lt;&gt;"Complétée",J186&lt;&gt;"Abandonnée",Q186&lt;&gt;"",TODAY()&gt;Q186),"En retard",""))</f>
        <v/>
      </c>
      <c r="V186" s="37" t="n"/>
    </row>
    <row r="187">
      <c r="B187" s="36" t="inlineStr">
        <is>
          <t>V5-022</t>
        </is>
      </c>
      <c r="C187" s="36" t="inlineStr">
        <is>
          <t>V5</t>
        </is>
      </c>
      <c r="D187" s="36" t="inlineStr">
        <is>
          <t>VDR-IA</t>
        </is>
      </c>
      <c r="E187" s="37" t="inlineStr">
        <is>
          <t>QA IA</t>
        </is>
      </c>
      <c r="F187" s="37" t="inlineStr">
        <is>
          <t>Recette V5 et corrections</t>
        </is>
      </c>
      <c r="G187" s="37" t="inlineStr">
        <is>
          <t>Zéro anomalie bloquante ouverte</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46530</v>
      </c>
      <c r="Q187" s="40" t="n">
        <v>46537</v>
      </c>
      <c r="R187" s="40" t="n"/>
      <c r="S187" s="37" t="inlineStr"/>
      <c r="T187" s="36" t="inlineStr">
        <is>
          <t>Non</t>
        </is>
      </c>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46366</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46367</v>
      </c>
      <c r="E8" s="40" t="n">
        <v>46436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46437</v>
      </c>
      <c r="E9" s="40" t="n">
        <v>46478</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46479</v>
      </c>
      <c r="E10" s="40" t="n">
        <v>46541</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46366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46402</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46428</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46430</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46436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V1</t>
        </is>
      </c>
      <c r="E19" s="40" t="n">
        <v>46283</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Bloque le connecteur Remo</t>
        </is>
      </c>
    </row>
    <row r="20">
      <c r="B20" s="54" t="inlineStr">
        <is>
          <t>J15</t>
        </is>
      </c>
      <c r="C20" s="20" t="inlineStr">
        <is>
          <t>Livraison V4</t>
        </is>
      </c>
      <c r="D20" s="54" t="inlineStr">
        <is>
          <t>V4</t>
        </is>
      </c>
      <c r="E20" s="40" t="n">
        <v>46478</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46486</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t>
        </is>
      </c>
    </row>
    <row r="22">
      <c r="B22" s="54" t="inlineStr">
        <is>
          <t>J17</t>
        </is>
      </c>
      <c r="C22" s="20" t="inlineStr">
        <is>
          <t>Livraison V5</t>
        </is>
      </c>
      <c r="D22" s="54" t="inlineStr">
        <is>
          <t>V5</t>
        </is>
      </c>
      <c r="E22" s="40" t="n">
        <v>46541</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sheetData>
  <conditionalFormatting sqref="I6:I22">
    <cfRule type="expression" priority="1" dxfId="1">
      <formula>I6="Dépassé"</formula>
    </cfRule>
    <cfRule type="expression" priority="2" dxfId="5">
      <formula>I6="Cette semaine"</formula>
    </cfRule>
  </conditionalFormatting>
  <conditionalFormatting sqref="F6:F22">
    <cfRule type="expression" priority="3" dxfId="2">
      <formula>F6="Atteint"</formula>
    </cfRule>
    <cfRule type="expression" priority="4" dxfId="5">
      <formula>F6="En risque"</formula>
    </cfRule>
  </conditionalFormatting>
  <dataValidations count="2">
    <dataValidation sqref="F6:F22" showDropDown="0" showInputMessage="0" showErrorMessage="0" allowBlank="1" type="list">
      <formula1>=Parametres!$N$6:$N$9</formula1>
    </dataValidation>
    <dataValidation sqref="D6:D22"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R13</t>
        </is>
      </c>
      <c r="C18" s="20" t="inlineStr">
        <is>
          <t>Pentest indépendant reporté en V3 : la démonstration V1 tourne sans audit externe</t>
        </is>
      </c>
      <c r="D18" s="20" t="inlineStr">
        <is>
          <t>Sécurité</t>
        </is>
      </c>
      <c r="E18" s="36" t="n">
        <v>3</v>
      </c>
      <c r="F18" s="36" t="n">
        <v>4</v>
      </c>
      <c r="G18" s="12">
        <f>E18*F18</f>
        <v/>
      </c>
      <c r="H18" s="12">
        <f>IF(G18&gt;=15,"Critique",IF(G18&gt;=8,"Élevé",IF(G18&gt;=4,"Moyen","Faible")))</f>
        <v/>
      </c>
      <c r="I18" s="54" t="inlineStr">
        <is>
          <t>V1</t>
        </is>
      </c>
      <c r="J18" s="20" t="inlineStr">
        <is>
          <t>Chef de projet</t>
        </is>
      </c>
      <c r="K18" s="20" t="inlineStr">
        <is>
          <t>Revue de sécurité interne et scan de dépendances en V1 (lot Sécurité) ; aucun environnement accessible publiquement avant V3 ; commander le pentest dès V2</t>
        </is>
      </c>
      <c r="L18" s="36" t="inlineStr">
        <is>
          <t>Ouvert</t>
        </is>
      </c>
    </row>
  </sheetData>
  <conditionalFormatting sqref="H6:H68">
    <cfRule type="expression" priority="1" dxfId="1">
      <formula>H6="Critique"</formula>
    </cfRule>
    <cfRule type="expression" priority="2" dxfId="5">
      <formula>H6="Élevé"</formula>
    </cfRule>
    <cfRule type="expression" priority="3" dxfId="6">
      <formula>H6="Moyen"</formula>
    </cfRule>
  </conditionalFormatting>
  <conditionalFormatting sqref="L6:L68">
    <cfRule type="expression" priority="4" dxfId="2">
      <formula>L6="Clos"</formula>
    </cfRule>
  </conditionalFormatting>
  <dataValidations count="2">
    <dataValidation sqref="E6:F68" showDropDown="0" showInputMessage="0" showErrorMessage="0" allowBlank="0" type="whole" operator="between">
      <formula1>1</formula1>
      <formula2>5</formula2>
    </dataValidation>
    <dataValidation sqref="L6:L68"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(total 236)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A08</t>
        </is>
      </c>
      <c r="C17" s="54" t="inlineStr">
        <is>
          <t>09/09/2026</t>
        </is>
      </c>
      <c r="D17" s="20" t="inlineStr">
        <is>
          <t>Fournisseur IA (DealLens)</t>
        </is>
      </c>
      <c r="E17" s="20" t="inlineStr">
        <is>
          <t>Quel fournisseur, avec quelles clauses de confidentialité ?</t>
        </is>
      </c>
      <c r="F17" s="36" t="inlineStr">
        <is>
          <t>Ouvert</t>
        </is>
      </c>
      <c r="G17" s="20" t="inlineStr">
        <is>
          <t>Conseil juridique</t>
        </is>
      </c>
      <c r="H17" s="20" t="inlineStr">
        <is>
          <t>Bloque tout le lot V5</t>
        </is>
      </c>
      <c r="I17" s="20" t="inlineStr">
        <is>
          <t>Lancer la consultation dès V3</t>
        </is>
      </c>
      <c r="J17" s="54" t="inlineStr">
        <is>
          <t>09/04/2027</t>
        </is>
      </c>
    </row>
  </sheetData>
  <conditionalFormatting sqref="F6:F67">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7"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2026-09-10T01:30:03Z</dcterms:created>
  <dcterms:modified xsi:type="dcterms:W3CDTF">2026-09-10T01:30:04Z</dcterms:modified>
</cp:coreProperties>
</file>