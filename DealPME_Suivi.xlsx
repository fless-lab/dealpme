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COUNTIFS(Risques!$H$6:$H$68,"Critique",Risques!$L$6:$L$68,"&lt;&gt;Clos")+COUNTIFS(Risques!$H$6:$H$68,"Élevé",Risques!$L$6:$L$68,"&lt;&gt;Clos")</f>
        <v/>
      </c>
      <c r="I10" s="7" t="n"/>
      <c r="J10" s="9">
        <f>COUNTIF(Decisions!$F$6:$F$67,"Ouvert")+COUNTIF(Decisions!$F$6:$F$67,"En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COUNTIF(Risques!$L$6:$L$68,"Ouvert")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46275</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46275</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À faire</t>
        </is>
      </c>
      <c r="K18" s="39" t="n"/>
      <c r="L18" s="16">
        <f>IF($B18="","",IF(J18="Complétée",1,IF(J18="Abandonnée",0,IF(K18&lt;&gt;"",K18,IFERROR(VLOOKUP(J18,Parametres!$B$6:$C$12,2,FALSE),0)))))</f>
        <v/>
      </c>
      <c r="M18" s="15">
        <f>IF($B18="","",IF(J18="Abandonnée",0,H18))</f>
        <v/>
      </c>
      <c r="N18" s="15">
        <f>IF($B18="","",M18*L18)</f>
        <v/>
      </c>
      <c r="O18" s="37" t="n"/>
      <c r="P18" s="40" t="n">
        <v>46273</v>
      </c>
      <c r="Q18" s="40" t="n">
        <v>46278</v>
      </c>
      <c r="R18" s="40" t="n"/>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46275</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46275</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46279</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En cours</t>
        </is>
      </c>
      <c r="K23" s="39" t="n">
        <v>0.5</v>
      </c>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À faire</t>
        </is>
      </c>
      <c r="K25" s="39" t="n"/>
      <c r="L25" s="16">
        <f>IF($B25="","",IF(J25="Complétée",1,IF(J25="Abandonnée",0,IF(K25&lt;&gt;"",K25,IFERROR(VLOOKUP(J25,Parametres!$B$6:$C$12,2,FALSE),0)))))</f>
        <v/>
      </c>
      <c r="M25" s="15">
        <f>IF($B25="","",IF(J25="Abandonnée",0,H25))</f>
        <v/>
      </c>
      <c r="N25" s="15">
        <f>IF($B25="","",M25*L25)</f>
        <v/>
      </c>
      <c r="O25" s="37" t="n"/>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0.35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46313</v>
      </c>
      <c r="Q78" s="40" t="n">
        <v>46320</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46314</v>
      </c>
      <c r="Q79" s="40" t="n">
        <v>46320</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46316</v>
      </c>
      <c r="Q80" s="40" t="n">
        <v>46322</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46317</v>
      </c>
      <c r="Q81" s="40" t="n">
        <v>46326</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46319</v>
      </c>
      <c r="Q82" s="40" t="n">
        <v>46326</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46320</v>
      </c>
      <c r="Q83" s="40" t="n">
        <v>46327</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46322</v>
      </c>
      <c r="Q84" s="40" t="n">
        <v>46327</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46323</v>
      </c>
      <c r="Q85" s="40" t="n">
        <v>46326</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46323</v>
      </c>
      <c r="Q86" s="40" t="n">
        <v>46328</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46324</v>
      </c>
      <c r="Q87" s="40" t="n">
        <v>46334</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46327</v>
      </c>
      <c r="Q88" s="40" t="n">
        <v>46333</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46328</v>
      </c>
      <c r="Q89" s="40" t="n">
        <v>46334</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46329</v>
      </c>
      <c r="Q90" s="40" t="n">
        <v>46336</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46331</v>
      </c>
      <c r="Q91" s="40" t="n">
        <v>46334</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46331</v>
      </c>
      <c r="Q92" s="40" t="n">
        <v>46338</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46333</v>
      </c>
      <c r="Q93" s="40" t="n">
        <v>46345</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46335</v>
      </c>
      <c r="Q94" s="40" t="n">
        <v>46342</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46337</v>
      </c>
      <c r="Q95" s="40" t="n">
        <v>46343</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46338</v>
      </c>
      <c r="Q96" s="40" t="n">
        <v>46345</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46346</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46341</v>
      </c>
      <c r="Q98" s="40" t="n">
        <v>46347</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46342</v>
      </c>
      <c r="Q99" s="40" t="n">
        <v>46348</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46343</v>
      </c>
      <c r="Q100" s="40" t="n">
        <v>46352</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46345</v>
      </c>
      <c r="Q101" s="40" t="n">
        <v>46352</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46347</v>
      </c>
      <c r="Q102" s="40" t="n">
        <v>46356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46349</v>
      </c>
      <c r="Q103" s="40" t="n">
        <v>46355</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46350</v>
      </c>
      <c r="Q104" s="40" t="n">
        <v>46357</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46352</v>
      </c>
      <c r="Q105" s="40" t="n">
        <v>46361</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46353</v>
      </c>
      <c r="Q106" s="40" t="n">
        <v>46359</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46355</v>
      </c>
      <c r="Q107" s="40" t="n">
        <v>46362</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46356</v>
      </c>
      <c r="Q108" s="40" t="n">
        <v>46363</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46367</v>
      </c>
      <c r="Q109" s="40" t="n">
        <v>46379</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46370</v>
      </c>
      <c r="Q110" s="40" t="n">
        <v>46380</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46372</v>
      </c>
      <c r="Q111" s="40" t="n">
        <v>46378</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46374</v>
      </c>
      <c r="Q112" s="40" t="n">
        <v>46379</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46375</v>
      </c>
      <c r="Q113" s="40" t="n">
        <v>46384</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46377</v>
      </c>
      <c r="Q114" s="40" t="n">
        <v>46380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46378</v>
      </c>
      <c r="Q115" s="40" t="n">
        <v>46387</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46380</v>
      </c>
      <c r="Q116" s="40" t="n">
        <v>46386</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46382</v>
      </c>
      <c r="Q117" s="40" t="n">
        <v>46391</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46384</v>
      </c>
      <c r="Q118" s="40" t="n">
        <v>46389</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46385</v>
      </c>
      <c r="Q119" s="40" t="n">
        <v>46394</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46387</v>
      </c>
      <c r="Q120" s="40" t="n">
        <v>46394</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46389</v>
      </c>
      <c r="Q121" s="40" t="n">
        <v>46394</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46390</v>
      </c>
      <c r="Q122" s="40" t="n">
        <v>46396</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46392</v>
      </c>
      <c r="Q123" s="40" t="n">
        <v>46397</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46393</v>
      </c>
      <c r="Q124" s="40" t="n">
        <v>46400</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46394</v>
      </c>
      <c r="Q125" s="40" t="n">
        <v>46401</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46396</v>
      </c>
      <c r="Q126" s="40" t="n">
        <v>46403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46398</v>
      </c>
      <c r="Q127" s="40" t="n">
        <v>46407</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46400</v>
      </c>
      <c r="Q128" s="40" t="n">
        <v>46407</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46402</v>
      </c>
      <c r="Q129" s="40" t="n">
        <v>46411</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46404</v>
      </c>
      <c r="Q130" s="40" t="n">
        <v>46409</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46405</v>
      </c>
      <c r="Q131" s="40" t="n">
        <v>46411</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46407</v>
      </c>
      <c r="Q132" s="40" t="n">
        <v>46413</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46408</v>
      </c>
      <c r="Q133" s="40" t="n">
        <v>46411</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46409</v>
      </c>
      <c r="Q134" s="40" t="n">
        <v>46416</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46411</v>
      </c>
      <c r="Q135" s="40" t="n">
        <v>46416</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46412</v>
      </c>
      <c r="Q136" s="40" t="n">
        <v>46418</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46414</v>
      </c>
      <c r="Q137" s="40" t="n">
        <v>46419</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46415</v>
      </c>
      <c r="Q138" s="40" t="n">
        <v>46420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46416</v>
      </c>
      <c r="Q139" s="40" t="n">
        <v>46419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46416</v>
      </c>
      <c r="Q140" s="40" t="n">
        <v>46423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46418</v>
      </c>
      <c r="Q141" s="40" t="n">
        <v>46427</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46421</v>
      </c>
      <c r="Q142" s="40" t="n">
        <v>46428</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46422</v>
      </c>
      <c r="Q143" s="40" t="n">
        <v>46428</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46424</v>
      </c>
      <c r="Q144" s="40" t="n">
        <v>46431</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46437</v>
      </c>
      <c r="Q145" s="40" t="n">
        <v>46446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46439</v>
      </c>
      <c r="Q146" s="40" t="n">
        <v>46448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46441</v>
      </c>
      <c r="Q147" s="40" t="n">
        <v>46446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46443</v>
      </c>
      <c r="Q148" s="40" t="n">
        <v>46453</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46445</v>
      </c>
      <c r="Q149" s="40" t="n">
        <v>46450</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46446</v>
      </c>
      <c r="Q150" s="40" t="n">
        <v>46453</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46448</v>
      </c>
      <c r="Q151" s="40" t="n">
        <v>46455</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46450</v>
      </c>
      <c r="Q152" s="40" t="n">
        <v>46459</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46452</v>
      </c>
      <c r="Q153" s="40" t="n">
        <v>46458</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46454</v>
      </c>
      <c r="Q154" s="40" t="n">
        <v>46460</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46455</v>
      </c>
      <c r="Q155" s="40" t="n">
        <v>46462</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46457</v>
      </c>
      <c r="Q156" s="40" t="n">
        <v>46464</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46459</v>
      </c>
      <c r="Q157" s="40" t="n">
        <v>46466</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46460</v>
      </c>
      <c r="Q158" s="40" t="n">
        <v>46465</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46462</v>
      </c>
      <c r="Q159" s="40" t="n">
        <v>46467</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46463</v>
      </c>
      <c r="Q160" s="40" t="n">
        <v>46470</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46465</v>
      </c>
      <c r="Q161" s="40" t="n">
        <v>46472</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46466</v>
      </c>
      <c r="Q162" s="40" t="n">
        <v>46473</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46468</v>
      </c>
      <c r="Q163" s="40" t="n">
        <v>46475</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46470</v>
      </c>
      <c r="Q164" s="40" t="n">
        <v>46475</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46471</v>
      </c>
      <c r="Q165" s="40" t="n">
        <v>46474</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46479</v>
      </c>
      <c r="Q166" s="40" t="n">
        <v>46486</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46481</v>
      </c>
      <c r="Q167" s="40" t="n">
        <v>46488</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46483</v>
      </c>
      <c r="Q168" s="40" t="n">
        <v>46495</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46486</v>
      </c>
      <c r="Q169" s="40" t="n">
        <v>46498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46488</v>
      </c>
      <c r="Q170" s="40" t="n">
        <v>46500</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46491</v>
      </c>
      <c r="Q171" s="40" t="n">
        <v>46500</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46494</v>
      </c>
      <c r="Q172" s="40" t="n">
        <v>46506</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46496</v>
      </c>
      <c r="Q173" s="40" t="n">
        <v>46503</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46498</v>
      </c>
      <c r="Q174" s="40" t="n">
        <v>46507</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46500</v>
      </c>
      <c r="Q175" s="40" t="n">
        <v>46510</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46503</v>
      </c>
      <c r="Q176" s="40" t="n">
        <v>46515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46506</v>
      </c>
      <c r="Q177" s="40" t="n">
        <v>46516</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46508</v>
      </c>
      <c r="Q178" s="40" t="n">
        <v>46514</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46510</v>
      </c>
      <c r="Q179" s="40" t="n">
        <v>46520</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46512</v>
      </c>
      <c r="Q180" s="40" t="n">
        <v>46521</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46515</v>
      </c>
      <c r="Q181" s="40" t="n">
        <v>46525</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46517</v>
      </c>
      <c r="Q182" s="40" t="n">
        <v>46526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46519</v>
      </c>
      <c r="Q183" s="40" t="n">
        <v>46525</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46521</v>
      </c>
      <c r="Q184" s="40" t="n">
        <v>46535</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46524</v>
      </c>
      <c r="Q185" s="40" t="n">
        <v>46538</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46528</v>
      </c>
      <c r="Q186" s="40" t="n">
        <v>46535</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46530</v>
      </c>
      <c r="Q187" s="40" t="n">
        <v>46537</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R13</t>
        </is>
      </c>
      <c r="C18" s="20" t="inlineStr">
        <is>
          <t>Pentest indépendant reporté en V3 : la démonstration V1 tourne sans audit externe</t>
        </is>
      </c>
      <c r="D18" s="20" t="inlineStr">
        <is>
          <t>Sécurité</t>
        </is>
      </c>
      <c r="E18" s="36" t="n">
        <v>3</v>
      </c>
      <c r="F18" s="36" t="n">
        <v>4</v>
      </c>
      <c r="G18" s="12">
        <f>E18*F18</f>
        <v/>
      </c>
      <c r="H18" s="12">
        <f>IF(G18&gt;=15,"Critique",IF(G18&gt;=8,"Élevé",IF(G18&gt;=4,"Moyen","Faible")))</f>
        <v/>
      </c>
      <c r="I18" s="54" t="inlineStr">
        <is>
          <t>V1</t>
        </is>
      </c>
      <c r="J18" s="20" t="inlineStr">
        <is>
          <t>Chef de projet</t>
        </is>
      </c>
      <c r="K18" s="20" t="inlineStr">
        <is>
          <t>Revue de sécurité interne et scan de dépendances en V1 (lot Sécurité) ; aucun environnement accessible publiquement avant V3 ; commander le pentest dès V2</t>
        </is>
      </c>
      <c r="L18" s="36" t="inlineStr">
        <is>
          <t>Ouvert</t>
        </is>
      </c>
    </row>
  </sheetData>
  <conditionalFormatting sqref="H6:H68">
    <cfRule type="expression" priority="1" dxfId="1">
      <formula>H6="Critique"</formula>
    </cfRule>
    <cfRule type="expression" priority="2" dxfId="5">
      <formula>H6="Élevé"</formula>
    </cfRule>
    <cfRule type="expression" priority="3" dxfId="6">
      <formula>H6="Moyen"</formula>
    </cfRule>
  </conditionalFormatting>
  <conditionalFormatting sqref="L6:L68">
    <cfRule type="expression" priority="4" dxfId="2">
      <formula>L6="Clos"</formula>
    </cfRule>
  </conditionalFormatting>
  <dataValidations count="2">
    <dataValidation sqref="E6:F68" showDropDown="0" showInputMessage="0" showErrorMessage="0" allowBlank="0" type="whole" operator="between">
      <formula1>1</formula1>
      <formula2>5</formula2>
    </dataValidation>
    <dataValidation sqref="L6:L68"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2026-09-10T01:40:56Z</dcterms:created>
  <dcterms:modified xsi:type="dcterms:W3CDTF">2026-09-10T01:40:57Z</dcterms:modified>
</cp:coreProperties>
</file>