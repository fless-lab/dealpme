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COUNTIF(Decisions!$F$6:$F$67,"Ouvert")+COUNTIF(Decisions!$F$6:$F$67,"En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46268</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46276</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46272</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46277</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46274</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46274</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46273</v>
      </c>
      <c r="Q18" s="40" t="n">
        <v>46278</v>
      </c>
      <c r="R18" s="40" t="n">
        <v>46275</v>
      </c>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46276</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46274</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46279</v>
      </c>
      <c r="R22" s="40" t="n">
        <v>46275</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v>46277</v>
      </c>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En cours</t>
        </is>
      </c>
      <c r="K25" s="39" t="n">
        <v>0.6</v>
      </c>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46282</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46280</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46282</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46284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46287</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46295</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46293</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0.45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En cours</t>
        </is>
      </c>
      <c r="K72" s="39" t="n">
        <v>0.7</v>
      </c>
      <c r="L72" s="16">
        <f>IF($B72="","",IF(J72="Complétée",1,IF(J72="Abandonnée",0,IF(K72&lt;&gt;"",K72,IFERROR(VLOOKUP(J72,Parametres!$B$6:$C$12,2,FALSE),0)))))</f>
        <v/>
      </c>
      <c r="M72" s="15">
        <f>IF($B72="","",IF(J72="Abandonnée",0,H72))</f>
        <v/>
      </c>
      <c r="N72" s="15">
        <f>IF($B72="","",M72*L72)</f>
        <v/>
      </c>
      <c r="O72" s="37" t="inlineStr">
        <is>
          <t>Abdou-Raouf</t>
        </is>
      </c>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46312</v>
      </c>
      <c r="Q78" s="40" t="n">
        <v>46319</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46313</v>
      </c>
      <c r="Q79" s="40" t="n">
        <v>46319</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46314</v>
      </c>
      <c r="Q80" s="40" t="n">
        <v>46320</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46315</v>
      </c>
      <c r="Q81" s="40" t="n">
        <v>46324</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46317</v>
      </c>
      <c r="Q82" s="40" t="n">
        <v>46324</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46318</v>
      </c>
      <c r="Q83" s="40" t="n">
        <v>46325</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46319</v>
      </c>
      <c r="Q84" s="40" t="n">
        <v>46324</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46320</v>
      </c>
      <c r="Q85" s="40" t="n">
        <v>46323</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46320</v>
      </c>
      <c r="Q86" s="40" t="n">
        <v>46325</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46321</v>
      </c>
      <c r="Q87" s="40" t="n">
        <v>46331</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46322</v>
      </c>
      <c r="Q88" s="40" t="n">
        <v>46328</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46323</v>
      </c>
      <c r="Q89" s="40" t="n">
        <v>46329</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46324</v>
      </c>
      <c r="Q90" s="40" t="n">
        <v>46331</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46325</v>
      </c>
      <c r="Q91" s="40" t="n">
        <v>46328</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46326</v>
      </c>
      <c r="Q92" s="40" t="n">
        <v>46333</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46327</v>
      </c>
      <c r="Q93" s="40" t="n">
        <v>46339</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46329</v>
      </c>
      <c r="Q94" s="40" t="n">
        <v>46336</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46330</v>
      </c>
      <c r="Q95" s="40" t="n">
        <v>46336</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46331</v>
      </c>
      <c r="Q96" s="40" t="n">
        <v>46338</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46332</v>
      </c>
      <c r="Q97" s="40" t="n">
        <v>46338</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46333</v>
      </c>
      <c r="Q98" s="40" t="n">
        <v>46339</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46334</v>
      </c>
      <c r="Q99" s="40" t="n">
        <v>46340</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46335</v>
      </c>
      <c r="Q100" s="40" t="n">
        <v>46344</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46336</v>
      </c>
      <c r="Q101" s="40" t="n">
        <v>46343</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46337</v>
      </c>
      <c r="Q102" s="40" t="n">
        <v>46346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46338</v>
      </c>
      <c r="Q103" s="40" t="n">
        <v>46344</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46339</v>
      </c>
      <c r="Q104" s="40" t="n">
        <v>46346</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46340</v>
      </c>
      <c r="Q105" s="40" t="n">
        <v>46349</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46342</v>
      </c>
      <c r="Q106" s="40" t="n">
        <v>46348</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46343</v>
      </c>
      <c r="Q107" s="40" t="n">
        <v>46350</v>
      </c>
      <c r="R107" s="40" t="n"/>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46344</v>
      </c>
      <c r="Q108" s="40" t="n">
        <v>46351</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46352</v>
      </c>
      <c r="Q109" s="40" t="n">
        <v>46364</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46353</v>
      </c>
      <c r="Q110" s="40" t="n">
        <v>46363</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46355</v>
      </c>
      <c r="Q111" s="40" t="n">
        <v>46361</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46355</v>
      </c>
      <c r="Q112" s="40" t="n">
        <v>46360</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46356</v>
      </c>
      <c r="Q113" s="40" t="n">
        <v>46365</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46357</v>
      </c>
      <c r="Q114" s="40" t="n">
        <v>46360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46357</v>
      </c>
      <c r="Q115" s="40" t="n">
        <v>46366</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46359</v>
      </c>
      <c r="Q116" s="40" t="n">
        <v>46365</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46359</v>
      </c>
      <c r="Q117" s="40" t="n">
        <v>46368</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46360</v>
      </c>
      <c r="Q118" s="40" t="n">
        <v>46365</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46361</v>
      </c>
      <c r="Q119" s="40" t="n">
        <v>46370</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46362</v>
      </c>
      <c r="Q120" s="40" t="n">
        <v>46369</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46363</v>
      </c>
      <c r="Q121" s="40" t="n">
        <v>46368</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46363</v>
      </c>
      <c r="Q122" s="40" t="n">
        <v>46369</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46364</v>
      </c>
      <c r="Q123" s="40" t="n">
        <v>46369</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46365</v>
      </c>
      <c r="Q124" s="40" t="n">
        <v>46372</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46366</v>
      </c>
      <c r="Q125" s="40" t="n">
        <v>46373</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46366</v>
      </c>
      <c r="Q126" s="40" t="n">
        <v>46373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46367</v>
      </c>
      <c r="Q127" s="40" t="n">
        <v>46376</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46368</v>
      </c>
      <c r="Q128" s="40" t="n">
        <v>46375</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46369</v>
      </c>
      <c r="Q129" s="40" t="n">
        <v>46378</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46370</v>
      </c>
      <c r="Q130" s="40" t="n">
        <v>46375</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46371</v>
      </c>
      <c r="Q131" s="40" t="n">
        <v>46377</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46372</v>
      </c>
      <c r="Q132" s="40" t="n">
        <v>46378</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46372</v>
      </c>
      <c r="Q133" s="40" t="n">
        <v>46375</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46373</v>
      </c>
      <c r="Q134" s="40" t="n">
        <v>46380</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46374</v>
      </c>
      <c r="Q135" s="40" t="n">
        <v>46379</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46374</v>
      </c>
      <c r="Q136" s="40" t="n">
        <v>46380</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46375</v>
      </c>
      <c r="Q137" s="40" t="n">
        <v>46380</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46375</v>
      </c>
      <c r="Q138" s="40" t="n">
        <v>46380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46376</v>
      </c>
      <c r="Q139" s="40" t="n">
        <v>46379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46376</v>
      </c>
      <c r="Q140" s="40" t="n">
        <v>46383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46377</v>
      </c>
      <c r="Q141" s="40" t="n">
        <v>46386</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46378</v>
      </c>
      <c r="Q142" s="40" t="n">
        <v>46385</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46379</v>
      </c>
      <c r="Q143" s="40" t="n">
        <v>46385</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46380</v>
      </c>
      <c r="Q144" s="40" t="n">
        <v>46386</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46387</v>
      </c>
      <c r="Q145" s="40" t="n">
        <v>46396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46389</v>
      </c>
      <c r="Q146" s="40" t="n">
        <v>46398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46391</v>
      </c>
      <c r="Q147" s="40" t="n">
        <v>46396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46392</v>
      </c>
      <c r="Q148" s="40" t="n">
        <v>46402</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46394</v>
      </c>
      <c r="Q149" s="40" t="n">
        <v>46399</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46395</v>
      </c>
      <c r="Q150" s="40" t="n">
        <v>46402</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46397</v>
      </c>
      <c r="Q151" s="40" t="n">
        <v>46404</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46398</v>
      </c>
      <c r="Q152" s="40" t="n">
        <v>46407</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46400</v>
      </c>
      <c r="Q153" s="40" t="n">
        <v>46406</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46401</v>
      </c>
      <c r="Q154" s="40" t="n">
        <v>46407</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46403</v>
      </c>
      <c r="Q155" s="40" t="n">
        <v>46410</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46404</v>
      </c>
      <c r="Q156" s="40" t="n">
        <v>46411</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46406</v>
      </c>
      <c r="Q157" s="40" t="n">
        <v>46413</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46408</v>
      </c>
      <c r="Q158" s="40" t="n">
        <v>46413</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46409</v>
      </c>
      <c r="Q159" s="40" t="n">
        <v>46414</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46410</v>
      </c>
      <c r="Q160" s="40" t="n">
        <v>46417</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46411</v>
      </c>
      <c r="Q161" s="40" t="n">
        <v>46418</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46413</v>
      </c>
      <c r="Q162" s="40" t="n">
        <v>46420</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46414</v>
      </c>
      <c r="Q163" s="40" t="n">
        <v>46421</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46416</v>
      </c>
      <c r="Q164" s="40" t="n">
        <v>46421</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46417</v>
      </c>
      <c r="Q165" s="40" t="n">
        <v>46420</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46424</v>
      </c>
      <c r="Q166" s="40" t="n">
        <v>46431</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46425</v>
      </c>
      <c r="Q167" s="40" t="n">
        <v>46432</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46425</v>
      </c>
      <c r="Q168" s="40" t="n">
        <v>46437</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46426</v>
      </c>
      <c r="Q169" s="40" t="n">
        <v>46438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46427</v>
      </c>
      <c r="Q170" s="40" t="n">
        <v>46439</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46428</v>
      </c>
      <c r="Q171" s="40" t="n">
        <v>46437</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46429</v>
      </c>
      <c r="Q172" s="40" t="n">
        <v>46441</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46430</v>
      </c>
      <c r="Q173" s="40" t="n">
        <v>46437</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46431</v>
      </c>
      <c r="Q174" s="40" t="n">
        <v>46440</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46432</v>
      </c>
      <c r="Q175" s="40" t="n">
        <v>46442</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46433</v>
      </c>
      <c r="Q176" s="40" t="n">
        <v>46445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46434</v>
      </c>
      <c r="Q177" s="40" t="n">
        <v>46444</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46434</v>
      </c>
      <c r="Q178" s="40" t="n">
        <v>46440</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46435</v>
      </c>
      <c r="Q179" s="40" t="n">
        <v>46445</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46436</v>
      </c>
      <c r="Q180" s="40" t="n">
        <v>46445</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46437</v>
      </c>
      <c r="Q181" s="40" t="n">
        <v>46446</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46438</v>
      </c>
      <c r="Q182" s="40" t="n">
        <v>46446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46438</v>
      </c>
      <c r="Q183" s="40" t="n">
        <v>46444</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46439</v>
      </c>
      <c r="Q184" s="40" t="n">
        <v>46446</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46440</v>
      </c>
      <c r="Q185" s="40" t="n">
        <v>46446</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46441</v>
      </c>
      <c r="Q186" s="40" t="n">
        <v>46446</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46442</v>
      </c>
      <c r="Q187" s="40" t="n">
        <v>46446</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145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2026-09-10T02:39:52Z</dcterms:created>
  <dcterms:modified xsi:type="dcterms:W3CDTF">2026-09-10T02:39:53Z</dcterms:modified>
</cp:coreProperties>
</file>