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Audit du 12/09/2026 : avancement estimé pondéré par la charge, distinct d'une recette. Source persistante : devX/build_suivi.py. Le fichier ODS est une archive d'un ancien calendrier.</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COUNTIFS(Risques!$H$6:$H$72,"Critique",Risques!$L$6:$L$72,"&lt;&gt;Clos")+COUNTIFS(Risques!$H$6:$H$72,"Élevé",Risques!$L$6:$L$72,"&lt;&gt;Clos")</f>
        <v/>
      </c>
      <c r="I10" s="7" t="n"/>
      <c r="J10" s="9">
        <f>COUNTIF(Decisions!$F$6:$F$75,"Ouvert")+COUNTIF(Decisions!$F$6:$F$75,"En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COUNTIF(Risques!$L$6:$L$72,"Ouvert")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5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Finition frontend</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QA et livraison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30" t="inlineStr">
        <is>
          <t>Total V1</t>
        </is>
      </c>
      <c r="C36" s="30">
        <f>SUM(C22:C35)</f>
        <v/>
      </c>
      <c r="D36" s="31">
        <f>SUM(D22:D35)</f>
        <v/>
      </c>
      <c r="E36" s="32">
        <f>IF(C36=0,0,D36/C36)</f>
        <v/>
      </c>
      <c r="F36" s="30">
        <f>SUM(F22:F35)</f>
        <v/>
      </c>
      <c r="G36" s="30">
        <f>SUM(G22:G35)</f>
        <v/>
      </c>
      <c r="H36" s="30">
        <f>SUM(H22:H35)</f>
        <v/>
      </c>
      <c r="I36" s="30">
        <f>SUM(I22:I35)</f>
        <v/>
      </c>
    </row>
    <row r="38">
      <c r="B38" s="3" t="inlineStr">
        <is>
          <t>Prérequis</t>
        </is>
      </c>
    </row>
    <row r="39" ht="30" customHeight="1">
      <c r="B39" s="19" t="inlineStr">
        <is>
          <t>Capacité et responsables confirmés sur le reste à faire ; réponse sur l'API CFE/RCCM ; designer UI/UX ; cadrage Remo et fournisseurs email/SMS.</t>
        </is>
      </c>
    </row>
    <row r="40">
      <c r="B40" s="3" t="inlineStr">
        <is>
          <t>Décision ou règle</t>
        </is>
      </c>
    </row>
    <row r="41" ht="36" customHeight="1">
      <c r="B41" s="33" t="inlineStr">
        <is>
          <t>Conserver la démo RPS déjà implémentée. Priorité à la messagerie bidirectionnelle, l'audit durable, aux notifications, à la CI et aux preuves navigateur ; validation métier avant le 15/10.</t>
        </is>
      </c>
      <c r="C41" s="34" t="n"/>
      <c r="D41" s="34" t="n"/>
      <c r="E41" s="34" t="n"/>
      <c r="F41" s="34" t="n"/>
      <c r="G41" s="34" t="n"/>
      <c r="H41" s="34" t="n"/>
      <c r="I41" s="34" t="n"/>
    </row>
    <row r="44" ht="26" customHeight="1">
      <c r="B44" s="22" t="inlineStr">
        <is>
          <t>V2  Cession de titres en cercle restreint (RPS réel), signature électronique, data room et Q&amp;R</t>
        </is>
      </c>
    </row>
    <row r="45" ht="28" customHeight="1">
      <c r="B45" s="23" t="inlineStr">
        <is>
          <t>Début prévu</t>
        </is>
      </c>
      <c r="C45" s="23" t="inlineStr">
        <is>
          <t>Fin prévue</t>
        </is>
      </c>
      <c r="D45" s="23" t="inlineStr">
        <is>
          <t>Charge (j/p)</t>
        </is>
      </c>
      <c r="E45" s="23" t="inlineStr">
        <is>
          <t>Charge (sem.-pers.)</t>
        </is>
      </c>
      <c r="F45" s="23" t="inlineStr">
        <is>
          <t>Avancement</t>
        </is>
      </c>
      <c r="G45" s="23" t="inlineStr">
        <is>
          <t>État</t>
        </is>
      </c>
      <c r="H45" s="23" t="inlineStr">
        <is>
          <t>Semaines calendaires</t>
        </is>
      </c>
      <c r="I45" s="23" t="inlineStr">
        <is>
          <t>ETP requis à pleine cadence</t>
        </is>
      </c>
    </row>
    <row r="46">
      <c r="B46" s="24">
        <f>Versions!D7</f>
        <v/>
      </c>
      <c r="C46" s="24">
        <f>Versions!E7</f>
        <v/>
      </c>
      <c r="D46" s="25">
        <f>Versions!G7</f>
        <v/>
      </c>
      <c r="E46" s="26">
        <f>Versions!H7</f>
        <v/>
      </c>
      <c r="F46" s="27">
        <f>Versions!J7</f>
        <v/>
      </c>
      <c r="G46" s="28">
        <f>Versions!P7</f>
        <v/>
      </c>
      <c r="H46" s="26">
        <f>ROUND((Versions!E7-Versions!D7)/7,1)</f>
        <v/>
      </c>
      <c r="I46" s="26">
        <f>IFERROR(ROUND(Versions!H7/((Versions!E7-Versions!D7)/7),1),0)</f>
        <v/>
      </c>
    </row>
    <row r="47" ht="48" customHeight="1">
      <c r="B47" s="19" t="inlineStr">
        <is>
          <t>Le cœur du différenciateur produit : le moteur RPS complet pour les cessions de titres et la data room. Prérequis à toute diligence réelle.</t>
        </is>
      </c>
    </row>
    <row r="48">
      <c r="B48" s="3" t="inlineStr">
        <is>
          <t>Inclus</t>
        </is>
      </c>
      <c r="F48" s="3" t="inlineStr">
        <is>
          <t>Exclu ou reporté</t>
        </is>
      </c>
    </row>
    <row r="49" ht="30" customHeight="1">
      <c r="B49" s="19" t="inlineStr">
        <is>
          <t>+ Circuit RPS complet : admission humaine, plafond de cercle (défaut 50), journal réglementaire haché</t>
        </is>
      </c>
      <c r="F49" s="29" t="inlineStr">
        <is>
          <t>- Négociation, LOI, audit d'acquisition et réalisation (V3)</t>
        </is>
      </c>
    </row>
    <row r="50" ht="30" customHeight="1">
      <c r="B50" s="19" t="inlineStr">
        <is>
          <t>+ Signature électronique et preuve : prestataire PSC togolais, repli papier, archivage PSAE</t>
        </is>
      </c>
      <c r="F50" s="29" t="inlineStr">
        <is>
          <t>- Génération documentaire LegalTech (V3)</t>
        </is>
      </c>
    </row>
    <row r="51" ht="30" customHeight="1">
      <c r="B51" s="19" t="inlineStr">
        <is>
          <t>+ Data room : arborescence OHADA, rendu serveur, filigrane dynamique, téléchargement contrôlé, révocation en moins de 60 s</t>
        </is>
      </c>
    </row>
    <row r="52" ht="30" customHeight="1">
      <c r="B52" s="19" t="inlineStr">
        <is>
          <t>+ Fils de questions-réponses par document</t>
        </is>
      </c>
    </row>
    <row r="54" ht="24" customHeight="1">
      <c r="B54" s="11" t="inlineStr">
        <is>
          <t>Lot</t>
        </is>
      </c>
      <c r="C54" s="11" t="inlineStr">
        <is>
          <t>Charge (j/p)</t>
        </is>
      </c>
      <c r="D54" s="11" t="inlineStr">
        <is>
          <t>Réalisé (j/p)</t>
        </is>
      </c>
      <c r="E54" s="11" t="inlineStr">
        <is>
          <t>Avancement</t>
        </is>
      </c>
      <c r="F54" s="11" t="inlineStr">
        <is>
          <t>Tâches</t>
        </is>
      </c>
      <c r="G54" s="11" t="inlineStr">
        <is>
          <t>Complétées</t>
        </is>
      </c>
      <c r="H54" s="11" t="inlineStr">
        <is>
          <t>Bloquées</t>
        </is>
      </c>
      <c r="I54" s="11" t="inlineStr">
        <is>
          <t>En retard</t>
        </is>
      </c>
    </row>
    <row r="55">
      <c r="B55" s="13" t="inlineStr">
        <is>
          <t>Conception</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Mise en relation</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Circuit RPS réel</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Signature électronique</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Data room</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Questions-réponses</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13" t="inlineStr">
        <is>
          <t>QA et sécurité</t>
        </is>
      </c>
      <c r="C61" s="12">
        <f>SUMIFS(Taches!$M$6:$M$325,Taches!$C$6:$C$325,"V2",Taches!$E$6:$E$325,$B61)</f>
        <v/>
      </c>
      <c r="D61" s="15">
        <f>SUMIFS(Taches!$N$6:$N$325,Taches!$C$6:$C$325,"V2",Taches!$E$6:$E$325,$B61)</f>
        <v/>
      </c>
      <c r="E61" s="16">
        <f>IF(C61=0,0,D61/C61)</f>
        <v/>
      </c>
      <c r="F61" s="12">
        <f>COUNTIFS(Taches!$C$6:$C$325,"V2",Taches!$E$6:$E$325,$B61,Taches!$J$6:$J$325,"&lt;&gt;Abandonnée",Taches!$B$6:$B$325,"&lt;&gt;")</f>
        <v/>
      </c>
      <c r="G61" s="12">
        <f>COUNTIFS(Taches!$C$6:$C$325,"V2",Taches!$E$6:$E$325,$B61,Taches!$J$6:$J$325,"Complétée")</f>
        <v/>
      </c>
      <c r="H61" s="12">
        <f>COUNTIFS(Taches!$C$6:$C$325,"V2",Taches!$E$6:$E$325,$B61,Taches!$J$6:$J$325,"Bloquée")</f>
        <v/>
      </c>
      <c r="I61" s="12">
        <f>COUNTIFS(Taches!$C$6:$C$325,"V2",Taches!$E$6:$E$325,$B61,Taches!$U$6:$U$325,"En retard")</f>
        <v/>
      </c>
    </row>
    <row r="62">
      <c r="B62" s="30" t="inlineStr">
        <is>
          <t>Total V2</t>
        </is>
      </c>
      <c r="C62" s="30">
        <f>SUM(C55:C61)</f>
        <v/>
      </c>
      <c r="D62" s="31">
        <f>SUM(D55:D61)</f>
        <v/>
      </c>
      <c r="E62" s="32">
        <f>IF(C62=0,0,D62/C62)</f>
        <v/>
      </c>
      <c r="F62" s="30">
        <f>SUM(F55:F61)</f>
        <v/>
      </c>
      <c r="G62" s="30">
        <f>SUM(G55:G61)</f>
        <v/>
      </c>
      <c r="H62" s="30">
        <f>SUM(H55:H61)</f>
        <v/>
      </c>
      <c r="I62" s="30">
        <f>SUM(I55:I61)</f>
        <v/>
      </c>
    </row>
    <row r="64">
      <c r="B64" s="3" t="inlineStr">
        <is>
          <t>Prérequis</t>
        </is>
      </c>
    </row>
    <row r="65" ht="30" customHeight="1">
      <c r="B65" s="19" t="inlineStr">
        <is>
          <t>V1 stabilisée ; identité documentaire et qualification ; RPS durci puis branché ; contrat PSC/PSAE et NDA revu juridiquement en V2.</t>
        </is>
      </c>
    </row>
    <row r="66">
      <c r="B66" s="3" t="inlineStr">
        <is>
          <t>Décision ou règle</t>
        </is>
      </c>
    </row>
    <row r="67" ht="36" customHeight="1">
      <c r="B67" s="33" t="inlineStr">
        <is>
          <t>Construire une tranche complète qualification &gt; admission &gt; NDA &gt; T2 &gt; document &gt; révocation. Les tests IA exécutables restent en V5 ; leurs contrats sont préparés en V2.</t>
        </is>
      </c>
      <c r="C67" s="34" t="n"/>
      <c r="D67" s="34" t="n"/>
      <c r="E67" s="34" t="n"/>
      <c r="F67" s="34" t="n"/>
      <c r="G67" s="34" t="n"/>
      <c r="H67" s="34" t="n"/>
      <c r="I67" s="34" t="n"/>
    </row>
    <row r="70" ht="26" customHeight="1">
      <c r="B70" s="22" t="inlineStr">
        <is>
          <t>V3  Négociation et réalisation, LegalTech OHADA, Finance et rétrocession, support, fermeture des portes de conformité</t>
        </is>
      </c>
    </row>
    <row r="71" ht="28" customHeight="1">
      <c r="B71" s="23" t="inlineStr">
        <is>
          <t>Début prévu</t>
        </is>
      </c>
      <c r="C71" s="23" t="inlineStr">
        <is>
          <t>Fin prévue</t>
        </is>
      </c>
      <c r="D71" s="23" t="inlineStr">
        <is>
          <t>Charge (j/p)</t>
        </is>
      </c>
      <c r="E71" s="23" t="inlineStr">
        <is>
          <t>Charge (sem.-pers.)</t>
        </is>
      </c>
      <c r="F71" s="23" t="inlineStr">
        <is>
          <t>Avancement</t>
        </is>
      </c>
      <c r="G71" s="23" t="inlineStr">
        <is>
          <t>État</t>
        </is>
      </c>
      <c r="H71" s="23" t="inlineStr">
        <is>
          <t>Semaines calendaires</t>
        </is>
      </c>
      <c r="I71" s="23" t="inlineStr">
        <is>
          <t>ETP requis à pleine cadence</t>
        </is>
      </c>
    </row>
    <row r="72">
      <c r="B72" s="24">
        <f>Versions!D8</f>
        <v/>
      </c>
      <c r="C72" s="24">
        <f>Versions!E8</f>
        <v/>
      </c>
      <c r="D72" s="25">
        <f>Versions!G8</f>
        <v/>
      </c>
      <c r="E72" s="26">
        <f>Versions!H8</f>
        <v/>
      </c>
      <c r="F72" s="27">
        <f>Versions!J8</f>
        <v/>
      </c>
      <c r="G72" s="28">
        <f>Versions!P8</f>
        <v/>
      </c>
      <c r="H72" s="26">
        <f>ROUND((Versions!E8-Versions!D8)/7,1)</f>
        <v/>
      </c>
      <c r="I72" s="26">
        <f>IFERROR(ROUND(Versions!H8/((Versions!E8-Versions!D8)/7),1),0)</f>
        <v/>
      </c>
    </row>
    <row r="73" ht="48" customHeight="1">
      <c r="B73" s="19" t="inlineStr">
        <is>
          <t>Ce qui rend une transaction réelle facturable et légalement défendable : négociation et réalisation, LegalTech OHADA, moteur de frais et rétrocession, support, fermeture des dix portes de conformité et durcissement de l'exploitation.</t>
        </is>
      </c>
    </row>
    <row r="74">
      <c r="B74" s="3" t="inlineStr">
        <is>
          <t>Inclus</t>
        </is>
      </c>
      <c r="F74" s="3" t="inlineStr">
        <is>
          <t>Exclu ou reporté</t>
        </is>
      </c>
    </row>
    <row r="75" ht="30" customHeight="1">
      <c r="B75" s="19" t="inlineStr">
        <is>
          <t>+ Offre, contre-offre, LOI et registre des points ouverts d'audit d'acquisition</t>
        </is>
      </c>
      <c r="F75" s="29" t="inlineStr">
        <is>
          <t>- Module Deal-Experts complet (V4 ; articulation des missions antérieures en A04)</t>
        </is>
      </c>
    </row>
    <row r="76" ht="30" customHeight="1">
      <c r="B76" s="19" t="inlineStr">
        <is>
          <t>+ Réalisation documentée sans Deal-Pay natif, création automatique du FeeEvent</t>
        </is>
      </c>
      <c r="F76" s="29" t="inlineStr">
        <is>
          <t>- Modules réseau : Alerte &amp; Rebond, Deal-Connect, Guichet Diaspora (V4)</t>
        </is>
      </c>
    </row>
    <row r="77" ht="30" customHeight="1">
      <c r="B77" s="19" t="inlineStr">
        <is>
          <t>+ LegalTech OHADA : NDA, LOI, pacte simplifié, SPA, cession d'actifs, contrat de travail (droit togolais)</t>
        </is>
      </c>
    </row>
    <row r="78" ht="30" customHeight="1">
      <c r="B78" s="19" t="inlineStr">
        <is>
          <t>+ Finance : barème de frais sous drapeau juridique, rétrocession CCI, journal de calcul recalculable, rapport trimestriel</t>
        </is>
      </c>
    </row>
    <row r="79" ht="30" customHeight="1">
      <c r="B79" s="19" t="inlineStr">
        <is>
          <t>+ Abonnements prépayés, grâce, factures NIF, paiements des services et rapprochement par rail (sans séquestre de cession)</t>
        </is>
      </c>
    </row>
    <row r="80" ht="30" customHeight="1">
      <c r="B80" s="19" t="inlineStr">
        <is>
          <t>+ Support et accès privilégiés, mode break-glass journalisé</t>
        </is>
      </c>
    </row>
    <row r="81" ht="30" customHeight="1">
      <c r="B81" s="19" t="inlineStr">
        <is>
          <t>+ Portes de conformité G1 à G10 : IPDCP, revues juridiques, DPO, pentest indépendant</t>
        </is>
      </c>
    </row>
    <row r="82" ht="30" customHeight="1">
      <c r="B82" s="19" t="inlineStr">
        <is>
          <t>+ Exploitation : supervision SLA 99,5 %, sauvegardes testées, procédure d'incident</t>
        </is>
      </c>
    </row>
    <row r="84" ht="24" customHeight="1">
      <c r="B84" s="11" t="inlineStr">
        <is>
          <t>Lot</t>
        </is>
      </c>
      <c r="C84" s="11" t="inlineStr">
        <is>
          <t>Charge (j/p)</t>
        </is>
      </c>
      <c r="D84" s="11" t="inlineStr">
        <is>
          <t>Réalisé (j/p)</t>
        </is>
      </c>
      <c r="E84" s="11" t="inlineStr">
        <is>
          <t>Avancement</t>
        </is>
      </c>
      <c r="F84" s="11" t="inlineStr">
        <is>
          <t>Tâches</t>
        </is>
      </c>
      <c r="G84" s="11" t="inlineStr">
        <is>
          <t>Complétées</t>
        </is>
      </c>
      <c r="H84" s="11" t="inlineStr">
        <is>
          <t>Bloquées</t>
        </is>
      </c>
      <c r="I84" s="11" t="inlineStr">
        <is>
          <t>En retard</t>
        </is>
      </c>
    </row>
    <row r="85">
      <c r="B85" s="13" t="inlineStr">
        <is>
          <t>Conception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LegalTech OHADA</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Conformité fiscale</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Négociation</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Audit d'acquisition</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13" t="inlineStr">
        <is>
          <t>Réalisation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13" t="inlineStr">
        <is>
          <t>Finance</t>
        </is>
      </c>
      <c r="C91" s="12">
        <f>SUMIFS(Taches!$M$6:$M$325,Taches!$C$6:$C$325,"V3",Taches!$E$6:$E$325,$B91)</f>
        <v/>
      </c>
      <c r="D91" s="15">
        <f>SUMIFS(Taches!$N$6:$N$325,Taches!$C$6:$C$325,"V3",Taches!$E$6:$E$325,$B91)</f>
        <v/>
      </c>
      <c r="E91" s="16">
        <f>IF(C91=0,0,D91/C91)</f>
        <v/>
      </c>
      <c r="F91" s="12">
        <f>COUNTIFS(Taches!$C$6:$C$325,"V3",Taches!$E$6:$E$325,$B91,Taches!$J$6:$J$325,"&lt;&gt;Abandonnée",Taches!$B$6:$B$325,"&lt;&gt;")</f>
        <v/>
      </c>
      <c r="G91" s="12">
        <f>COUNTIFS(Taches!$C$6:$C$325,"V3",Taches!$E$6:$E$325,$B91,Taches!$J$6:$J$325,"Complétée")</f>
        <v/>
      </c>
      <c r="H91" s="12">
        <f>COUNTIFS(Taches!$C$6:$C$325,"V3",Taches!$E$6:$E$325,$B91,Taches!$J$6:$J$325,"Bloquée")</f>
        <v/>
      </c>
      <c r="I91" s="12">
        <f>COUNTIFS(Taches!$C$6:$C$325,"V3",Taches!$E$6:$E$325,$B91,Taches!$U$6:$U$325,"En retard")</f>
        <v/>
      </c>
    </row>
    <row r="92">
      <c r="B92" s="13" t="inlineStr">
        <is>
          <t>Facturation abonnements</t>
        </is>
      </c>
      <c r="C92" s="12">
        <f>SUMIFS(Taches!$M$6:$M$325,Taches!$C$6:$C$325,"V3",Taches!$E$6:$E$325,$B92)</f>
        <v/>
      </c>
      <c r="D92" s="15">
        <f>SUMIFS(Taches!$N$6:$N$325,Taches!$C$6:$C$325,"V3",Taches!$E$6:$E$325,$B92)</f>
        <v/>
      </c>
      <c r="E92" s="16">
        <f>IF(C92=0,0,D92/C92)</f>
        <v/>
      </c>
      <c r="F92" s="12">
        <f>COUNTIFS(Taches!$C$6:$C$325,"V3",Taches!$E$6:$E$325,$B92,Taches!$J$6:$J$325,"&lt;&gt;Abandonnée",Taches!$B$6:$B$325,"&lt;&gt;")</f>
        <v/>
      </c>
      <c r="G92" s="12">
        <f>COUNTIFS(Taches!$C$6:$C$325,"V3",Taches!$E$6:$E$325,$B92,Taches!$J$6:$J$325,"Complétée")</f>
        <v/>
      </c>
      <c r="H92" s="12">
        <f>COUNTIFS(Taches!$C$6:$C$325,"V3",Taches!$E$6:$E$325,$B92,Taches!$J$6:$J$325,"Bloquée")</f>
        <v/>
      </c>
      <c r="I92" s="12">
        <f>COUNTIFS(Taches!$C$6:$C$325,"V3",Taches!$E$6:$E$325,$B92,Taches!$U$6:$U$325,"En retard")</f>
        <v/>
      </c>
    </row>
    <row r="93">
      <c r="B93" s="13" t="inlineStr">
        <is>
          <t>Support</t>
        </is>
      </c>
      <c r="C93" s="12">
        <f>SUMIFS(Taches!$M$6:$M$325,Taches!$C$6:$C$325,"V3",Taches!$E$6:$E$325,$B93)</f>
        <v/>
      </c>
      <c r="D93" s="15">
        <f>SUMIFS(Taches!$N$6:$N$325,Taches!$C$6:$C$325,"V3",Taches!$E$6:$E$325,$B93)</f>
        <v/>
      </c>
      <c r="E93" s="16">
        <f>IF(C93=0,0,D93/C93)</f>
        <v/>
      </c>
      <c r="F93" s="12">
        <f>COUNTIFS(Taches!$C$6:$C$325,"V3",Taches!$E$6:$E$325,$B93,Taches!$J$6:$J$325,"&lt;&gt;Abandonnée",Taches!$B$6:$B$325,"&lt;&gt;")</f>
        <v/>
      </c>
      <c r="G93" s="12">
        <f>COUNTIFS(Taches!$C$6:$C$325,"V3",Taches!$E$6:$E$325,$B93,Taches!$J$6:$J$325,"Complétée")</f>
        <v/>
      </c>
      <c r="H93" s="12">
        <f>COUNTIFS(Taches!$C$6:$C$325,"V3",Taches!$E$6:$E$325,$B93,Taches!$J$6:$J$325,"Bloquée")</f>
        <v/>
      </c>
      <c r="I93" s="12">
        <f>COUNTIFS(Taches!$C$6:$C$325,"V3",Taches!$E$6:$E$325,$B93,Taches!$U$6:$U$325,"En retard")</f>
        <v/>
      </c>
    </row>
    <row r="94">
      <c r="B94" s="13" t="inlineStr">
        <is>
          <t>Portes de conformité</t>
        </is>
      </c>
      <c r="C94" s="12">
        <f>SUMIFS(Taches!$M$6:$M$325,Taches!$C$6:$C$325,"V3",Taches!$E$6:$E$325,$B94)</f>
        <v/>
      </c>
      <c r="D94" s="15">
        <f>SUMIFS(Taches!$N$6:$N$325,Taches!$C$6:$C$325,"V3",Taches!$E$6:$E$325,$B94)</f>
        <v/>
      </c>
      <c r="E94" s="16">
        <f>IF(C94=0,0,D94/C94)</f>
        <v/>
      </c>
      <c r="F94" s="12">
        <f>COUNTIFS(Taches!$C$6:$C$325,"V3",Taches!$E$6:$E$325,$B94,Taches!$J$6:$J$325,"&lt;&gt;Abandonnée",Taches!$B$6:$B$325,"&lt;&gt;")</f>
        <v/>
      </c>
      <c r="G94" s="12">
        <f>COUNTIFS(Taches!$C$6:$C$325,"V3",Taches!$E$6:$E$325,$B94,Taches!$J$6:$J$325,"Complétée")</f>
        <v/>
      </c>
      <c r="H94" s="12">
        <f>COUNTIFS(Taches!$C$6:$C$325,"V3",Taches!$E$6:$E$325,$B94,Taches!$J$6:$J$325,"Bloquée")</f>
        <v/>
      </c>
      <c r="I94" s="12">
        <f>COUNTIFS(Taches!$C$6:$C$325,"V3",Taches!$E$6:$E$325,$B94,Taches!$U$6:$U$325,"En retard")</f>
        <v/>
      </c>
    </row>
    <row r="95">
      <c r="B95" s="13" t="inlineStr">
        <is>
          <t>Exploitation</t>
        </is>
      </c>
      <c r="C95" s="12">
        <f>SUMIFS(Taches!$M$6:$M$325,Taches!$C$6:$C$325,"V3",Taches!$E$6:$E$325,$B95)</f>
        <v/>
      </c>
      <c r="D95" s="15">
        <f>SUMIFS(Taches!$N$6:$N$325,Taches!$C$6:$C$325,"V3",Taches!$E$6:$E$325,$B95)</f>
        <v/>
      </c>
      <c r="E95" s="16">
        <f>IF(C95=0,0,D95/C95)</f>
        <v/>
      </c>
      <c r="F95" s="12">
        <f>COUNTIFS(Taches!$C$6:$C$325,"V3",Taches!$E$6:$E$325,$B95,Taches!$J$6:$J$325,"&lt;&gt;Abandonnée",Taches!$B$6:$B$325,"&lt;&gt;")</f>
        <v/>
      </c>
      <c r="G95" s="12">
        <f>COUNTIFS(Taches!$C$6:$C$325,"V3",Taches!$E$6:$E$325,$B95,Taches!$J$6:$J$325,"Complétée")</f>
        <v/>
      </c>
      <c r="H95" s="12">
        <f>COUNTIFS(Taches!$C$6:$C$325,"V3",Taches!$E$6:$E$325,$B95,Taches!$J$6:$J$325,"Bloquée")</f>
        <v/>
      </c>
      <c r="I95" s="12">
        <f>COUNTIFS(Taches!$C$6:$C$325,"V3",Taches!$E$6:$E$325,$B95,Taches!$U$6:$U$325,"En retard")</f>
        <v/>
      </c>
    </row>
    <row r="96">
      <c r="B96" s="13" t="inlineStr">
        <is>
          <t>QA et livraison</t>
        </is>
      </c>
      <c r="C96" s="12">
        <f>SUMIFS(Taches!$M$6:$M$325,Taches!$C$6:$C$325,"V3",Taches!$E$6:$E$325,$B96)</f>
        <v/>
      </c>
      <c r="D96" s="15">
        <f>SUMIFS(Taches!$N$6:$N$325,Taches!$C$6:$C$325,"V3",Taches!$E$6:$E$325,$B96)</f>
        <v/>
      </c>
      <c r="E96" s="16">
        <f>IF(C96=0,0,D96/C96)</f>
        <v/>
      </c>
      <c r="F96" s="12">
        <f>COUNTIFS(Taches!$C$6:$C$325,"V3",Taches!$E$6:$E$325,$B96,Taches!$J$6:$J$325,"&lt;&gt;Abandonnée",Taches!$B$6:$B$325,"&lt;&gt;")</f>
        <v/>
      </c>
      <c r="G96" s="12">
        <f>COUNTIFS(Taches!$C$6:$C$325,"V3",Taches!$E$6:$E$325,$B96,Taches!$J$6:$J$325,"Complétée")</f>
        <v/>
      </c>
      <c r="H96" s="12">
        <f>COUNTIFS(Taches!$C$6:$C$325,"V3",Taches!$E$6:$E$325,$B96,Taches!$J$6:$J$325,"Bloquée")</f>
        <v/>
      </c>
      <c r="I96" s="12">
        <f>COUNTIFS(Taches!$C$6:$C$325,"V3",Taches!$E$6:$E$325,$B96,Taches!$U$6:$U$325,"En retard")</f>
        <v/>
      </c>
    </row>
    <row r="97">
      <c r="B97" s="30" t="inlineStr">
        <is>
          <t>Total V3</t>
        </is>
      </c>
      <c r="C97" s="30">
        <f>SUM(C85:C96)</f>
        <v/>
      </c>
      <c r="D97" s="31">
        <f>SUM(D85:D96)</f>
        <v/>
      </c>
      <c r="E97" s="32">
        <f>IF(C97=0,0,D97/C97)</f>
        <v/>
      </c>
      <c r="F97" s="30">
        <f>SUM(F85:F96)</f>
        <v/>
      </c>
      <c r="G97" s="30">
        <f>SUM(G85:G96)</f>
        <v/>
      </c>
      <c r="H97" s="30">
        <f>SUM(H85:H96)</f>
        <v/>
      </c>
      <c r="I97" s="30">
        <f>SUM(I85:I96)</f>
        <v/>
      </c>
    </row>
    <row r="99">
      <c r="B99" s="3" t="inlineStr">
        <is>
          <t>Prérequis</t>
        </is>
      </c>
    </row>
    <row r="100" ht="30" customHeight="1">
      <c r="B100" s="19" t="inlineStr">
        <is>
          <t>Qualification, NDA, T2 et data room validés en V2 ; contractualisation paiement ; avis juridique écrit sur le barème. CLOSED_REPORTED est réalisé dans V3, pas un prérequis V2.</t>
        </is>
      </c>
    </row>
    <row r="101">
      <c r="B101" s="3" t="inlineStr">
        <is>
          <t>Décision ou règle</t>
        </is>
      </c>
    </row>
    <row r="102" ht="36" customHeight="1">
      <c r="B102" s="33" t="inlineStr">
        <is>
          <t>Le barème de frais et la rétrocession ne s'activent qu'après avis juridique écrit, jamais par simple décision produit.</t>
        </is>
      </c>
      <c r="C102" s="34" t="n"/>
      <c r="D102" s="34" t="n"/>
      <c r="E102" s="34" t="n"/>
      <c r="F102" s="34" t="n"/>
      <c r="G102" s="34" t="n"/>
      <c r="H102" s="34" t="n"/>
      <c r="I102" s="34" t="n"/>
    </row>
    <row r="105" ht="26" customHeight="1">
      <c r="B105" s="22" t="inlineStr">
        <is>
          <t>V4  Alerte &amp; Rebond, Deal-Connect (Remo.co), Guichet Diaspora, Deal-Experts</t>
        </is>
      </c>
    </row>
    <row r="106" ht="28" customHeight="1">
      <c r="B106" s="23" t="inlineStr">
        <is>
          <t>Début prévu</t>
        </is>
      </c>
      <c r="C106" s="23" t="inlineStr">
        <is>
          <t>Fin prévue</t>
        </is>
      </c>
      <c r="D106" s="23" t="inlineStr">
        <is>
          <t>Charge (j/p)</t>
        </is>
      </c>
      <c r="E106" s="23" t="inlineStr">
        <is>
          <t>Charge (sem.-pers.)</t>
        </is>
      </c>
      <c r="F106" s="23" t="inlineStr">
        <is>
          <t>Avancement</t>
        </is>
      </c>
      <c r="G106" s="23" t="inlineStr">
        <is>
          <t>État</t>
        </is>
      </c>
      <c r="H106" s="23" t="inlineStr">
        <is>
          <t>Semaines calendaires</t>
        </is>
      </c>
      <c r="I106" s="23" t="inlineStr">
        <is>
          <t>ETP requis à pleine cadence</t>
        </is>
      </c>
    </row>
    <row r="107">
      <c r="B107" s="24">
        <f>Versions!D9</f>
        <v/>
      </c>
      <c r="C107" s="24">
        <f>Versions!E9</f>
        <v/>
      </c>
      <c r="D107" s="25">
        <f>Versions!G9</f>
        <v/>
      </c>
      <c r="E107" s="26">
        <f>Versions!H9</f>
        <v/>
      </c>
      <c r="F107" s="27">
        <f>Versions!J9</f>
        <v/>
      </c>
      <c r="G107" s="28">
        <f>Versions!P9</f>
        <v/>
      </c>
      <c r="H107" s="26">
        <f>ROUND((Versions!E9-Versions!D9)/7,1)</f>
        <v/>
      </c>
      <c r="I107" s="26">
        <f>IFERROR(ROUND(Versions!H9/((Versions!E9-Versions!D9)/7),1),0)</f>
        <v/>
      </c>
    </row>
    <row r="108" ht="48" customHeight="1">
      <c r="B108" s="19" t="inlineStr">
        <is>
          <t>Les modules réseau. Seul changement d'architecture notable : la brique de salons et rendez-vous virtuels est externalisée vers Remo.co plutôt que construite en propre.</t>
        </is>
      </c>
    </row>
    <row r="109">
      <c r="B109" s="3" t="inlineStr">
        <is>
          <t>Inclus</t>
        </is>
      </c>
      <c r="F109" s="3" t="inlineStr">
        <is>
          <t>Exclu ou reporté</t>
        </is>
      </c>
    </row>
    <row r="110" ht="30" customHeight="1">
      <c r="B110" s="19" t="inlineStr">
        <is>
          <t>+ Alerte &amp; Rebond : auto-diagnostic, cellule de crise confidentielle, listings d'actifs en difficulté, coupe-circuit</t>
        </is>
      </c>
      <c r="F110" s="29" t="inlineStr">
        <is>
          <t>- Mécanismes d'enchère en temps réel (non présumés contractuels)</t>
        </is>
      </c>
    </row>
    <row r="111" ht="30" customHeight="1">
      <c r="B111" s="19" t="inlineStr">
        <is>
          <t>+ Deal-Connect : événements B2B via connecteur Remo.co ; DealPME gère inscriptions, billetterie, attribution et reporting</t>
        </is>
      </c>
      <c r="F111" s="29" t="inlineStr">
        <is>
          <t>- Tout conseil de change ou d'investissement fourni par la plateforme</t>
        </is>
      </c>
    </row>
    <row r="112" ht="30" customHeight="1">
      <c r="B112" s="19" t="inlineStr">
        <is>
          <t>+ Guichet Diaspora : liste de suivi, rendez-vous sécurisé via Remo.co, contraintes transfrontalières, renvoi vers banque et conseil</t>
        </is>
      </c>
    </row>
    <row r="113" ht="30" customHeight="1">
      <c r="B113" s="19" t="inlineStr">
        <is>
          <t>+ Deal-Experts (P13 contractuel) : registre d'experts, routage, accès temporaire scopé</t>
        </is>
      </c>
    </row>
    <row r="115" ht="24" customHeight="1">
      <c r="B115" s="11" t="inlineStr">
        <is>
          <t>Lot</t>
        </is>
      </c>
      <c r="C115" s="11" t="inlineStr">
        <is>
          <t>Charge (j/p)</t>
        </is>
      </c>
      <c r="D115" s="11" t="inlineStr">
        <is>
          <t>Réalisé (j/p)</t>
        </is>
      </c>
      <c r="E115" s="11" t="inlineStr">
        <is>
          <t>Avancement</t>
        </is>
      </c>
      <c r="F115" s="11" t="inlineStr">
        <is>
          <t>Tâches</t>
        </is>
      </c>
      <c r="G115" s="11" t="inlineStr">
        <is>
          <t>Complétées</t>
        </is>
      </c>
      <c r="H115" s="11" t="inlineStr">
        <is>
          <t>Bloquées</t>
        </is>
      </c>
      <c r="I115" s="11" t="inlineStr">
        <is>
          <t>En retard</t>
        </is>
      </c>
    </row>
    <row r="116">
      <c r="B116" s="13" t="inlineStr">
        <is>
          <t>Conception</t>
        </is>
      </c>
      <c r="C116" s="12">
        <f>SUMIFS(Taches!$M$6:$M$325,Taches!$C$6:$C$325,"V4",Taches!$E$6:$E$325,$B116)</f>
        <v/>
      </c>
      <c r="D116" s="15">
        <f>SUMIFS(Taches!$N$6:$N$325,Taches!$C$6:$C$325,"V4",Taches!$E$6:$E$325,$B116)</f>
        <v/>
      </c>
      <c r="E116" s="16">
        <f>IF(C116=0,0,D116/C116)</f>
        <v/>
      </c>
      <c r="F116" s="12">
        <f>COUNTIFS(Taches!$C$6:$C$325,"V4",Taches!$E$6:$E$325,$B116,Taches!$J$6:$J$325,"&lt;&gt;Abandonnée",Taches!$B$6:$B$325,"&lt;&gt;")</f>
        <v/>
      </c>
      <c r="G116" s="12">
        <f>COUNTIFS(Taches!$C$6:$C$325,"V4",Taches!$E$6:$E$325,$B116,Taches!$J$6:$J$325,"Complétée")</f>
        <v/>
      </c>
      <c r="H116" s="12">
        <f>COUNTIFS(Taches!$C$6:$C$325,"V4",Taches!$E$6:$E$325,$B116,Taches!$J$6:$J$325,"Bloquée")</f>
        <v/>
      </c>
      <c r="I116" s="12">
        <f>COUNTIFS(Taches!$C$6:$C$325,"V4",Taches!$E$6:$E$325,$B116,Taches!$U$6:$U$325,"En retard")</f>
        <v/>
      </c>
    </row>
    <row r="117">
      <c r="B117" s="13" t="inlineStr">
        <is>
          <t>Alerte &amp; Rebond</t>
        </is>
      </c>
      <c r="C117" s="12">
        <f>SUMIFS(Taches!$M$6:$M$325,Taches!$C$6:$C$325,"V4",Taches!$E$6:$E$325,$B117)</f>
        <v/>
      </c>
      <c r="D117" s="15">
        <f>SUMIFS(Taches!$N$6:$N$325,Taches!$C$6:$C$325,"V4",Taches!$E$6:$E$325,$B117)</f>
        <v/>
      </c>
      <c r="E117" s="16">
        <f>IF(C117=0,0,D117/C117)</f>
        <v/>
      </c>
      <c r="F117" s="12">
        <f>COUNTIFS(Taches!$C$6:$C$325,"V4",Taches!$E$6:$E$325,$B117,Taches!$J$6:$J$325,"&lt;&gt;Abandonnée",Taches!$B$6:$B$325,"&lt;&gt;")</f>
        <v/>
      </c>
      <c r="G117" s="12">
        <f>COUNTIFS(Taches!$C$6:$C$325,"V4",Taches!$E$6:$E$325,$B117,Taches!$J$6:$J$325,"Complétée")</f>
        <v/>
      </c>
      <c r="H117" s="12">
        <f>COUNTIFS(Taches!$C$6:$C$325,"V4",Taches!$E$6:$E$325,$B117,Taches!$J$6:$J$325,"Bloquée")</f>
        <v/>
      </c>
      <c r="I117" s="12">
        <f>COUNTIFS(Taches!$C$6:$C$325,"V4",Taches!$E$6:$E$325,$B117,Taches!$U$6:$U$325,"En retard")</f>
        <v/>
      </c>
    </row>
    <row r="118">
      <c r="B118" s="13" t="inlineStr">
        <is>
          <t>Actifs en difficulté</t>
        </is>
      </c>
      <c r="C118" s="12">
        <f>SUMIFS(Taches!$M$6:$M$325,Taches!$C$6:$C$325,"V4",Taches!$E$6:$E$325,$B118)</f>
        <v/>
      </c>
      <c r="D118" s="15">
        <f>SUMIFS(Taches!$N$6:$N$325,Taches!$C$6:$C$325,"V4",Taches!$E$6:$E$325,$B118)</f>
        <v/>
      </c>
      <c r="E118" s="16">
        <f>IF(C118=0,0,D118/C118)</f>
        <v/>
      </c>
      <c r="F118" s="12">
        <f>COUNTIFS(Taches!$C$6:$C$325,"V4",Taches!$E$6:$E$325,$B118,Taches!$J$6:$J$325,"&lt;&gt;Abandonnée",Taches!$B$6:$B$325,"&lt;&gt;")</f>
        <v/>
      </c>
      <c r="G118" s="12">
        <f>COUNTIFS(Taches!$C$6:$C$325,"V4",Taches!$E$6:$E$325,$B118,Taches!$J$6:$J$325,"Complétée")</f>
        <v/>
      </c>
      <c r="H118" s="12">
        <f>COUNTIFS(Taches!$C$6:$C$325,"V4",Taches!$E$6:$E$325,$B118,Taches!$J$6:$J$325,"Bloquée")</f>
        <v/>
      </c>
      <c r="I118" s="12">
        <f>COUNTIFS(Taches!$C$6:$C$325,"V4",Taches!$E$6:$E$325,$B118,Taches!$U$6:$U$325,"En retard")</f>
        <v/>
      </c>
    </row>
    <row r="119">
      <c r="B119" s="13" t="inlineStr">
        <is>
          <t>Deal-Connect</t>
        </is>
      </c>
      <c r="C119" s="12">
        <f>SUMIFS(Taches!$M$6:$M$325,Taches!$C$6:$C$325,"V4",Taches!$E$6:$E$325,$B119)</f>
        <v/>
      </c>
      <c r="D119" s="15">
        <f>SUMIFS(Taches!$N$6:$N$325,Taches!$C$6:$C$325,"V4",Taches!$E$6:$E$325,$B119)</f>
        <v/>
      </c>
      <c r="E119" s="16">
        <f>IF(C119=0,0,D119/C119)</f>
        <v/>
      </c>
      <c r="F119" s="12">
        <f>COUNTIFS(Taches!$C$6:$C$325,"V4",Taches!$E$6:$E$325,$B119,Taches!$J$6:$J$325,"&lt;&gt;Abandonnée",Taches!$B$6:$B$325,"&lt;&gt;")</f>
        <v/>
      </c>
      <c r="G119" s="12">
        <f>COUNTIFS(Taches!$C$6:$C$325,"V4",Taches!$E$6:$E$325,$B119,Taches!$J$6:$J$325,"Complétée")</f>
        <v/>
      </c>
      <c r="H119" s="12">
        <f>COUNTIFS(Taches!$C$6:$C$325,"V4",Taches!$E$6:$E$325,$B119,Taches!$J$6:$J$325,"Bloquée")</f>
        <v/>
      </c>
      <c r="I119" s="12">
        <f>COUNTIFS(Taches!$C$6:$C$325,"V4",Taches!$E$6:$E$325,$B119,Taches!$U$6:$U$325,"En retard")</f>
        <v/>
      </c>
    </row>
    <row r="120">
      <c r="B120" s="13" t="inlineStr">
        <is>
          <t>Guichet Diaspora</t>
        </is>
      </c>
      <c r="C120" s="12">
        <f>SUMIFS(Taches!$M$6:$M$325,Taches!$C$6:$C$325,"V4",Taches!$E$6:$E$325,$B120)</f>
        <v/>
      </c>
      <c r="D120" s="15">
        <f>SUMIFS(Taches!$N$6:$N$325,Taches!$C$6:$C$325,"V4",Taches!$E$6:$E$325,$B120)</f>
        <v/>
      </c>
      <c r="E120" s="16">
        <f>IF(C120=0,0,D120/C120)</f>
        <v/>
      </c>
      <c r="F120" s="12">
        <f>COUNTIFS(Taches!$C$6:$C$325,"V4",Taches!$E$6:$E$325,$B120,Taches!$J$6:$J$325,"&lt;&gt;Abandonnée",Taches!$B$6:$B$325,"&lt;&gt;")</f>
        <v/>
      </c>
      <c r="G120" s="12">
        <f>COUNTIFS(Taches!$C$6:$C$325,"V4",Taches!$E$6:$E$325,$B120,Taches!$J$6:$J$325,"Complétée")</f>
        <v/>
      </c>
      <c r="H120" s="12">
        <f>COUNTIFS(Taches!$C$6:$C$325,"V4",Taches!$E$6:$E$325,$B120,Taches!$J$6:$J$325,"Bloquée")</f>
        <v/>
      </c>
      <c r="I120" s="12">
        <f>COUNTIFS(Taches!$C$6:$C$325,"V4",Taches!$E$6:$E$325,$B120,Taches!$U$6:$U$325,"En retard")</f>
        <v/>
      </c>
    </row>
    <row r="121">
      <c r="B121" s="13" t="inlineStr">
        <is>
          <t>Deal-Experts</t>
        </is>
      </c>
      <c r="C121" s="12">
        <f>SUMIFS(Taches!$M$6:$M$325,Taches!$C$6:$C$325,"V4",Taches!$E$6:$E$325,$B121)</f>
        <v/>
      </c>
      <c r="D121" s="15">
        <f>SUMIFS(Taches!$N$6:$N$325,Taches!$C$6:$C$325,"V4",Taches!$E$6:$E$325,$B121)</f>
        <v/>
      </c>
      <c r="E121" s="16">
        <f>IF(C121=0,0,D121/C121)</f>
        <v/>
      </c>
      <c r="F121" s="12">
        <f>COUNTIFS(Taches!$C$6:$C$325,"V4",Taches!$E$6:$E$325,$B121,Taches!$J$6:$J$325,"&lt;&gt;Abandonnée",Taches!$B$6:$B$325,"&lt;&gt;")</f>
        <v/>
      </c>
      <c r="G121" s="12">
        <f>COUNTIFS(Taches!$C$6:$C$325,"V4",Taches!$E$6:$E$325,$B121,Taches!$J$6:$J$325,"Complétée")</f>
        <v/>
      </c>
      <c r="H121" s="12">
        <f>COUNTIFS(Taches!$C$6:$C$325,"V4",Taches!$E$6:$E$325,$B121,Taches!$J$6:$J$325,"Bloquée")</f>
        <v/>
      </c>
      <c r="I121" s="12">
        <f>COUNTIFS(Taches!$C$6:$C$325,"V4",Taches!$E$6:$E$325,$B121,Taches!$U$6:$U$325,"En retard")</f>
        <v/>
      </c>
    </row>
    <row r="122">
      <c r="B122" s="13" t="inlineStr">
        <is>
          <t>QA et livraison</t>
        </is>
      </c>
      <c r="C122" s="12">
        <f>SUMIFS(Taches!$M$6:$M$325,Taches!$C$6:$C$325,"V4",Taches!$E$6:$E$325,$B122)</f>
        <v/>
      </c>
      <c r="D122" s="15">
        <f>SUMIFS(Taches!$N$6:$N$325,Taches!$C$6:$C$325,"V4",Taches!$E$6:$E$325,$B122)</f>
        <v/>
      </c>
      <c r="E122" s="16">
        <f>IF(C122=0,0,D122/C122)</f>
        <v/>
      </c>
      <c r="F122" s="12">
        <f>COUNTIFS(Taches!$C$6:$C$325,"V4",Taches!$E$6:$E$325,$B122,Taches!$J$6:$J$325,"&lt;&gt;Abandonnée",Taches!$B$6:$B$325,"&lt;&gt;")</f>
        <v/>
      </c>
      <c r="G122" s="12">
        <f>COUNTIFS(Taches!$C$6:$C$325,"V4",Taches!$E$6:$E$325,$B122,Taches!$J$6:$J$325,"Complétée")</f>
        <v/>
      </c>
      <c r="H122" s="12">
        <f>COUNTIFS(Taches!$C$6:$C$325,"V4",Taches!$E$6:$E$325,$B122,Taches!$J$6:$J$325,"Bloquée")</f>
        <v/>
      </c>
      <c r="I122" s="12">
        <f>COUNTIFS(Taches!$C$6:$C$325,"V4",Taches!$E$6:$E$325,$B122,Taches!$U$6:$U$325,"En retard")</f>
        <v/>
      </c>
    </row>
    <row r="123">
      <c r="B123" s="30" t="inlineStr">
        <is>
          <t>Total V4</t>
        </is>
      </c>
      <c r="C123" s="30">
        <f>SUM(C116:C122)</f>
        <v/>
      </c>
      <c r="D123" s="31">
        <f>SUM(D116:D122)</f>
        <v/>
      </c>
      <c r="E123" s="32">
        <f>IF(C123=0,0,D123/C123)</f>
        <v/>
      </c>
      <c r="F123" s="30">
        <f>SUM(F116:F122)</f>
        <v/>
      </c>
      <c r="G123" s="30">
        <f>SUM(G116:G122)</f>
        <v/>
      </c>
      <c r="H123" s="30">
        <f>SUM(H116:H122)</f>
        <v/>
      </c>
      <c r="I123" s="30">
        <f>SUM(I116:I122)</f>
        <v/>
      </c>
    </row>
    <row r="125">
      <c r="B125" s="3" t="inlineStr">
        <is>
          <t>Prérequis</t>
        </is>
      </c>
    </row>
    <row r="126" ht="30" customHeight="1">
      <c r="B126" s="19" t="inlineStr">
        <is>
          <t>Portes de conformité fermées (V3) ; cadrage écrit de l'intégration Remo.co.</t>
        </is>
      </c>
    </row>
    <row r="127">
      <c r="B127" s="3" t="inlineStr">
        <is>
          <t>Décision ou règle</t>
        </is>
      </c>
    </row>
    <row r="128" ht="36" customHeight="1">
      <c r="B128" s="33" t="inlineStr">
        <is>
          <t>Remo.co est retenu. Le périmètre exact (SSO natif, webhooks de présence, marque blanche) dépend du plan Remo.co choisi.</t>
        </is>
      </c>
      <c r="C128" s="34" t="n"/>
      <c r="D128" s="34" t="n"/>
      <c r="E128" s="34" t="n"/>
      <c r="F128" s="34" t="n"/>
      <c r="G128" s="34" t="n"/>
      <c r="H128" s="34" t="n"/>
      <c r="I128" s="34" t="n"/>
    </row>
    <row r="131" ht="26" customHeight="1">
      <c r="B131" s="22" t="inlineStr">
        <is>
          <t>V5  VDR Intelligence : DealLens, Evidence Map, Issue Radar, Clean Team</t>
        </is>
      </c>
    </row>
    <row r="132" ht="28" customHeight="1">
      <c r="B132" s="23" t="inlineStr">
        <is>
          <t>Début prévu</t>
        </is>
      </c>
      <c r="C132" s="23" t="inlineStr">
        <is>
          <t>Fin prévue</t>
        </is>
      </c>
      <c r="D132" s="23" t="inlineStr">
        <is>
          <t>Charge (j/p)</t>
        </is>
      </c>
      <c r="E132" s="23" t="inlineStr">
        <is>
          <t>Charge (sem.-pers.)</t>
        </is>
      </c>
      <c r="F132" s="23" t="inlineStr">
        <is>
          <t>Avancement</t>
        </is>
      </c>
      <c r="G132" s="23" t="inlineStr">
        <is>
          <t>État</t>
        </is>
      </c>
      <c r="H132" s="23" t="inlineStr">
        <is>
          <t>Semaines calendaires</t>
        </is>
      </c>
      <c r="I132" s="23" t="inlineStr">
        <is>
          <t>ETP requis à pleine cadence</t>
        </is>
      </c>
    </row>
    <row r="133">
      <c r="B133" s="24">
        <f>Versions!D10</f>
        <v/>
      </c>
      <c r="C133" s="24">
        <f>Versions!E10</f>
        <v/>
      </c>
      <c r="D133" s="25">
        <f>Versions!G10</f>
        <v/>
      </c>
      <c r="E133" s="26">
        <f>Versions!H10</f>
        <v/>
      </c>
      <c r="F133" s="27">
        <f>Versions!J10</f>
        <v/>
      </c>
      <c r="G133" s="28">
        <f>Versions!P10</f>
        <v/>
      </c>
      <c r="H133" s="26">
        <f>ROUND((Versions!E10-Versions!D10)/7,1)</f>
        <v/>
      </c>
      <c r="I133" s="26">
        <f>IFERROR(ROUND(Versions!H10/((Versions!E10-Versions!D10)/7),1),0)</f>
        <v/>
      </c>
    </row>
    <row r="134" ht="48" customHeight="1">
      <c r="B134" s="19" t="inlineStr">
        <is>
          <t>Le module le plus spécifié du corpus existant et pourtant le plus éloigné de la production : aucun fournisseur IA n'est engagé. Placé en dernier car le moins urgent contractuellement et le plus risqué techniquement.</t>
        </is>
      </c>
    </row>
    <row r="135">
      <c r="B135" s="3" t="inlineStr">
        <is>
          <t>Inclus</t>
        </is>
      </c>
      <c r="F135" s="3" t="inlineStr">
        <is>
          <t>Exclu ou reporté</t>
        </is>
      </c>
    </row>
    <row r="136" ht="30" customHeight="1">
      <c r="B136" s="19" t="inlineStr">
        <is>
          <t>+ Contrat fournisseur IA et pare-feu de permission : filtrage avant récupération, jamais après</t>
        </is>
      </c>
      <c r="F136" s="29" t="inlineStr">
        <is>
          <t>- Toute action autonome de l'IA : publication, changement de permission, certification, réponse au cédant</t>
        </is>
      </c>
    </row>
    <row r="137" ht="30" customHeight="1">
      <c r="B137" s="19" t="inlineStr">
        <is>
          <t>+ Neuf surfaces : Cockpit, DealLens document et salle, Issue Radar, Evidence Map, Atelier Q&amp;R, Engagement Pulse, Audit, Accès et Clean Team</t>
        </is>
      </c>
    </row>
    <row r="138" ht="30" customHeight="1">
      <c r="B138" s="19" t="inlineStr">
        <is>
          <t>+ Rapprochement financier, intelligence de version, caviardage assisté avec revue humaine</t>
        </is>
      </c>
    </row>
    <row r="139" ht="30" customHeight="1">
      <c r="B139" s="19" t="inlineStr">
        <is>
          <t>+ Tests AI-01 à AI-06, DOC-01 à DOC-03, Q&amp;A-01, UI-01</t>
        </is>
      </c>
    </row>
    <row r="141" ht="24" customHeight="1">
      <c r="B141" s="11" t="inlineStr">
        <is>
          <t>Lot</t>
        </is>
      </c>
      <c r="C141" s="11" t="inlineStr">
        <is>
          <t>Charge (j/p)</t>
        </is>
      </c>
      <c r="D141" s="11" t="inlineStr">
        <is>
          <t>Réalisé (j/p)</t>
        </is>
      </c>
      <c r="E141" s="11" t="inlineStr">
        <is>
          <t>Avancement</t>
        </is>
      </c>
      <c r="F141" s="11" t="inlineStr">
        <is>
          <t>Tâches</t>
        </is>
      </c>
      <c r="G141" s="11" t="inlineStr">
        <is>
          <t>Complétées</t>
        </is>
      </c>
      <c r="H141" s="11" t="inlineStr">
        <is>
          <t>Bloquées</t>
        </is>
      </c>
      <c r="I141" s="11" t="inlineStr">
        <is>
          <t>En retard</t>
        </is>
      </c>
    </row>
    <row r="142">
      <c r="B142" s="13" t="inlineStr">
        <is>
          <t>Conception</t>
        </is>
      </c>
      <c r="C142" s="12">
        <f>SUMIFS(Taches!$M$6:$M$325,Taches!$C$6:$C$325,"V5",Taches!$E$6:$E$325,$B142)</f>
        <v/>
      </c>
      <c r="D142" s="15">
        <f>SUMIFS(Taches!$N$6:$N$325,Taches!$C$6:$C$325,"V5",Taches!$E$6:$E$325,$B142)</f>
        <v/>
      </c>
      <c r="E142" s="16">
        <f>IF(C142=0,0,D142/C142)</f>
        <v/>
      </c>
      <c r="F142" s="12">
        <f>COUNTIFS(Taches!$C$6:$C$325,"V5",Taches!$E$6:$E$325,$B142,Taches!$J$6:$J$325,"&lt;&gt;Abandonnée",Taches!$B$6:$B$325,"&lt;&gt;")</f>
        <v/>
      </c>
      <c r="G142" s="12">
        <f>COUNTIFS(Taches!$C$6:$C$325,"V5",Taches!$E$6:$E$325,$B142,Taches!$J$6:$J$325,"Complétée")</f>
        <v/>
      </c>
      <c r="H142" s="12">
        <f>COUNTIFS(Taches!$C$6:$C$325,"V5",Taches!$E$6:$E$325,$B142,Taches!$J$6:$J$325,"Bloquée")</f>
        <v/>
      </c>
      <c r="I142" s="12">
        <f>COUNTIFS(Taches!$C$6:$C$325,"V5",Taches!$E$6:$E$325,$B142,Taches!$U$6:$U$325,"En retard")</f>
        <v/>
      </c>
    </row>
    <row r="143">
      <c r="B143" s="13" t="inlineStr">
        <is>
          <t>Fournisseur IA</t>
        </is>
      </c>
      <c r="C143" s="12">
        <f>SUMIFS(Taches!$M$6:$M$325,Taches!$C$6:$C$325,"V5",Taches!$E$6:$E$325,$B143)</f>
        <v/>
      </c>
      <c r="D143" s="15">
        <f>SUMIFS(Taches!$N$6:$N$325,Taches!$C$6:$C$325,"V5",Taches!$E$6:$E$325,$B143)</f>
        <v/>
      </c>
      <c r="E143" s="16">
        <f>IF(C143=0,0,D143/C143)</f>
        <v/>
      </c>
      <c r="F143" s="12">
        <f>COUNTIFS(Taches!$C$6:$C$325,"V5",Taches!$E$6:$E$325,$B143,Taches!$J$6:$J$325,"&lt;&gt;Abandonnée",Taches!$B$6:$B$325,"&lt;&gt;")</f>
        <v/>
      </c>
      <c r="G143" s="12">
        <f>COUNTIFS(Taches!$C$6:$C$325,"V5",Taches!$E$6:$E$325,$B143,Taches!$J$6:$J$325,"Complétée")</f>
        <v/>
      </c>
      <c r="H143" s="12">
        <f>COUNTIFS(Taches!$C$6:$C$325,"V5",Taches!$E$6:$E$325,$B143,Taches!$J$6:$J$325,"Bloquée")</f>
        <v/>
      </c>
      <c r="I143" s="12">
        <f>COUNTIFS(Taches!$C$6:$C$325,"V5",Taches!$E$6:$E$325,$B143,Taches!$U$6:$U$325,"En retard")</f>
        <v/>
      </c>
    </row>
    <row r="144">
      <c r="B144" s="13" t="inlineStr">
        <is>
          <t>Ingestion</t>
        </is>
      </c>
      <c r="C144" s="12">
        <f>SUMIFS(Taches!$M$6:$M$325,Taches!$C$6:$C$325,"V5",Taches!$E$6:$E$325,$B144)</f>
        <v/>
      </c>
      <c r="D144" s="15">
        <f>SUMIFS(Taches!$N$6:$N$325,Taches!$C$6:$C$325,"V5",Taches!$E$6:$E$325,$B144)</f>
        <v/>
      </c>
      <c r="E144" s="16">
        <f>IF(C144=0,0,D144/C144)</f>
        <v/>
      </c>
      <c r="F144" s="12">
        <f>COUNTIFS(Taches!$C$6:$C$325,"V5",Taches!$E$6:$E$325,$B144,Taches!$J$6:$J$325,"&lt;&gt;Abandonnée",Taches!$B$6:$B$325,"&lt;&gt;")</f>
        <v/>
      </c>
      <c r="G144" s="12">
        <f>COUNTIFS(Taches!$C$6:$C$325,"V5",Taches!$E$6:$E$325,$B144,Taches!$J$6:$J$325,"Complétée")</f>
        <v/>
      </c>
      <c r="H144" s="12">
        <f>COUNTIFS(Taches!$C$6:$C$325,"V5",Taches!$E$6:$E$325,$B144,Taches!$J$6:$J$325,"Bloquée")</f>
        <v/>
      </c>
      <c r="I144" s="12">
        <f>COUNTIFS(Taches!$C$6:$C$325,"V5",Taches!$E$6:$E$325,$B144,Taches!$U$6:$U$325,"En retard")</f>
        <v/>
      </c>
    </row>
    <row r="145">
      <c r="B145" s="13" t="inlineStr">
        <is>
          <t>DealLens</t>
        </is>
      </c>
      <c r="C145" s="12">
        <f>SUMIFS(Taches!$M$6:$M$325,Taches!$C$6:$C$325,"V5",Taches!$E$6:$E$325,$B145)</f>
        <v/>
      </c>
      <c r="D145" s="15">
        <f>SUMIFS(Taches!$N$6:$N$325,Taches!$C$6:$C$325,"V5",Taches!$E$6:$E$325,$B145)</f>
        <v/>
      </c>
      <c r="E145" s="16">
        <f>IF(C145=0,0,D145/C145)</f>
        <v/>
      </c>
      <c r="F145" s="12">
        <f>COUNTIFS(Taches!$C$6:$C$325,"V5",Taches!$E$6:$E$325,$B145,Taches!$J$6:$J$325,"&lt;&gt;Abandonnée",Taches!$B$6:$B$325,"&lt;&gt;")</f>
        <v/>
      </c>
      <c r="G145" s="12">
        <f>COUNTIFS(Taches!$C$6:$C$325,"V5",Taches!$E$6:$E$325,$B145,Taches!$J$6:$J$325,"Complétée")</f>
        <v/>
      </c>
      <c r="H145" s="12">
        <f>COUNTIFS(Taches!$C$6:$C$325,"V5",Taches!$E$6:$E$325,$B145,Taches!$J$6:$J$325,"Bloquée")</f>
        <v/>
      </c>
      <c r="I145" s="12">
        <f>COUNTIFS(Taches!$C$6:$C$325,"V5",Taches!$E$6:$E$325,$B145,Taches!$U$6:$U$325,"En retard")</f>
        <v/>
      </c>
    </row>
    <row r="146">
      <c r="B146" s="13" t="inlineStr">
        <is>
          <t>Surfaces</t>
        </is>
      </c>
      <c r="C146" s="12">
        <f>SUMIFS(Taches!$M$6:$M$325,Taches!$C$6:$C$325,"V5",Taches!$E$6:$E$325,$B146)</f>
        <v/>
      </c>
      <c r="D146" s="15">
        <f>SUMIFS(Taches!$N$6:$N$325,Taches!$C$6:$C$325,"V5",Taches!$E$6:$E$325,$B146)</f>
        <v/>
      </c>
      <c r="E146" s="16">
        <f>IF(C146=0,0,D146/C146)</f>
        <v/>
      </c>
      <c r="F146" s="12">
        <f>COUNTIFS(Taches!$C$6:$C$325,"V5",Taches!$E$6:$E$325,$B146,Taches!$J$6:$J$325,"&lt;&gt;Abandonnée",Taches!$B$6:$B$325,"&lt;&gt;")</f>
        <v/>
      </c>
      <c r="G146" s="12">
        <f>COUNTIFS(Taches!$C$6:$C$325,"V5",Taches!$E$6:$E$325,$B146,Taches!$J$6:$J$325,"Complétée")</f>
        <v/>
      </c>
      <c r="H146" s="12">
        <f>COUNTIFS(Taches!$C$6:$C$325,"V5",Taches!$E$6:$E$325,$B146,Taches!$J$6:$J$325,"Bloquée")</f>
        <v/>
      </c>
      <c r="I146" s="12">
        <f>COUNTIFS(Taches!$C$6:$C$325,"V5",Taches!$E$6:$E$325,$B146,Taches!$U$6:$U$325,"En retard")</f>
        <v/>
      </c>
    </row>
    <row r="147">
      <c r="B147" s="13" t="inlineStr">
        <is>
          <t>Accès</t>
        </is>
      </c>
      <c r="C147" s="12">
        <f>SUMIFS(Taches!$M$6:$M$325,Taches!$C$6:$C$325,"V5",Taches!$E$6:$E$325,$B147)</f>
        <v/>
      </c>
      <c r="D147" s="15">
        <f>SUMIFS(Taches!$N$6:$N$325,Taches!$C$6:$C$325,"V5",Taches!$E$6:$E$325,$B147)</f>
        <v/>
      </c>
      <c r="E147" s="16">
        <f>IF(C147=0,0,D147/C147)</f>
        <v/>
      </c>
      <c r="F147" s="12">
        <f>COUNTIFS(Taches!$C$6:$C$325,"V5",Taches!$E$6:$E$325,$B147,Taches!$J$6:$J$325,"&lt;&gt;Abandonnée",Taches!$B$6:$B$325,"&lt;&gt;")</f>
        <v/>
      </c>
      <c r="G147" s="12">
        <f>COUNTIFS(Taches!$C$6:$C$325,"V5",Taches!$E$6:$E$325,$B147,Taches!$J$6:$J$325,"Complétée")</f>
        <v/>
      </c>
      <c r="H147" s="12">
        <f>COUNTIFS(Taches!$C$6:$C$325,"V5",Taches!$E$6:$E$325,$B147,Taches!$J$6:$J$325,"Bloquée")</f>
        <v/>
      </c>
      <c r="I147" s="12">
        <f>COUNTIFS(Taches!$C$6:$C$325,"V5",Taches!$E$6:$E$325,$B147,Taches!$U$6:$U$325,"En retard")</f>
        <v/>
      </c>
    </row>
    <row r="148">
      <c r="B148" s="13" t="inlineStr">
        <is>
          <t>QA IA</t>
        </is>
      </c>
      <c r="C148" s="12">
        <f>SUMIFS(Taches!$M$6:$M$325,Taches!$C$6:$C$325,"V5",Taches!$E$6:$E$325,$B148)</f>
        <v/>
      </c>
      <c r="D148" s="15">
        <f>SUMIFS(Taches!$N$6:$N$325,Taches!$C$6:$C$325,"V5",Taches!$E$6:$E$325,$B148)</f>
        <v/>
      </c>
      <c r="E148" s="16">
        <f>IF(C148=0,0,D148/C148)</f>
        <v/>
      </c>
      <c r="F148" s="12">
        <f>COUNTIFS(Taches!$C$6:$C$325,"V5",Taches!$E$6:$E$325,$B148,Taches!$J$6:$J$325,"&lt;&gt;Abandonnée",Taches!$B$6:$B$325,"&lt;&gt;")</f>
        <v/>
      </c>
      <c r="G148" s="12">
        <f>COUNTIFS(Taches!$C$6:$C$325,"V5",Taches!$E$6:$E$325,$B148,Taches!$J$6:$J$325,"Complétée")</f>
        <v/>
      </c>
      <c r="H148" s="12">
        <f>COUNTIFS(Taches!$C$6:$C$325,"V5",Taches!$E$6:$E$325,$B148,Taches!$J$6:$J$325,"Bloquée")</f>
        <v/>
      </c>
      <c r="I148" s="12">
        <f>COUNTIFS(Taches!$C$6:$C$325,"V5",Taches!$E$6:$E$325,$B148,Taches!$U$6:$U$325,"En retard")</f>
        <v/>
      </c>
    </row>
    <row r="149">
      <c r="B149" s="30" t="inlineStr">
        <is>
          <t>Total V5</t>
        </is>
      </c>
      <c r="C149" s="30">
        <f>SUM(C142:C148)</f>
        <v/>
      </c>
      <c r="D149" s="31">
        <f>SUM(D142:D148)</f>
        <v/>
      </c>
      <c r="E149" s="32">
        <f>IF(C149=0,0,D149/C149)</f>
        <v/>
      </c>
      <c r="F149" s="30">
        <f>SUM(F142:F148)</f>
        <v/>
      </c>
      <c r="G149" s="30">
        <f>SUM(G142:G148)</f>
        <v/>
      </c>
      <c r="H149" s="30">
        <f>SUM(H142:H148)</f>
        <v/>
      </c>
      <c r="I149" s="30">
        <f>SUM(I142:I148)</f>
        <v/>
      </c>
    </row>
    <row r="151">
      <c r="B151" s="3" t="inlineStr">
        <is>
          <t>Prérequis</t>
        </is>
      </c>
    </row>
    <row r="152" ht="30" customHeight="1">
      <c r="B152" s="19" t="inlineStr">
        <is>
          <t>Data room de production stable (V2) ; contrat fournisseur IA avec clauses de confidentialité.</t>
        </is>
      </c>
    </row>
    <row r="153">
      <c r="B153" s="3" t="inlineStr">
        <is>
          <t>Décision ou règle</t>
        </is>
      </c>
    </row>
    <row r="154" ht="36" customHeight="1">
      <c r="B154" s="33" t="inlineStr">
        <is>
          <t>DealLens reste assistif et lecture seule : il explique, résume, extrait et propose, il ne décide jamais.</t>
        </is>
      </c>
      <c r="C154" s="34" t="n"/>
      <c r="D154" s="34" t="n"/>
      <c r="E154" s="34" t="n"/>
      <c r="F154" s="34" t="n"/>
      <c r="G154" s="34" t="n"/>
      <c r="H154" s="34" t="n"/>
      <c r="I154" s="34" t="n"/>
    </row>
  </sheetData>
  <mergeCells count="61">
    <mergeCell ref="F13:I13"/>
    <mergeCell ref="F111:I111"/>
    <mergeCell ref="B100:I100"/>
    <mergeCell ref="B49:E49"/>
    <mergeCell ref="B154:I154"/>
    <mergeCell ref="B47:I47"/>
    <mergeCell ref="B139:E139"/>
    <mergeCell ref="B15:E15"/>
    <mergeCell ref="B134:I134"/>
    <mergeCell ref="B51:E51"/>
    <mergeCell ref="B80:E80"/>
    <mergeCell ref="B102:I102"/>
    <mergeCell ref="F136:I136"/>
    <mergeCell ref="F49:I49"/>
    <mergeCell ref="B10:E10"/>
    <mergeCell ref="B131:I131"/>
    <mergeCell ref="B76:E76"/>
    <mergeCell ref="B110:E110"/>
    <mergeCell ref="B70:I70"/>
    <mergeCell ref="B79:E79"/>
    <mergeCell ref="B105:I105"/>
    <mergeCell ref="B50:E50"/>
    <mergeCell ref="B39:I39"/>
    <mergeCell ref="B75:E75"/>
    <mergeCell ref="B113:E113"/>
    <mergeCell ref="B152:I152"/>
    <mergeCell ref="F11:I11"/>
    <mergeCell ref="B16:E16"/>
    <mergeCell ref="B138:E138"/>
    <mergeCell ref="B67:I67"/>
    <mergeCell ref="B81:E81"/>
    <mergeCell ref="F10:I10"/>
    <mergeCell ref="B8:I8"/>
    <mergeCell ref="B73:I73"/>
    <mergeCell ref="B18:E18"/>
    <mergeCell ref="B44:I44"/>
    <mergeCell ref="B12:E12"/>
    <mergeCell ref="B52:E52"/>
    <mergeCell ref="F12:I12"/>
    <mergeCell ref="B77:E77"/>
    <mergeCell ref="B11:E11"/>
    <mergeCell ref="B128:I128"/>
    <mergeCell ref="B108:I108"/>
    <mergeCell ref="B111:E111"/>
    <mergeCell ref="B65:I65"/>
    <mergeCell ref="B14:E14"/>
    <mergeCell ref="B136:E136"/>
    <mergeCell ref="F76:I76"/>
    <mergeCell ref="B17:E17"/>
    <mergeCell ref="F50:I50"/>
    <mergeCell ref="F110:I110"/>
    <mergeCell ref="B13:E13"/>
    <mergeCell ref="F75:I75"/>
    <mergeCell ref="B82:E82"/>
    <mergeCell ref="B78:E78"/>
    <mergeCell ref="B5:I5"/>
    <mergeCell ref="B112:E112"/>
    <mergeCell ref="B19:E19"/>
    <mergeCell ref="B41:I41"/>
    <mergeCell ref="B137:E137"/>
    <mergeCell ref="B126:I126"/>
  </mergeCells>
  <conditionalFormatting sqref="E22:E35">
    <cfRule type="dataBar" priority="1">
      <dataBar>
        <cfvo type="num" val="0"/>
        <cfvo type="num" val="1"/>
        <color rgb="006678F1"/>
      </dataBar>
    </cfRule>
  </conditionalFormatting>
  <conditionalFormatting sqref="H22:I35">
    <cfRule type="expression" priority="2" dxfId="4">
      <formula>H22&gt;0</formula>
    </cfRule>
  </conditionalFormatting>
  <conditionalFormatting sqref="E55:E61">
    <cfRule type="dataBar" priority="3">
      <dataBar>
        <cfvo type="num" val="0"/>
        <cfvo type="num" val="1"/>
        <color rgb="006678F1"/>
      </dataBar>
    </cfRule>
  </conditionalFormatting>
  <conditionalFormatting sqref="H55:I61">
    <cfRule type="expression" priority="4" dxfId="4">
      <formula>H55&gt;0</formula>
    </cfRule>
  </conditionalFormatting>
  <conditionalFormatting sqref="E85:E96">
    <cfRule type="dataBar" priority="5">
      <dataBar>
        <cfvo type="num" val="0"/>
        <cfvo type="num" val="1"/>
        <color rgb="006678F1"/>
      </dataBar>
    </cfRule>
  </conditionalFormatting>
  <conditionalFormatting sqref="H85:I96">
    <cfRule type="expression" priority="6" dxfId="4">
      <formula>H85&gt;0</formula>
    </cfRule>
  </conditionalFormatting>
  <conditionalFormatting sqref="E116:E122">
    <cfRule type="dataBar" priority="7">
      <dataBar>
        <cfvo type="num" val="0"/>
        <cfvo type="num" val="1"/>
        <color rgb="006678F1"/>
      </dataBar>
    </cfRule>
  </conditionalFormatting>
  <conditionalFormatting sqref="H116:I122">
    <cfRule type="expression" priority="8" dxfId="4">
      <formula>H116&gt;0</formula>
    </cfRule>
  </conditionalFormatting>
  <conditionalFormatting sqref="E142:E148">
    <cfRule type="dataBar" priority="9">
      <dataBar>
        <cfvo type="num" val="0"/>
        <cfvo type="num" val="1"/>
        <color rgb="006678F1"/>
      </dataBar>
    </cfRule>
  </conditionalFormatting>
  <conditionalFormatting sqref="H142:I148">
    <cfRule type="expression" priority="10" dxfId="4">
      <formula>H142&gt;0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21"/>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source des calculs. La source persistante du classeur est devX/build_suivi.py : y reporter toute saisie avant régénération. DealPME_Suivi.ods est une archive obsolète avec un autre calendrier, pas un suivi actif.</t>
        </is>
      </c>
    </row>
    <row r="6" ht="44" customHeight="1">
      <c r="B6" s="35" t="inlineStr">
        <is>
          <t>Audit du 12/09</t>
        </is>
      </c>
      <c r="C6" s="20" t="inlineStr">
        <is>
          <t>Voir docs/BILAN_AVANCEMENT_2026-09-12.md. Complétée = critère satisfait, pas simple présence de code. Les % des tâches en cours sont des estimations de travail ; les charges réalisées ne sont pas du temps consommé mesuré.</t>
        </is>
      </c>
    </row>
    <row r="7" ht="44" customHeight="1">
      <c r="B7" s="35" t="inlineStr">
        <is>
          <t>Fin réelle</t>
        </is>
      </c>
      <c r="C7" s="20" t="inlineStr">
        <is>
          <t>Une tâche peut finir avant son début prévu. Ne jamais recopier une date planifiée future en fin réelle. Les anciennes dates futures ont été écartées et conservées en commentaire ; leur date effective reste à confirmer.</t>
        </is>
      </c>
    </row>
    <row r="8" ht="44" customHeight="1">
      <c r="B8" s="35" t="inlineStr">
        <is>
          <t>Mettre à jour une tâche</t>
        </is>
      </c>
      <c r="C8"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9" ht="44" customHeight="1">
      <c r="B9" s="35" t="inlineStr">
        <is>
          <t>Ajouter une tâche</t>
        </is>
      </c>
      <c r="C9"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10" ht="44" customHeight="1">
      <c r="B10" s="35" t="inlineStr">
        <is>
          <t>Abandonner une tâche</t>
        </is>
      </c>
      <c r="C10" s="20" t="inlineStr">
        <is>
          <t>Mettre le statut 'Abandonnée' : la tâche sort des totaux de charge sans être supprimée (traçabilité).</t>
        </is>
      </c>
    </row>
    <row r="11" ht="44" customHeight="1">
      <c r="B11" s="35" t="inlineStr">
        <is>
          <t>Codes couleur</t>
        </is>
      </c>
      <c r="C11" s="20" t="inlineStr">
        <is>
          <t>Cellules jaune pâle : à saisir. Cellules grises : calculées, ne pas modifier. Statuts colorés automatiquement (vert complétée, ambre en cours, rouge bloquée).</t>
        </is>
      </c>
    </row>
    <row r="12" ht="44" customHeight="1">
      <c r="B12" s="35" t="inlineStr">
        <is>
          <t>Modules</t>
        </is>
      </c>
      <c r="C12" s="20" t="inlineStr">
        <is>
          <t>Avancement pondéré par la charge des tâches du module. Colonnes Responsable et Commentaire à saisir. Les éléments hors périmètre v0 sont listés pour mémoire, sans tâche.</t>
        </is>
      </c>
    </row>
    <row r="13" ht="44" customHeight="1">
      <c r="B13" s="35" t="inlineStr">
        <is>
          <t>Versions</t>
        </is>
      </c>
      <c r="C13" s="20" t="inlineStr">
        <is>
          <t>Les dates de début et de fin se saisissent ici. L'état passe automatiquement à 'En dépassement' si la date de fin est passée sans 100 %.</t>
        </is>
      </c>
    </row>
    <row r="14" ht="44" customHeight="1">
      <c r="B14" s="35" t="inlineStr">
        <is>
          <t>Jalons</t>
        </is>
      </c>
      <c r="C14" s="20" t="inlineStr">
        <is>
          <t>Saisir la date cible et le statut. La colonne Alerte signale 'Dépassé' ou 'Cette semaine'. Le tableau de bord affiche le prochain jalon non atteint.</t>
        </is>
      </c>
    </row>
    <row r="15" ht="44" customHeight="1">
      <c r="B15" s="35" t="inlineStr">
        <is>
          <t>Risques</t>
        </is>
      </c>
      <c r="C15" s="20" t="inlineStr">
        <is>
          <t>Saisir probabilité et impact de 1 à 5. Le score et le niveau se calculent. Passer le statut à 'Clos' quand le risque est levé.</t>
        </is>
      </c>
    </row>
    <row r="16" ht="44" customHeight="1">
      <c r="B16" s="35" t="inlineStr">
        <is>
          <t>Securite</t>
        </is>
      </c>
      <c r="C16" s="20" t="inlineStr">
        <is>
          <t>Registre des constats de sécurité : chaque ligne renvoie à la tâche qui la traite ; le statut et l'avancement se lisent automatiquement. Un report vers une version ultérieure doit être justifié et accompagné d'une mitigation.</t>
        </is>
      </c>
    </row>
    <row r="17" ht="44" customHeight="1">
      <c r="B17" s="35" t="inlineStr">
        <is>
          <t>Decisions</t>
        </is>
      </c>
      <c r="C17" s="20" t="inlineStr">
        <is>
          <t>Toute demande de changement de périmètre s'inscrit ici avant d'être traduite en tâches. Statut : Ouvert, En discussion, Tranché.</t>
        </is>
      </c>
    </row>
    <row r="18" ht="44" customHeight="1">
      <c r="B18" s="35" t="inlineStr">
        <is>
          <t>Gantt</t>
        </is>
      </c>
      <c r="C18" s="20" t="inlineStr">
        <is>
          <t>Barres hebdomadaires calculées depuis 'Début prévu' et 'Fin prévue' de chaque tâche. Modifier les dates dans Taches, pas dans le Gantt. La colonne de la semaine courante est surlignée.</t>
        </is>
      </c>
    </row>
    <row r="19" ht="44" customHeight="1">
      <c r="B19" s="35" t="inlineStr">
        <is>
          <t>Unités</t>
        </is>
      </c>
      <c r="C19" s="20" t="inlineStr">
        <is>
          <t>Charges en jours-personne (j/p). 5 j/p = 1 semaine-personne. Le calendrier réel dépend du nombre de personnes réellement affectées.</t>
        </is>
      </c>
    </row>
    <row r="20" ht="44" customHeight="1">
      <c r="B20" s="35" t="inlineStr">
        <is>
          <t>Paramètres</t>
        </is>
      </c>
      <c r="C20" s="20" t="inlineStr">
        <is>
          <t>Les listes déroulantes et l'avancement par défaut de chaque statut se modifient dans l'onglet Parametres.</t>
        </is>
      </c>
    </row>
    <row r="21" ht="44" customHeight="1">
      <c r="B21" s="35" t="inlineStr">
        <is>
          <t>Partage</t>
        </is>
      </c>
      <c r="C21"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En cours</t>
        </is>
      </c>
      <c r="K13" s="39" t="n">
        <v>0.8</v>
      </c>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c r="S13" s="37" t="inlineStr"/>
      <c r="T13" s="36" t="inlineStr">
        <is>
          <t>Non</t>
        </is>
      </c>
      <c r="U13" s="13">
        <f>IF($B13="","",IF(AND(J13&lt;&gt;"Complétée",J13&lt;&gt;"Abandonnée",Q13&lt;&gt;"",TODAY()&gt;Q13),"En retard",""))</f>
        <v/>
      </c>
      <c r="V13" s="37" t="inlineStr">
        <is>
          <t>Audit 12/09 : Monorepo et CI présents ; npm run lint ne lance aucun linter et build:libs masque les erreurs. Voir V1-091.</t>
        </is>
      </c>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0.4</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inlineStr">
        <is>
          <t>Audit 12/09 : Compose local présent ; aucun déploiement automatique de staging identifié dans .github/workflows/ci.yml.</t>
        </is>
      </c>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46268</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46269</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c r="S17" s="37" t="inlineStr"/>
      <c r="T17" s="36" t="inlineStr">
        <is>
          <t>Non</t>
        </is>
      </c>
      <c r="U17" s="13">
        <f>IF($B17="","",IF(AND(J17&lt;&gt;"Complétée",J17&lt;&gt;"Abandonnée",Q17&lt;&gt;"",TODAY()&gt;Q17),"En retard",""))</f>
        <v/>
      </c>
      <c r="V17" s="37" t="inlineStr">
        <is>
          <t>Audit 12/09 : ancienne fin réelle 08/10/2026 future, écartée ; date effective à confirmer.</t>
        </is>
      </c>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46269</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c r="S20" s="37" t="inlineStr"/>
      <c r="T20" s="36" t="inlineStr">
        <is>
          <t>Non</t>
        </is>
      </c>
      <c r="U20" s="13">
        <f>IF($B20="","",IF(AND(J20&lt;&gt;"Complétée",J20&lt;&gt;"Abandonnée",Q20&lt;&gt;"",TODAY()&gt;Q20),"En retard",""))</f>
        <v/>
      </c>
      <c r="V20" s="37" t="inlineStr">
        <is>
          <t>Audit 12/09 : ancienne fin réelle 08/10/2026 future, écartée ; date effective à confirmer.</t>
        </is>
      </c>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En cours</t>
        </is>
      </c>
      <c r="K21" s="39" t="n">
        <v>0.5</v>
      </c>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c r="S21" s="37" t="inlineStr"/>
      <c r="T21" s="36" t="inlineStr">
        <is>
          <t>Non</t>
        </is>
      </c>
      <c r="U21" s="13">
        <f>IF($B21="","",IF(AND(J21&lt;&gt;"Complétée",J21&lt;&gt;"Abandonnée",Q21&lt;&gt;"",TODAY()&gt;Q21),"En retard",""))</f>
        <v/>
      </c>
      <c r="V21" s="37" t="inlineStr">
        <is>
          <t>Audit 12/09 : ancienne fin réelle 07/10/2026 future, écartée ; date effective à confirmer. Audit 12/09 : Sondes et journaux présents ; centralisation et notification effective sur 5xx non démontrées.</t>
        </is>
      </c>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programmée ; restauration sans erreur masquée ; comparaison au manifeste daté, contrôle des objets et preuve archivée</t>
        </is>
      </c>
      <c r="H22" s="38" t="n">
        <v>2</v>
      </c>
      <c r="I22" s="36" t="inlineStr">
        <is>
          <t>Moyenne</t>
        </is>
      </c>
      <c r="J22" s="36" t="inlineStr">
        <is>
          <t>En cours</t>
        </is>
      </c>
      <c r="K22" s="39" t="n">
        <v>0.5</v>
      </c>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c r="S22" s="37" t="inlineStr"/>
      <c r="T22" s="36" t="inlineStr">
        <is>
          <t>Non</t>
        </is>
      </c>
      <c r="U22" s="13">
        <f>IF($B22="","",IF(AND(J22&lt;&gt;"Complétée",J22&lt;&gt;"Abandonnée",Q22&lt;&gt;"",TODAY()&gt;Q22),"En retard",""))</f>
        <v/>
      </c>
      <c r="V22" s="37" t="inlineStr">
        <is>
          <t>Audit 12/09 : ancienne fin réelle 08/10/2026 future, écartée ; date effective à confirmer. Audit 12/09 : Scripts présents ; ordonnanceur quotidien absent. restore-test.sh masque les erreurs pg_restore et compare au vivant plutôt qu'au manifeste de sauvegarde.</t>
        </is>
      </c>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46273</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46274</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46275</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c r="S30" s="37" t="inlineStr">
        <is>
          <t>Service ClamAV déployé</t>
        </is>
      </c>
      <c r="T30" s="36" t="inlineStr">
        <is>
          <t>Non</t>
        </is>
      </c>
      <c r="U30" s="13">
        <f>IF($B30="","",IF(AND(J30&lt;&gt;"Complétée",J30&lt;&gt;"Abandonnée",Q30&lt;&gt;"",TODAY()&gt;Q30),"En retard",""))</f>
        <v/>
      </c>
      <c r="V30" s="37" t="inlineStr">
        <is>
          <t>Audit 12/09 : ancienne fin réelle 01/10/2026 future, écartée ; date effective à confirmer.</t>
        </is>
      </c>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46274</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46273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46276</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46268</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c r="S37" s="37" t="inlineStr"/>
      <c r="T37" s="36" t="inlineStr">
        <is>
          <t>Non</t>
        </is>
      </c>
      <c r="U37" s="13">
        <f>IF($B37="","",IF(AND(J37&lt;&gt;"Complétée",J37&lt;&gt;"Abandonnée",Q37&lt;&gt;"",TODAY()&gt;Q37),"En retard",""))</f>
        <v/>
      </c>
      <c r="V37" s="37" t="inlineStr">
        <is>
          <t>Audit 12/09 : ancienne fin réelle 06/10/2026 future, écartée ; date effective à confirmer.</t>
        </is>
      </c>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46276</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c r="S39" s="37" t="inlineStr"/>
      <c r="T39" s="36" t="inlineStr">
        <is>
          <t>Non</t>
        </is>
      </c>
      <c r="U39" s="13">
        <f>IF($B39="","",IF(AND(J39&lt;&gt;"Complétée",J39&lt;&gt;"Abandonnée",Q39&lt;&gt;"",TODAY()&gt;Q39),"En retard",""))</f>
        <v/>
      </c>
      <c r="V39" s="37" t="inlineStr">
        <is>
          <t>Audit 12/09 : ancienne fin réelle 14/09/2026 future, écartée ; date effective à confirmer.</t>
        </is>
      </c>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46269</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c r="S42" s="37" t="inlineStr"/>
      <c r="T42" s="36" t="inlineStr">
        <is>
          <t>Non</t>
        </is>
      </c>
      <c r="U42" s="13">
        <f>IF($B42="","",IF(AND(J42&lt;&gt;"Complétée",J42&lt;&gt;"Abandonnée",Q42&lt;&gt;"",TODAY()&gt;Q42),"En retard",""))</f>
        <v/>
      </c>
      <c r="V42" s="37" t="inlineStr">
        <is>
          <t>Audit 12/09 : ancienne fin réelle 15/09/2026 future, écartée ; date effective à confirmer.</t>
        </is>
      </c>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c r="S43" s="37" t="inlineStr"/>
      <c r="T43" s="36" t="inlineStr">
        <is>
          <t>Non</t>
        </is>
      </c>
      <c r="U43" s="13">
        <f>IF($B43="","",IF(AND(J43&lt;&gt;"Complétée",J43&lt;&gt;"Abandonnée",Q43&lt;&gt;"",TODAY()&gt;Q43),"En retard",""))</f>
        <v/>
      </c>
      <c r="V43" s="37" t="inlineStr">
        <is>
          <t>Audit 12/09 : ancienne fin réelle 15/09/2026 future, écartée ; date effective à confirmer.</t>
        </is>
      </c>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46272</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46273</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c r="S46" s="37" t="inlineStr"/>
      <c r="T46" s="36" t="inlineStr">
        <is>
          <t>Non</t>
        </is>
      </c>
      <c r="U46" s="13">
        <f>IF($B46="","",IF(AND(J46&lt;&gt;"Complétée",J46&lt;&gt;"Abandonnée",Q46&lt;&gt;"",TODAY()&gt;Q46),"En retard",""))</f>
        <v/>
      </c>
      <c r="V46" s="37" t="inlineStr">
        <is>
          <t>Audit 12/09 : ancienne fin réelle 23/09/2026 future, écartée ; date effective à confirmer.</t>
        </is>
      </c>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c r="S47" s="37" t="inlineStr"/>
      <c r="T47" s="36" t="inlineStr">
        <is>
          <t>Non</t>
        </is>
      </c>
      <c r="U47" s="13">
        <f>IF($B47="","",IF(AND(J47&lt;&gt;"Complétée",J47&lt;&gt;"Abandonnée",Q47&lt;&gt;"",TODAY()&gt;Q47),"En retard",""))</f>
        <v/>
      </c>
      <c r="V47" s="37" t="inlineStr">
        <is>
          <t>Audit 12/09 : ancienne fin réelle 24/09/2026 future, écartée ; date effective à confirmer.</t>
        </is>
      </c>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c r="S48" s="37" t="inlineStr"/>
      <c r="T48" s="36" t="inlineStr">
        <is>
          <t>Non</t>
        </is>
      </c>
      <c r="U48" s="13">
        <f>IF($B48="","",IF(AND(J48&lt;&gt;"Complétée",J48&lt;&gt;"Abandonnée",Q48&lt;&gt;"",TODAY()&gt;Q48),"En retard",""))</f>
        <v/>
      </c>
      <c r="V48" s="37" t="inlineStr">
        <is>
          <t>Audit 12/09 : ancienne fin réelle 24/09/2026 future, écartée ; date effective à confirmer.</t>
        </is>
      </c>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c r="S49" s="37" t="inlineStr"/>
      <c r="T49" s="36" t="inlineStr">
        <is>
          <t>Non</t>
        </is>
      </c>
      <c r="U49" s="13">
        <f>IF($B49="","",IF(AND(J49&lt;&gt;"Complétée",J49&lt;&gt;"Abandonnée",Q49&lt;&gt;"",TODAY()&gt;Q49),"En retard",""))</f>
        <v/>
      </c>
      <c r="V49" s="37" t="inlineStr">
        <is>
          <t>Audit 12/09 : ancienne fin réelle 24/09/2026 future, écartée ; date effective à confirmer.</t>
        </is>
      </c>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En cours</t>
        </is>
      </c>
      <c r="K50" s="39" t="n">
        <v>0.7</v>
      </c>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c r="S50" s="37" t="inlineStr"/>
      <c r="T50" s="36" t="inlineStr">
        <is>
          <t>Non</t>
        </is>
      </c>
      <c r="U50" s="13">
        <f>IF($B50="","",IF(AND(J50&lt;&gt;"Complétée",J50&lt;&gt;"Abandonnée",Q50&lt;&gt;"",TODAY()&gt;Q50),"En retard",""))</f>
        <v/>
      </c>
      <c r="V50" s="37" t="inlineStr">
        <is>
          <t>Audit 12/09 : ancienne fin réelle 14/09/2026 future, écartée ; date effective à confirmer. Audit 12/09 : Journal consultable ; AuditService.record écrit sans attendre la persistance. Garantie durable à traiter en V1-094.</t>
        </is>
      </c>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c r="S51" s="37" t="inlineStr"/>
      <c r="T51" s="36" t="inlineStr">
        <is>
          <t>Non</t>
        </is>
      </c>
      <c r="U51" s="13">
        <f>IF($B51="","",IF(AND(J51&lt;&gt;"Complétée",J51&lt;&gt;"Abandonnée",Q51&lt;&gt;"",TODAY()&gt;Q51),"En retard",""))</f>
        <v/>
      </c>
      <c r="V51" s="37" t="inlineStr">
        <is>
          <t>Audit 12/09 : ancienne fin réelle 22/09/2026 future, écartée ; date effective à confirmer.</t>
        </is>
      </c>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c r="S52" s="37" t="inlineStr"/>
      <c r="T52" s="36" t="inlineStr">
        <is>
          <t>Non</t>
        </is>
      </c>
      <c r="U52" s="13">
        <f>IF($B52="","",IF(AND(J52&lt;&gt;"Complétée",J52&lt;&gt;"Abandonnée",Q52&lt;&gt;"",TODAY()&gt;Q52),"En retard",""))</f>
        <v/>
      </c>
      <c r="V52" s="37" t="inlineStr">
        <is>
          <t>Audit 12/09 : ancienne fin réelle 21/09/2026 future, écartée ; date effective à confirmer.</t>
        </is>
      </c>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c r="S53" s="37" t="inlineStr"/>
      <c r="T53" s="36" t="inlineStr">
        <is>
          <t>Non</t>
        </is>
      </c>
      <c r="U53" s="13">
        <f>IF($B53="","",IF(AND(J53&lt;&gt;"Complétée",J53&lt;&gt;"Abandonnée",Q53&lt;&gt;"",TODAY()&gt;Q53),"En retard",""))</f>
        <v/>
      </c>
      <c r="V53" s="37" t="inlineStr">
        <is>
          <t>Audit 12/09 : ancienne fin réelle 22/09/2026 future, écartée ; date effective à confirmer.</t>
        </is>
      </c>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c r="S54" s="37" t="inlineStr"/>
      <c r="T54" s="36" t="inlineStr">
        <is>
          <t>Non</t>
        </is>
      </c>
      <c r="U54" s="13">
        <f>IF($B54="","",IF(AND(J54&lt;&gt;"Complétée",J54&lt;&gt;"Abandonnée",Q54&lt;&gt;"",TODAY()&gt;Q54),"En retard",""))</f>
        <v/>
      </c>
      <c r="V54" s="37" t="inlineStr">
        <is>
          <t>Audit 12/09 : ancienne fin réelle 23/09/2026 future, écartée ; date effective à confirmer.</t>
        </is>
      </c>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c r="S55" s="37" t="inlineStr"/>
      <c r="T55" s="36" t="inlineStr">
        <is>
          <t>Non</t>
        </is>
      </c>
      <c r="U55" s="13">
        <f>IF($B55="","",IF(AND(J55&lt;&gt;"Complétée",J55&lt;&gt;"Abandonnée",Q55&lt;&gt;"",TODAY()&gt;Q55),"En retard",""))</f>
        <v/>
      </c>
      <c r="V55" s="37" t="inlineStr">
        <is>
          <t>Audit 12/09 : ancienne fin réelle 02/10/2026 future, écartée ; date effective à confirmer.</t>
        </is>
      </c>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c r="S56" s="37" t="inlineStr"/>
      <c r="T56" s="36" t="inlineStr">
        <is>
          <t>Non</t>
        </is>
      </c>
      <c r="U56" s="13">
        <f>IF($B56="","",IF(AND(J56&lt;&gt;"Complétée",J56&lt;&gt;"Abandonnée",Q56&lt;&gt;"",TODAY()&gt;Q56),"En retard",""))</f>
        <v/>
      </c>
      <c r="V56" s="37" t="inlineStr">
        <is>
          <t>Audit 12/09 : ancienne fin réelle 23/09/2026 future, écartée ; date effective à confirmer.</t>
        </is>
      </c>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c r="S57" s="37" t="inlineStr"/>
      <c r="T57" s="36" t="inlineStr">
        <is>
          <t>Non</t>
        </is>
      </c>
      <c r="U57" s="13">
        <f>IF($B57="","",IF(AND(J57&lt;&gt;"Complétée",J57&lt;&gt;"Abandonnée",Q57&lt;&gt;"",TODAY()&gt;Q57),"En retard",""))</f>
        <v/>
      </c>
      <c r="V57" s="37" t="inlineStr">
        <is>
          <t>Audit 12/09 : ancienne fin réelle 28/09/2026 future, écartée ; date effective à confirmer.</t>
        </is>
      </c>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c r="S58" s="37" t="inlineStr"/>
      <c r="T58" s="36" t="inlineStr">
        <is>
          <t>Non</t>
        </is>
      </c>
      <c r="U58" s="13">
        <f>IF($B58="","",IF(AND(J58&lt;&gt;"Complétée",J58&lt;&gt;"Abandonnée",Q58&lt;&gt;"",TODAY()&gt;Q58),"En retard",""))</f>
        <v/>
      </c>
      <c r="V58" s="37" t="inlineStr">
        <is>
          <t>Audit 12/09 : ancienne fin réelle 29/09/2026 future, écartée ; date effective à confirmer.</t>
        </is>
      </c>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Aller-retour repreneur/cédant reçu par le bon destinataire ; deux repreneurs ne lisent jamais leurs fils respectifs ; pièce jointe refusée avant NDA</t>
        </is>
      </c>
      <c r="H59" s="38" t="n">
        <v>5</v>
      </c>
      <c r="I59" s="36" t="inlineStr">
        <is>
          <t>Haute</t>
        </is>
      </c>
      <c r="J59" s="36" t="inlineStr">
        <is>
          <t>En cours</t>
        </is>
      </c>
      <c r="K59" s="39" t="n">
        <v>0.6</v>
      </c>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c r="S59" s="37" t="inlineStr"/>
      <c r="T59" s="36" t="inlineStr">
        <is>
          <t>Non</t>
        </is>
      </c>
      <c r="U59" s="13">
        <f>IF($B59="","",IF(AND(J59&lt;&gt;"Complétée",J59&lt;&gt;"Abandonnée",Q59&lt;&gt;"",TODAY()&gt;Q59),"En retard",""))</f>
        <v/>
      </c>
      <c r="V59" s="37" t="inlineStr">
        <is>
          <t>Audit 12/09 : ancienne fin réelle 30/09/2026 future, écartée ; date effective à confirmer. Audit 12/09 : Intérêts et messages présents. La RLS ne rend pas les réponses du cédant au repreneur ; destinataire de réponse non porté. Tester deux repreneurs isolés.</t>
        </is>
      </c>
    </row>
    <row r="60">
      <c r="B60" s="36" t="inlineStr">
        <is>
          <t>V1-055</t>
        </is>
      </c>
      <c r="C60" s="36" t="inlineStr">
        <is>
          <t>V1</t>
        </is>
      </c>
      <c r="D60" s="36" t="inlineStr">
        <is>
          <t>MKT</t>
        </is>
      </c>
      <c r="E60" s="37" t="inlineStr">
        <is>
          <t>Marketplace actifs</t>
        </is>
      </c>
      <c r="F60" s="37" t="inlineStr">
        <is>
          <t>Alertes sauvegardées opt-in (version simple)</t>
        </is>
      </c>
      <c r="G60" s="37" t="inlineStr">
        <is>
          <t>Nouvelle opportunité déclenche une notification via le worker avec opt-in ; révocation stoppe les envois ; aucune donnée hors palier</t>
        </is>
      </c>
      <c r="H60" s="38" t="n">
        <v>3</v>
      </c>
      <c r="I60" s="36" t="inlineStr">
        <is>
          <t>Basse</t>
        </is>
      </c>
      <c r="J60" s="36" t="inlineStr">
        <is>
          <t>En cours</t>
        </is>
      </c>
      <c r="K60" s="39" t="n">
        <v>0.5</v>
      </c>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c r="S60" s="37" t="inlineStr"/>
      <c r="T60" s="36" t="inlineStr">
        <is>
          <t>Non</t>
        </is>
      </c>
      <c r="U60" s="13">
        <f>IF($B60="","",IF(AND(J60&lt;&gt;"Complétée",J60&lt;&gt;"Abandonnée",Q60&lt;&gt;"",TODAY()&gt;Q60),"En retard",""))</f>
        <v/>
      </c>
      <c r="V60" s="37" t="inlineStr">
        <is>
          <t>Audit 12/09 : ancienne fin réelle 01/10/2026 future, écartée ; date effective à confirmer. Audit 12/09 : Sauvegarde et révocation du consentement présentes ; worker matching/notifications limité à des logs, aucun envoi effectif.</t>
        </is>
      </c>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c r="S61" s="37" t="inlineStr"/>
      <c r="T61" s="36" t="inlineStr">
        <is>
          <t>Non</t>
        </is>
      </c>
      <c r="U61" s="13">
        <f>IF($B61="","",IF(AND(J61&lt;&gt;"Complétée",J61&lt;&gt;"Abandonnée",Q61&lt;&gt;"",TODAY()&gt;Q61),"En retard",""))</f>
        <v/>
      </c>
      <c r="V61" s="37" t="inlineStr">
        <is>
          <t>Audit 12/09 : ancienne fin réelle 01/10/2026 future, écartée ; date effective à confirmer.</t>
        </is>
      </c>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En cours</t>
        </is>
      </c>
      <c r="K62" s="39" t="n">
        <v>0.6</v>
      </c>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c r="S62" s="37" t="inlineStr"/>
      <c r="T62" s="36" t="inlineStr">
        <is>
          <t>Non</t>
        </is>
      </c>
      <c r="U62" s="13">
        <f>IF($B62="","",IF(AND(J62&lt;&gt;"Complétée",J62&lt;&gt;"Abandonnée",Q62&lt;&gt;"",TODAY()&gt;Q62),"En retard",""))</f>
        <v/>
      </c>
      <c r="V62" s="37" t="inlineStr">
        <is>
          <t>Audit 12/09 : ancienne fin réelle 02/10/2026 future, écartée ; date effective à confirmer. Audit 12/09 : Liste et teaser T0 présents ; les six onglets exigés par le critère ne sont pas dans opportunites/[dealId]/page.tsx. Écart à résoudre ou à faire approuver.</t>
        </is>
      </c>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c r="S63" s="37" t="inlineStr"/>
      <c r="T63" s="36" t="inlineStr">
        <is>
          <t>Non</t>
        </is>
      </c>
      <c r="U63" s="13">
        <f>IF($B63="","",IF(AND(J63&lt;&gt;"Complétée",J63&lt;&gt;"Abandonnée",Q63&lt;&gt;"",TODAY()&gt;Q63),"En retard",""))</f>
        <v/>
      </c>
      <c r="V63" s="37" t="inlineStr">
        <is>
          <t>Audit 12/09 : ancienne fin réelle 06/10/2026 future, écartée ; date effective à confirmer.</t>
        </is>
      </c>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46272</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46272</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c r="S66" s="37" t="inlineStr"/>
      <c r="T66" s="36" t="inlineStr">
        <is>
          <t>Non</t>
        </is>
      </c>
      <c r="U66" s="13">
        <f>IF($B66="","",IF(AND(J66&lt;&gt;"Complétée",J66&lt;&gt;"Abandonnée",Q66&lt;&gt;"",TODAY()&gt;Q66),"En retard",""))</f>
        <v/>
      </c>
      <c r="V66" s="37" t="inlineStr">
        <is>
          <t>Audit 12/09 : ancienne fin réelle 02/10/2026 future, écartée ; date effective à confirmer.</t>
        </is>
      </c>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En revue</t>
        </is>
      </c>
      <c r="K67" s="39" t="n">
        <v>0.8</v>
      </c>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c r="S67" s="37" t="inlineStr"/>
      <c r="T67" s="36" t="inlineStr">
        <is>
          <t>Non</t>
        </is>
      </c>
      <c r="U67" s="13">
        <f>IF($B67="","",IF(AND(J67&lt;&gt;"Complétée",J67&lt;&gt;"Abandonnée",Q67&lt;&gt;"",TODAY()&gt;Q67),"En retard",""))</f>
        <v/>
      </c>
      <c r="V67" s="37" t="inlineStr">
        <is>
          <t>Audit 12/09 : ancienne fin réelle 02/10/2026 future, écartée ; date effective à confirmer. Audit 12/09 : Texte implémenté ; validation écrite de M. Bruno non trouvée. Ne vaut pas recette métier.</t>
        </is>
      </c>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c r="S68" s="37" t="inlineStr"/>
      <c r="T68" s="36" t="inlineStr">
        <is>
          <t>Non</t>
        </is>
      </c>
      <c r="U68" s="13">
        <f>IF($B68="","",IF(AND(J68&lt;&gt;"Complétée",J68&lt;&gt;"Abandonnée",Q68&lt;&gt;"",TODAY()&gt;Q68),"En retard",""))</f>
        <v/>
      </c>
      <c r="V68" s="37" t="inlineStr">
        <is>
          <t>Audit 12/09 : ancienne fin réelle 30/09/2026 future, écartée ; date effective à confirmer.</t>
        </is>
      </c>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c r="S69" s="37" t="inlineStr"/>
      <c r="T69" s="36" t="inlineStr">
        <is>
          <t>Non</t>
        </is>
      </c>
      <c r="U69" s="13">
        <f>IF($B69="","",IF(AND(J69&lt;&gt;"Complétée",J69&lt;&gt;"Abandonnée",Q69&lt;&gt;"",TODAY()&gt;Q69),"En retard",""))</f>
        <v/>
      </c>
      <c r="V69" s="37" t="inlineStr">
        <is>
          <t>Audit 12/09 : ancienne fin réelle 05/10/2026 future, écartée ; date effective à confirmer.</t>
        </is>
      </c>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c r="S70" s="37" t="inlineStr"/>
      <c r="T70" s="36" t="inlineStr">
        <is>
          <t>Non</t>
        </is>
      </c>
      <c r="U70" s="13">
        <f>IF($B70="","",IF(AND(J70&lt;&gt;"Complétée",J70&lt;&gt;"Abandonnée",Q70&lt;&gt;"",TODAY()&gt;Q70),"En retard",""))</f>
        <v/>
      </c>
      <c r="V70" s="37" t="inlineStr">
        <is>
          <t>Audit 12/09 : ancienne fin réelle 05/10/2026 future, écartée ; date effective à confirmer.</t>
        </is>
      </c>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Périmètre d'intégration validé par M. Bruno sur la documentation Remo</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inlineStr">
        <is>
          <t>Audit 12/09 : RemoBridgeService utilise toujours createFakeRemo ; cadrage J14 et adaptateur réel restent nécessaires.</t>
        </is>
      </c>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c r="S74" s="37" t="inlineStr"/>
      <c r="T74" s="36" t="inlineStr">
        <is>
          <t>Non</t>
        </is>
      </c>
      <c r="U74" s="13">
        <f>IF($B74="","",IF(AND(J74&lt;&gt;"Complétée",J74&lt;&gt;"Abandonnée",Q74&lt;&gt;"",TODAY()&gt;Q74),"En retard",""))</f>
        <v/>
      </c>
      <c r="V74" s="37" t="inlineStr">
        <is>
          <t>Audit 12/09 : ancienne fin réelle 05/10/2026 future, écartée ; date effective à confirmer.</t>
        </is>
      </c>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En revue</t>
        </is>
      </c>
      <c r="K75" s="39" t="n">
        <v>0.8</v>
      </c>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c r="S75" s="37" t="inlineStr"/>
      <c r="T75" s="36" t="inlineStr">
        <is>
          <t>Non</t>
        </is>
      </c>
      <c r="U75" s="13">
        <f>IF($B75="","",IF(AND(J75&lt;&gt;"Complétée",J75&lt;&gt;"Abandonnée",Q75&lt;&gt;"",TODAY()&gt;Q75),"En retard",""))</f>
        <v/>
      </c>
      <c r="V75" s="37" t="inlineStr">
        <is>
          <t>Audit 12/09 : ancienne fin réelle 06/10/2026 future, écartée ; date effective à confirmer. Audit 12/09 : Écrans et inscriptions présents ; parcours réel d'accès Remo non validé, dépend de V1-068.</t>
        </is>
      </c>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46276</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46277</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En revue</t>
        </is>
      </c>
      <c r="K79" s="39" t="n">
        <v>0.8</v>
      </c>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c r="S79" s="37" t="inlineStr"/>
      <c r="T79" s="36" t="inlineStr">
        <is>
          <t>Non</t>
        </is>
      </c>
      <c r="U79" s="13">
        <f>IF($B79="","",IF(AND(J79&lt;&gt;"Complétée",J79&lt;&gt;"Abandonnée",Q79&lt;&gt;"",TODAY()&gt;Q79),"En retard",""))</f>
        <v/>
      </c>
      <c r="V79" s="37" t="inlineStr">
        <is>
          <t>Audit 12/09 : ancienne fin réelle 07/10/2026 future, écartée ; date effective à confirmer. Audit 12/09 : Styles responsive présents ; absence de captures et de tests navigateur aux dimensions de recette.</t>
        </is>
      </c>
    </row>
    <row r="80">
      <c r="B80" s="36" t="inlineStr">
        <is>
          <t>V1-075</t>
        </is>
      </c>
      <c r="C80" s="36" t="inlineStr">
        <is>
          <t>V1</t>
        </is>
      </c>
      <c r="D80" s="36" t="inlineStr">
        <is>
          <t>TRV</t>
        </is>
      </c>
      <c r="E80" s="37" t="inlineStr">
        <is>
          <t>Frontend et design</t>
        </is>
      </c>
      <c r="F80" s="37" t="inlineStr">
        <is>
          <t>Revue visuelle avec le designer UI/UX</t>
        </is>
      </c>
      <c r="G80" s="37" t="inlineStr">
        <is>
          <t>Liste des écarts traitée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c r="S81" s="37" t="inlineStr"/>
      <c r="T81" s="36" t="inlineStr">
        <is>
          <t>Non</t>
        </is>
      </c>
      <c r="U81" s="13">
        <f>IF($B81="","",IF(AND(J81&lt;&gt;"Complétée",J81&lt;&gt;"Abandonnée",Q81&lt;&gt;"",TODAY()&gt;Q81),"En retard",""))</f>
        <v/>
      </c>
      <c r="V81" s="37" t="inlineStr">
        <is>
          <t>Audit 12/09 : ancienne fin réelle 03/10/2026 future, écartée ; date effective à confirmer.</t>
        </is>
      </c>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c r="S82" s="37" t="inlineStr"/>
      <c r="T82" s="36" t="inlineStr">
        <is>
          <t>Non</t>
        </is>
      </c>
      <c r="U82" s="13">
        <f>IF($B82="","",IF(AND(J82&lt;&gt;"Complétée",J82&lt;&gt;"Abandonnée",Q82&lt;&gt;"",TODAY()&gt;Q82),"En retard",""))</f>
        <v/>
      </c>
      <c r="V82" s="37" t="inlineStr">
        <is>
          <t>Audit 12/09 : ancienne fin réelle 04/10/2026 future, écartée ; date effective à confirmer.</t>
        </is>
      </c>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c r="S83" s="37" t="inlineStr"/>
      <c r="T83" s="36" t="inlineStr">
        <is>
          <t>Non</t>
        </is>
      </c>
      <c r="U83" s="13">
        <f>IF($B83="","",IF(AND(J83&lt;&gt;"Complétée",J83&lt;&gt;"Abandonnée",Q83&lt;&gt;"",TODAY()&gt;Q83),"En retard",""))</f>
        <v/>
      </c>
      <c r="V83" s="37" t="inlineStr">
        <is>
          <t>Audit 12/09 : ancienne fin réelle 03/10/2026 future, écartée ; date effective à confirmer.</t>
        </is>
      </c>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c r="S84" s="37" t="inlineStr"/>
      <c r="T84" s="36" t="inlineStr">
        <is>
          <t>Non</t>
        </is>
      </c>
      <c r="U84" s="13">
        <f>IF($B84="","",IF(AND(J84&lt;&gt;"Complétée",J84&lt;&gt;"Abandonnée",Q84&lt;&gt;"",TODAY()&gt;Q84),"En retard",""))</f>
        <v/>
      </c>
      <c r="V84" s="37" t="inlineStr">
        <is>
          <t>Audit 12/09 : ancienne fin réelle 05/10/2026 future, écartée ; date effective à confirmer.</t>
        </is>
      </c>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c r="S87" s="37" t="inlineStr"/>
      <c r="T87" s="36" t="inlineStr">
        <is>
          <t>Non</t>
        </is>
      </c>
      <c r="U87" s="13">
        <f>IF($B87="","",IF(AND(J87&lt;&gt;"Complétée",J87&lt;&gt;"Abandonnée",Q87&lt;&gt;"",TODAY()&gt;Q87),"En retard",""))</f>
        <v/>
      </c>
      <c r="V87" s="37" t="inlineStr">
        <is>
          <t>Audit 12/09 : ancienne fin réelle 05/10/2026 future, écartée ; date effective à confirmer.</t>
        </is>
      </c>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Smoke API rejoué et parcours navigateur inscription, dossier, publication, certification passants ; qa/e2e-results.json daté et relié au commit</t>
        </is>
      </c>
      <c r="H89" s="38" t="n">
        <v>5</v>
      </c>
      <c r="I89" s="36" t="inlineStr">
        <is>
          <t>Haute</t>
        </is>
      </c>
      <c r="J89" s="36" t="inlineStr">
        <is>
          <t>En cours</t>
        </is>
      </c>
      <c r="K89" s="39" t="n">
        <v>0.5</v>
      </c>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c r="S89" s="37" t="inlineStr"/>
      <c r="T89" s="36" t="inlineStr">
        <is>
          <t>Non</t>
        </is>
      </c>
      <c r="U89" s="13">
        <f>IF($B89="","",IF(AND(J89&lt;&gt;"Complétée",J89&lt;&gt;"Abandonnée",Q89&lt;&gt;"",TODAY()&gt;Q89),"En retard",""))</f>
        <v/>
      </c>
      <c r="V89" s="37" t="inlineStr">
        <is>
          <t>Audit 12/09 : ancienne fin réelle 09/10/2026 future, écartée ; date effective à confirmer. Audit 12/09 : 74 tests passent au 12/09 ; smoke API existant non rejoué (pile arrêtée). Aucun E2E navigateur ni e2e-results.json.</t>
        </is>
      </c>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Permissions négatives testées ; contrôles V1 actionnés en navigateur et contrats documentés ; registre statique seul insuffisant</t>
        </is>
      </c>
      <c r="H90" s="38" t="n">
        <v>3</v>
      </c>
      <c r="I90" s="36" t="inlineStr">
        <is>
          <t>Haute</t>
        </is>
      </c>
      <c r="J90" s="36" t="inlineStr">
        <is>
          <t>En cours</t>
        </is>
      </c>
      <c r="K90" s="39" t="n">
        <v>0.6</v>
      </c>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c r="S90" s="37" t="inlineStr"/>
      <c r="T90" s="36" t="inlineStr">
        <is>
          <t>Non</t>
        </is>
      </c>
      <c r="U90" s="13">
        <f>IF($B90="","",IF(AND(J90&lt;&gt;"Complétée",J90&lt;&gt;"Abandonnée",Q90&lt;&gt;"",TODAY()&gt;Q90),"En retard",""))</f>
        <v/>
      </c>
      <c r="V90" s="37" t="inlineStr">
        <is>
          <t>Audit 12/09 : ancienne fin réelle 13/10/2026 future, écartée ; date effective à confirmer. Audit 12/09 : Tests négatifs et registre présents ; couverture statique seulement, 365 contrats à documenter et 1 fichier avec identifiant dynamique.</t>
        </is>
      </c>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Captures 1440 x 960 et 390 x 844 archivées, écarts intentionnels dans qa/fidelity-ledger.md ; régression non approuvée bloque la CI</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c r="S92" s="37" t="inlineStr"/>
      <c r="T92" s="36" t="inlineStr">
        <is>
          <t>Non</t>
        </is>
      </c>
      <c r="U92" s="13">
        <f>IF($B92="","",IF(AND(J92&lt;&gt;"Complétée",J92&lt;&gt;"Abandonnée",Q92&lt;&gt;"",TODAY()&gt;Q92),"En retard",""))</f>
        <v/>
      </c>
      <c r="V92" s="37" t="inlineStr">
        <is>
          <t>Audit 12/09 : ancienne fin réelle 09/10/2026 future, écartée ; date effective à confirmer.</t>
        </is>
      </c>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c r="S94" s="37" t="inlineStr"/>
      <c r="T94" s="36" t="inlineStr">
        <is>
          <t>Non</t>
        </is>
      </c>
      <c r="U94" s="13">
        <f>IF($B94="","",IF(AND(J94&lt;&gt;"Complétée",J94&lt;&gt;"Abandonnée",Q94&lt;&gt;"",TODAY()&gt;Q94),"En retard",""))</f>
        <v/>
      </c>
      <c r="V94" s="37" t="inlineStr">
        <is>
          <t>Audit 12/09 : ancienne fin réelle 12/10/2026 future, écartée ; date effective à confirmer.</t>
        </is>
      </c>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Contrats d'interaction : terminer les contrats du dépôt (déclencheur, autorisation, source, succès, blocage, audit) et reprendre les identifiants officiels sur les surfaces couvertes par le corpus</t>
        </is>
      </c>
      <c r="G98" s="37" t="inlineStr">
        <is>
          <t>Aucun contrat marqué à documenter ; nouveaux contrôles documentés dès leur ajout ; surfaces V1 traitées en priorité en V1-092</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is>
          <t>V1-092</t>
        </is>
      </c>
      <c r="T98" s="36" t="inlineStr">
        <is>
          <t>Non</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DOC-01 à DOC-03, Q&amp;A-01 et UI-01 exécutables pour V2 ; matrice AI-01 à AI-06 préparée, exécution IA portée par V5</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En cours</t>
        </is>
      </c>
      <c r="K102" s="39" t="n">
        <v>0.4</v>
      </c>
      <c r="L102" s="16">
        <f>IF($B102="","",IF(J102="Complétée",1,IF(J102="Abandonnée",0,IF(K102&lt;&gt;"",K102,IFERROR(VLOOKUP(J102,Parametres!$B$6:$C$12,2,FALSE),0)))))</f>
        <v/>
      </c>
      <c r="M102" s="15">
        <f>IF($B102="","",IF(J102="Abandonnée",0,H102))</f>
        <v/>
      </c>
      <c r="N102" s="15">
        <f>IF($B102="","",M102*L102)</f>
        <v/>
      </c>
      <c r="O102" s="37" t="inlineStr">
        <is>
          <t>Abdou-Raouf</t>
        </is>
      </c>
      <c r="P102" s="40" t="n">
        <v>46315</v>
      </c>
      <c r="Q102" s="40" t="n">
        <v>46321</v>
      </c>
      <c r="R102" s="40" t="n"/>
      <c r="S102" s="37" t="inlineStr"/>
      <c r="T102" s="36" t="inlineStr">
        <is>
          <t>Oui</t>
        </is>
      </c>
      <c r="U102" s="13">
        <f>IF($B102="","",IF(AND(J102&lt;&gt;"Complétée",J102&lt;&gt;"Abandonnée",Q102&lt;&gt;"",TODAY()&gt;Q102),"En retard",""))</f>
        <v/>
      </c>
      <c r="V102" s="37" t="inlineStr">
        <is>
          <t>Audit 12/09 : ADR, schéma et règles RPS présents ; concurrence, immutabilité et revue juridique à fermer.</t>
        </is>
      </c>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En cours</t>
        </is>
      </c>
      <c r="K103" s="39" t="n">
        <v>0.25</v>
      </c>
      <c r="L103" s="16">
        <f>IF($B103="","",IF(J103="Complétée",1,IF(J103="Abandonnée",0,IF(K103&lt;&gt;"",K103,IFERROR(VLOOKUP(J103,Parametres!$B$6:$C$12,2,FALSE),0)))))</f>
        <v/>
      </c>
      <c r="M103" s="15">
        <f>IF($B103="","",IF(J103="Abandonnée",0,H103))</f>
        <v/>
      </c>
      <c r="N103" s="15">
        <f>IF($B103="","",M103*L103)</f>
        <v/>
      </c>
      <c r="O103" s="37" t="inlineStr">
        <is>
          <t>Abdou-Raouf</t>
        </is>
      </c>
      <c r="P103" s="40" t="n">
        <v>46316</v>
      </c>
      <c r="Q103" s="40" t="n">
        <v>46322</v>
      </c>
      <c r="R103" s="40" t="n"/>
      <c r="S103" s="37" t="inlineStr"/>
      <c r="T103" s="36" t="inlineStr">
        <is>
          <t>Oui</t>
        </is>
      </c>
      <c r="U103" s="13">
        <f>IF($B103="","",IF(AND(J103&lt;&gt;"Complétée",J103&lt;&gt;"Abandonnée",Q103&lt;&gt;"",TODAY()&gt;Q103),"En retard",""))</f>
        <v/>
      </c>
      <c r="V103" s="37" t="inlineStr">
        <is>
          <t>Audit 12/09 : ADR 0003 et schéma VDR présents, dont les huit états documentaires ; permissions et viewer exécutables absents.</t>
        </is>
      </c>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Contrat de preuve et repli papier définis ; gabarit NDA versionné et revu juridiquement disponible en V2 sans attendre le moteur LegalTech V3</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En cours</t>
        </is>
      </c>
      <c r="K106" s="39" t="n">
        <v>0.6</v>
      </c>
      <c r="L106" s="16">
        <f>IF($B106="","",IF(J106="Complétée",1,IF(J106="Abandonnée",0,IF(K106&lt;&gt;"",K106,IFERROR(VLOOKUP(J106,Parametres!$B$6:$C$12,2,FALSE),0)))))</f>
        <v/>
      </c>
      <c r="M106" s="15">
        <f>IF($B106="","",IF(J106="Abandonnée",0,H106))</f>
        <v/>
      </c>
      <c r="N106" s="15">
        <f>IF($B106="","",M106*L106)</f>
        <v/>
      </c>
      <c r="O106" s="37" t="inlineStr">
        <is>
          <t>Abdou-Raouf</t>
        </is>
      </c>
      <c r="P106" s="40" t="n">
        <v>46318</v>
      </c>
      <c r="Q106" s="40" t="n">
        <v>46327</v>
      </c>
      <c r="R106" s="40" t="n"/>
      <c r="S106" s="37" t="inlineStr"/>
      <c r="T106" s="36" t="inlineStr">
        <is>
          <t>Non</t>
        </is>
      </c>
      <c r="U106" s="13">
        <f>IF($B106="","",IF(AND(J106&lt;&gt;"Complétée",J106&lt;&gt;"Abandonnée",Q106&lt;&gt;"",TODAY()&gt;Q106),"En retard",""))</f>
        <v/>
      </c>
      <c r="V106" s="37" t="inlineStr">
        <is>
          <t>Audit 12/09 : Service NestJS et base séparée présents ; déploiement indépendant et authentification interservices à prouver.</t>
        </is>
      </c>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En cours</t>
        </is>
      </c>
      <c r="K107" s="39" t="n">
        <v>0.4</v>
      </c>
      <c r="L107" s="16">
        <f>IF($B107="","",IF(J107="Complétée",1,IF(J107="Abandonnée",0,IF(K107&lt;&gt;"",K107,IFERROR(VLOOKUP(J107,Parametres!$B$6:$C$12,2,FALSE),0)))))</f>
        <v/>
      </c>
      <c r="M107" s="15">
        <f>IF($B107="","",IF(J107="Abandonnée",0,H107))</f>
        <v/>
      </c>
      <c r="N107" s="15">
        <f>IF($B107="","",M107*L107)</f>
        <v/>
      </c>
      <c r="O107" s="37" t="inlineStr">
        <is>
          <t>Abdou-Raouf</t>
        </is>
      </c>
      <c r="P107" s="40" t="n">
        <v>46319</v>
      </c>
      <c r="Q107" s="40" t="n">
        <v>46326</v>
      </c>
      <c r="R107" s="40" t="n"/>
      <c r="S107" s="37" t="inlineStr"/>
      <c r="T107" s="36" t="inlineStr">
        <is>
          <t>Non</t>
        </is>
      </c>
      <c r="U107" s="13">
        <f>IF($B107="","",IF(AND(J107&lt;&gt;"Complétée",J107&lt;&gt;"Abandonnée",Q107&lt;&gt;"",TODAY()&gt;Q107),"En retard",""))</f>
        <v/>
      </c>
      <c r="V107" s="37" t="inlineStr">
        <is>
          <t>Audit 12/09 : Compteur par personne présent ; revoke fait UPDATE et aucune protection append-only RPS trouvée dans les migrations.</t>
        </is>
      </c>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En cours</t>
        </is>
      </c>
      <c r="K108" s="39" t="n">
        <v>0.25</v>
      </c>
      <c r="L108" s="16">
        <f>IF($B108="","",IF(J108="Complétée",1,IF(J108="Abandonnée",0,IF(K108&lt;&gt;"",K108,IFERROR(VLOOKUP(J108,Parametres!$B$6:$C$12,2,FALSE),0)))))</f>
        <v/>
      </c>
      <c r="M108" s="15">
        <f>IF($B108="","",IF(J108="Abandonnée",0,H108))</f>
        <v/>
      </c>
      <c r="N108" s="15">
        <f>IF($B108="","",M108*L108)</f>
        <v/>
      </c>
      <c r="O108" s="37" t="inlineStr">
        <is>
          <t>Abdou-Raouf</t>
        </is>
      </c>
      <c r="P108" s="40" t="n">
        <v>46320</v>
      </c>
      <c r="Q108" s="40" t="n">
        <v>46326</v>
      </c>
      <c r="R108" s="40" t="n"/>
      <c r="S108" s="37" t="inlineStr"/>
      <c r="T108" s="36" t="inlineStr">
        <is>
          <t>Non</t>
        </is>
      </c>
      <c r="U108" s="13">
        <f>IF($B108="","",IF(AND(J108&lt;&gt;"Complétée",J108&lt;&gt;"Abandonnée",Q108&lt;&gt;"",TODAY()&gt;Q108),"En retard",""))</f>
        <v/>
      </c>
      <c r="V108" s="37" t="inlineStr">
        <is>
          <t>Audit 12/09 : Table et dédoublonnage par groupe présents ; déclaration, validation et administration des liens absentes.</t>
        </is>
      </c>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En cours</t>
        </is>
      </c>
      <c r="K109" s="39" t="n">
        <v>0.5</v>
      </c>
      <c r="L109" s="16">
        <f>IF($B109="","",IF(J109="Complétée",1,IF(J109="Abandonnée",0,IF(K109&lt;&gt;"",K109,IFERROR(VLOOKUP(J109,Parametres!$B$6:$C$12,2,FALSE),0)))))</f>
        <v/>
      </c>
      <c r="M109" s="15">
        <f>IF($B109="","",IF(J109="Abandonnée",0,H109))</f>
        <v/>
      </c>
      <c r="N109" s="15">
        <f>IF($B109="","",M109*L109)</f>
        <v/>
      </c>
      <c r="O109" s="37" t="inlineStr">
        <is>
          <t>Abdou-Raouf</t>
        </is>
      </c>
      <c r="P109" s="40" t="n">
        <v>46320</v>
      </c>
      <c r="Q109" s="40" t="n">
        <v>46326</v>
      </c>
      <c r="R109" s="40" t="n"/>
      <c r="S109" s="37" t="inlineStr"/>
      <c r="T109" s="36" t="inlineStr">
        <is>
          <t>Non</t>
        </is>
      </c>
      <c r="U109" s="13">
        <f>IF($B109="","",IF(AND(J109&lt;&gt;"Complétée",J109&lt;&gt;"Abandonnée",Q109&lt;&gt;"",TODAY()&gt;Q109),"En retard",""))</f>
        <v/>
      </c>
      <c r="V109" s="37" t="inlineStr">
        <is>
          <t>Audit 12/09 : Seuils testés en fonctions pures ; contrôle du plafond hors transaction d'admission, concurrence non couverte.</t>
        </is>
      </c>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En cours</t>
        </is>
      </c>
      <c r="K110" s="39" t="n">
        <v>0.4</v>
      </c>
      <c r="L110" s="16">
        <f>IF($B110="","",IF(J110="Complétée",1,IF(J110="Abandonnée",0,IF(K110&lt;&gt;"",K110,IFERROR(VLOOKUP(J110,Parametres!$B$6:$C$12,2,FALSE),0)))))</f>
        <v/>
      </c>
      <c r="M110" s="15">
        <f>IF($B110="","",IF(J110="Abandonnée",0,H110))</f>
        <v/>
      </c>
      <c r="N110" s="15">
        <f>IF($B110="","",M110*L110)</f>
        <v/>
      </c>
      <c r="O110" s="37" t="inlineStr">
        <is>
          <t>Abdou-Raouf</t>
        </is>
      </c>
      <c r="P110" s="40" t="n">
        <v>46321</v>
      </c>
      <c r="Q110" s="40" t="n">
        <v>46330</v>
      </c>
      <c r="R110" s="40" t="n"/>
      <c r="S110" s="37" t="inlineStr"/>
      <c r="T110" s="36" t="inlineStr">
        <is>
          <t>Non</t>
        </is>
      </c>
      <c r="U110" s="13">
        <f>IF($B110="","",IF(AND(J110&lt;&gt;"Complétée",J110&lt;&gt;"Abandonnée",Q110&lt;&gt;"",TODAY()&gt;Q110),"En retard",""))</f>
        <v/>
      </c>
      <c r="V110" s="37" t="inlineStr">
        <is>
          <t>Audit 12/09 : Route et justification présentes ; decidedBy provient du corps, file et identité de l'opérateur authentifié à intégrer.</t>
        </is>
      </c>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En cours</t>
        </is>
      </c>
      <c r="K111" s="39" t="n">
        <v>0.3</v>
      </c>
      <c r="L111" s="16">
        <f>IF($B111="","",IF(J111="Complétée",1,IF(J111="Abandonnée",0,IF(K111&lt;&gt;"",K111,IFERROR(VLOOKUP(J111,Parametres!$B$6:$C$12,2,FALSE),0)))))</f>
        <v/>
      </c>
      <c r="M111" s="15">
        <f>IF($B111="","",IF(J111="Abandonnée",0,H111))</f>
        <v/>
      </c>
      <c r="N111" s="15">
        <f>IF($B111="","",M111*L111)</f>
        <v/>
      </c>
      <c r="O111" s="37" t="inlineStr">
        <is>
          <t>Abdou-Raouf</t>
        </is>
      </c>
      <c r="P111" s="40" t="n">
        <v>46322</v>
      </c>
      <c r="Q111" s="40" t="n">
        <v>46329</v>
      </c>
      <c r="R111" s="40" t="n"/>
      <c r="S111" s="37" t="inlineStr"/>
      <c r="T111" s="36" t="inlineStr">
        <is>
          <t>Non</t>
        </is>
      </c>
      <c r="U111" s="13">
        <f>IF($B111="","",IF(AND(J111&lt;&gt;"Complétée",J111&lt;&gt;"Abandonnée",Q111&lt;&gt;"",TODAY()&gt;Q111),"En retard",""))</f>
        <v/>
      </c>
      <c r="V111" s="37" t="inlineStr">
        <is>
          <t>Audit 12/09 : Règle et route présentes ; les communications de la plateforme n'appellent pas encore le RPS.</t>
        </is>
      </c>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En cours</t>
        </is>
      </c>
      <c r="K112" s="39" t="n">
        <v>0.3</v>
      </c>
      <c r="L112" s="16">
        <f>IF($B112="","",IF(J112="Complétée",1,IF(J112="Abandonnée",0,IF(K112&lt;&gt;"",K112,IFERROR(VLOOKUP(J112,Parametres!$B$6:$C$12,2,FALSE),0)))))</f>
        <v/>
      </c>
      <c r="M112" s="15">
        <f>IF($B112="","",IF(J112="Abandonnée",0,H112))</f>
        <v/>
      </c>
      <c r="N112" s="15">
        <f>IF($B112="","",M112*L112)</f>
        <v/>
      </c>
      <c r="O112" s="37" t="inlineStr">
        <is>
          <t>Abdou-Raouf</t>
        </is>
      </c>
      <c r="P112" s="40" t="n">
        <v>46323</v>
      </c>
      <c r="Q112" s="40" t="n">
        <v>46330</v>
      </c>
      <c r="R112" s="40" t="n"/>
      <c r="S112" s="37" t="inlineStr"/>
      <c r="T112" s="36" t="inlineStr">
        <is>
          <t>Non</t>
        </is>
      </c>
      <c r="U112" s="13">
        <f>IF($B112="","",IF(AND(J112&lt;&gt;"Complétée",J112&lt;&gt;"Abandonnée",Q112&lt;&gt;"",TODAY()&gt;Q112),"En retard",""))</f>
        <v/>
      </c>
      <c r="V112" s="37" t="inlineStr">
        <is>
          <t>Audit 12/09 : Chaînage implémenté ; séquence concurrente non sérialisée, pack signé et contraintes append-only absents.</t>
        </is>
      </c>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En cours</t>
        </is>
      </c>
      <c r="K113" s="39" t="n">
        <v>0.7</v>
      </c>
      <c r="L113" s="16">
        <f>IF($B113="","",IF(J113="Complétée",1,IF(J113="Abandonnée",0,IF(K113&lt;&gt;"",K113,IFERROR(VLOOKUP(J113,Parametres!$B$6:$C$12,2,FALSE),0)))))</f>
        <v/>
      </c>
      <c r="M113" s="15">
        <f>IF($B113="","",IF(J113="Abandonnée",0,H113))</f>
        <v/>
      </c>
      <c r="N113" s="15">
        <f>IF($B113="","",M113*L113)</f>
        <v/>
      </c>
      <c r="O113" s="37" t="inlineStr">
        <is>
          <t>Abdou-Raouf</t>
        </is>
      </c>
      <c r="P113" s="40" t="n">
        <v>46324</v>
      </c>
      <c r="Q113" s="40" t="n">
        <v>46329</v>
      </c>
      <c r="R113" s="40" t="n"/>
      <c r="S113" s="37" t="inlineStr"/>
      <c r="T113" s="36" t="inlineStr">
        <is>
          <t>Non</t>
        </is>
      </c>
      <c r="U113" s="13">
        <f>IF($B113="","",IF(AND(J113&lt;&gt;"Complétée",J113&lt;&gt;"Abandonnée",Q113&lt;&gt;"",TODAY()&gt;Q113),"En retard",""))</f>
        <v/>
      </c>
      <c r="V113" s="37" t="inlineStr">
        <is>
          <t>Audit 12/09 : projectForTier testé et utilisé en V1 ; parcours T1/T2 réel et 12 cas à valider en V2.</t>
        </is>
      </c>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En cours</t>
        </is>
      </c>
      <c r="K118" s="39" t="n">
        <v>0.2</v>
      </c>
      <c r="L118" s="16">
        <f>IF($B118="","",IF(J118="Complétée",1,IF(J118="Abandonnée",0,IF(K118&lt;&gt;"",K118,IFERROR(VLOOKUP(J118,Parametres!$B$6:$C$12,2,FALSE),0)))))</f>
        <v/>
      </c>
      <c r="M118" s="15">
        <f>IF($B118="","",IF(J118="Abandonnée",0,H118))</f>
        <v/>
      </c>
      <c r="N118" s="15">
        <f>IF($B118="","",M118*L118)</f>
        <v/>
      </c>
      <c r="O118" s="37" t="inlineStr">
        <is>
          <t>Abdou-Raouf</t>
        </is>
      </c>
      <c r="P118" s="40" t="n">
        <v>46327</v>
      </c>
      <c r="Q118" s="40" t="n">
        <v>46333</v>
      </c>
      <c r="R118" s="40" t="n"/>
      <c r="S118" s="37" t="inlineStr"/>
      <c r="T118" s="36" t="inlineStr">
        <is>
          <t>Non</t>
        </is>
      </c>
      <c r="U118" s="13">
        <f>IF($B118="","",IF(AND(J118&lt;&gt;"Complétée",J118&lt;&gt;"Abandonnée",Q118&lt;&gt;"",TODAY()&gt;Q118),"En retard",""))</f>
        <v/>
      </c>
      <c r="V118" s="37" t="inlineStr">
        <is>
          <t>Audit 12/09 : Table signature_evidence présente ; aucun circuit PSC/PSAE exécuté.</t>
        </is>
      </c>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En cours</t>
        </is>
      </c>
      <c r="K124" s="39" t="n">
        <v>0.2</v>
      </c>
      <c r="L124" s="16">
        <f>IF($B124="","",IF(J124="Complétée",1,IF(J124="Abandonnée",0,IF(K124&lt;&gt;"",K124,IFERROR(VLOOKUP(J124,Parametres!$B$6:$C$12,2,FALSE),0)))))</f>
        <v/>
      </c>
      <c r="M124" s="15">
        <f>IF($B124="","",IF(J124="Abandonnée",0,H124))</f>
        <v/>
      </c>
      <c r="N124" s="15">
        <f>IF($B124="","",M124*L124)</f>
        <v/>
      </c>
      <c r="O124" s="37" t="inlineStr">
        <is>
          <t>Abdou-Raouf</t>
        </is>
      </c>
      <c r="P124" s="40" t="n">
        <v>46332</v>
      </c>
      <c r="Q124" s="40" t="n">
        <v>46338</v>
      </c>
      <c r="R124" s="40" t="n"/>
      <c r="S124" s="37" t="inlineStr"/>
      <c r="T124" s="36" t="inlineStr">
        <is>
          <t>Non</t>
        </is>
      </c>
      <c r="U124" s="13">
        <f>IF($B124="","",IF(AND(J124&lt;&gt;"Complétée",J124&lt;&gt;"Abandonnée",Q124&lt;&gt;"",TODAY()&gt;Q124),"En retard",""))</f>
        <v/>
      </c>
      <c r="V124" s="37" t="inlineStr">
        <is>
          <t>Audit 12/09 : Table folder présente ; création automatique de l'arborescence OHADA à implémenter.</t>
        </is>
      </c>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En cours</t>
        </is>
      </c>
      <c r="K126" s="39" t="n">
        <v>0.2</v>
      </c>
      <c r="L126" s="16">
        <f>IF($B126="","",IF(J126="Complétée",1,IF(J126="Abandonnée",0,IF(K126&lt;&gt;"",K126,IFERROR(VLOOKUP(J126,Parametres!$B$6:$C$12,2,FALSE),0)))))</f>
        <v/>
      </c>
      <c r="M126" s="15">
        <f>IF($B126="","",IF(J126="Abandonnée",0,H126))</f>
        <v/>
      </c>
      <c r="N126" s="15">
        <f>IF($B126="","",M126*L126)</f>
        <v/>
      </c>
      <c r="O126" s="37" t="inlineStr">
        <is>
          <t>Abdou-Raouf</t>
        </is>
      </c>
      <c r="P126" s="40" t="n">
        <v>46334</v>
      </c>
      <c r="Q126" s="40" t="n">
        <v>46340</v>
      </c>
      <c r="R126" s="40" t="n"/>
      <c r="S126" s="37" t="inlineStr"/>
      <c r="T126" s="36" t="inlineStr">
        <is>
          <t>Non</t>
        </is>
      </c>
      <c r="U126" s="13">
        <f>IF($B126="","",IF(AND(J126&lt;&gt;"Complétée",J126&lt;&gt;"Abandonnée",Q126&lt;&gt;"",TODAY()&gt;Q126),"En retard",""))</f>
        <v/>
      </c>
      <c r="V126" s="37" t="inlineStr">
        <is>
          <t>Audit 12/09 : Table access_grant avec expiration obligatoire ; délivrance, contrôle serveur et révocation absents.</t>
        </is>
      </c>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En cours</t>
        </is>
      </c>
      <c r="K128" s="39" t="n">
        <v>0.2</v>
      </c>
      <c r="L128" s="16">
        <f>IF($B128="","",IF(J128="Complétée",1,IF(J128="Abandonnée",0,IF(K128&lt;&gt;"",K128,IFERROR(VLOOKUP(J128,Parametres!$B$6:$C$12,2,FALSE),0)))))</f>
        <v/>
      </c>
      <c r="M128" s="15">
        <f>IF($B128="","",IF(J128="Abandonnée",0,H128))</f>
        <v/>
      </c>
      <c r="N128" s="15">
        <f>IF($B128="","",M128*L128)</f>
        <v/>
      </c>
      <c r="O128" s="37" t="inlineStr">
        <is>
          <t>Abdou-Raouf</t>
        </is>
      </c>
      <c r="P128" s="40" t="n">
        <v>46336</v>
      </c>
      <c r="Q128" s="40" t="n">
        <v>46342</v>
      </c>
      <c r="R128" s="40" t="n"/>
      <c r="S128" s="37" t="inlineStr"/>
      <c r="T128" s="36" t="inlineStr">
        <is>
          <t>Non</t>
        </is>
      </c>
      <c r="U128" s="13">
        <f>IF($B128="","",IF(AND(J128&lt;&gt;"Complétée",J128&lt;&gt;"Abandonnée",Q128&lt;&gt;"",TODAY()&gt;Q128),"En retard",""))</f>
        <v/>
      </c>
      <c r="V128" s="37" t="inlineStr">
        <is>
          <t>Audit 12/09 : Table document_view présente ; enregistrement réel et export absents.</t>
        </is>
      </c>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En cours</t>
        </is>
      </c>
      <c r="K131" s="39" t="n">
        <v>0.15</v>
      </c>
      <c r="L131" s="16">
        <f>IF($B131="","",IF(J131="Complétée",1,IF(J131="Abandonnée",0,IF(K131&lt;&gt;"",K131,IFERROR(VLOOKUP(J131,Parametres!$B$6:$C$12,2,FALSE),0)))))</f>
        <v/>
      </c>
      <c r="M131" s="15">
        <f>IF($B131="","",IF(J131="Abandonnée",0,H131))</f>
        <v/>
      </c>
      <c r="N131" s="15">
        <f>IF($B131="","",M131*L131)</f>
        <v/>
      </c>
      <c r="O131" s="37" t="inlineStr">
        <is>
          <t>Abdou-Raouf</t>
        </is>
      </c>
      <c r="P131" s="40" t="n">
        <v>46338</v>
      </c>
      <c r="Q131" s="40" t="n">
        <v>46347</v>
      </c>
      <c r="R131" s="40" t="n"/>
      <c r="S131" s="37" t="inlineStr"/>
      <c r="T131" s="36" t="inlineStr">
        <is>
          <t>Non</t>
        </is>
      </c>
      <c r="U131" s="13">
        <f>IF($B131="","",IF(AND(J131&lt;&gt;"Complétée",J131&lt;&gt;"Abandonnée",Q131&lt;&gt;"",TODAY()&gt;Q131),"En retard",""))</f>
        <v/>
      </c>
      <c r="V131" s="37" t="inlineStr">
        <is>
          <t>Audit 12/09 : Table qa_thread présente ; API, isolation et circuit de réponse absents.</t>
        </is>
      </c>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Panne partenaire ne produit jamais une fausse attestation</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Contrôles K13.1 à K13.5 couverts ; articulation avec les missions V2/V3 confirmée</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A04 : articulation P13</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A04 : articulation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inlineStr">
        <is>
          <t>V1-091</t>
        </is>
      </c>
      <c r="C230" s="36" t="inlineStr">
        <is>
          <t>V1</t>
        </is>
      </c>
      <c r="D230" s="36" t="inlineStr">
        <is>
          <t>TRV</t>
        </is>
      </c>
      <c r="E230" s="37" t="inlineStr">
        <is>
          <t>QA et livraison</t>
        </is>
      </c>
      <c r="F230" s="37" t="inlineStr">
        <is>
          <t>CI réellement bloquante : lint effectif et compilation de tous les workspaces sans erreur masquée</t>
        </is>
      </c>
      <c r="G230" s="37" t="inlineStr">
        <is>
          <t>Un défaut de lint ou de compilation web/worker fait échouer la CI ; supprimer le succès forcé de build:libs</t>
        </is>
      </c>
      <c r="H230" s="38" t="n">
        <v>2</v>
      </c>
      <c r="I230" s="36" t="inlineStr">
        <is>
          <t>Haute</t>
        </is>
      </c>
      <c r="J230" s="36" t="inlineStr">
        <is>
          <t>À faire</t>
        </is>
      </c>
      <c r="K230" s="39" t="n"/>
      <c r="L230" s="16">
        <f>IF($B230="","",IF(J230="Complétée",1,IF(J230="Abandonnée",0,IF(K230&lt;&gt;"",K230,IFERROR(VLOOKUP(J230,Parametres!$B$6:$C$12,2,FALSE),0)))))</f>
        <v/>
      </c>
      <c r="M230" s="15">
        <f>IF($B230="","",IF(J230="Abandonnée",0,H230))</f>
        <v/>
      </c>
      <c r="N230" s="15">
        <f>IF($B230="","",M230*L230)</f>
        <v/>
      </c>
      <c r="O230" s="37" t="inlineStr">
        <is>
          <t>Abdou-Raouf</t>
        </is>
      </c>
      <c r="P230" s="40" t="n">
        <v>46279</v>
      </c>
      <c r="Q230" s="40" t="n">
        <v>46281</v>
      </c>
      <c r="R230" s="40" t="n"/>
      <c r="S230" s="37" t="inlineStr"/>
      <c r="T230" s="36" t="inlineStr">
        <is>
          <t>Oui</t>
        </is>
      </c>
      <c r="U230" s="13">
        <f>IF($B230="","",IF(AND(J230&lt;&gt;"Complétée",J230&lt;&gt;"Abandonnée",Q230&lt;&gt;"",TODAY()&gt;Q230),"En retard",""))</f>
        <v/>
      </c>
      <c r="V230" s="37" t="inlineStr">
        <is>
          <t>Ajout audit 12/09/2026 ; charge initiale à revalider avec l'équipe ; voir docs/BILAN_AVANCEMENT_2026-09-12.md.</t>
        </is>
      </c>
    </row>
    <row r="231">
      <c r="B231" s="36" t="inlineStr">
        <is>
          <t>V1-092</t>
        </is>
      </c>
      <c r="C231" s="36" t="inlineStr">
        <is>
          <t>V1</t>
        </is>
      </c>
      <c r="D231" s="36" t="inlineStr">
        <is>
          <t>TRV</t>
        </is>
      </c>
      <c r="E231" s="37" t="inlineStr">
        <is>
          <t>QA et livraison</t>
        </is>
      </c>
      <c r="F231" s="37" t="inlineStr">
        <is>
          <t>Contrats et contrôles des parcours V1 : registre actionnable et preuves navigateur</t>
        </is>
      </c>
      <c r="G231" s="37" t="inlineStr">
        <is>
          <t>Contrats des parcours V1 documentés ; composants partagés inclus dans le scan ; aucun identifiant dynamique non couvert ; DEAD_CONTROL testé</t>
        </is>
      </c>
      <c r="H231" s="38" t="n">
        <v>3</v>
      </c>
      <c r="I231" s="36" t="inlineStr">
        <is>
          <t>Haute</t>
        </is>
      </c>
      <c r="J231" s="36" t="inlineStr">
        <is>
          <t>À faire</t>
        </is>
      </c>
      <c r="K231" s="39" t="n"/>
      <c r="L231" s="16">
        <f>IF($B231="","",IF(J231="Complétée",1,IF(J231="Abandonnée",0,IF(K231&lt;&gt;"",K231,IFERROR(VLOOKUP(J231,Parametres!$B$6:$C$12,2,FALSE),0)))))</f>
        <v/>
      </c>
      <c r="M231" s="15">
        <f>IF($B231="","",IF(J231="Abandonnée",0,H231))</f>
        <v/>
      </c>
      <c r="N231" s="15">
        <f>IF($B231="","",M231*L231)</f>
        <v/>
      </c>
      <c r="O231" s="37" t="inlineStr">
        <is>
          <t>Abdou-Raouf</t>
        </is>
      </c>
      <c r="P231" s="40" t="n">
        <v>46281</v>
      </c>
      <c r="Q231" s="40" t="n">
        <v>46304</v>
      </c>
      <c r="R231" s="40" t="n"/>
      <c r="S231" s="37" t="inlineStr">
        <is>
          <t>V1-091 ; A15</t>
        </is>
      </c>
      <c r="T231" s="36" t="inlineStr">
        <is>
          <t>Oui</t>
        </is>
      </c>
      <c r="U231" s="13">
        <f>IF($B231="","",IF(AND(J231&lt;&gt;"Complétée",J231&lt;&gt;"Abandonnée",Q231&lt;&gt;"",TODAY()&gt;Q231),"En retard",""))</f>
        <v/>
      </c>
      <c r="V231" s="37" t="inlineStr">
        <is>
          <t>Ajout audit 12/09/2026 ; charge initiale à revalider avec l'équipe ; voir docs/BILAN_AVANCEMENT_2026-09-12.md.</t>
        </is>
      </c>
    </row>
    <row r="232">
      <c r="B232" s="36" t="inlineStr">
        <is>
          <t>V1-093</t>
        </is>
      </c>
      <c r="C232" s="36" t="inlineStr">
        <is>
          <t>V1</t>
        </is>
      </c>
      <c r="D232" s="36" t="inlineStr">
        <is>
          <t>IDN</t>
        </is>
      </c>
      <c r="E232" s="37" t="inlineStr">
        <is>
          <t>Auth et rôles</t>
        </is>
      </c>
      <c r="F232" s="37" t="inlineStr">
        <is>
          <t>Adaptateur email effectif et sélection stricte des fournisseurs</t>
        </is>
      </c>
      <c r="G232" s="37" t="inlineStr">
        <is>
          <t>Message reçu via SMTP/Mailpit puis fournisseur retenu ; aucun mode réel ne retourne un faux connecteur ; erreur fournisseur explicite</t>
        </is>
      </c>
      <c r="H232" s="38" t="n">
        <v>3</v>
      </c>
      <c r="I232" s="36" t="inlineStr">
        <is>
          <t>Haute</t>
        </is>
      </c>
      <c r="J232" s="36" t="inlineStr">
        <is>
          <t>À faire</t>
        </is>
      </c>
      <c r="K232" s="39" t="n"/>
      <c r="L232" s="16">
        <f>IF($B232="","",IF(J232="Complétée",1,IF(J232="Abandonnée",0,IF(K232&lt;&gt;"",K232,IFERROR(VLOOKUP(J232,Parametres!$B$6:$C$12,2,FALSE),0)))))</f>
        <v/>
      </c>
      <c r="M232" s="15">
        <f>IF($B232="","",IF(J232="Abandonnée",0,H232))</f>
        <v/>
      </c>
      <c r="N232" s="15">
        <f>IF($B232="","",M232*L232)</f>
        <v/>
      </c>
      <c r="O232" s="37" t="inlineStr">
        <is>
          <t>Abdou-Raouf</t>
        </is>
      </c>
      <c r="P232" s="40" t="n">
        <v>46279</v>
      </c>
      <c r="Q232" s="40" t="n">
        <v>46286</v>
      </c>
      <c r="R232" s="40" t="n"/>
      <c r="S232" s="37" t="inlineStr">
        <is>
          <t>Choix fournisseur email pour la cible hors local</t>
        </is>
      </c>
      <c r="T232" s="36" t="inlineStr">
        <is>
          <t>Oui</t>
        </is>
      </c>
      <c r="U232" s="13">
        <f>IF($B232="","",IF(AND(J232&lt;&gt;"Complétée",J232&lt;&gt;"Abandonnée",Q232&lt;&gt;"",TODAY()&gt;Q232),"En retard",""))</f>
        <v/>
      </c>
      <c r="V232" s="37" t="inlineStr">
        <is>
          <t>Ajout audit 12/09/2026 ; charge initiale à revalider avec l'équipe ; voir docs/BILAN_AVANCEMENT_2026-09-12.md.</t>
        </is>
      </c>
    </row>
    <row r="233">
      <c r="B233" s="36" t="inlineStr">
        <is>
          <t>V1-094</t>
        </is>
      </c>
      <c r="C233" s="36" t="inlineStr">
        <is>
          <t>V1</t>
        </is>
      </c>
      <c r="D233" s="36" t="inlineStr">
        <is>
          <t>OPS</t>
        </is>
      </c>
      <c r="E233" s="37" t="inlineStr">
        <is>
          <t>Sécurité</t>
        </is>
      </c>
      <c r="F233" s="37" t="inlineStr">
        <is>
          <t>Persistance garantie des événements d'audit sensibles</t>
        </is>
      </c>
      <c r="G233" s="37" t="inlineStr">
        <is>
          <t>Action et preuve durables par transaction ou outbox ; panne du journal et rollback testés ; aucun succès perdu après arrêt du processus</t>
        </is>
      </c>
      <c r="H233" s="38" t="n">
        <v>3</v>
      </c>
      <c r="I233" s="36" t="inlineStr">
        <is>
          <t>Haute</t>
        </is>
      </c>
      <c r="J233" s="36" t="inlineStr">
        <is>
          <t>À faire</t>
        </is>
      </c>
      <c r="K233" s="39" t="n"/>
      <c r="L233" s="16">
        <f>IF($B233="","",IF(J233="Complétée",1,IF(J233="Abandonnée",0,IF(K233&lt;&gt;"",K233,IFERROR(VLOOKUP(J233,Parametres!$B$6:$C$12,2,FALSE),0)))))</f>
        <v/>
      </c>
      <c r="M233" s="15">
        <f>IF($B233="","",IF(J233="Abandonnée",0,H233))</f>
        <v/>
      </c>
      <c r="N233" s="15">
        <f>IF($B233="","",M233*L233)</f>
        <v/>
      </c>
      <c r="O233" s="37" t="inlineStr">
        <is>
          <t>Abdou-Raouf</t>
        </is>
      </c>
      <c r="P233" s="40" t="n">
        <v>46281</v>
      </c>
      <c r="Q233" s="40" t="n">
        <v>46288</v>
      </c>
      <c r="R233" s="40" t="n"/>
      <c r="S233" s="37" t="inlineStr">
        <is>
          <t>V1-045 ; AuditService.record</t>
        </is>
      </c>
      <c r="T233" s="36" t="inlineStr">
        <is>
          <t>Oui</t>
        </is>
      </c>
      <c r="U233" s="13">
        <f>IF($B233="","",IF(AND(J233&lt;&gt;"Complétée",J233&lt;&gt;"Abandonnée",Q233&lt;&gt;"",TODAY()&gt;Q233),"En retard",""))</f>
        <v/>
      </c>
      <c r="V233" s="37" t="inlineStr">
        <is>
          <t>Ajout audit 12/09/2026 ; charge initiale à revalider avec l'équipe ; voir docs/BILAN_AVANCEMENT_2026-09-12.md.</t>
        </is>
      </c>
    </row>
    <row r="234">
      <c r="B234" s="36" t="inlineStr">
        <is>
          <t>V2-044</t>
        </is>
      </c>
      <c r="C234" s="36" t="inlineStr">
        <is>
          <t>V2</t>
        </is>
      </c>
      <c r="D234" s="36" t="inlineStr">
        <is>
          <t>RPS</t>
        </is>
      </c>
      <c r="E234" s="37" t="inlineStr">
        <is>
          <t>Circuit RPS réel</t>
        </is>
      </c>
      <c r="F234" s="37" t="inlineStr">
        <is>
          <t>Durcissement RPS : admissions atomiques, journal append-only et identité interservices</t>
        </is>
      </c>
      <c r="G234" s="37" t="inlineStr">
        <is>
          <t>Admissions concurrentes ne dépassent pas le plafond ; chaîne séquentielle vérifiable ; UPDATE/DELETE refusés ; révocation ajoutée ; opérateur authentifié</t>
        </is>
      </c>
      <c r="H234" s="38" t="n">
        <v>5</v>
      </c>
      <c r="I234" s="36" t="inlineStr">
        <is>
          <t>Haute</t>
        </is>
      </c>
      <c r="J234" s="36" t="inlineStr">
        <is>
          <t>Backlog</t>
        </is>
      </c>
      <c r="K234" s="39" t="n"/>
      <c r="L234" s="16">
        <f>IF($B234="","",IF(J234="Complétée",1,IF(J234="Abandonnée",0,IF(K234&lt;&gt;"",K234,IFERROR(VLOOKUP(J234,Parametres!$B$6:$C$12,2,FALSE),0)))))</f>
        <v/>
      </c>
      <c r="M234" s="15">
        <f>IF($B234="","",IF(J234="Abandonnée",0,H234))</f>
        <v/>
      </c>
      <c r="N234" s="15">
        <f>IF($B234="","",M234*L234)</f>
        <v/>
      </c>
      <c r="O234" s="37" t="inlineStr">
        <is>
          <t>Abdou-Raouf</t>
        </is>
      </c>
      <c r="P234" s="40" t="n">
        <v>46311</v>
      </c>
      <c r="Q234" s="40" t="n">
        <v>46318</v>
      </c>
      <c r="R234" s="40" t="n"/>
      <c r="S234" s="37" t="inlineStr">
        <is>
          <t>V2-012 ; V2-014 ; V2-017</t>
        </is>
      </c>
      <c r="T234" s="36" t="inlineStr">
        <is>
          <t>Oui</t>
        </is>
      </c>
      <c r="U234" s="13">
        <f>IF($B234="","",IF(AND(J234&lt;&gt;"Complétée",J234&lt;&gt;"Abandonnée",Q234&lt;&gt;"",TODAY()&gt;Q234),"En retard",""))</f>
        <v/>
      </c>
      <c r="V234" s="37" t="inlineStr">
        <is>
          <t>Ajout audit 12/09/2026 ; charge initiale à revalider avec l'équipe ; voir docs/BILAN_AVANCEMENT_2026-09-12.md.</t>
        </is>
      </c>
    </row>
    <row r="235">
      <c r="B235" s="36" t="inlineStr">
        <is>
          <t>V2-045</t>
        </is>
      </c>
      <c r="C235" s="36" t="inlineStr">
        <is>
          <t>V2</t>
        </is>
      </c>
      <c r="D235" s="36" t="inlineStr">
        <is>
          <t>RPS</t>
        </is>
      </c>
      <c r="E235" s="37" t="inlineStr">
        <is>
          <t>Circuit RPS réel</t>
        </is>
      </c>
      <c r="F235" s="37" t="inlineStr">
        <is>
          <t>Branchement API vers RPS réel et refus par défaut en cas de panne</t>
        </is>
      </c>
      <c r="G235" s="37" t="inlineStr">
        <is>
          <t>Publication et communications passent par le RPS ; indisponibilité bloque la divulgation ; activation du drapeau seule insuffisante ; parcours intégré testé</t>
        </is>
      </c>
      <c r="H235" s="38" t="n">
        <v>4</v>
      </c>
      <c r="I235" s="36" t="inlineStr">
        <is>
          <t>Haute</t>
        </is>
      </c>
      <c r="J235" s="36" t="inlineStr">
        <is>
          <t>Backlog</t>
        </is>
      </c>
      <c r="K235" s="39" t="n"/>
      <c r="L235" s="16">
        <f>IF($B235="","",IF(J235="Complétée",1,IF(J235="Abandonnée",0,IF(K235&lt;&gt;"",K235,IFERROR(VLOOKUP(J235,Parametres!$B$6:$C$12,2,FALSE),0)))))</f>
        <v/>
      </c>
      <c r="M235" s="15">
        <f>IF($B235="","",IF(J235="Abandonnée",0,H235))</f>
        <v/>
      </c>
      <c r="N235" s="15">
        <f>IF($B235="","",M235*L235)</f>
        <v/>
      </c>
      <c r="O235" s="37" t="inlineStr">
        <is>
          <t>Abdou-Raouf</t>
        </is>
      </c>
      <c r="P235" s="40" t="n">
        <v>46317</v>
      </c>
      <c r="Q235" s="40" t="n">
        <v>46325</v>
      </c>
      <c r="R235" s="40" t="n"/>
      <c r="S235" s="37" t="inlineStr">
        <is>
          <t>V2-044 ; V2-001</t>
        </is>
      </c>
      <c r="T235" s="36" t="inlineStr">
        <is>
          <t>Oui</t>
        </is>
      </c>
      <c r="U235" s="13">
        <f>IF($B235="","",IF(AND(J235&lt;&gt;"Complétée",J235&lt;&gt;"Abandonnée",Q235&lt;&gt;"",TODAY()&gt;Q235),"En retard",""))</f>
        <v/>
      </c>
      <c r="V235" s="37" t="inlineStr">
        <is>
          <t>Ajout audit 12/09/2026 ; charge initiale à revalider avec l'équipe ; voir docs/BILAN_AVANCEMENT_2026-09-12.md.</t>
        </is>
      </c>
    </row>
    <row r="236">
      <c r="B236" s="36" t="inlineStr">
        <is>
          <t>V2-046</t>
        </is>
      </c>
      <c r="C236" s="36" t="inlineStr">
        <is>
          <t>V2</t>
        </is>
      </c>
      <c r="D236" s="36" t="inlineStr">
        <is>
          <t>IDN</t>
        </is>
      </c>
      <c r="E236" s="37" t="inlineStr">
        <is>
          <t>Mise en relation</t>
        </is>
      </c>
      <c r="F236" s="37" t="inlineStr">
        <is>
          <t>Vérification documentaire d'identité et qualification avec preuves (DP-IDN-050 / P08)</t>
        </is>
      </c>
      <c r="G236" s="37" t="inlineStr">
        <is>
          <t>Capture privée, revue humaine, OTP et recoupement registre tracés ; refus/expiration testés ; distinct de la simple vérification email ; sans biométrie</t>
        </is>
      </c>
      <c r="H236" s="38" t="n">
        <v>5</v>
      </c>
      <c r="I236" s="36" t="inlineStr">
        <is>
          <t>Haute</t>
        </is>
      </c>
      <c r="J236" s="36" t="inlineStr">
        <is>
          <t>Backlog</t>
        </is>
      </c>
      <c r="K236" s="39" t="n"/>
      <c r="L236" s="16">
        <f>IF($B236="","",IF(J236="Complétée",1,IF(J236="Abandonnée",0,IF(K236&lt;&gt;"",K236,IFERROR(VLOOKUP(J236,Parametres!$B$6:$C$12,2,FALSE),0)))))</f>
        <v/>
      </c>
      <c r="M236" s="15">
        <f>IF($B236="","",IF(J236="Abandonnée",0,H236))</f>
        <v/>
      </c>
      <c r="N236" s="15">
        <f>IF($B236="","",M236*L236)</f>
        <v/>
      </c>
      <c r="O236" s="37" t="inlineStr">
        <is>
          <t>Abdou-Raouf</t>
        </is>
      </c>
      <c r="P236" s="40" t="n">
        <v>46311</v>
      </c>
      <c r="Q236" s="40" t="n">
        <v>46323</v>
      </c>
      <c r="R236" s="40" t="n"/>
      <c r="S236" s="37" t="inlineStr">
        <is>
          <t>V1-028 ; V1-035 ; V1-093</t>
        </is>
      </c>
      <c r="T236" s="36" t="inlineStr">
        <is>
          <t>Oui</t>
        </is>
      </c>
      <c r="U236" s="13">
        <f>IF($B236="","",IF(AND(J236&lt;&gt;"Complétée",J236&lt;&gt;"Abandonnée",Q236&lt;&gt;"",TODAY()&gt;Q236),"En retard",""))</f>
        <v/>
      </c>
      <c r="V236" s="37" t="inlineStr">
        <is>
          <t>Ajout audit 12/09/2026 ; charge initiale à revalider avec l'équipe ; voir docs/BILAN_AVANCEMENT_2026-09-12.md.</t>
        </is>
      </c>
    </row>
    <row r="237">
      <c r="B237" s="36" t="inlineStr">
        <is>
          <t>V3-044</t>
        </is>
      </c>
      <c r="C237" s="36" t="inlineStr">
        <is>
          <t>V3</t>
        </is>
      </c>
      <c r="D237" s="36" t="inlineStr">
        <is>
          <t>IDN</t>
        </is>
      </c>
      <c r="E237" s="37" t="inlineStr">
        <is>
          <t>Facturation abonnements</t>
        </is>
      </c>
      <c r="F237" s="37" t="inlineStr">
        <is>
          <t>Abonnements prépayés, renouvellement, grâce et factures NIF (DP-IDN-041 à 045)</t>
        </is>
      </c>
      <c r="G237" s="37" t="inlineStr">
        <is>
          <t>Périodes prépayées ; lecture seule puis teaser puis suspension sans effacement ; facture NIF ; promotions et virement institutionnel tracés</t>
        </is>
      </c>
      <c r="H237" s="38" t="n">
        <v>8</v>
      </c>
      <c r="I237" s="36" t="inlineStr">
        <is>
          <t>Haute</t>
        </is>
      </c>
      <c r="J237" s="36" t="inlineStr">
        <is>
          <t>Backlog</t>
        </is>
      </c>
      <c r="K237" s="39" t="n"/>
      <c r="L237" s="16">
        <f>IF($B237="","",IF(J237="Complétée",1,IF(J237="Abandonnée",0,IF(K237&lt;&gt;"",K237,IFERROR(VLOOKUP(J237,Parametres!$B$6:$C$12,2,FALSE),0)))))</f>
        <v/>
      </c>
      <c r="M237" s="15">
        <f>IF($B237="","",IF(J237="Abandonnée",0,H237))</f>
        <v/>
      </c>
      <c r="N237" s="15">
        <f>IF($B237="","",M237*L237)</f>
        <v/>
      </c>
      <c r="O237" s="37" t="inlineStr">
        <is>
          <t>Abdou-Raouf</t>
        </is>
      </c>
      <c r="P237" s="40" t="n">
        <v>46352</v>
      </c>
      <c r="Q237" s="40" t="n">
        <v>46367</v>
      </c>
      <c r="R237" s="40" t="n"/>
      <c r="S237" s="37" t="inlineStr">
        <is>
          <t>V1-032 ; prestataire de paiement</t>
        </is>
      </c>
      <c r="T237" s="36" t="inlineStr">
        <is>
          <t>Oui</t>
        </is>
      </c>
      <c r="U237" s="13">
        <f>IF($B237="","",IF(AND(J237&lt;&gt;"Complétée",J237&lt;&gt;"Abandonnée",Q237&lt;&gt;"",TODAY()&gt;Q237),"En retard",""))</f>
        <v/>
      </c>
      <c r="V237" s="37" t="inlineStr">
        <is>
          <t>Ajout audit 12/09/2026 ; charge initiale à revalider avec l'équipe ; voir docs/BILAN_AVANCEMENT_2026-09-12.md.</t>
        </is>
      </c>
    </row>
    <row r="238">
      <c r="B238" s="36" t="inlineStr">
        <is>
          <t>V3-045</t>
        </is>
      </c>
      <c r="C238" s="36" t="inlineStr">
        <is>
          <t>V3</t>
        </is>
      </c>
      <c r="D238" s="36" t="inlineStr">
        <is>
          <t>FIN</t>
        </is>
      </c>
      <c r="E238" s="37" t="inlineStr">
        <is>
          <t>Facturation abonnements</t>
        </is>
      </c>
      <c r="F238" s="37" t="inlineStr">
        <is>
          <t>Paiement des services et rapprochement par rail (DP-OPS-030 à 032)</t>
        </is>
      </c>
      <c r="G238" s="37" t="inlineStr">
        <is>
          <t>Agrégateur principal et secours ; mobile money et carte diaspora ; états autorisé/capturé/réglé/rapproché datés ; rejeu et panne testés ; aucun séquestre de cession</t>
        </is>
      </c>
      <c r="H238" s="38" t="n">
        <v>8</v>
      </c>
      <c r="I238" s="36" t="inlineStr">
        <is>
          <t>Haute</t>
        </is>
      </c>
      <c r="J238" s="36" t="inlineStr">
        <is>
          <t>Backlog</t>
        </is>
      </c>
      <c r="K238" s="39" t="n"/>
      <c r="L238" s="16">
        <f>IF($B238="","",IF(J238="Complétée",1,IF(J238="Abandonnée",0,IF(K238&lt;&gt;"",K238,IFERROR(VLOOKUP(J238,Parametres!$B$6:$C$12,2,FALSE),0)))))</f>
        <v/>
      </c>
      <c r="M238" s="15">
        <f>IF($B238="","",IF(J238="Abandonnée",0,H238))</f>
        <v/>
      </c>
      <c r="N238" s="15">
        <f>IF($B238="","",M238*L238)</f>
        <v/>
      </c>
      <c r="O238" s="37" t="inlineStr">
        <is>
          <t>Abdou-Raouf</t>
        </is>
      </c>
      <c r="P238" s="40" t="n">
        <v>46352</v>
      </c>
      <c r="Q238" s="40" t="n">
        <v>46372</v>
      </c>
      <c r="R238" s="40" t="n"/>
      <c r="S238" s="37" t="inlineStr">
        <is>
          <t>Contrat agrégateur ; V1-023</t>
        </is>
      </c>
      <c r="T238" s="36" t="inlineStr">
        <is>
          <t>Oui</t>
        </is>
      </c>
      <c r="U238" s="13">
        <f>IF($B238="","",IF(AND(J238&lt;&gt;"Complétée",J238&lt;&gt;"Abandonnée",Q238&lt;&gt;"",TODAY()&gt;Q238),"En retard",""))</f>
        <v/>
      </c>
      <c r="V238" s="37" t="inlineStr">
        <is>
          <t>Ajout audit 12/09/2026 ; charge initiale à revalider avec l'équipe ; voir docs/BILAN_AVANCEMENT_2026-09-12.md.</t>
        </is>
      </c>
    </row>
    <row r="239">
      <c r="B239" s="36" t="inlineStr">
        <is>
          <t>V3-046</t>
        </is>
      </c>
      <c r="C239" s="36" t="inlineStr">
        <is>
          <t>V3</t>
        </is>
      </c>
      <c r="D239" s="36" t="inlineStr">
        <is>
          <t>OPS</t>
        </is>
      </c>
      <c r="E239" s="37" t="inlineStr">
        <is>
          <t>QA et livraison</t>
        </is>
      </c>
      <c r="F239" s="37" t="inlineStr">
        <is>
          <t>Tests de capacité et de réseau au niveau du pilote</t>
        </is>
      </c>
      <c r="G239" s="37" t="inlineStr">
        <is>
          <t>Scénarios à 2x la cible documentée ; latences, erreurs, viewer 3G et limites mesurées ; rapport archivé</t>
        </is>
      </c>
      <c r="H239" s="38" t="n">
        <v>4</v>
      </c>
      <c r="I239" s="36" t="inlineStr">
        <is>
          <t>Haute</t>
        </is>
      </c>
      <c r="J239" s="36" t="inlineStr">
        <is>
          <t>Backlog</t>
        </is>
      </c>
      <c r="K239" s="39" t="n"/>
      <c r="L239" s="16">
        <f>IF($B239="","",IF(J239="Complétée",1,IF(J239="Abandonnée",0,IF(K239&lt;&gt;"",K239,IFERROR(VLOOKUP(J239,Parametres!$B$6:$C$12,2,FALSE),0)))))</f>
        <v/>
      </c>
      <c r="M239" s="15">
        <f>IF($B239="","",IF(J239="Abandonnée",0,H239))</f>
        <v/>
      </c>
      <c r="N239" s="15">
        <f>IF($B239="","",M239*L239)</f>
        <v/>
      </c>
      <c r="O239" s="37" t="inlineStr">
        <is>
          <t>Abdou-Raouf</t>
        </is>
      </c>
      <c r="P239" s="40" t="n">
        <v>46370</v>
      </c>
      <c r="Q239" s="40" t="n">
        <v>46377</v>
      </c>
      <c r="R239" s="40" t="n"/>
      <c r="S239" s="37" t="inlineStr">
        <is>
          <t>V2-043 ; staging</t>
        </is>
      </c>
      <c r="T239" s="36" t="inlineStr">
        <is>
          <t>Oui</t>
        </is>
      </c>
      <c r="U239" s="13">
        <f>IF($B239="","",IF(AND(J239&lt;&gt;"Complétée",J239&lt;&gt;"Abandonnée",Q239&lt;&gt;"",TODAY()&gt;Q239),"En retard",""))</f>
        <v/>
      </c>
      <c r="V239" s="37" t="inlineStr">
        <is>
          <t>Ajout audit 12/09/2026 ; charge initiale à revalider avec l'équipe ; voir docs/BILAN_AVANCEMENT_2026-09-12.md.</t>
        </is>
      </c>
    </row>
    <row r="240">
      <c r="B240" s="36" t="inlineStr">
        <is>
          <t>V3-047</t>
        </is>
      </c>
      <c r="C240" s="36" t="inlineStr">
        <is>
          <t>V3</t>
        </is>
      </c>
      <c r="D240" s="36" t="inlineStr">
        <is>
          <t>TRV</t>
        </is>
      </c>
      <c r="E240" s="37" t="inlineStr">
        <is>
          <t>QA et livraison</t>
        </is>
      </c>
      <c r="F240" s="37" t="inlineStr">
        <is>
          <t>Recette V3 intégrée : transaction, facturation, exploitation et portes G1 à G10</t>
        </is>
      </c>
      <c r="G240" s="37" t="inlineStr">
        <is>
          <t>Parcours complet avec preuves ; restauration et incidents exercés ; aucun P0/P1 ouvert ; validation métier archivée avant livraison</t>
        </is>
      </c>
      <c r="H240" s="38" t="n">
        <v>4</v>
      </c>
      <c r="I240" s="36" t="inlineStr">
        <is>
          <t>Haute</t>
        </is>
      </c>
      <c r="J240" s="36" t="inlineStr">
        <is>
          <t>Backlog</t>
        </is>
      </c>
      <c r="K240" s="39" t="n"/>
      <c r="L240" s="16">
        <f>IF($B240="","",IF(J240="Complétée",1,IF(J240="Abandonnée",0,IF(K240&lt;&gt;"",K240,IFERROR(VLOOKUP(J240,Parametres!$B$6:$C$12,2,FALSE),0)))))</f>
        <v/>
      </c>
      <c r="M240" s="15">
        <f>IF($B240="","",IF(J240="Abandonnée",0,H240))</f>
        <v/>
      </c>
      <c r="N240" s="15">
        <f>IF($B240="","",M240*L240)</f>
        <v/>
      </c>
      <c r="O240" s="37" t="inlineStr">
        <is>
          <t>Abdou-Raouf</t>
        </is>
      </c>
      <c r="P240" s="40" t="n">
        <v>46377</v>
      </c>
      <c r="Q240" s="40" t="n">
        <v>46386</v>
      </c>
      <c r="R240" s="40" t="n"/>
      <c r="S240" s="37" t="inlineStr">
        <is>
          <t>V3-044 ; V3-045 ; V3-046 ; J11 ; J12</t>
        </is>
      </c>
      <c r="T240" s="36" t="inlineStr">
        <is>
          <t>Oui</t>
        </is>
      </c>
      <c r="U240" s="13">
        <f>IF($B240="","",IF(AND(J240&lt;&gt;"Complétée",J240&lt;&gt;"Abandonnée",Q240&lt;&gt;"",TODAY()&gt;Q240),"En retard",""))</f>
        <v/>
      </c>
      <c r="V240" s="37" t="inlineStr">
        <is>
          <t>Ajout audit 12/09/2026 ; charge initiale à revalider avec l'équipe ; voir docs/BILAN_AVANCEMENT_2026-09-12.md.</t>
        </is>
      </c>
    </row>
    <row r="241">
      <c r="B241" s="36" t="inlineStr">
        <is>
          <t>V4-025</t>
        </is>
      </c>
      <c r="C241" s="36" t="inlineStr">
        <is>
          <t>V4</t>
        </is>
      </c>
      <c r="D241" s="36" t="inlineStr">
        <is>
          <t>TRV</t>
        </is>
      </c>
      <c r="E241" s="37" t="inlineStr">
        <is>
          <t>QA et livraison</t>
        </is>
      </c>
      <c r="F241" s="37" t="inlineStr">
        <is>
          <t>Recette V4 intégrée : Rebond, Deal-Connect, Diaspora et Experts</t>
        </is>
      </c>
      <c r="G241" s="37" t="inlineStr">
        <is>
          <t>Parcours des quatre services, contrats partenaires, confidentialité et révocation expert testés ; preuves desktop/mobile ; corrections closes</t>
        </is>
      </c>
      <c r="H241" s="38" t="n">
        <v>4</v>
      </c>
      <c r="I241" s="36" t="inlineStr">
        <is>
          <t>Haute</t>
        </is>
      </c>
      <c r="J241" s="36" t="inlineStr">
        <is>
          <t>Backlog</t>
        </is>
      </c>
      <c r="K241" s="39" t="n"/>
      <c r="L241" s="16">
        <f>IF($B241="","",IF(J241="Complétée",1,IF(J241="Abandonnée",0,IF(K241&lt;&gt;"",K241,IFERROR(VLOOKUP(J241,Parametres!$B$6:$C$12,2,FALSE),0)))))</f>
        <v/>
      </c>
      <c r="M241" s="15">
        <f>IF($B241="","",IF(J241="Abandonnée",0,H241))</f>
        <v/>
      </c>
      <c r="N241" s="15">
        <f>IF($B241="","",M241*L241)</f>
        <v/>
      </c>
      <c r="O241" s="37" t="inlineStr">
        <is>
          <t>Abdou-Raouf</t>
        </is>
      </c>
      <c r="P241" s="40" t="n">
        <v>46419</v>
      </c>
      <c r="Q241" s="40" t="n">
        <v>46423</v>
      </c>
      <c r="R241" s="40" t="n"/>
      <c r="S241" s="37" t="inlineStr">
        <is>
          <t>V3-047 ; A04 ; connecteur Remo réel</t>
        </is>
      </c>
      <c r="T241" s="36" t="inlineStr">
        <is>
          <t>Oui</t>
        </is>
      </c>
      <c r="U241" s="13">
        <f>IF($B241="","",IF(AND(J241&lt;&gt;"Complétée",J241&lt;&gt;"Abandonnée",Q241&lt;&gt;"",TODAY()&gt;Q241),"En retard",""))</f>
        <v/>
      </c>
      <c r="V241" s="37" t="inlineStr">
        <is>
          <t>Ajout audit 12/09/2026 ; charge initiale à revalider avec l'équipe ; voir docs/BILAN_AVANCEMENT_2026-09-12.md.</t>
        </is>
      </c>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COUNTIFS(Taches!$D$6:$D$325,$B6,Taches!$J$6:$J$325,"&lt;&gt;Abandonnée",Taches!$B$6:$B$325,"&lt;&gt;")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COUNTIFS(Taches!$D$6:$D$325,$B7,Taches!$J$6:$J$325,"&lt;&gt;Abandonnée",Taches!$B$6:$B$325,"&lt;&gt;")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COUNTIFS(Taches!$D$6:$D$325,$B8,Taches!$J$6:$J$325,"&lt;&gt;Abandonnée",Taches!$B$6:$B$325,"&lt;&gt;")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COUNTIFS(Taches!$D$6:$D$325,$B9,Taches!$J$6:$J$325,"&lt;&gt;Abandonnée",Taches!$B$6:$B$325,"&lt;&gt;")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COUNTIFS(Taches!$D$6:$D$325,$B10,Taches!$J$6:$J$325,"&lt;&gt;Abandonnée",Taches!$B$6:$B$325,"&lt;&gt;")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COUNTIFS(Taches!$D$6:$D$325,$B11,Taches!$J$6:$J$325,"&lt;&gt;Abandonnée",Taches!$B$6:$B$325,"&lt;&gt;")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COUNTIFS(Taches!$D$6:$D$325,$B12,Taches!$J$6:$J$325,"&lt;&gt;Abandonnée",Taches!$B$6:$B$325,"&lt;&gt;")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COUNTIFS(Taches!$D$6:$D$325,$B13,Taches!$J$6:$J$325,"&lt;&gt;Abandonnée",Taches!$B$6:$B$325,"&lt;&gt;")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COUNTIFS(Taches!$D$6:$D$325,$B14,Taches!$J$6:$J$325,"&lt;&gt;Abandonnée",Taches!$B$6:$B$325,"&lt;&gt;")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COUNTIFS(Taches!$D$6:$D$325,$B15,Taches!$J$6:$J$325,"&lt;&gt;Abandonnée",Taches!$B$6:$B$325,"&lt;&gt;")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COUNTIFS(Taches!$D$6:$D$325,$B16,Taches!$J$6:$J$325,"&lt;&gt;Abandonnée",Taches!$B$6:$B$325,"&lt;&gt;")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COUNTIFS(Taches!$D$6:$D$325,$B17,Taches!$J$6:$J$325,"&lt;&gt;Abandonnée",Taches!$B$6:$B$325,"&lt;&gt;")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COUNTIFS(Taches!$D$6:$D$325,$B18,Taches!$J$6:$J$325,"&lt;&gt;Abandonnée",Taches!$B$6:$B$325,"&lt;&gt;")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COUNTIFS(Taches!$D$6:$D$325,$B19,Taches!$J$6:$J$325,"&lt;&gt;Abandonnée",Taches!$B$6:$B$325,"&lt;&gt;")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COUNTIFS(Taches!$D$6:$D$325,$B20,Taches!$J$6:$J$325,"&lt;&gt;Abandonnée",Taches!$B$6:$B$325,"&lt;&gt;")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COUNTIFS(Taches!$D$6:$D$325,$B21,Taches!$J$6:$J$325,"&lt;&gt;Abandonnée",Taches!$B$6:$B$325,"&lt;&gt;")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COUNTIFS(Taches!$D$6:$D$325,$B22,Taches!$J$6:$J$325,"&lt;&gt;Abandonnée",Taches!$B$6:$B$325,"&lt;&gt;")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COUNTIFS(Taches!$D$6:$D$325,$B23,Taches!$J$6:$J$325,"&lt;&gt;Abandonnée",Taches!$B$6:$B$325,"&lt;&gt;")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3" t="inlineStr">
        <is>
          <t>Socle V0</t>
        </is>
      </c>
      <c r="E24" s="20" t="inlineStr">
        <is>
          <t>P13</t>
        </is>
      </c>
      <c r="F24" s="20" t="inlineStr">
        <is>
          <t>V4</t>
        </is>
      </c>
      <c r="G24" s="44">
        <f>SUMIF(Taches!$D$6:$D$325,$B24,Taches!$M$6:$M$325)</f>
        <v/>
      </c>
      <c r="H24" s="15">
        <f>SUMIF(Taches!$D$6:$D$325,$B24,Taches!$N$6:$N$325)</f>
        <v/>
      </c>
      <c r="I24" s="16">
        <f>IF(G24=0,0,H24/G24)</f>
        <v/>
      </c>
      <c r="J24" s="12">
        <f>COUNTIFS(Taches!$D$6:$D$325,$B24,Taches!$J$6:$J$325,"&lt;&gt;Abandonnée",Taches!$B$6:$B$325,"&lt;&gt;")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Référentiel p. 23-24 : socle contractuel art. 12.3 ; articulation avec les besoins experts V2/V3 à confirmer (A04)</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COUNTIFS(Taches!$D$6:$D$325,$B25,Taches!$J$6:$J$325,"&lt;&gt;Abandonnée",Taches!$B$6:$B$325,"&lt;&gt;")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Une seule personne enregistrée. Recalculer le reste à faire par version et affecter les responsables ; préserver les dates, soumettre toute coupe de périmètre à décision (A01). Ne pas retirer une démo RPS déjà construite.</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PSC/PSAE pendant V1 ; disposer d'un gabarit NDA revu en V2, sans attendre LegalTech V3 ; jalon J08 maintenu</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V2, clauses de non-réutilisation des données ; contrat attendu le 15/01/2027 (J16 et A08 alignés)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row r="20">
      <c r="B20" s="54" t="inlineStr">
        <is>
          <t>R15</t>
        </is>
      </c>
      <c r="C20" s="20" t="inlineStr">
        <is>
          <t>Avancement confondu avec recette : dates réelles futures, contrôles statiques et faux fournisseurs</t>
        </is>
      </c>
      <c r="D20" s="20" t="inlineStr">
        <is>
          <t>Qualité du suivi</t>
        </is>
      </c>
      <c r="E20" s="36" t="n">
        <v>5</v>
      </c>
      <c r="F20" s="36" t="n">
        <v>4</v>
      </c>
      <c r="G20" s="12">
        <f>E20*F20</f>
        <v/>
      </c>
      <c r="H20" s="12">
        <f>IF(G20&gt;=15,"Critique",IF(G20&gt;=8,"Élevé",IF(G20&gt;=4,"Moyen","Faible")))</f>
        <v/>
      </c>
      <c r="I20" s="54" t="inlineStr">
        <is>
          <t>V1</t>
        </is>
      </c>
      <c r="J20" s="20" t="inlineStr">
        <is>
          <t>Chef de projet</t>
        </is>
      </c>
      <c r="K20" s="20" t="inlineStr">
        <is>
          <t>Audit du 12/09 : réouverture des tâches incomplètes, preuves en commentaire, fins réelles futures écartées ; recette navigateur et métier obligatoire</t>
        </is>
      </c>
      <c r="L20" s="36" t="inlineStr">
        <is>
          <t>Ouvert</t>
        </is>
      </c>
    </row>
    <row r="21">
      <c r="B21" s="54" t="inlineStr">
        <is>
          <t>R16</t>
        </is>
      </c>
      <c r="C21" s="20" t="inlineStr">
        <is>
          <t>Paiements, facturation prépayée et KYC documentaire absents du plan détaillé</t>
        </is>
      </c>
      <c r="D21" s="20" t="inlineStr">
        <is>
          <t>Périmètre</t>
        </is>
      </c>
      <c r="E21" s="36" t="n">
        <v>4</v>
      </c>
      <c r="F21" s="36" t="n">
        <v>5</v>
      </c>
      <c r="G21" s="12">
        <f>E21*F21</f>
        <v/>
      </c>
      <c r="H21" s="12">
        <f>IF(G21&gt;=15,"Critique",IF(G21&gt;=8,"Élevé",IF(G21&gt;=4,"Moyen","Faible")))</f>
        <v/>
      </c>
      <c r="I21" s="54" t="inlineStr">
        <is>
          <t>V3</t>
        </is>
      </c>
      <c r="J21" s="20" t="inlineStr">
        <is>
          <t>Chef de projet</t>
        </is>
      </c>
      <c r="K21" s="20" t="inlineStr">
        <is>
          <t>Exigences v0 réintroduites en V2-046 et V3-044/045 ; consulter les fournisseurs pendant V1/V2 et revalider les charges sans déplacer les versions</t>
        </is>
      </c>
      <c r="L21" s="36" t="inlineStr">
        <is>
          <t>Ouvert</t>
        </is>
      </c>
    </row>
    <row r="22">
      <c r="B22" s="54" t="inlineStr">
        <is>
          <t>R17</t>
        </is>
      </c>
      <c r="C22" s="20" t="inlineStr">
        <is>
          <t>Admissions et journal RPS non protégés contre la concurrence</t>
        </is>
      </c>
      <c r="D22" s="20" t="inlineStr">
        <is>
          <t>Technique</t>
        </is>
      </c>
      <c r="E22" s="36" t="n">
        <v>4</v>
      </c>
      <c r="F22" s="36" t="n">
        <v>5</v>
      </c>
      <c r="G22" s="12">
        <f>E22*F22</f>
        <v/>
      </c>
      <c r="H22" s="12">
        <f>IF(G22&gt;=15,"Critique",IF(G22&gt;=8,"Élevé",IF(G22&gt;=4,"Moyen","Faible")))</f>
        <v/>
      </c>
      <c r="I22" s="54" t="inlineStr">
        <is>
          <t>V2</t>
        </is>
      </c>
      <c r="J22" s="20" t="inlineStr">
        <is>
          <t>Chef de projet</t>
        </is>
      </c>
      <c r="K22" s="20" t="inlineStr">
        <is>
          <t>V2-044 avant V2-045 : tests concurrents, transactions, append-only, identité interservices ; ne pas activer les titres sur la seule foi des tests unitaires</t>
        </is>
      </c>
      <c r="L22" s="36" t="inlineStr">
        <is>
          <t>Ouvert</t>
        </is>
      </c>
    </row>
  </sheetData>
  <conditionalFormatting sqref="H6:H72">
    <cfRule type="expression" priority="1" dxfId="1">
      <formula>H6="Critique"</formula>
    </cfRule>
    <cfRule type="expression" priority="2" dxfId="5">
      <formula>H6="Élevé"</formula>
    </cfRule>
    <cfRule type="expression" priority="3" dxfId="6">
      <formula>H6="Moyen"</formula>
    </cfRule>
  </conditionalFormatting>
  <conditionalFormatting sqref="L6:L72">
    <cfRule type="expression" priority="4" dxfId="2">
      <formula>L6="Clos"</formula>
    </cfRule>
  </conditionalFormatting>
  <dataValidations count="2">
    <dataValidation sqref="E6:F72" showDropDown="0" showInputMessage="0" showErrorMessage="0" allowBlank="0" type="whole" operator="between">
      <formula1>1</formula1>
      <formula2>5</formula2>
    </dataValidation>
    <dataValidation sqref="L6:L72"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20" t="inlineStr">
        <is>
          <t>Les tables entreprise et vérification de registre n'étaient pas couvertes par la RLS : tout compte authentifié pouvait lire la raison sociale et l'état d'instruction d'une entreprise tierce (constat interne du 24/09/2026)</t>
        </is>
      </c>
      <c r="D14" s="20" t="inlineStr">
        <is>
          <t>Fuite d'information entre cédants concurrents</t>
        </is>
      </c>
      <c r="E14" s="20" t="inlineStr">
        <is>
          <t>Corrigé le jour même : RLS activée sur company et registry_record (propriétaire et institution), lectures de la console passées sous contexte officier, contrôle de fumée ajouté</t>
        </is>
      </c>
      <c r="F14" s="54" t="inlineStr">
        <is>
          <t>V1</t>
        </is>
      </c>
      <c r="G14" s="20"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20" t="inlineStr">
        <is>
          <t>Une écriture refusée par la RLS ne lève pas d'erreur : elle ne touche aucune ligne. L'API annonçait une transition d'état qui n'avait pas eu lieu (constat interne du 02/10/2026)</t>
        </is>
      </c>
      <c r="D15" s="20" t="inlineStr">
        <is>
          <t>Décision affichée comme prise alors que rien n'a changé en base</t>
        </is>
      </c>
      <c r="E15" s="20"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20"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S17</t>
        </is>
      </c>
      <c r="C16" s="20" t="inlineStr">
        <is>
          <t>Une règle de conception écrite dans les conventions mais sans artefact ni test : le registre des contrôles d'interface était exigé par nos propres documents et n'existait nulle part (constat du 11/09/2026)</t>
        </is>
      </c>
      <c r="D16" s="20" t="inlineStr">
        <is>
          <t>Dérive silencieuse : 376 identifiants inventés, condition bloquante de recette non tenue</t>
        </is>
      </c>
      <c r="E16" s="20" t="inlineStr">
        <is>
          <t>Registre importé dans le dépôt (qa/registre-interactions.json) et test qui refuse tout identifiant inconnu ; preuve de couverture produite automatiquement</t>
        </is>
      </c>
      <c r="F16" s="54" t="inlineStr">
        <is>
          <t>V1</t>
        </is>
      </c>
      <c r="G16" s="20" t="inlineStr">
        <is>
          <t>Tests négatifs : permissions serveur, accès non autorisés, contrôles morts</t>
        </is>
      </c>
      <c r="H16" s="12">
        <f>IF($G16="","Sans tâche",IFERROR(INDEX(Taches!$J$6:$J$325,MATCH($G16,Taches!$F$6:$F$325,0)),"À planifier"))</f>
        <v/>
      </c>
      <c r="I16" s="16">
        <f>IF($G16="","",IFERROR(INDEX(Taches!$L$6:$L$325,MATCH($G16,Taches!$F$6:$F$325,0)),0))</f>
        <v/>
      </c>
      <c r="J16" s="37" t="n"/>
    </row>
    <row r="17" ht="58" customHeight="1">
      <c r="B17" s="54" t="inlineStr">
        <is>
          <t>S09</t>
        </is>
      </c>
      <c r="C17" s="20" t="inlineStr">
        <is>
          <t>Aucun pentest indépendant</t>
        </is>
      </c>
      <c r="D17" s="20" t="inlineStr">
        <is>
          <t>Failles non détectées par l'équipe elle-même</t>
        </is>
      </c>
      <c r="E17" s="20" t="inlineStr">
        <is>
          <t>Reporté en V3 (porte G10) : exige un prestataire externe et un périmètre stabilisé ; mitigation V1 = revue interne S08, aucun environnement public avant V3 ; commander le pentest dès V2</t>
        </is>
      </c>
      <c r="F17" s="54" t="inlineStr">
        <is>
          <t>V3</t>
        </is>
      </c>
      <c r="G17" s="20" t="inlineStr">
        <is>
          <t>Pentest indépendant et remédiation des constats critiques et élevés (G10)</t>
        </is>
      </c>
      <c r="H17" s="12">
        <f>IF($G17="","Sans tâche",IFERROR(INDEX(Taches!$J$6:$J$325,MATCH($G17,Taches!$F$6:$F$325,0)),"À planifier"))</f>
        <v/>
      </c>
      <c r="I17" s="16">
        <f>IF($G17="","",IFERROR(INDEX(Taches!$L$6:$L$325,MATCH($G17,Taches!$F$6:$F$325,0)),0))</f>
        <v/>
      </c>
      <c r="J17" s="37" t="n"/>
    </row>
    <row r="18" ht="58" customHeight="1">
      <c r="B18" s="54" t="inlineStr">
        <is>
          <t>S10</t>
        </is>
      </c>
      <c r="C18" s="20" t="inlineStr">
        <is>
          <t>Documents servis sans rendu serveur ni filigrane (data room absente en V1)</t>
        </is>
      </c>
      <c r="D18" s="20" t="inlineStr">
        <is>
          <t>Fuite de documents confidentiels</t>
        </is>
      </c>
      <c r="E18" s="20" t="inlineStr">
        <is>
          <t>Reporté en V2 avec la data room : rendu serveur, filigrane, URL pré-signées courtes, révocation en moins de 60 s ; V1 ne stocke aucun document de data room</t>
        </is>
      </c>
      <c r="F18" s="54" t="inlineStr">
        <is>
          <t>V2</t>
        </is>
      </c>
      <c r="G18" s="20" t="inlineStr">
        <is>
          <t>Visualiseur rendu serveur, page à page, chargement progressif (3G)</t>
        </is>
      </c>
      <c r="H18" s="12">
        <f>IF($G18="","Sans tâche",IFERROR(INDEX(Taches!$J$6:$J$325,MATCH($G18,Taches!$F$6:$F$325,0)),"À planifier"))</f>
        <v/>
      </c>
      <c r="I18" s="16">
        <f>IF($G18="","",IFERROR(INDEX(Taches!$L$6:$L$325,MATCH($G18,Taches!$F$6:$F$325,0)),0))</f>
        <v/>
      </c>
      <c r="J18" s="37" t="n"/>
    </row>
    <row r="19" ht="58" customHeight="1">
      <c r="B19" s="54" t="inlineStr">
        <is>
          <t>S11</t>
        </is>
      </c>
      <c r="C19" s="20" t="inlineStr">
        <is>
          <t>Preuve de signature non qualifiée (pas de NDA en V1)</t>
        </is>
      </c>
      <c r="D19" s="20" t="inlineStr">
        <is>
          <t>NDA non opposable</t>
        </is>
      </c>
      <c r="E19" s="20" t="inlineStr">
        <is>
          <t>Reporté en V2 : prestataire PSC accrédité ARCEP, archivage PSAE ; V1 n'exécute aucun NDA</t>
        </is>
      </c>
      <c r="F19" s="54" t="inlineStr">
        <is>
          <t>V2</t>
        </is>
      </c>
      <c r="G19" s="20" t="inlineStr">
        <is>
          <t>Intégration API de signature qualifiée, webhooks à signature vérifiée</t>
        </is>
      </c>
      <c r="H19" s="12">
        <f>IF($G19="","Sans tâche",IFERROR(INDEX(Taches!$J$6:$J$325,MATCH($G19,Taches!$F$6:$F$325,0)),"À planifier"))</f>
        <v/>
      </c>
      <c r="I19" s="16">
        <f>IF($G19="","",IFERROR(INDEX(Taches!$L$6:$L$325,MATCH($G19,Taches!$F$6:$F$325,0)),0))</f>
        <v/>
      </c>
      <c r="J19" s="37" t="n"/>
    </row>
    <row r="20" ht="58" customHeight="1">
      <c r="B20" s="54" t="inlineStr">
        <is>
          <t>S12</t>
        </is>
      </c>
      <c r="C20" s="20" t="inlineStr">
        <is>
          <t>Accès administrateur non tracé par mode break-glass</t>
        </is>
      </c>
      <c r="D20" s="20" t="inlineStr">
        <is>
          <t>Accès silencieux à des dossiers confidentiels</t>
        </is>
      </c>
      <c r="E20" s="20" t="inlineStr">
        <is>
          <t>Reporté en V3 avec le module support ; V1 : journal d'audit persisté sur toute action sensible, aucun endpoint d'accès aux données confidentielles pour l'administrateur</t>
        </is>
      </c>
      <c r="F20" s="54" t="inlineStr">
        <is>
          <t>V3</t>
        </is>
      </c>
      <c r="G20" s="20" t="inlineStr">
        <is>
          <t>Mode 'break-glass' journalisé pour l'administration</t>
        </is>
      </c>
      <c r="H20" s="12">
        <f>IF($G20="","Sans tâche",IFERROR(INDEX(Taches!$J$6:$J$325,MATCH($G20,Taches!$F$6:$F$325,0)),"À planifier"))</f>
        <v/>
      </c>
      <c r="I20" s="16">
        <f>IF($G20="","",IFERROR(INDEX(Taches!$L$6:$L$325,MATCH($G20,Taches!$F$6:$F$325,0)),0))</f>
        <v/>
      </c>
      <c r="J20" s="37" t="n"/>
    </row>
    <row r="21" ht="58" customHeight="1">
      <c r="B21" s="54" t="inlineStr">
        <is>
          <t>S13</t>
        </is>
      </c>
      <c r="C21" s="20" t="inlineStr">
        <is>
          <t>Vérification d'identité documentaire sans biométrie</t>
        </is>
      </c>
      <c r="D21" s="20" t="inlineStr">
        <is>
          <t>Usurpation d'identité au-delà de ce que le document capture</t>
        </is>
      </c>
      <c r="E21" s="20" t="inlineStr">
        <is>
          <t>Voulu par le v0 : biométrie interdite sans autorisation IPDCP (drapeau FEATURE_BIOMETRIC_KYC fermé) ; revue humaine et recoupement RCCM en V1</t>
        </is>
      </c>
      <c r="F21" s="54" t="inlineStr">
        <is>
          <t>P2</t>
        </is>
      </c>
      <c r="G21" s="20" t="inlineStr"/>
      <c r="H21" s="12">
        <f>IF($G21="","Sans tâche",IFERROR(INDEX(Taches!$J$6:$J$325,MATCH($G21,Taches!$F$6:$F$325,0)),"À planifier"))</f>
        <v/>
      </c>
      <c r="I21" s="16">
        <f>IF($G21="","",IFERROR(INDEX(Taches!$L$6:$L$325,MATCH($G21,Taches!$F$6:$F$325,0)),0))</f>
        <v/>
      </c>
      <c r="J21" s="37" t="n"/>
    </row>
    <row r="22" ht="58" customHeight="1">
      <c r="B22" s="54" t="inlineStr">
        <is>
          <t>S14</t>
        </is>
      </c>
      <c r="C22" s="20" t="inlineStr">
        <is>
          <t>Portes de conformité G1 à G10 non fermées (IPDCP, DPO, avis juridiques)</t>
        </is>
      </c>
      <c r="D22" s="20" t="inlineStr">
        <is>
          <t>Lancement commercial juridiquement exposé</t>
        </is>
      </c>
      <c r="E22" s="20" t="inlineStr">
        <is>
          <t>Reporté en V3 : condition explicite de lancement ; V1 est une démonstration à données synthétiques, jamais un service public</t>
        </is>
      </c>
      <c r="F22" s="54" t="inlineStr">
        <is>
          <t>V3</t>
        </is>
      </c>
      <c r="G22" s="20" t="inlineStr">
        <is>
          <t>Déclaration IPDCP et autorisation de transfert transfrontalier (G1, G2)</t>
        </is>
      </c>
      <c r="H22" s="12">
        <f>IF($G22="","Sans tâche",IFERROR(INDEX(Taches!$J$6:$J$325,MATCH($G22,Taches!$F$6:$F$325,0)),"À planifier"))</f>
        <v/>
      </c>
      <c r="I22" s="16">
        <f>IF($G22="","",IFERROR(INDEX(Taches!$L$6:$L$325,MATCH($G22,Taches!$F$6:$F$325,0)),0))</f>
        <v/>
      </c>
      <c r="J22" s="37" t="n"/>
    </row>
    <row r="24" ht="32" customHeight="1">
      <c r="B24" s="3" t="inlineStr">
        <is>
          <t>Règle</t>
        </is>
      </c>
      <c r="C24"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4:J24"/>
  </mergeCells>
  <conditionalFormatting sqref="H6:H22">
    <cfRule type="expression" priority="1" dxfId="2">
      <formula>H6="Complétée"</formula>
    </cfRule>
    <cfRule type="expression" priority="2" dxfId="5">
      <formula>H6="En cours"</formula>
    </cfRule>
    <cfRule type="expression" priority="3" dxfId="1">
      <formula>H6="Bloquée"</formula>
    </cfRule>
  </conditionalFormatting>
  <conditionalFormatting sqref="I6:I22">
    <cfRule type="dataBar" priority="4">
      <dataBar>
        <cfvo type="num" val="0"/>
        <cfvo type="num" val="1"/>
        <color rgb="006678F1"/>
      </dataBar>
    </cfRule>
  </conditionalFormatting>
  <conditionalFormatting sqref="F6:F22">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Articulation Deal-Experts (P13)</t>
        </is>
      </c>
      <c r="E13" s="20" t="inlineStr">
        <is>
          <t>Le référentiel p. 23-24 classe explicitement P13 en socle contractuel, art. 12.3. Confirmer l'organisation des missions nécessaires à Deal-Ready et à l'audit avant le module complet V4.</t>
        </is>
      </c>
      <c r="F13" s="36" t="inlineStr">
        <is>
          <t>Ouvert</t>
        </is>
      </c>
      <c r="G13" s="20" t="inlineStr">
        <is>
          <t>CCI-Togo</t>
        </is>
      </c>
      <c r="H13" s="20" t="inlineStr">
        <is>
          <t>V4 conservée ; responsabilités et accès experts des parcours antérieurs à expliciter</t>
        </is>
      </c>
      <c r="I13" s="20" t="inlineStr">
        <is>
          <t>Valider une modalité opérationnelle avec la CCI-Togo avant V2</t>
        </is>
      </c>
      <c r="J13" s="54" t="inlineStr">
        <is>
          <t>15/10/2026</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A15</t>
        </is>
      </c>
      <c r="C17" s="54" t="inlineStr">
        <is>
          <t>11/09/2026</t>
        </is>
      </c>
      <c r="D17" s="20" t="inlineStr">
        <is>
          <t>Registre d'interactions</t>
        </is>
      </c>
      <c r="E17" s="20" t="inlineStr">
        <is>
          <t>Le registre officiel ne couvre que trois surfaces de référence et compte 76 identifiants, alors que le produit compte une vingtaine de surfaces. Décision interne conservée : reprendre les identifiants officiels sur leurs surfaces et étendre le registre pour le produit. Le test actuel vérifie l'appartenance statique, pas le comportement.</t>
        </is>
      </c>
      <c r="F17" s="36" t="inlineStr">
        <is>
          <t>Tranché</t>
        </is>
      </c>
      <c r="G17" s="20" t="inlineStr">
        <is>
          <t>Chef de projet</t>
        </is>
      </c>
      <c r="H17" s="20" t="inlineStr">
        <is>
          <t>Au 12/09 : 371 identifiants relevés, 365 contrats à documenter ; PASS de couverture ne vaut pas PASS de recette</t>
        </is>
      </c>
      <c r="I17" s="20" t="inlineStr">
        <is>
          <t>Documenter et tester les parcours V1 en V1-092, puis terminer et étendre en V2-003</t>
        </is>
      </c>
      <c r="J17" s="54" t="inlineStr">
        <is>
          <t>25/11/2026</t>
        </is>
      </c>
    </row>
    <row r="18">
      <c r="B18" s="54" t="inlineStr">
        <is>
          <t>A13</t>
        </is>
      </c>
      <c r="C18" s="54" t="inlineStr">
        <is>
          <t>02/10/2026</t>
        </is>
      </c>
      <c r="D18" s="20" t="inlineStr">
        <is>
          <t>Retrait d'une publication</t>
        </is>
      </c>
      <c r="E18" s="20"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20" t="inlineStr">
        <is>
          <t>M. Bruno</t>
        </is>
      </c>
      <c r="H18" s="20" t="inlineStr">
        <is>
          <t>Un cédant qui suspend une vente ne doit pas avoir à abandonner son dossier</t>
        </is>
      </c>
      <c r="I18" s="20" t="inlineStr">
        <is>
          <t>Trancher avant le début de V2</t>
        </is>
      </c>
      <c r="J18" s="54" t="inlineStr">
        <is>
          <t>16/10/2026</t>
        </is>
      </c>
    </row>
    <row r="19">
      <c r="B19" s="54" t="inlineStr">
        <is>
          <t>A12</t>
        </is>
      </c>
      <c r="C19" s="54" t="inlineStr">
        <is>
          <t>24/09/2026</t>
        </is>
      </c>
      <c r="D19" s="20" t="inlineStr">
        <is>
          <t>Certification visible dans le jeu de démonstration</t>
        </is>
      </c>
      <c r="E19" s="20"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20" t="inlineStr">
        <is>
          <t>Chef de projet</t>
        </is>
      </c>
      <c r="H19" s="20" t="inlineStr">
        <is>
          <t>La démonstration montre les deux états, certifié et non certifié, sans altérer les cas de référence</t>
        </is>
      </c>
      <c r="I19" s="20" t="inlineStr">
        <is>
          <t>Confirmer le choix du dossier certifié avec M. Bruno avant la répétition générale</t>
        </is>
      </c>
      <c r="J19" s="54" t="inlineStr">
        <is>
          <t>12/10/2026</t>
        </is>
      </c>
    </row>
    <row r="20">
      <c r="B20" s="54" t="inlineStr">
        <is>
          <t>A11</t>
        </is>
      </c>
      <c r="C20" s="54" t="inlineStr">
        <is>
          <t>23/09/2026</t>
        </is>
      </c>
      <c r="D20" s="20" t="inlineStr">
        <is>
          <t>Formats acceptés en pièce de dossier</t>
        </is>
      </c>
      <c r="E20"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20" t="inlineStr">
        <is>
          <t>Chef de projet</t>
        </is>
      </c>
      <c r="H20" s="20" t="inlineStr">
        <is>
          <t>Ergonomie réelle contre surface de risque, arbitrée par l'analyse antivirus obligatoire</t>
        </is>
      </c>
      <c r="I20" s="20" t="inlineStr">
        <is>
          <t>Revoir si le pentest de V3 signale un vecteur bureautique</t>
        </is>
      </c>
      <c r="J20" s="54" t="inlineStr">
        <is>
          <t>18/12/2026</t>
        </is>
      </c>
    </row>
    <row r="21">
      <c r="B21" s="54" t="inlineStr">
        <is>
          <t>A10</t>
        </is>
      </c>
      <c r="C21" s="54" t="inlineStr">
        <is>
          <t>15/09/2026</t>
        </is>
      </c>
      <c r="D21" s="20" t="inlineStr">
        <is>
          <t>Préalable à la certification</t>
        </is>
      </c>
      <c r="E21" s="20" t="inlineStr">
        <is>
          <t>L'octroi Deal-Ready exige une vérification RCCM ou CFE enregistrée pour l'entreprise ; le serveur refuse l'octroi sans elle (INVALID_TRANSITION). Le refus et le retrait restent possibles sans vérification.</t>
        </is>
      </c>
      <c r="F21" s="36" t="inlineStr">
        <is>
          <t>Tranché</t>
        </is>
      </c>
      <c r="G21" s="20" t="inlineStr">
        <is>
          <t>Chef de projet</t>
        </is>
      </c>
      <c r="H21" s="20" t="inlineStr">
        <is>
          <t>Évite un badge accordé sur des données uniquement déclaratives</t>
        </is>
      </c>
      <c r="I21" s="20" t="inlineStr">
        <is>
          <t>Confirmer la règle avec la CCI-Togo lors de la recette</t>
        </is>
      </c>
      <c r="J21" s="54" t="inlineStr">
        <is>
          <t>15/10/2026</t>
        </is>
      </c>
    </row>
    <row r="22">
      <c r="B22" s="54" t="inlineStr">
        <is>
          <t>A09</t>
        </is>
      </c>
      <c r="C22" s="54" t="inlineStr">
        <is>
          <t>10/09/2026</t>
        </is>
      </c>
      <c r="D22" s="20" t="inlineStr">
        <is>
          <t>Palette de l'application</t>
        </is>
      </c>
      <c r="E22"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20" t="inlineStr">
        <is>
          <t>Designer UI/UX</t>
        </is>
      </c>
      <c r="H22" s="20" t="inlineStr">
        <is>
          <t>Cohérence visuelle entre application et site public</t>
        </is>
      </c>
      <c r="I22" s="20" t="inlineStr">
        <is>
          <t>Trancher dès la nomination du designer</t>
        </is>
      </c>
      <c r="J22" s="54" t="inlineStr">
        <is>
          <t>18/09/2026</t>
        </is>
      </c>
    </row>
    <row r="23">
      <c r="B23" s="54" t="inlineStr">
        <is>
          <t>A08</t>
        </is>
      </c>
      <c r="C23" s="54" t="inlineStr">
        <is>
          <t>09/09/2026</t>
        </is>
      </c>
      <c r="D23" s="20" t="inlineStr">
        <is>
          <t>Fournisseur IA (DealLens)</t>
        </is>
      </c>
      <c r="E23" s="20" t="inlineStr">
        <is>
          <t>Quel fournisseur, avec quelles clauses de confidentialité ?</t>
        </is>
      </c>
      <c r="F23" s="36" t="inlineStr">
        <is>
          <t>Ouvert</t>
        </is>
      </c>
      <c r="G23" s="20" t="inlineStr">
        <is>
          <t>Conseil juridique</t>
        </is>
      </c>
      <c r="H23" s="20" t="inlineStr">
        <is>
          <t>Bloque tout le lot V5</t>
        </is>
      </c>
      <c r="I23" s="20" t="inlineStr">
        <is>
          <t>Consultation dès V2 ; échéance alignée sur J16, avant le début de V5</t>
        </is>
      </c>
      <c r="J23" s="54" t="inlineStr">
        <is>
          <t>15/01/2027</t>
        </is>
      </c>
    </row>
    <row r="24">
      <c r="B24" s="54" t="inlineStr">
        <is>
          <t>D05</t>
        </is>
      </c>
      <c r="C24" s="54" t="inlineStr">
        <is>
          <t>12/09/2026</t>
        </is>
      </c>
      <c r="D24" s="20" t="inlineStr">
        <is>
          <t>Audit de l'avancement et des tâches</t>
        </is>
      </c>
      <c r="E24" s="20" t="inlineStr">
        <is>
          <t>Suivi recalé sur le code et les preuves : tâches partielles réouvertes, socles V2 reconnus, exigences oubliées ajoutées. Dates de versions et dates prévues des tâches historiques conservées. Les pourcentages restent des estimations de charge, pas une réception produit.</t>
        </is>
      </c>
      <c r="F24" s="36" t="inlineStr">
        <is>
          <t>Tranché</t>
        </is>
      </c>
      <c r="G24" s="20" t="inlineStr">
        <is>
          <t>Revue technique à la demande du chef de projet</t>
        </is>
      </c>
      <c r="H24" s="20" t="inlineStr">
        <is>
          <t>Voir docs/BILAN_AVANCEMENT_2026-09-12.md ; charges nouvelles à revalider</t>
        </is>
      </c>
      <c r="I24" s="20" t="inlineStr">
        <is>
          <t>Valider le reste à faire, les responsables et la capacité lors de J01/J03</t>
        </is>
      </c>
      <c r="J24" s="54" t="inlineStr">
        <is>
          <t>18/09/2026</t>
        </is>
      </c>
    </row>
    <row r="25">
      <c r="B25" s="54" t="inlineStr">
        <is>
          <t>A16</t>
        </is>
      </c>
      <c r="C25" s="54" t="inlineStr">
        <is>
          <t>12/09/2026</t>
        </is>
      </c>
      <c r="D25" s="20" t="inlineStr">
        <is>
          <t>Prestataires email, SMS et paiement</t>
        </is>
      </c>
      <c r="E25" s="20" t="inlineStr">
        <is>
          <t>Confirmer les prestataires, les accès de test et le responsable de chaque intégration. Les adaptateurs factices ne valident pas un service réel.</t>
        </is>
      </c>
      <c r="F25" s="36" t="inlineStr">
        <is>
          <t>Ouvert</t>
        </is>
      </c>
      <c r="G25" s="20" t="inlineStr">
        <is>
          <t>M. Bruno</t>
        </is>
      </c>
      <c r="H25" s="20" t="inlineStr">
        <is>
          <t>Conditionne identité, notifications et facturation avant lancement</t>
        </is>
      </c>
      <c r="I25" s="20" t="inlineStr">
        <is>
          <t>Email/SMS dès V1 ; agrégateur principal et secours à cadrer pendant V2</t>
        </is>
      </c>
      <c r="J25" s="54" t="inlineStr">
        <is>
          <t>18/09/2026</t>
        </is>
      </c>
    </row>
  </sheetData>
  <conditionalFormatting sqref="F6:F75">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5"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2026-09-12T02:04:33Z</dcterms:created>
  <dcterms:modified xsi:type="dcterms:W3CDTF">2026-09-12T02:04:44Z</dcterms:modified>
</cp:coreProperties>
</file>