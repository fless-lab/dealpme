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COUNTIF(Decisions!$F$6:$F$73,"Ouvert")+COUNTIF(Decisions!$F$6:$F$73,"En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Finition frontend</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QA et livraison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30" t="inlineStr">
        <is>
          <t>Total V1</t>
        </is>
      </c>
      <c r="C36" s="30">
        <f>SUM(C22:C35)</f>
        <v/>
      </c>
      <c r="D36" s="31">
        <f>SUM(D22:D35)</f>
        <v/>
      </c>
      <c r="E36" s="32">
        <f>IF(C36=0,0,D36/C36)</f>
        <v/>
      </c>
      <c r="F36" s="30">
        <f>SUM(F22:F35)</f>
        <v/>
      </c>
      <c r="G36" s="30">
        <f>SUM(G22:G35)</f>
        <v/>
      </c>
      <c r="H36" s="30">
        <f>SUM(H22:H35)</f>
        <v/>
      </c>
      <c r="I36" s="30">
        <f>SUM(I22:I35)</f>
        <v/>
      </c>
    </row>
    <row r="38">
      <c r="B38" s="3" t="inlineStr">
        <is>
          <t>Prérequis</t>
        </is>
      </c>
    </row>
    <row r="39" ht="30" customHeight="1">
      <c r="B39" s="19" t="inlineStr">
        <is>
          <t>Équipe de développement confirmée (5 à 6 profils) ; réponse sur l'API CFE/RCCM ; designer UI/UX confirmé.</t>
        </is>
      </c>
    </row>
    <row r="40">
      <c r="B40" s="3" t="inlineStr">
        <is>
          <t>Décision ou règle</t>
        </is>
      </c>
    </row>
    <row r="41" ht="36" customHeight="1">
      <c r="B41" s="33" t="inlineStr">
        <is>
          <t>La démonstration RPS fait partie de V1. Sans équipe à 5 ou 6 profils, la démonstration RPS est le premier lot à retirer, avant le matching automatisé.</t>
        </is>
      </c>
      <c r="C41" s="34" t="n"/>
      <c r="D41" s="34" t="n"/>
      <c r="E41" s="34" t="n"/>
      <c r="F41" s="34" t="n"/>
      <c r="G41" s="34" t="n"/>
      <c r="H41" s="34" t="n"/>
      <c r="I41" s="34" t="n"/>
    </row>
    <row r="44" ht="26" customHeight="1">
      <c r="B44" s="22" t="inlineStr">
        <is>
          <t>V2  Cession de titres en cercle restreint (RPS réel), signature électronique, data room et Q&amp;R</t>
        </is>
      </c>
    </row>
    <row r="45" ht="28" customHeight="1">
      <c r="B45" s="23" t="inlineStr">
        <is>
          <t>Début prévu</t>
        </is>
      </c>
      <c r="C45" s="23" t="inlineStr">
        <is>
          <t>Fin prévue</t>
        </is>
      </c>
      <c r="D45" s="23" t="inlineStr">
        <is>
          <t>Charge (j/p)</t>
        </is>
      </c>
      <c r="E45" s="23" t="inlineStr">
        <is>
          <t>Charge (sem.-pers.)</t>
        </is>
      </c>
      <c r="F45" s="23" t="inlineStr">
        <is>
          <t>Avancement</t>
        </is>
      </c>
      <c r="G45" s="23" t="inlineStr">
        <is>
          <t>État</t>
        </is>
      </c>
      <c r="H45" s="23" t="inlineStr">
        <is>
          <t>Semaines calendaires</t>
        </is>
      </c>
      <c r="I45" s="23" t="inlineStr">
        <is>
          <t>ETP requis à pleine cadence</t>
        </is>
      </c>
    </row>
    <row r="46">
      <c r="B46" s="24">
        <f>Versions!D7</f>
        <v/>
      </c>
      <c r="C46" s="24">
        <f>Versions!E7</f>
        <v/>
      </c>
      <c r="D46" s="25">
        <f>Versions!G7</f>
        <v/>
      </c>
      <c r="E46" s="26">
        <f>Versions!H7</f>
        <v/>
      </c>
      <c r="F46" s="27">
        <f>Versions!J7</f>
        <v/>
      </c>
      <c r="G46" s="28">
        <f>Versions!P7</f>
        <v/>
      </c>
      <c r="H46" s="26">
        <f>ROUND((Versions!E7-Versions!D7)/7,1)</f>
        <v/>
      </c>
      <c r="I46" s="26">
        <f>IFERROR(ROUND(Versions!H7/((Versions!E7-Versions!D7)/7),1),0)</f>
        <v/>
      </c>
    </row>
    <row r="47" ht="48" customHeight="1">
      <c r="B47" s="19" t="inlineStr">
        <is>
          <t>Le cœur du différenciateur produit : le moteur RPS complet pour les cessions de titres et la data room. Prérequis à toute diligence réelle.</t>
        </is>
      </c>
    </row>
    <row r="48">
      <c r="B48" s="3" t="inlineStr">
        <is>
          <t>Inclus</t>
        </is>
      </c>
      <c r="F48" s="3" t="inlineStr">
        <is>
          <t>Exclu ou reporté</t>
        </is>
      </c>
    </row>
    <row r="49" ht="30" customHeight="1">
      <c r="B49" s="19" t="inlineStr">
        <is>
          <t>+ Circuit RPS complet : admission humaine, plafond de cercle (défaut 50), journal réglementaire haché</t>
        </is>
      </c>
      <c r="F49" s="29" t="inlineStr">
        <is>
          <t>- Négociation, LOI, audit d'acquisition et réalisation (V3)</t>
        </is>
      </c>
    </row>
    <row r="50" ht="30" customHeight="1">
      <c r="B50" s="19" t="inlineStr">
        <is>
          <t>+ Signature électronique et preuve : prestataire PSC togolais, repli papier, archivage PSAE</t>
        </is>
      </c>
      <c r="F50" s="29" t="inlineStr">
        <is>
          <t>- Génération documentaire LegalTech (V3)</t>
        </is>
      </c>
    </row>
    <row r="51" ht="30" customHeight="1">
      <c r="B51" s="19" t="inlineStr">
        <is>
          <t>+ Data room : arborescence OHADA, rendu serveur, filigrane dynamique, téléchargement contrôlé, révocation en moins de 60 s</t>
        </is>
      </c>
    </row>
    <row r="52" ht="30" customHeight="1">
      <c r="B52" s="19" t="inlineStr">
        <is>
          <t>+ Fils de questions-réponses par document</t>
        </is>
      </c>
    </row>
    <row r="54" ht="24" customHeight="1">
      <c r="B54" s="11" t="inlineStr">
        <is>
          <t>Lot</t>
        </is>
      </c>
      <c r="C54" s="11" t="inlineStr">
        <is>
          <t>Charge (j/p)</t>
        </is>
      </c>
      <c r="D54" s="11" t="inlineStr">
        <is>
          <t>Réalisé (j/p)</t>
        </is>
      </c>
      <c r="E54" s="11" t="inlineStr">
        <is>
          <t>Avancement</t>
        </is>
      </c>
      <c r="F54" s="11" t="inlineStr">
        <is>
          <t>Tâches</t>
        </is>
      </c>
      <c r="G54" s="11" t="inlineStr">
        <is>
          <t>Complétées</t>
        </is>
      </c>
      <c r="H54" s="11" t="inlineStr">
        <is>
          <t>Bloquées</t>
        </is>
      </c>
      <c r="I54" s="11" t="inlineStr">
        <is>
          <t>En retard</t>
        </is>
      </c>
    </row>
    <row r="55">
      <c r="B55" s="13" t="inlineStr">
        <is>
          <t>Conception</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Circuit RPS réel</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Signature électronique</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Data room</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Questions-réponses</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QA et sécurité</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30" t="inlineStr">
        <is>
          <t>Total V2</t>
        </is>
      </c>
      <c r="C61" s="30">
        <f>SUM(C55:C60)</f>
        <v/>
      </c>
      <c r="D61" s="31">
        <f>SUM(D55:D60)</f>
        <v/>
      </c>
      <c r="E61" s="32">
        <f>IF(C61=0,0,D61/C61)</f>
        <v/>
      </c>
      <c r="F61" s="30">
        <f>SUM(F55:F60)</f>
        <v/>
      </c>
      <c r="G61" s="30">
        <f>SUM(G55:G60)</f>
        <v/>
      </c>
      <c r="H61" s="30">
        <f>SUM(H55:H60)</f>
        <v/>
      </c>
      <c r="I61" s="30">
        <f>SUM(I55:I60)</f>
        <v/>
      </c>
    </row>
    <row r="63">
      <c r="B63" s="3" t="inlineStr">
        <is>
          <t>Prérequis</t>
        </is>
      </c>
    </row>
    <row r="64" ht="30" customHeight="1">
      <c r="B64" s="19" t="inlineStr">
        <is>
          <t>Modèle de données Deal et Organisation de V1 ; contrat avec le prestataire de signature qualifiée.</t>
        </is>
      </c>
    </row>
    <row r="67" ht="26" customHeight="1">
      <c r="B67" s="22" t="inlineStr">
        <is>
          <t>V3  Négociation et réalisation, LegalTech OHADA, Finance et rétrocession, support, fermeture des portes de conformité</t>
        </is>
      </c>
    </row>
    <row r="68" ht="28" customHeight="1">
      <c r="B68" s="23" t="inlineStr">
        <is>
          <t>Début prévu</t>
        </is>
      </c>
      <c r="C68" s="23" t="inlineStr">
        <is>
          <t>Fin prévue</t>
        </is>
      </c>
      <c r="D68" s="23" t="inlineStr">
        <is>
          <t>Charge (j/p)</t>
        </is>
      </c>
      <c r="E68" s="23" t="inlineStr">
        <is>
          <t>Charge (sem.-pers.)</t>
        </is>
      </c>
      <c r="F68" s="23" t="inlineStr">
        <is>
          <t>Avancement</t>
        </is>
      </c>
      <c r="G68" s="23" t="inlineStr">
        <is>
          <t>État</t>
        </is>
      </c>
      <c r="H68" s="23" t="inlineStr">
        <is>
          <t>Semaines calendaires</t>
        </is>
      </c>
      <c r="I68" s="23" t="inlineStr">
        <is>
          <t>ETP requis à pleine cadence</t>
        </is>
      </c>
    </row>
    <row r="69">
      <c r="B69" s="24">
        <f>Versions!D8</f>
        <v/>
      </c>
      <c r="C69" s="24">
        <f>Versions!E8</f>
        <v/>
      </c>
      <c r="D69" s="25">
        <f>Versions!G8</f>
        <v/>
      </c>
      <c r="E69" s="26">
        <f>Versions!H8</f>
        <v/>
      </c>
      <c r="F69" s="27">
        <f>Versions!J8</f>
        <v/>
      </c>
      <c r="G69" s="28">
        <f>Versions!P8</f>
        <v/>
      </c>
      <c r="H69" s="26">
        <f>ROUND((Versions!E8-Versions!D8)/7,1)</f>
        <v/>
      </c>
      <c r="I69" s="26">
        <f>IFERROR(ROUND(Versions!H8/((Versions!E8-Versions!D8)/7),1),0)</f>
        <v/>
      </c>
    </row>
    <row r="70" ht="48" customHeight="1">
      <c r="B70" s="19" t="inlineStr">
        <is>
          <t>Ce qui rend une transaction réelle facturable et légalement défendable : négociation et réalisation, LegalTech OHADA, moteur de frais et rétrocession, support, fermeture des dix portes de conformité et durcissement de l'exploitation.</t>
        </is>
      </c>
    </row>
    <row r="71">
      <c r="B71" s="3" t="inlineStr">
        <is>
          <t>Inclus</t>
        </is>
      </c>
      <c r="F71" s="3" t="inlineStr">
        <is>
          <t>Exclu ou reporté</t>
        </is>
      </c>
    </row>
    <row r="72" ht="30" customHeight="1">
      <c r="B72" s="19" t="inlineStr">
        <is>
          <t>+ Offre, contre-offre, LOI et registre des points ouverts d'audit d'acquisition</t>
        </is>
      </c>
      <c r="F72" s="29" t="inlineStr">
        <is>
          <t>- Deal-Experts (V4, sous réserve d'arbitrage)</t>
        </is>
      </c>
    </row>
    <row r="73" ht="30" customHeight="1">
      <c r="B73" s="19" t="inlineStr">
        <is>
          <t>+ Réalisation documentée sans Deal-Pay natif, création automatique du FeeEvent</t>
        </is>
      </c>
      <c r="F73" s="29" t="inlineStr">
        <is>
          <t>- Modules réseau : Alerte &amp; Rebond, Deal-Connect, Guichet Diaspora (V4)</t>
        </is>
      </c>
    </row>
    <row r="74" ht="30" customHeight="1">
      <c r="B74" s="19" t="inlineStr">
        <is>
          <t>+ LegalTech OHADA : NDA, LOI, pacte simplifié, SPA, cession d'actifs, contrat de travail (droit togolais)</t>
        </is>
      </c>
    </row>
    <row r="75" ht="30" customHeight="1">
      <c r="B75" s="19" t="inlineStr">
        <is>
          <t>+ Finance : barème de frais sous drapeau juridique, rétrocession CCI, journal de calcul recalculable, rapport trimestriel</t>
        </is>
      </c>
    </row>
    <row r="76" ht="30" customHeight="1">
      <c r="B76" s="19" t="inlineStr">
        <is>
          <t>+ Support et accès privilégiés, mode break-glass journalisé</t>
        </is>
      </c>
    </row>
    <row r="77" ht="30" customHeight="1">
      <c r="B77" s="19" t="inlineStr">
        <is>
          <t>+ Portes de conformité G1 à G10 : IPDCP, revues juridiques, DPO, pentest indépendant</t>
        </is>
      </c>
    </row>
    <row r="78" ht="30" customHeight="1">
      <c r="B78" s="19" t="inlineStr">
        <is>
          <t>+ Exploitation : supervision SLA 99,5 %, sauvegardes testées, procédure d'incident</t>
        </is>
      </c>
    </row>
    <row r="80" ht="24" customHeight="1">
      <c r="B80" s="11" t="inlineStr">
        <is>
          <t>Lot</t>
        </is>
      </c>
      <c r="C80" s="11" t="inlineStr">
        <is>
          <t>Charge (j/p)</t>
        </is>
      </c>
      <c r="D80" s="11" t="inlineStr">
        <is>
          <t>Réalisé (j/p)</t>
        </is>
      </c>
      <c r="E80" s="11" t="inlineStr">
        <is>
          <t>Avancement</t>
        </is>
      </c>
      <c r="F80" s="11" t="inlineStr">
        <is>
          <t>Tâches</t>
        </is>
      </c>
      <c r="G80" s="11" t="inlineStr">
        <is>
          <t>Complétées</t>
        </is>
      </c>
      <c r="H80" s="11" t="inlineStr">
        <is>
          <t>Bloquées</t>
        </is>
      </c>
      <c r="I80" s="11" t="inlineStr">
        <is>
          <t>En retard</t>
        </is>
      </c>
    </row>
    <row r="81">
      <c r="B81" s="13" t="inlineStr">
        <is>
          <t>Conception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LegalTech OHADA</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Conformité fiscale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Négociation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Audit d'acquisition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Réalisation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Finance</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Support</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Portes de conformité</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13" t="inlineStr">
        <is>
          <t>Exploitation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30" t="inlineStr">
        <is>
          <t>Total V3</t>
        </is>
      </c>
      <c r="C91" s="30">
        <f>SUM(C81:C90)</f>
        <v/>
      </c>
      <c r="D91" s="31">
        <f>SUM(D81:D90)</f>
        <v/>
      </c>
      <c r="E91" s="32">
        <f>IF(C91=0,0,D91/C91)</f>
        <v/>
      </c>
      <c r="F91" s="30">
        <f>SUM(F81:F90)</f>
        <v/>
      </c>
      <c r="G91" s="30">
        <f>SUM(G81:G90)</f>
        <v/>
      </c>
      <c r="H91" s="30">
        <f>SUM(H81:H90)</f>
        <v/>
      </c>
      <c r="I91" s="30">
        <f>SUM(I81:I90)</f>
        <v/>
      </c>
    </row>
    <row r="93">
      <c r="B93" s="3" t="inlineStr">
        <is>
          <t>Prérequis</t>
        </is>
      </c>
    </row>
    <row r="94" ht="30" customHeight="1">
      <c r="B94" s="19" t="inlineStr">
        <is>
          <t>Des transactions peuvent atteindre CLOSED_REPORTED (V2) ; avis juridique écrit sur le barème de frais.</t>
        </is>
      </c>
    </row>
    <row r="95">
      <c r="B95" s="3" t="inlineStr">
        <is>
          <t>Décision ou règle</t>
        </is>
      </c>
    </row>
    <row r="96" ht="36" customHeight="1">
      <c r="B96" s="33" t="inlineStr">
        <is>
          <t>Le barème de frais et la rétrocession ne s'activent qu'après avis juridique écrit, jamais par simple décision produit.</t>
        </is>
      </c>
      <c r="C96" s="34" t="n"/>
      <c r="D96" s="34" t="n"/>
      <c r="E96" s="34" t="n"/>
      <c r="F96" s="34" t="n"/>
      <c r="G96" s="34" t="n"/>
      <c r="H96" s="34" t="n"/>
      <c r="I96" s="34" t="n"/>
    </row>
    <row r="99" ht="26" customHeight="1">
      <c r="B99" s="22" t="inlineStr">
        <is>
          <t>V4  Alerte &amp; Rebond, Deal-Connect (Remo.co), Guichet Diaspora, Deal-Experts</t>
        </is>
      </c>
    </row>
    <row r="100" ht="28" customHeight="1">
      <c r="B100" s="23" t="inlineStr">
        <is>
          <t>Début prévu</t>
        </is>
      </c>
      <c r="C100" s="23" t="inlineStr">
        <is>
          <t>Fin prévue</t>
        </is>
      </c>
      <c r="D100" s="23" t="inlineStr">
        <is>
          <t>Charge (j/p)</t>
        </is>
      </c>
      <c r="E100" s="23" t="inlineStr">
        <is>
          <t>Charge (sem.-pers.)</t>
        </is>
      </c>
      <c r="F100" s="23" t="inlineStr">
        <is>
          <t>Avancement</t>
        </is>
      </c>
      <c r="G100" s="23" t="inlineStr">
        <is>
          <t>État</t>
        </is>
      </c>
      <c r="H100" s="23" t="inlineStr">
        <is>
          <t>Semaines calendaires</t>
        </is>
      </c>
      <c r="I100" s="23" t="inlineStr">
        <is>
          <t>ETP requis à pleine cadence</t>
        </is>
      </c>
    </row>
    <row r="101">
      <c r="B101" s="24">
        <f>Versions!D9</f>
        <v/>
      </c>
      <c r="C101" s="24">
        <f>Versions!E9</f>
        <v/>
      </c>
      <c r="D101" s="25">
        <f>Versions!G9</f>
        <v/>
      </c>
      <c r="E101" s="26">
        <f>Versions!H9</f>
        <v/>
      </c>
      <c r="F101" s="27">
        <f>Versions!J9</f>
        <v/>
      </c>
      <c r="G101" s="28">
        <f>Versions!P9</f>
        <v/>
      </c>
      <c r="H101" s="26">
        <f>ROUND((Versions!E9-Versions!D9)/7,1)</f>
        <v/>
      </c>
      <c r="I101" s="26">
        <f>IFERROR(ROUND(Versions!H9/((Versions!E9-Versions!D9)/7),1),0)</f>
        <v/>
      </c>
    </row>
    <row r="102" ht="48" customHeight="1">
      <c r="B102" s="19" t="inlineStr">
        <is>
          <t>Les modules réseau. Seul changement d'architecture notable : la brique de salons et rendez-vous virtuels est externalisée vers Remo.co plutôt que construite en propre.</t>
        </is>
      </c>
    </row>
    <row r="103">
      <c r="B103" s="3" t="inlineStr">
        <is>
          <t>Inclus</t>
        </is>
      </c>
      <c r="F103" s="3" t="inlineStr">
        <is>
          <t>Exclu ou reporté</t>
        </is>
      </c>
    </row>
    <row r="104" ht="30" customHeight="1">
      <c r="B104" s="19" t="inlineStr">
        <is>
          <t>+ Alerte &amp; Rebond : auto-diagnostic, cellule de crise confidentielle, listings d'actifs en difficulté, coupe-circuit</t>
        </is>
      </c>
      <c r="F104" s="29" t="inlineStr">
        <is>
          <t>- Mécanismes d'enchère en temps réel (non présumés contractuels)</t>
        </is>
      </c>
    </row>
    <row r="105" ht="30" customHeight="1">
      <c r="B105" s="19" t="inlineStr">
        <is>
          <t>+ Deal-Connect : événements B2B via connecteur Remo.co ; DealPME gère inscriptions, billetterie, attribution et reporting</t>
        </is>
      </c>
      <c r="F105" s="29" t="inlineStr">
        <is>
          <t>- Tout conseil de change ou d'investissement fourni par la plateforme</t>
        </is>
      </c>
    </row>
    <row r="106" ht="30" customHeight="1">
      <c r="B106" s="19" t="inlineStr">
        <is>
          <t>+ Guichet Diaspora : liste de suivi, rendez-vous sécurisé via Remo.co, contraintes transfrontalières, renvoi vers banque et conseil</t>
        </is>
      </c>
    </row>
    <row r="107" ht="30" customHeight="1">
      <c r="B107" s="19" t="inlineStr">
        <is>
          <t>+ Deal-Experts : registre d'experts, routage, accès temporaire scopé (sous réserve de l'arbitrage P13)</t>
        </is>
      </c>
    </row>
    <row r="109" ht="24" customHeight="1">
      <c r="B109" s="11" t="inlineStr">
        <is>
          <t>Lot</t>
        </is>
      </c>
      <c r="C109" s="11" t="inlineStr">
        <is>
          <t>Charge (j/p)</t>
        </is>
      </c>
      <c r="D109" s="11" t="inlineStr">
        <is>
          <t>Réalisé (j/p)</t>
        </is>
      </c>
      <c r="E109" s="11" t="inlineStr">
        <is>
          <t>Avancement</t>
        </is>
      </c>
      <c r="F109" s="11" t="inlineStr">
        <is>
          <t>Tâches</t>
        </is>
      </c>
      <c r="G109" s="11" t="inlineStr">
        <is>
          <t>Complétées</t>
        </is>
      </c>
      <c r="H109" s="11" t="inlineStr">
        <is>
          <t>Bloquées</t>
        </is>
      </c>
      <c r="I109" s="11" t="inlineStr">
        <is>
          <t>En retard</t>
        </is>
      </c>
    </row>
    <row r="110">
      <c r="B110" s="13" t="inlineStr">
        <is>
          <t>Conception</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Alerte &amp; Rebond</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Actifs en difficulté</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Deal-Connect</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Guichet Diaspora</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13" t="inlineStr">
        <is>
          <t>Deal-Experts</t>
        </is>
      </c>
      <c r="C115" s="12">
        <f>SUMIFS(Taches!$M$6:$M$325,Taches!$C$6:$C$325,"V4",Taches!$E$6:$E$325,$B115)</f>
        <v/>
      </c>
      <c r="D115" s="15">
        <f>SUMIFS(Taches!$N$6:$N$325,Taches!$C$6:$C$325,"V4",Taches!$E$6:$E$325,$B115)</f>
        <v/>
      </c>
      <c r="E115" s="16">
        <f>IF(C115=0,0,D115/C115)</f>
        <v/>
      </c>
      <c r="F115" s="12">
        <f>COUNTIFS(Taches!$C$6:$C$325,"V4",Taches!$E$6:$E$325,$B115,Taches!$J$6:$J$325,"&lt;&gt;Abandonnée",Taches!$B$6:$B$325,"&lt;&gt;")</f>
        <v/>
      </c>
      <c r="G115" s="12">
        <f>COUNTIFS(Taches!$C$6:$C$325,"V4",Taches!$E$6:$E$325,$B115,Taches!$J$6:$J$325,"Complétée")</f>
        <v/>
      </c>
      <c r="H115" s="12">
        <f>COUNTIFS(Taches!$C$6:$C$325,"V4",Taches!$E$6:$E$325,$B115,Taches!$J$6:$J$325,"Bloquée")</f>
        <v/>
      </c>
      <c r="I115" s="12">
        <f>COUNTIFS(Taches!$C$6:$C$325,"V4",Taches!$E$6:$E$325,$B115,Taches!$U$6:$U$325,"En retard")</f>
        <v/>
      </c>
    </row>
    <row r="116">
      <c r="B116" s="30" t="inlineStr">
        <is>
          <t>Total V4</t>
        </is>
      </c>
      <c r="C116" s="30">
        <f>SUM(C110:C115)</f>
        <v/>
      </c>
      <c r="D116" s="31">
        <f>SUM(D110:D115)</f>
        <v/>
      </c>
      <c r="E116" s="32">
        <f>IF(C116=0,0,D116/C116)</f>
        <v/>
      </c>
      <c r="F116" s="30">
        <f>SUM(F110:F115)</f>
        <v/>
      </c>
      <c r="G116" s="30">
        <f>SUM(G110:G115)</f>
        <v/>
      </c>
      <c r="H116" s="30">
        <f>SUM(H110:H115)</f>
        <v/>
      </c>
      <c r="I116" s="30">
        <f>SUM(I110:I115)</f>
        <v/>
      </c>
    </row>
    <row r="118">
      <c r="B118" s="3" t="inlineStr">
        <is>
          <t>Prérequis</t>
        </is>
      </c>
    </row>
    <row r="119" ht="30" customHeight="1">
      <c r="B119" s="19" t="inlineStr">
        <is>
          <t>Portes de conformité fermées (V3) ; cadrage écrit de l'intégration Remo.co.</t>
        </is>
      </c>
    </row>
    <row r="120">
      <c r="B120" s="3" t="inlineStr">
        <is>
          <t>Décision ou règle</t>
        </is>
      </c>
    </row>
    <row r="121" ht="36" customHeight="1">
      <c r="B121" s="33" t="inlineStr">
        <is>
          <t>Remo.co est retenu. Le périmètre exact (SSO natif, webhooks de présence, marque blanche) dépend du plan Remo.co choisi.</t>
        </is>
      </c>
      <c r="C121" s="34" t="n"/>
      <c r="D121" s="34" t="n"/>
      <c r="E121" s="34" t="n"/>
      <c r="F121" s="34" t="n"/>
      <c r="G121" s="34" t="n"/>
      <c r="H121" s="34" t="n"/>
      <c r="I121" s="34" t="n"/>
    </row>
    <row r="124" ht="26" customHeight="1">
      <c r="B124" s="22" t="inlineStr">
        <is>
          <t>V5  VDR Intelligence : DealLens, Evidence Map, Issue Radar, Clean Team</t>
        </is>
      </c>
    </row>
    <row r="125" ht="28" customHeight="1">
      <c r="B125" s="23" t="inlineStr">
        <is>
          <t>Début prévu</t>
        </is>
      </c>
      <c r="C125" s="23" t="inlineStr">
        <is>
          <t>Fin prévue</t>
        </is>
      </c>
      <c r="D125" s="23" t="inlineStr">
        <is>
          <t>Charge (j/p)</t>
        </is>
      </c>
      <c r="E125" s="23" t="inlineStr">
        <is>
          <t>Charge (sem.-pers.)</t>
        </is>
      </c>
      <c r="F125" s="23" t="inlineStr">
        <is>
          <t>Avancement</t>
        </is>
      </c>
      <c r="G125" s="23" t="inlineStr">
        <is>
          <t>État</t>
        </is>
      </c>
      <c r="H125" s="23" t="inlineStr">
        <is>
          <t>Semaines calendaires</t>
        </is>
      </c>
      <c r="I125" s="23" t="inlineStr">
        <is>
          <t>ETP requis à pleine cadence</t>
        </is>
      </c>
    </row>
    <row r="126">
      <c r="B126" s="24">
        <f>Versions!D10</f>
        <v/>
      </c>
      <c r="C126" s="24">
        <f>Versions!E10</f>
        <v/>
      </c>
      <c r="D126" s="25">
        <f>Versions!G10</f>
        <v/>
      </c>
      <c r="E126" s="26">
        <f>Versions!H10</f>
        <v/>
      </c>
      <c r="F126" s="27">
        <f>Versions!J10</f>
        <v/>
      </c>
      <c r="G126" s="28">
        <f>Versions!P10</f>
        <v/>
      </c>
      <c r="H126" s="26">
        <f>ROUND((Versions!E10-Versions!D10)/7,1)</f>
        <v/>
      </c>
      <c r="I126" s="26">
        <f>IFERROR(ROUND(Versions!H10/((Versions!E10-Versions!D10)/7),1),0)</f>
        <v/>
      </c>
    </row>
    <row r="127" ht="48" customHeight="1">
      <c r="B127" s="19" t="inlineStr">
        <is>
          <t>Le module le plus spécifié du corpus existant et pourtant le plus éloigné de la production : aucun fournisseur IA n'est engagé. Placé en dernier car le moins urgent contractuellement et le plus risqué techniquement.</t>
        </is>
      </c>
    </row>
    <row r="128">
      <c r="B128" s="3" t="inlineStr">
        <is>
          <t>Inclus</t>
        </is>
      </c>
      <c r="F128" s="3" t="inlineStr">
        <is>
          <t>Exclu ou reporté</t>
        </is>
      </c>
    </row>
    <row r="129" ht="30" customHeight="1">
      <c r="B129" s="19" t="inlineStr">
        <is>
          <t>+ Contrat fournisseur IA et pare-feu de permission : filtrage avant récupération, jamais après</t>
        </is>
      </c>
      <c r="F129" s="29" t="inlineStr">
        <is>
          <t>- Toute action autonome de l'IA : publication, changement de permission, certification, réponse au cédant</t>
        </is>
      </c>
    </row>
    <row r="130" ht="30" customHeight="1">
      <c r="B130" s="19" t="inlineStr">
        <is>
          <t>+ Neuf surfaces : Cockpit, DealLens document et salle, Issue Radar, Evidence Map, Atelier Q&amp;R, Engagement Pulse, Audit, Accès et Clean Team</t>
        </is>
      </c>
    </row>
    <row r="131" ht="30" customHeight="1">
      <c r="B131" s="19" t="inlineStr">
        <is>
          <t>+ Rapprochement financier, intelligence de version, caviardage assisté avec revue humaine</t>
        </is>
      </c>
    </row>
    <row r="132" ht="30" customHeight="1">
      <c r="B132" s="19" t="inlineStr">
        <is>
          <t>+ Tests AI-01 à AI-06, DOC-01 à DOC-03, Q&amp;A-01, UI-01</t>
        </is>
      </c>
    </row>
    <row r="134" ht="24" customHeight="1">
      <c r="B134" s="11" t="inlineStr">
        <is>
          <t>Lot</t>
        </is>
      </c>
      <c r="C134" s="11" t="inlineStr">
        <is>
          <t>Charge (j/p)</t>
        </is>
      </c>
      <c r="D134" s="11" t="inlineStr">
        <is>
          <t>Réalisé (j/p)</t>
        </is>
      </c>
      <c r="E134" s="11" t="inlineStr">
        <is>
          <t>Avancement</t>
        </is>
      </c>
      <c r="F134" s="11" t="inlineStr">
        <is>
          <t>Tâches</t>
        </is>
      </c>
      <c r="G134" s="11" t="inlineStr">
        <is>
          <t>Complétées</t>
        </is>
      </c>
      <c r="H134" s="11" t="inlineStr">
        <is>
          <t>Bloquées</t>
        </is>
      </c>
      <c r="I134" s="11" t="inlineStr">
        <is>
          <t>En retard</t>
        </is>
      </c>
    </row>
    <row r="135">
      <c r="B135" s="13" t="inlineStr">
        <is>
          <t>Conception</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Fournisseur IA</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Ingestion</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DealLens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Surfaces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Accès</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13" t="inlineStr">
        <is>
          <t>QA IA</t>
        </is>
      </c>
      <c r="C141" s="12">
        <f>SUMIFS(Taches!$M$6:$M$325,Taches!$C$6:$C$325,"V5",Taches!$E$6:$E$325,$B141)</f>
        <v/>
      </c>
      <c r="D141" s="15">
        <f>SUMIFS(Taches!$N$6:$N$325,Taches!$C$6:$C$325,"V5",Taches!$E$6:$E$325,$B141)</f>
        <v/>
      </c>
      <c r="E141" s="16">
        <f>IF(C141=0,0,D141/C141)</f>
        <v/>
      </c>
      <c r="F141" s="12">
        <f>COUNTIFS(Taches!$C$6:$C$325,"V5",Taches!$E$6:$E$325,$B141,Taches!$J$6:$J$325,"&lt;&gt;Abandonnée",Taches!$B$6:$B$325,"&lt;&gt;")</f>
        <v/>
      </c>
      <c r="G141" s="12">
        <f>COUNTIFS(Taches!$C$6:$C$325,"V5",Taches!$E$6:$E$325,$B141,Taches!$J$6:$J$325,"Complétée")</f>
        <v/>
      </c>
      <c r="H141" s="12">
        <f>COUNTIFS(Taches!$C$6:$C$325,"V5",Taches!$E$6:$E$325,$B141,Taches!$J$6:$J$325,"Bloquée")</f>
        <v/>
      </c>
      <c r="I141" s="12">
        <f>COUNTIFS(Taches!$C$6:$C$325,"V5",Taches!$E$6:$E$325,$B141,Taches!$U$6:$U$325,"En retard")</f>
        <v/>
      </c>
    </row>
    <row r="142">
      <c r="B142" s="30" t="inlineStr">
        <is>
          <t>Total V5</t>
        </is>
      </c>
      <c r="C142" s="30">
        <f>SUM(C135:C141)</f>
        <v/>
      </c>
      <c r="D142" s="31">
        <f>SUM(D135:D141)</f>
        <v/>
      </c>
      <c r="E142" s="32">
        <f>IF(C142=0,0,D142/C142)</f>
        <v/>
      </c>
      <c r="F142" s="30">
        <f>SUM(F135:F141)</f>
        <v/>
      </c>
      <c r="G142" s="30">
        <f>SUM(G135:G141)</f>
        <v/>
      </c>
      <c r="H142" s="30">
        <f>SUM(H135:H141)</f>
        <v/>
      </c>
      <c r="I142" s="30">
        <f>SUM(I135:I141)</f>
        <v/>
      </c>
    </row>
    <row r="144">
      <c r="B144" s="3" t="inlineStr">
        <is>
          <t>Prérequis</t>
        </is>
      </c>
    </row>
    <row r="145" ht="30" customHeight="1">
      <c r="B145" s="19" t="inlineStr">
        <is>
          <t>Data room de production stable (V2) ; contrat fournisseur IA avec clauses de confidentialité.</t>
        </is>
      </c>
    </row>
    <row r="146">
      <c r="B146" s="3" t="inlineStr">
        <is>
          <t>Décision ou règle</t>
        </is>
      </c>
    </row>
    <row r="147" ht="36" customHeight="1">
      <c r="B147" s="33" t="inlineStr">
        <is>
          <t>DealLens reste assistif et lecture seule : il explique, résume, extrait et propose, il ne décide jamais.</t>
        </is>
      </c>
      <c r="C147" s="34" t="n"/>
      <c r="D147" s="34" t="n"/>
      <c r="E147" s="34" t="n"/>
      <c r="F147" s="34" t="n"/>
      <c r="G147" s="34" t="n"/>
      <c r="H147" s="34" t="n"/>
      <c r="I147" s="34" t="n"/>
    </row>
  </sheetData>
  <mergeCells count="59">
    <mergeCell ref="F13:I13"/>
    <mergeCell ref="B49:E49"/>
    <mergeCell ref="F105:I105"/>
    <mergeCell ref="B47:I47"/>
    <mergeCell ref="B74:E74"/>
    <mergeCell ref="B15:E15"/>
    <mergeCell ref="B121:I121"/>
    <mergeCell ref="B104:E104"/>
    <mergeCell ref="B51:E51"/>
    <mergeCell ref="B102:I102"/>
    <mergeCell ref="F49:I49"/>
    <mergeCell ref="B10:E10"/>
    <mergeCell ref="B76:E76"/>
    <mergeCell ref="B96:I96"/>
    <mergeCell ref="B70:I70"/>
    <mergeCell ref="B50:E50"/>
    <mergeCell ref="B39:I39"/>
    <mergeCell ref="B75:E75"/>
    <mergeCell ref="B106:E106"/>
    <mergeCell ref="B129:E129"/>
    <mergeCell ref="F73:I73"/>
    <mergeCell ref="F11:I11"/>
    <mergeCell ref="B16:E16"/>
    <mergeCell ref="B145:I145"/>
    <mergeCell ref="B72:E72"/>
    <mergeCell ref="B67:I67"/>
    <mergeCell ref="F10:I10"/>
    <mergeCell ref="B8:I8"/>
    <mergeCell ref="B131:E131"/>
    <mergeCell ref="B119:I119"/>
    <mergeCell ref="B18:E18"/>
    <mergeCell ref="B44:I44"/>
    <mergeCell ref="B147:I147"/>
    <mergeCell ref="B105:E105"/>
    <mergeCell ref="B12:E12"/>
    <mergeCell ref="B52:E52"/>
    <mergeCell ref="F12:I12"/>
    <mergeCell ref="B130:E130"/>
    <mergeCell ref="B77:E77"/>
    <mergeCell ref="B11:E11"/>
    <mergeCell ref="B99:I99"/>
    <mergeCell ref="F104:I104"/>
    <mergeCell ref="B107:E107"/>
    <mergeCell ref="B14:E14"/>
    <mergeCell ref="B127:I127"/>
    <mergeCell ref="B17:E17"/>
    <mergeCell ref="F50:I50"/>
    <mergeCell ref="B132:E132"/>
    <mergeCell ref="B64:I64"/>
    <mergeCell ref="B124:I124"/>
    <mergeCell ref="B73:E73"/>
    <mergeCell ref="B13:E13"/>
    <mergeCell ref="F129:I129"/>
    <mergeCell ref="B78:E78"/>
    <mergeCell ref="B5:I5"/>
    <mergeCell ref="F72:I72"/>
    <mergeCell ref="B19:E19"/>
    <mergeCell ref="B94:I94"/>
    <mergeCell ref="B41:I41"/>
  </mergeCells>
  <conditionalFormatting sqref="E22:E35">
    <cfRule type="dataBar" priority="1">
      <dataBar>
        <cfvo type="num" val="0"/>
        <cfvo type="num" val="1"/>
        <color rgb="006678F1"/>
      </dataBar>
    </cfRule>
  </conditionalFormatting>
  <conditionalFormatting sqref="H22:I35">
    <cfRule type="expression" priority="2" dxfId="4">
      <formula>H22&gt;0</formula>
    </cfRule>
  </conditionalFormatting>
  <conditionalFormatting sqref="E55:E60">
    <cfRule type="dataBar" priority="3">
      <dataBar>
        <cfvo type="num" val="0"/>
        <cfvo type="num" val="1"/>
        <color rgb="006678F1"/>
      </dataBar>
    </cfRule>
  </conditionalFormatting>
  <conditionalFormatting sqref="H55:I60">
    <cfRule type="expression" priority="4" dxfId="4">
      <formula>H55&gt;0</formula>
    </cfRule>
  </conditionalFormatting>
  <conditionalFormatting sqref="E81:E90">
    <cfRule type="dataBar" priority="5">
      <dataBar>
        <cfvo type="num" val="0"/>
        <cfvo type="num" val="1"/>
        <color rgb="006678F1"/>
      </dataBar>
    </cfRule>
  </conditionalFormatting>
  <conditionalFormatting sqref="H81:I90">
    <cfRule type="expression" priority="6" dxfId="4">
      <formula>H81&gt;0</formula>
    </cfRule>
  </conditionalFormatting>
  <conditionalFormatting sqref="E110:E115">
    <cfRule type="dataBar" priority="7">
      <dataBar>
        <cfvo type="num" val="0"/>
        <cfvo type="num" val="1"/>
        <color rgb="006678F1"/>
      </dataBar>
    </cfRule>
  </conditionalFormatting>
  <conditionalFormatting sqref="H110:I115">
    <cfRule type="expression" priority="8" dxfId="4">
      <formula>H110&gt;0</formula>
    </cfRule>
  </conditionalFormatting>
  <conditionalFormatting sqref="E135:E141">
    <cfRule type="dataBar" priority="9">
      <dataBar>
        <cfvo type="num" val="0"/>
        <cfvo type="num" val="1"/>
        <color rgb="006678F1"/>
      </dataBar>
    </cfRule>
  </conditionalFormatting>
  <conditionalFormatting sqref="H135:I141">
    <cfRule type="expression" priority="10" dxfId="4">
      <formula>H135&gt;0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n"/>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n"/>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Un écart visuel non intentionnel fait échouer la chaîne d'intégration</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Registre d'interactions du dépôt : reprise des identifiants officiels sur les surfaces couvertes, extension au même format pour les autres, contrat par contrôle (déclencheur, autorisation, source, succès, blocage, audit)</t>
        </is>
      </c>
      <c r="G98" s="37" t="inlineStr">
        <is>
          <t>Aucun contrôle visible sans contrat vérifiable ; couverture produite en preuve de recette</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Décision A15</t>
        </is>
      </c>
      <c r="T98" s="36" t="inlineStr">
        <is>
          <t>Oui</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Chaque test du corpus a son contrôle exécutable, avant écriture des surfaces</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46315</v>
      </c>
      <c r="Q102" s="40" t="n">
        <v>46321</v>
      </c>
      <c r="R102" s="40" t="n"/>
      <c r="S102" s="37" t="inlineStr"/>
      <c r="T102" s="36" t="inlineStr">
        <is>
          <t>Oui</t>
        </is>
      </c>
      <c r="U102" s="13">
        <f>IF($B102="","",IF(AND(J102&lt;&gt;"Complétée",J102&lt;&gt;"Abandonnée",Q102&lt;&gt;"",TODAY()&gt;Q102),"En retard",""))</f>
        <v/>
      </c>
      <c r="V102" s="37" t="n"/>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46316</v>
      </c>
      <c r="Q103" s="40" t="n">
        <v>46322</v>
      </c>
      <c r="R103" s="40" t="n"/>
      <c r="S103" s="37" t="inlineStr"/>
      <c r="T103" s="36" t="inlineStr">
        <is>
          <t>Oui</t>
        </is>
      </c>
      <c r="U103" s="13">
        <f>IF($B103="","",IF(AND(J103&lt;&gt;"Complétée",J103&lt;&gt;"Abandonnée",Q103&lt;&gt;"",TODAY()&gt;Q103),"En retard",""))</f>
        <v/>
      </c>
      <c r="V103" s="37" t="n"/>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Séquences de signature et de repli documentées ; contrat de preuve défini</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46318</v>
      </c>
      <c r="Q106" s="40" t="n">
        <v>46327</v>
      </c>
      <c r="R106" s="40" t="n"/>
      <c r="S106" s="37" t="inlineStr"/>
      <c r="T106" s="36" t="inlineStr">
        <is>
          <t>Non</t>
        </is>
      </c>
      <c r="U106" s="13">
        <f>IF($B106="","",IF(AND(J106&lt;&gt;"Complétée",J106&lt;&gt;"Abandonnée",Q106&lt;&gt;"",TODAY()&gt;Q106),"En retard",""))</f>
        <v/>
      </c>
      <c r="V106" s="37" t="n"/>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46319</v>
      </c>
      <c r="Q107" s="40" t="n">
        <v>46326</v>
      </c>
      <c r="R107" s="40" t="n"/>
      <c r="S107" s="37" t="inlineStr"/>
      <c r="T107" s="36" t="inlineStr">
        <is>
          <t>Non</t>
        </is>
      </c>
      <c r="U107" s="13">
        <f>IF($B107="","",IF(AND(J107&lt;&gt;"Complétée",J107&lt;&gt;"Abandonnée",Q107&lt;&gt;"",TODAY()&gt;Q107),"En retard",""))</f>
        <v/>
      </c>
      <c r="V107" s="37" t="n"/>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46320</v>
      </c>
      <c r="Q108" s="40" t="n">
        <v>46326</v>
      </c>
      <c r="R108" s="40" t="n"/>
      <c r="S108" s="37" t="inlineStr"/>
      <c r="T108" s="36" t="inlineStr">
        <is>
          <t>Non</t>
        </is>
      </c>
      <c r="U108" s="13">
        <f>IF($B108="","",IF(AND(J108&lt;&gt;"Complétée",J108&lt;&gt;"Abandonnée",Q108&lt;&gt;"",TODAY()&gt;Q108),"En retard",""))</f>
        <v/>
      </c>
      <c r="V108" s="37" t="n"/>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46320</v>
      </c>
      <c r="Q109" s="40" t="n">
        <v>46326</v>
      </c>
      <c r="R109" s="40" t="n"/>
      <c r="S109" s="37" t="inlineStr"/>
      <c r="T109" s="36" t="inlineStr">
        <is>
          <t>Non</t>
        </is>
      </c>
      <c r="U109" s="13">
        <f>IF($B109="","",IF(AND(J109&lt;&gt;"Complétée",J109&lt;&gt;"Abandonnée",Q109&lt;&gt;"",TODAY()&gt;Q109),"En retard",""))</f>
        <v/>
      </c>
      <c r="V109" s="37" t="n"/>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46321</v>
      </c>
      <c r="Q110" s="40" t="n">
        <v>46330</v>
      </c>
      <c r="R110" s="40" t="n"/>
      <c r="S110" s="37" t="inlineStr"/>
      <c r="T110" s="36" t="inlineStr">
        <is>
          <t>Non</t>
        </is>
      </c>
      <c r="U110" s="13">
        <f>IF($B110="","",IF(AND(J110&lt;&gt;"Complétée",J110&lt;&gt;"Abandonnée",Q110&lt;&gt;"",TODAY()&gt;Q110),"En retard",""))</f>
        <v/>
      </c>
      <c r="V110" s="37" t="n"/>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46322</v>
      </c>
      <c r="Q111" s="40" t="n">
        <v>46329</v>
      </c>
      <c r="R111" s="40" t="n"/>
      <c r="S111" s="37" t="inlineStr"/>
      <c r="T111" s="36" t="inlineStr">
        <is>
          <t>Non</t>
        </is>
      </c>
      <c r="U111" s="13">
        <f>IF($B111="","",IF(AND(J111&lt;&gt;"Complétée",J111&lt;&gt;"Abandonnée",Q111&lt;&gt;"",TODAY()&gt;Q111),"En retard",""))</f>
        <v/>
      </c>
      <c r="V111" s="37" t="n"/>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46323</v>
      </c>
      <c r="Q112" s="40" t="n">
        <v>46330</v>
      </c>
      <c r="R112" s="40" t="n"/>
      <c r="S112" s="37" t="inlineStr"/>
      <c r="T112" s="36" t="inlineStr">
        <is>
          <t>Non</t>
        </is>
      </c>
      <c r="U112" s="13">
        <f>IF($B112="","",IF(AND(J112&lt;&gt;"Complétée",J112&lt;&gt;"Abandonnée",Q112&lt;&gt;"",TODAY()&gt;Q112),"En retard",""))</f>
        <v/>
      </c>
      <c r="V112" s="37" t="n"/>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46324</v>
      </c>
      <c r="Q113" s="40" t="n">
        <v>46329</v>
      </c>
      <c r="R113" s="40" t="n"/>
      <c r="S113" s="37" t="inlineStr"/>
      <c r="T113" s="36" t="inlineStr">
        <is>
          <t>Non</t>
        </is>
      </c>
      <c r="U113" s="13">
        <f>IF($B113="","",IF(AND(J113&lt;&gt;"Complétée",J113&lt;&gt;"Abandonnée",Q113&lt;&gt;"",TODAY()&gt;Q113),"En retard",""))</f>
        <v/>
      </c>
      <c r="V113" s="37" t="n"/>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46327</v>
      </c>
      <c r="Q118" s="40" t="n">
        <v>46333</v>
      </c>
      <c r="R118" s="40" t="n"/>
      <c r="S118" s="37" t="inlineStr"/>
      <c r="T118" s="36" t="inlineStr">
        <is>
          <t>Non</t>
        </is>
      </c>
      <c r="U118" s="13">
        <f>IF($B118="","",IF(AND(J118&lt;&gt;"Complétée",J118&lt;&gt;"Abandonnée",Q118&lt;&gt;"",TODAY()&gt;Q118),"En retard",""))</f>
        <v/>
      </c>
      <c r="V118" s="37" t="n"/>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46332</v>
      </c>
      <c r="Q124" s="40" t="n">
        <v>46338</v>
      </c>
      <c r="R124" s="40" t="n"/>
      <c r="S124" s="37" t="inlineStr"/>
      <c r="T124" s="36" t="inlineStr">
        <is>
          <t>Non</t>
        </is>
      </c>
      <c r="U124" s="13">
        <f>IF($B124="","",IF(AND(J124&lt;&gt;"Complétée",J124&lt;&gt;"Abandonnée",Q124&lt;&gt;"",TODAY()&gt;Q124),"En retard",""))</f>
        <v/>
      </c>
      <c r="V124" s="37" t="n"/>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46334</v>
      </c>
      <c r="Q126" s="40" t="n">
        <v>46340</v>
      </c>
      <c r="R126" s="40" t="n"/>
      <c r="S126" s="37" t="inlineStr"/>
      <c r="T126" s="36" t="inlineStr">
        <is>
          <t>Non</t>
        </is>
      </c>
      <c r="U126" s="13">
        <f>IF($B126="","",IF(AND(J126&lt;&gt;"Complétée",J126&lt;&gt;"Abandonnée",Q126&lt;&gt;"",TODAY()&gt;Q126),"En retard",""))</f>
        <v/>
      </c>
      <c r="V126" s="37" t="n"/>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46336</v>
      </c>
      <c r="Q128" s="40" t="n">
        <v>46342</v>
      </c>
      <c r="R128" s="40" t="n"/>
      <c r="S128" s="37" t="inlineStr"/>
      <c r="T128" s="36" t="inlineStr">
        <is>
          <t>Non</t>
        </is>
      </c>
      <c r="U128" s="13">
        <f>IF($B128="","",IF(AND(J128&lt;&gt;"Complétée",J128&lt;&gt;"Abandonnée",Q128&lt;&gt;"",TODAY()&gt;Q128),"En retard",""))</f>
        <v/>
      </c>
      <c r="V128" s="37" t="n"/>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46338</v>
      </c>
      <c r="Q131" s="40" t="n">
        <v>46347</v>
      </c>
      <c r="R131" s="40" t="n"/>
      <c r="S131" s="37" t="inlineStr"/>
      <c r="T131" s="36" t="inlineStr">
        <is>
          <t>Non</t>
        </is>
      </c>
      <c r="U131" s="13">
        <f>IF($B131="","",IF(AND(J131&lt;&gt;"Complétée",J131&lt;&gt;"Abandonnée",Q131&lt;&gt;"",TODAY()&gt;Q131),"En retard",""))</f>
        <v/>
      </c>
      <c r="V131" s="37" t="n"/>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Panne partenaire ne produit jamais une fausse attestation</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Décision d'arbitrage (P13) prise et modèle de mission spécifié</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Arbitrage Deal-Experts</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Arbitrage statut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S09</t>
        </is>
      </c>
      <c r="C16" s="20" t="inlineStr">
        <is>
          <t>Aucun pentest indépendant</t>
        </is>
      </c>
      <c r="D16" s="20" t="inlineStr">
        <is>
          <t>Failles non détectées par l'équipe elle-même</t>
        </is>
      </c>
      <c r="E16" s="20" t="inlineStr">
        <is>
          <t>Reporté en V3 (porte G10) : exige un prestataire externe et un périmètre stabilisé ; mitigation V1 = revue interne S08, aucun environnement public avant V3 ; commander le pentest dès V2</t>
        </is>
      </c>
      <c r="F16" s="54" t="inlineStr">
        <is>
          <t>V3</t>
        </is>
      </c>
      <c r="G16" s="20" t="inlineStr">
        <is>
          <t>Pentest indépendant et remédiation des constats critiques et élevés (G10)</t>
        </is>
      </c>
      <c r="H16" s="12">
        <f>IF($G16="","Sans tâche",IFERROR(INDEX(Taches!$J$6:$J$325,MATCH($G16,Taches!$F$6:$F$325,0)),"À planifier"))</f>
        <v/>
      </c>
      <c r="I16" s="16">
        <f>IF($G16="","",IFERROR(INDEX(Taches!$L$6:$L$325,MATCH($G16,Taches!$F$6:$F$325,0)),0))</f>
        <v/>
      </c>
      <c r="J16" s="37" t="n"/>
    </row>
    <row r="17" ht="58" customHeight="1">
      <c r="B17" s="54" t="inlineStr">
        <is>
          <t>S10</t>
        </is>
      </c>
      <c r="C17" s="20" t="inlineStr">
        <is>
          <t>Documents servis sans rendu serveur ni filigrane (data room absente en V1)</t>
        </is>
      </c>
      <c r="D17" s="20" t="inlineStr">
        <is>
          <t>Fuite de documents confidentiels</t>
        </is>
      </c>
      <c r="E17" s="20" t="inlineStr">
        <is>
          <t>Reporté en V2 avec la data room : rendu serveur, filigrane, URL pré-signées courtes, révocation en moins de 60 s ; V1 ne stocke aucun document de data room</t>
        </is>
      </c>
      <c r="F17" s="54" t="inlineStr">
        <is>
          <t>V2</t>
        </is>
      </c>
      <c r="G17" s="20" t="inlineStr">
        <is>
          <t>Visualiseur rendu serveur, page à page, chargement progressif (3G)</t>
        </is>
      </c>
      <c r="H17" s="12">
        <f>IF($G17="","Sans tâche",IFERROR(INDEX(Taches!$J$6:$J$325,MATCH($G17,Taches!$F$6:$F$325,0)),"À planifier"))</f>
        <v/>
      </c>
      <c r="I17" s="16">
        <f>IF($G17="","",IFERROR(INDEX(Taches!$L$6:$L$325,MATCH($G17,Taches!$F$6:$F$325,0)),0))</f>
        <v/>
      </c>
      <c r="J17" s="37" t="n"/>
    </row>
    <row r="18" ht="58" customHeight="1">
      <c r="B18" s="54" t="inlineStr">
        <is>
          <t>S11</t>
        </is>
      </c>
      <c r="C18" s="20" t="inlineStr">
        <is>
          <t>Preuve de signature non qualifiée (pas de NDA en V1)</t>
        </is>
      </c>
      <c r="D18" s="20" t="inlineStr">
        <is>
          <t>NDA non opposable</t>
        </is>
      </c>
      <c r="E18" s="20" t="inlineStr">
        <is>
          <t>Reporté en V2 : prestataire PSC accrédité ARCEP, archivage PSAE ; V1 n'exécute aucun NDA</t>
        </is>
      </c>
      <c r="F18" s="54" t="inlineStr">
        <is>
          <t>V2</t>
        </is>
      </c>
      <c r="G18" s="20" t="inlineStr">
        <is>
          <t>Intégration API de signature qualifiée, webhooks à signature vérifiée</t>
        </is>
      </c>
      <c r="H18" s="12">
        <f>IF($G18="","Sans tâche",IFERROR(INDEX(Taches!$J$6:$J$325,MATCH($G18,Taches!$F$6:$F$325,0)),"À planifier"))</f>
        <v/>
      </c>
      <c r="I18" s="16">
        <f>IF($G18="","",IFERROR(INDEX(Taches!$L$6:$L$325,MATCH($G18,Taches!$F$6:$F$325,0)),0))</f>
        <v/>
      </c>
      <c r="J18" s="37" t="n"/>
    </row>
    <row r="19" ht="58" customHeight="1">
      <c r="B19" s="54" t="inlineStr">
        <is>
          <t>S12</t>
        </is>
      </c>
      <c r="C19" s="20" t="inlineStr">
        <is>
          <t>Accès administrateur non tracé par mode break-glass</t>
        </is>
      </c>
      <c r="D19" s="20" t="inlineStr">
        <is>
          <t>Accès silencieux à des dossiers confidentiels</t>
        </is>
      </c>
      <c r="E19" s="20" t="inlineStr">
        <is>
          <t>Reporté en V3 avec le module support ; V1 : journal d'audit persisté sur toute action sensible, aucun endpoint d'accès aux données confidentielles pour l'administrateur</t>
        </is>
      </c>
      <c r="F19" s="54" t="inlineStr">
        <is>
          <t>V3</t>
        </is>
      </c>
      <c r="G19" s="20" t="inlineStr">
        <is>
          <t>Mode 'break-glass' journalisé pour l'administration</t>
        </is>
      </c>
      <c r="H19" s="12">
        <f>IF($G19="","Sans tâche",IFERROR(INDEX(Taches!$J$6:$J$325,MATCH($G19,Taches!$F$6:$F$325,0)),"À planifier"))</f>
        <v/>
      </c>
      <c r="I19" s="16">
        <f>IF($G19="","",IFERROR(INDEX(Taches!$L$6:$L$325,MATCH($G19,Taches!$F$6:$F$325,0)),0))</f>
        <v/>
      </c>
      <c r="J19" s="37" t="n"/>
    </row>
    <row r="20" ht="58" customHeight="1">
      <c r="B20" s="54" t="inlineStr">
        <is>
          <t>S13</t>
        </is>
      </c>
      <c r="C20" s="20" t="inlineStr">
        <is>
          <t>Vérification d'identité documentaire sans biométrie</t>
        </is>
      </c>
      <c r="D20" s="20" t="inlineStr">
        <is>
          <t>Usurpation d'identité au-delà de ce que le document capture</t>
        </is>
      </c>
      <c r="E20" s="20" t="inlineStr">
        <is>
          <t>Voulu par le v0 : biométrie interdite sans autorisation IPDCP (drapeau FEATURE_BIOMETRIC_KYC fermé) ; revue humaine et recoupement RCCM en V1</t>
        </is>
      </c>
      <c r="F20" s="54" t="inlineStr">
        <is>
          <t>P2</t>
        </is>
      </c>
      <c r="G20" s="20" t="inlineStr"/>
      <c r="H20" s="12">
        <f>IF($G20="","Sans tâche",IFERROR(INDEX(Taches!$J$6:$J$325,MATCH($G20,Taches!$F$6:$F$325,0)),"À planifier"))</f>
        <v/>
      </c>
      <c r="I20" s="16">
        <f>IF($G20="","",IFERROR(INDEX(Taches!$L$6:$L$325,MATCH($G20,Taches!$F$6:$F$325,0)),0))</f>
        <v/>
      </c>
      <c r="J20" s="37" t="n"/>
    </row>
    <row r="21" ht="58" customHeight="1">
      <c r="B21" s="54" t="inlineStr">
        <is>
          <t>S14</t>
        </is>
      </c>
      <c r="C21" s="20" t="inlineStr">
        <is>
          <t>Portes de conformité G1 à G10 non fermées (IPDCP, DPO, avis juridiques)</t>
        </is>
      </c>
      <c r="D21" s="20" t="inlineStr">
        <is>
          <t>Lancement commercial juridiquement exposé</t>
        </is>
      </c>
      <c r="E21" s="20" t="inlineStr">
        <is>
          <t>Reporté en V3 : condition explicite de lancement ; V1 est une démonstration à données synthétiques, jamais un service public</t>
        </is>
      </c>
      <c r="F21" s="54" t="inlineStr">
        <is>
          <t>V3</t>
        </is>
      </c>
      <c r="G21" s="20" t="inlineStr">
        <is>
          <t>Déclaration IPDCP et autorisation de transfert transfrontalier (G1, G2)</t>
        </is>
      </c>
      <c r="H21" s="12">
        <f>IF($G21="","Sans tâche",IFERROR(INDEX(Taches!$J$6:$J$325,MATCH($G21,Taches!$F$6:$F$325,0)),"À planifier"))</f>
        <v/>
      </c>
      <c r="I21" s="16">
        <f>IF($G21="","",IFERROR(INDEX(Taches!$L$6:$L$325,MATCH($G21,Taches!$F$6:$F$325,0)),0))</f>
        <v/>
      </c>
      <c r="J21" s="37" t="n"/>
    </row>
    <row r="23" ht="32" customHeight="1">
      <c r="B23" s="3" t="inlineStr">
        <is>
          <t>Règle</t>
        </is>
      </c>
      <c r="C23"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3:J23"/>
  </mergeCells>
  <conditionalFormatting sqref="H6:H21">
    <cfRule type="expression" priority="1" dxfId="2">
      <formula>H6="Complétée"</formula>
    </cfRule>
    <cfRule type="expression" priority="2" dxfId="5">
      <formula>H6="En cours"</formula>
    </cfRule>
    <cfRule type="expression" priority="3" dxfId="1">
      <formula>H6="Bloquée"</formula>
    </cfRule>
  </conditionalFormatting>
  <conditionalFormatting sqref="I6:I21">
    <cfRule type="dataBar" priority="4">
      <dataBar>
        <cfvo type="num" val="0"/>
        <cfvo type="num" val="1"/>
        <color rgb="006678F1"/>
      </dataBar>
    </cfRule>
  </conditionalFormatting>
  <conditionalFormatting sqref="F6:F21">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A15</t>
        </is>
      </c>
      <c r="C17" s="54" t="inlineStr">
        <is>
          <t>11/09/2026</t>
        </is>
      </c>
      <c r="D17" s="20" t="inlineStr">
        <is>
          <t>Registre d'interactions</t>
        </is>
      </c>
      <c r="E17" s="20" t="inlineStr">
        <is>
          <t>Le standard impose que chaque contrôle visible porte un identifiant présent au registre, et le Release Gate en fait une condition bloquante. Le registre officiel ne couvre que trois surfaces de référence (fiche d'opportunité, data room, gabarit de service) et compte 76 identifiants ; le code en utilise 382, dont 6 conformes. Option retenue à confirmer : reprendre les identifiants officiels sur les surfaces couvertes, et tenir dans le dépôt un registre étendu, au même format, pour les surfaces absentes du corpus.</t>
        </is>
      </c>
      <c r="F17" s="36" t="inlineStr">
        <is>
          <t>Ouvert</t>
        </is>
      </c>
      <c r="G17" s="20" t="inlineStr">
        <is>
          <t>M. Bruno</t>
        </is>
      </c>
      <c r="H17" s="20" t="inlineStr">
        <is>
          <t>Condition bloquante de recette officielle ; conditionne le nommage de tout ce qui sera écrit en V2</t>
        </is>
      </c>
      <c r="I17" s="20" t="inlineStr">
        <is>
          <t>Trancher avant d'écrire les surfaces de la data room</t>
        </is>
      </c>
      <c r="J17" s="54" t="inlineStr">
        <is>
          <t>16/10/2026</t>
        </is>
      </c>
    </row>
    <row r="18">
      <c r="B18" s="54" t="inlineStr">
        <is>
          <t>A13</t>
        </is>
      </c>
      <c r="C18" s="54" t="inlineStr">
        <is>
          <t>02/10/2026</t>
        </is>
      </c>
      <c r="D18" s="20" t="inlineStr">
        <is>
          <t>Retrait d'une publication</t>
        </is>
      </c>
      <c r="E18"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20" t="inlineStr">
        <is>
          <t>M. Bruno</t>
        </is>
      </c>
      <c r="H18" s="20" t="inlineStr">
        <is>
          <t>Un cédant qui suspend une vente ne doit pas avoir à abandonner son dossier</t>
        </is>
      </c>
      <c r="I18" s="20" t="inlineStr">
        <is>
          <t>Trancher avant le début de V2</t>
        </is>
      </c>
      <c r="J18" s="54" t="inlineStr">
        <is>
          <t>16/10/2026</t>
        </is>
      </c>
    </row>
    <row r="19">
      <c r="B19" s="54" t="inlineStr">
        <is>
          <t>A12</t>
        </is>
      </c>
      <c r="C19" s="54" t="inlineStr">
        <is>
          <t>24/09/2026</t>
        </is>
      </c>
      <c r="D19" s="20" t="inlineStr">
        <is>
          <t>Certification visible dans le jeu de démonstration</t>
        </is>
      </c>
      <c r="E19"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20" t="inlineStr">
        <is>
          <t>Chef de projet</t>
        </is>
      </c>
      <c r="H19" s="20" t="inlineStr">
        <is>
          <t>La démonstration montre les deux états, certifié et non certifié, sans altérer les cas de référence</t>
        </is>
      </c>
      <c r="I19" s="20" t="inlineStr">
        <is>
          <t>Confirmer le choix du dossier certifié avec M. Bruno avant la répétition générale</t>
        </is>
      </c>
      <c r="J19" s="54" t="inlineStr">
        <is>
          <t>12/10/2026</t>
        </is>
      </c>
    </row>
    <row r="20">
      <c r="B20" s="54" t="inlineStr">
        <is>
          <t>A11</t>
        </is>
      </c>
      <c r="C20" s="54" t="inlineStr">
        <is>
          <t>23/09/2026</t>
        </is>
      </c>
      <c r="D20" s="20" t="inlineStr">
        <is>
          <t>Formats acceptés en pièce de dossier</t>
        </is>
      </c>
      <c r="E20"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20" t="inlineStr">
        <is>
          <t>Chef de projet</t>
        </is>
      </c>
      <c r="H20" s="20" t="inlineStr">
        <is>
          <t>Ergonomie réelle contre surface de risque, arbitrée par l'analyse antivirus obligatoire</t>
        </is>
      </c>
      <c r="I20" s="20" t="inlineStr">
        <is>
          <t>Revoir si le pentest de V3 signale un vecteur bureautique</t>
        </is>
      </c>
      <c r="J20" s="54" t="inlineStr">
        <is>
          <t>18/12/2026</t>
        </is>
      </c>
    </row>
    <row r="21">
      <c r="B21" s="54" t="inlineStr">
        <is>
          <t>A10</t>
        </is>
      </c>
      <c r="C21" s="54" t="inlineStr">
        <is>
          <t>15/09/2026</t>
        </is>
      </c>
      <c r="D21" s="20" t="inlineStr">
        <is>
          <t>Préalable à la certification</t>
        </is>
      </c>
      <c r="E21" s="20" t="inlineStr">
        <is>
          <t>L'octroi Deal-Ready exige une vérification RCCM ou CFE enregistrée pour l'entreprise ; le serveur refuse l'octroi sans elle (INVALID_TRANSITION). Le refus et le retrait restent possibles sans vérification.</t>
        </is>
      </c>
      <c r="F21" s="36" t="inlineStr">
        <is>
          <t>Tranché</t>
        </is>
      </c>
      <c r="G21" s="20" t="inlineStr">
        <is>
          <t>Chef de projet</t>
        </is>
      </c>
      <c r="H21" s="20" t="inlineStr">
        <is>
          <t>Évite un badge accordé sur des données uniquement déclaratives</t>
        </is>
      </c>
      <c r="I21" s="20" t="inlineStr">
        <is>
          <t>Confirmer la règle avec la CCI-Togo lors de la recette</t>
        </is>
      </c>
      <c r="J21" s="54" t="inlineStr">
        <is>
          <t>15/10/2026</t>
        </is>
      </c>
    </row>
    <row r="22">
      <c r="B22" s="54" t="inlineStr">
        <is>
          <t>A09</t>
        </is>
      </c>
      <c r="C22" s="54" t="inlineStr">
        <is>
          <t>10/09/2026</t>
        </is>
      </c>
      <c r="D22" s="20" t="inlineStr">
        <is>
          <t>Palette de l'application</t>
        </is>
      </c>
      <c r="E22"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20" t="inlineStr">
        <is>
          <t>Designer UI/UX</t>
        </is>
      </c>
      <c r="H22" s="20" t="inlineStr">
        <is>
          <t>Cohérence visuelle entre application et site public</t>
        </is>
      </c>
      <c r="I22" s="20" t="inlineStr">
        <is>
          <t>Trancher dès la nomination du designer</t>
        </is>
      </c>
      <c r="J22" s="54" t="inlineStr">
        <is>
          <t>18/09/2026</t>
        </is>
      </c>
    </row>
    <row r="23">
      <c r="B23" s="54" t="inlineStr">
        <is>
          <t>A08</t>
        </is>
      </c>
      <c r="C23" s="54" t="inlineStr">
        <is>
          <t>09/09/2026</t>
        </is>
      </c>
      <c r="D23" s="20" t="inlineStr">
        <is>
          <t>Fournisseur IA (DealLens)</t>
        </is>
      </c>
      <c r="E23" s="20" t="inlineStr">
        <is>
          <t>Quel fournisseur, avec quelles clauses de confidentialité ?</t>
        </is>
      </c>
      <c r="F23" s="36" t="inlineStr">
        <is>
          <t>Ouvert</t>
        </is>
      </c>
      <c r="G23" s="20" t="inlineStr">
        <is>
          <t>Conseil juridique</t>
        </is>
      </c>
      <c r="H23" s="20" t="inlineStr">
        <is>
          <t>Bloque tout le lot V5</t>
        </is>
      </c>
      <c r="I23" s="20" t="inlineStr">
        <is>
          <t>Lancer la consultation dès V3</t>
        </is>
      </c>
      <c r="J23" s="54" t="inlineStr">
        <is>
          <t>09/04/2027</t>
        </is>
      </c>
    </row>
  </sheetData>
  <conditionalFormatting sqref="F6:F73">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3"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2026-09-11T05:17:32Z</dcterms:created>
  <dcterms:modified xsi:type="dcterms:W3CDTF">2026-09-11T05:17:33Z</dcterms:modified>
</cp:coreProperties>
</file>